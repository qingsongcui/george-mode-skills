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734e7dcdc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 overview" sheetId="1" r:id="R7eb79175b5af4de5"/>
    <x:sheet xmlns:r="http://schemas.openxmlformats.org/officeDocument/2006/relationships" name="Plan versions" sheetId="2" r:id="Rf1bfbce6eba14b5b"/>
    <x:sheet xmlns:r="http://schemas.openxmlformats.org/officeDocument/2006/relationships" name="Execution log" sheetId="3" r:id="Rf81b81198f6f4bc2"/>
    <x:sheet xmlns:r="http://schemas.openxmlformats.org/officeDocument/2006/relationships" name="Observations" sheetId="4" r:id="Rc2eca191eece42d6"/>
    <x:sheet xmlns:r="http://schemas.openxmlformats.org/officeDocument/2006/relationships" name="Predictions" sheetId="5" r:id="Rdd785f99576049b2"/>
    <x:sheet xmlns:r="http://schemas.openxmlformats.org/officeDocument/2006/relationships" name="Reviews" sheetId="6" r:id="R5ac61b08c5574470"/>
    <x:sheet xmlns:r="http://schemas.openxmlformats.org/officeDocument/2006/relationships" name="Update log" sheetId="7" r:id="R25ab8c1c1d054aac"/>
    <x:sheet xmlns:r="http://schemas.openxmlformats.org/officeDocument/2006/relationships" name="Rule versions" sheetId="8" r:id="R0ed545ded945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yyyy-mm-dd hh:mm"/>
    <x:numFmt numFmtId="203" formatCode="0.0%"/>
  </x:numFmts>
  <x:fonts count="5">
    <x:font>
      <x:sz val="11"/>
      <x:name val="Carlito"/>
    </x:font>
    <x:font>
      <x:sz val="10"/>
      <x:color rgb="FF243247"/>
      <x:name val="Noto Sans CJK SC"/>
    </x:font>
    <x:font>
      <x:b/>
      <x:sz val="10"/>
      <x:color rgb="FFFFFFFF"/>
      <x:name val="Noto Sans CJK SC"/>
    </x:font>
    <x:font>
      <x:b/>
      <x:sz val="14"/>
      <x:color rgb="FF23374D"/>
      <x:name val="Noto Sans CJK SC"/>
    </x:font>
    <x:font>
      <x:sz val="10"/>
      <x:color rgb="FF596779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C"/>
      </x:patternFill>
    </x:fill>
    <x:fill>
      <x:patternFill patternType="solid">
        <x:fgColor rgb="FF23374D"/>
      </x:patternFill>
    </x:fill>
    <x:fill>
      <x:patternFill patternType="solid">
        <x:fgColor rgb="FFEFF2F5"/>
      </x:patternFill>
    </x:fill>
    <x:fill>
      <x:patternFill patternType="solid">
        <x:fgColor rgb="FFFFF0B8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color rgb="FFA32822"/>
      </x:font>
      <x:fill>
        <x:patternFill patternType="solid">
          <x:bgColor rgb="FFFCE8E6"/>
        </x:patternFill>
      </x:fill>
    </x:dxf>
    <x:dxf>
      <x:font>
        <x:b/>
        <x:color rgb="FF8A4700"/>
      </x:font>
      <x:fill>
        <x:patternFill patternType="solid">
          <x:bgColor rgb="FFFFE4B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139366d014377" /><Relationship Type="http://schemas.openxmlformats.org/officeDocument/2006/relationships/theme" Target="/xl/theme/theme1.xml" Id="R987f0a7ed05c46a1" /><Relationship Type="http://schemas.openxmlformats.org/officeDocument/2006/relationships/sharedStrings" Target="/xl/sharedStrings.xml" Id="Rcbe85e3d74574ccc" /><Relationship Type="http://schemas.openxmlformats.org/officeDocument/2006/relationships/worksheet" Target="/xl/worksheets/sheet1.xml" Id="R7eb79175b5af4de5" /><Relationship Type="http://schemas.openxmlformats.org/officeDocument/2006/relationships/worksheet" Target="/xl/worksheets/sheet2.xml" Id="Rf1bfbce6eba14b5b" /><Relationship Type="http://schemas.openxmlformats.org/officeDocument/2006/relationships/worksheet" Target="/xl/worksheets/sheet3.xml" Id="Rf81b81198f6f4bc2" /><Relationship Type="http://schemas.openxmlformats.org/officeDocument/2006/relationships/worksheet" Target="/xl/worksheets/sheet4.xml" Id="Rc2eca191eece42d6" /><Relationship Type="http://schemas.openxmlformats.org/officeDocument/2006/relationships/worksheet" Target="/xl/worksheets/sheet5.xml" Id="Rdd785f99576049b2" /><Relationship Type="http://schemas.openxmlformats.org/officeDocument/2006/relationships/worksheet" Target="/xl/worksheets/sheet6.xml" Id="R5ac61b08c5574470" /><Relationship Type="http://schemas.openxmlformats.org/officeDocument/2006/relationships/worksheet" Target="/xl/worksheets/sheet7.xml" Id="R25ab8c1c1d054aac" /><Relationship Type="http://schemas.openxmlformats.org/officeDocument/2006/relationships/worksheet" Target="/xl/worksheets/sheet8.xml" Id="R0ed545ded9454801" /></Relationships>
</file>

<file path=xl/tables/table1.xml><?xml version="1.0" encoding="utf-8"?>
<x:table xmlns:x="http://schemas.openxmlformats.org/spreadsheetml/2006/main" id="1" name="Cases" displayName="Cases" ref="A6:T306" headerRowCount="1" totalsRowCount="0" totalsRowShown="0">
  <x:tableColumns count="20">
    <x:tableColumn id="1" name="Case ID"/>
    <x:tableColumn id="2" name="Case title"/>
    <x:tableColumn id="3" name="Owner"/>
    <x:tableColumn id="4" name="Work status"/>
    <x:tableColumn id="5" name="Action phase"/>
    <x:tableColumn id="6" name="Current plan ID"/>
    <x:tableColumn id="7" name="Theory version"/>
    <x:tableColumn id="8" name="Analysis ref"/>
    <x:tableColumn id="9" name="Next review date"/>
    <x:tableColumn id="10" name="Currency"/>
    <x:tableColumn id="11" name="Cash budget"/>
    <x:tableColumn id="12" name="Time budget (h)"/>
    <x:tableColumn id="13" name="Total spend"/>
    <x:tableColumn id="14" name="Total time (h)"/>
    <x:tableColumn id="15" name="Cash remaining"/>
    <x:tableColumn id="16" name="Time remaining (h)"/>
    <x:tableColumn id="17" name="Review reminder"/>
    <x:tableColumn id="18" name="Entry hint"/>
    <x:tableColumn id="19" name="Project index path"/>
    <x:tableColumn id="20" name="Closure fil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lans" displayName="Plans" ref="A6:N306" headerRowCount="1" totalsRowCount="0" totalsRowShown="0">
  <x:tableColumns count="14">
    <x:tableColumn id="1" name="Plan ID"/>
    <x:tableColumn id="2" name="Case ID"/>
    <x:tableColumn id="3" name="Parent plan ID"/>
    <x:tableColumn id="4" name="Analysis ID"/>
    <x:tableColumn id="5" name="Theory version"/>
    <x:tableColumn id="6" name="Protocol version"/>
    <x:tableColumn id="7" name="Values &amp; goals version"/>
    <x:tableColumn id="8" name="Frozen at"/>
    <x:tableColumn id="9" name="Effective time"/>
    <x:tableColumn id="10" name="Decider"/>
    <x:tableColumn id="11" name="Action phase"/>
    <x:tableColumn id="12" name="Version status"/>
    <x:tableColumn id="13" name="Plan file"/>
    <x:tableColumn id="14" name="Input check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xecution" displayName="Execution" ref="A6:P306" headerRowCount="1" totalsRowCount="0" totalsRowShown="0">
  <x:tableColumns count="16">
    <x:tableColumn id="1" name="Execution ID"/>
    <x:tableColumn id="2" name="Case ID"/>
    <x:tableColumn id="3" name="Plan ID"/>
    <x:tableColumn id="4" name="Action ID"/>
    <x:tableColumn id="5" name="Occurred at"/>
    <x:tableColumn id="6" name="Recorded at"/>
    <x:tableColumn id="7" name="Actual action and deviation"/>
    <x:tableColumn id="8" name="Cash spend"/>
    <x:tableColumn id="9" name="Currency"/>
    <x:tableColumn id="10" name="Time spent (h)"/>
    <x:tableColumn id="11" name="Execution progress"/>
    <x:tableColumn id="12" name="Record status"/>
    <x:tableColumn id="13" name="Corrects EX"/>
    <x:tableColumn id="14" name="Observation OB refs"/>
    <x:tableColumn id="15" name="Raw record file"/>
    <x:tableColumn id="16" name="Input check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Observations" displayName="Observations" ref="A6:P306" headerRowCount="1" totalsRowCount="0" totalsRowShown="0">
  <x:tableColumns count="16">
    <x:tableColumn id="1" name="Observation ID"/>
    <x:tableColumn id="2" name="Case ID"/>
    <x:tableColumn id="3" name="Plan ID"/>
    <x:tableColumn id="4" name="Metric ID and version"/>
    <x:tableColumn id="5" name="Occurred at"/>
    <x:tableColumn id="6" name="Recorded at"/>
    <x:tableColumn id="7" name="Value"/>
    <x:tableColumn id="8" name="Unit"/>
    <x:tableColumn id="9" name="Denominator or sample size"/>
    <x:tableColumn id="10" name="Raw observation"/>
    <x:tableColumn id="11" name="Source or attachment"/>
    <x:tableColumn id="12" name="Same-source group ID"/>
    <x:tableColumn id="13" name="Record status"/>
    <x:tableColumn id="14" name="Corrects OB"/>
    <x:tableColumn id="15" name="Record file"/>
    <x:tableColumn id="16" name="Input check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redictions" displayName="Predictions" ref="A6:R306" headerRowCount="1" totalsRowCount="0" totalsRowShown="0">
  <x:tableColumns count="18">
    <x:tableColumn id="1" name="Prediction ID"/>
    <x:tableColumn id="2" name="Case ID"/>
    <x:tableColumn id="3" name="Plan ID"/>
    <x:tableColumn id="4" name="Registered at"/>
    <x:tableColumn id="5" name="Due time"/>
    <x:tableColumn id="6" name="Event and resolution criteria"/>
    <x:tableColumn id="7" name="Forecast probability"/>
    <x:tableColumn id="8" name="Baseline probability"/>
    <x:tableColumn id="9" name="Resolution status"/>
    <x:tableColumn id="10" name="Actual outcome (0/1)"/>
    <x:tableColumn id="11" name="Resolved at"/>
    <x:tableColumn id="12" name="Evidence OB refs (prediction)"/>
    <x:tableColumn id="13" name="Pre-specified scoring"/>
    <x:tableColumn id="14" name="Brier score"/>
    <x:tableColumn id="15" name="Baseline Brier"/>
    <x:tableColumn id="16" name="Relative improvement"/>
    <x:tableColumn id="17" name="Prediction file"/>
    <x:tableColumn id="18" name="Input check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Reviews" displayName="Reviews" ref="A6:N306" headerRowCount="1" totalsRowCount="0" totalsRowShown="0">
  <x:tableColumns count="14">
    <x:tableColumn id="1" name="Review ID"/>
    <x:tableColumn id="2" name="Case ID"/>
    <x:tableColumn id="3" name="Plan ID"/>
    <x:tableColumn id="4" name="Information cutoff"/>
    <x:tableColumn id="5" name="Review time"/>
    <x:tableColumn id="6" name="Result vs original goal"/>
    <x:tableColumn id="7" name="Current value judgment"/>
    <x:tableColumn id="8" name="Attribution conclusion"/>
    <x:tableColumn id="9" name="Key OB refs"/>
    <x:tableColumn id="10" name="Update ID ref"/>
    <x:tableColumn id="11" name="Next phase"/>
    <x:tableColumn id="12" name="Next review date"/>
    <x:tableColumn id="13" name="Review file"/>
    <x:tableColumn id="14" name="Input check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Updates" displayName="Updates" ref="A6:N306" headerRowCount="1" totalsRowCount="0" totalsRowShown="0">
  <x:tableColumns count="14">
    <x:tableColumn id="1" name="Update ID"/>
    <x:tableColumn id="2" name="Case ID"/>
    <x:tableColumn id="3" name="Triggering review ID"/>
    <x:tableColumn id="4" name="Update target"/>
    <x:tableColumn id="5" name="Old value or version"/>
    <x:tableColumn id="6" name="New value or version"/>
    <x:tableColumn id="7" name="Acceptance status"/>
    <x:tableColumn id="8" name="Rationale"/>
    <x:tableColumn id="9" name="Evidence OB refs"/>
    <x:tableColumn id="10" name="Effective time"/>
    <x:tableColumn id="11" name="Decider"/>
    <x:tableColumn id="12" name="Next verification"/>
    <x:tableColumn id="13" name="Update file"/>
    <x:tableColumn id="14" name="Input check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Rules" displayName="Rules" ref="A6:M306" headerRowCount="1" totalsRowCount="0" totalsRowShown="0">
  <x:tableColumns count="13">
    <x:tableColumn id="1" name="Rule ID"/>
    <x:tableColumn id="2" name="Version"/>
    <x:tableColumn id="3" name="Parent version"/>
    <x:tableColumn id="4" name="Adoption status"/>
    <x:tableColumn id="5" name="Rule statement"/>
    <x:tableColumn id="6" name="Scope"/>
    <x:tableColumn id="7" name="Supporting cases and OB"/>
    <x:tableColumn id="8" name="Counterexamples and failures"/>
    <x:tableColumn id="9" name="Adopted at"/>
    <x:tableColumn id="10" name="Recheck date"/>
    <x:tableColumn id="11" name="Owner"/>
    <x:tableColumn id="12" name="Rule file"/>
    <x:tableColumn id="13" name="Input check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7cdc2d4cd47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f8c7851d244e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f9fc142ae245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a67bd445ac47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3f0a46348c46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0363e09a8e41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91cae7088b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f3d1fa9ec324d45" /></Relationships>
</file>

<file path=xl/worksheets/sheet1.xml><?xml version="1.0" encoding="utf-8"?>
<x:worksheet xmlns:x="http://schemas.openxmlformats.org/spreadsheetml/2006/main">
  <x:sheetPr>
    <x:tabColor rgb="FF23374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0" hidden="0" customWidth="1"/>
    <x:col min="4" max="4" width="20" hidden="0" customWidth="1"/>
    <x:col min="5" max="5" width="20" hidden="0" customWidth="1"/>
    <x:col min="6" max="6" width="29" hidden="0" customWidth="1"/>
    <x:col min="7" max="7" width="20" hidden="0" customWidth="1"/>
    <x:col min="8" max="8" width="29" hidden="0" customWidth="1"/>
    <x:col min="9" max="9" width="23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9" hidden="0" customWidth="1"/>
    <x:col min="19" max="19" width="29" hidden="0" customWidth="1"/>
    <x:col min="20" max="20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5" customHeight="1">
      <x:c r="A2" s="16" t="str">
        <x:v>Cases overview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</x:row>
    <x:row r="3" ht="25" customHeight="1">
      <x:c r="A3" s="18" t="str">
        <x:v>Evaluation date</x:v>
      </x:c>
      <x:c r="B3" s="28" t="d">
        <x:v>2026-10-15T00:00:00.000Z</x:v>
      </x:c>
      <x:c r="C3" s="18" t="str">
        <x:v>One row per case. Update the evaluation date first, then check review reminders. Yellow = input, grey = calculated.</x:v>
      </x:c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</x:row>
    <x:row r="4" ht="25" customHeight="1">
      <x:c r="A4" s="2" t="str">
        <x:v>Registered cases</x:v>
      </x:c>
      <x:c r="B4" s="2" t="n">
        <x:f>COUNTA('Cases overview'!$A$7:$A$306)</x:f>
        <x:v>0</x:v>
      </x:c>
      <x:c r="C4" s="2"/>
      <x:c r="D4" s="2" t="str">
        <x:v>Cases due for review</x:v>
      </x:c>
      <x:c r="E4" s="2" t="n">
        <x:f>COUNTIFS('Cases overview'!$Q$7:$Q$306,"Review due")</x:f>
        <x:v>0</x:v>
      </x:c>
      <x:c r="F4" s="2"/>
      <x:c r="G4" s="2" t="str">
        <x:v>Open cases</x:v>
      </x:c>
      <x:c r="H4" s="2" t="n">
        <x:f>B4-COUNTIFS('Cases overview'!$D$7:$D$306,"Closed")</x:f>
        <x:v>0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0" customHeight="1">
      <x:c r="A6" s="12" t="str">
        <x:v>Case ID</x:v>
      </x:c>
      <x:c r="B6" s="13" t="str">
        <x:v>Case title</x:v>
      </x:c>
      <x:c r="C6" s="13" t="str">
        <x:v>Owner</x:v>
      </x:c>
      <x:c r="D6" s="13" t="str">
        <x:v>Work status</x:v>
      </x:c>
      <x:c r="E6" s="13" t="str">
        <x:v>Action phase</x:v>
      </x:c>
      <x:c r="F6" s="13" t="str">
        <x:v>Current plan ID</x:v>
      </x:c>
      <x:c r="G6" s="13" t="str">
        <x:v>Theory version</x:v>
      </x:c>
      <x:c r="H6" s="13" t="str">
        <x:v>Analysis ref</x:v>
      </x:c>
      <x:c r="I6" s="13" t="str">
        <x:v>Next review date</x:v>
      </x:c>
      <x:c r="J6" s="13" t="str">
        <x:v>Currency</x:v>
      </x:c>
      <x:c r="K6" s="13" t="str">
        <x:v>Cash budget</x:v>
      </x:c>
      <x:c r="L6" s="13" t="str">
        <x:v>Time budget (h)</x:v>
      </x:c>
      <x:c r="M6" s="13" t="str">
        <x:v>Total spend</x:v>
      </x:c>
      <x:c r="N6" s="13" t="str">
        <x:v>Total time (h)</x:v>
      </x:c>
      <x:c r="O6" s="13" t="str">
        <x:v>Cash remaining</x:v>
      </x:c>
      <x:c r="P6" s="13" t="str">
        <x:v>Time remaining (h)</x:v>
      </x:c>
      <x:c r="Q6" s="13" t="str">
        <x:v>Review reminder</x:v>
      </x:c>
      <x:c r="R6" s="13" t="str">
        <x:v>Entry hint</x:v>
      </x:c>
      <x:c r="S6" s="13" t="str">
        <x:v>Project index path</x:v>
      </x:c>
      <x:c r="T6" s="14" t="str">
        <x:v>Closure file</x:v>
      </x:c>
    </x:row>
    <x:row r="7" ht="25" customHeight="1">
      <x:c r="A7" s="3"/>
      <x:c r="B7" s="3"/>
      <x:c r="C7" s="3"/>
      <x:c r="D7" s="3"/>
      <x:c r="E7" s="3"/>
      <x:c r="F7" s="3"/>
      <x:c r="G7" s="3"/>
      <x:c r="H7" s="3"/>
      <x:c r="I7" s="20"/>
      <x:c r="J7" s="3"/>
      <x:c r="K7" s="22"/>
      <x:c r="L7" s="22"/>
      <x:c r="M7" s="24" t="str">
        <x:f>IF(A7="","",IF(COUNTIFS('Execution log'!$B$7:$B$306,A7)=0,"",IF(COUNTIFS('Execution log'!$B$7:$B$306,A7,'Execution log'!$L$7:$L$306,"Valid",'Execution log'!$P$7:$P$306,"&lt;&gt;Valid input")&gt;0,"To check",IF(COUNTIFS('Execution log'!$B$7:$B$306,A7,'Execution log'!$P$7:$P$306,"Valid input")=0,"",SUMIFS('Execution log'!$H$7:$H$306,'Execution log'!$B$7:$B$306,A7,'Execution log'!$P$7:$P$306,"Valid input")))))</x:f>
      </x:c>
      <x:c r="N7" s="24" t="str">
        <x:f>IF(A7="","",IF(COUNTIFS('Execution log'!$B$7:$B$306,A7)=0,"",IF(COUNTIFS('Execution log'!$B$7:$B$306,A7,'Execution log'!$L$7:$L$306,"Valid",'Execution log'!$P$7:$P$306,"&lt;&gt;Valid input")&gt;0,"To check",IF(COUNTIFS('Execution log'!$B$7:$B$306,A7,'Execution log'!$P$7:$P$306,"Valid input")=0,"",SUMIFS('Execution log'!$J$7:$J$306,'Execution log'!$B$7:$B$306,A7,'Execution log'!$P$7:$P$306,"Valid input")))))</x:f>
      </x:c>
      <x:c r="O7" s="24" t="str">
        <x:f>IF(A7="","",IF(NOT(ISNUMBER(K7)),"Budget TBD",IF(NOT(ISNUMBER(M7)),"No valid entries yet",K7-M7)))</x:f>
      </x:c>
      <x:c r="P7" s="24" t="str">
        <x:f>IF(A7="","",IF(NOT(ISNUMBER(L7)),"Budget TBD",IF(NOT(ISNUMBER(N7)),"No valid entries yet",L7-N7)))</x:f>
      </x:c>
      <x:c r="Q7" s="19" t="str">
        <x:f>IF(A7="","",IF(D7="Closed","Closed",IF(NOT(ISNUMBER(I7)),"Review date TBD",IF(NOT(ISNUMBER($B$3)),"Evaluation date TBD",IF(I7&lt;=$B$3,"Review due","Not due")))))</x:f>
      </x:c>
      <x:c r="R7" s="19" t="str">
        <x:f>IF(A7="","",IF(COUNTIFS($A$7:$A$306,A7)&lt;&gt;1,"Duplicate case ID",IF(OR(B7="",C7="",D7="",G7="",S7=""),"Basic info missing",IF(AND(F7&lt;&gt;"",COUNTIFS('Plan versions'!$A$7:$A$306,F7,'Plan versions'!$B$7:$B$306,A7,'Plan versions'!$L$7:$L$306,"Frozen")&lt;&gt;1),"Invalid current plan ref",IF(AND(D7="Executing",F7=""),"Execution lacks plan",IF(AND(D7="Closed",OR(T7="",COUNTIFS('Reviews'!$B$7:$B$306,A7)=0,COUNTIFS('Update log'!$B$7:$B$306,A7)=0)),"Closure docs missing","Basic records complete"))))))</x:f>
      </x:c>
      <x:c r="S7" s="3"/>
      <x:c r="T7" s="3"/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20"/>
      <x:c r="J8" s="3"/>
      <x:c r="K8" s="22"/>
      <x:c r="L8" s="22"/>
      <x:c r="M8" s="24" t="str">
        <x:f>IF(A8="","",IF(COUNTIFS('Execution log'!$B$7:$B$306,A8)=0,"",IF(COUNTIFS('Execution log'!$B$7:$B$306,A8,'Execution log'!$L$7:$L$306,"Valid",'Execution log'!$P$7:$P$306,"&lt;&gt;Valid input")&gt;0,"To check",IF(COUNTIFS('Execution log'!$B$7:$B$306,A8,'Execution log'!$P$7:$P$306,"Valid input")=0,"",SUMIFS('Execution log'!$H$7:$H$306,'Execution log'!$B$7:$B$306,A8,'Execution log'!$P$7:$P$306,"Valid input")))))</x:f>
      </x:c>
      <x:c r="N8" s="24" t="str">
        <x:f>IF(A8="","",IF(COUNTIFS('Execution log'!$B$7:$B$306,A8)=0,"",IF(COUNTIFS('Execution log'!$B$7:$B$306,A8,'Execution log'!$L$7:$L$306,"Valid",'Execution log'!$P$7:$P$306,"&lt;&gt;Valid input")&gt;0,"To check",IF(COUNTIFS('Execution log'!$B$7:$B$306,A8,'Execution log'!$P$7:$P$306,"Valid input")=0,"",SUMIFS('Execution log'!$J$7:$J$306,'Execution log'!$B$7:$B$306,A8,'Execution log'!$P$7:$P$306,"Valid input")))))</x:f>
      </x:c>
      <x:c r="O8" s="24" t="str">
        <x:f>IF(A8="","",IF(NOT(ISNUMBER(K8)),"Budget TBD",IF(NOT(ISNUMBER(M8)),"No valid entries yet",K8-M8)))</x:f>
      </x:c>
      <x:c r="P8" s="24" t="str">
        <x:f>IF(A8="","",IF(NOT(ISNUMBER(L8)),"Budget TBD",IF(NOT(ISNUMBER(N8)),"No valid entries yet",L8-N8)))</x:f>
      </x:c>
      <x:c r="Q8" s="19" t="str">
        <x:f>IF(A8="","",IF(D8="Closed","Closed",IF(NOT(ISNUMBER(I8)),"Review date TBD",IF(NOT(ISNUMBER($B$3)),"Evaluation date TBD",IF(I8&lt;=$B$3,"Review due","Not due")))))</x:f>
      </x:c>
      <x:c r="R8" s="19" t="str">
        <x:f>IF(A8="","",IF(COUNTIFS($A$7:$A$306,A8)&lt;&gt;1,"Duplicate case ID",IF(OR(B8="",C8="",D8="",G8="",S8=""),"Basic info missing",IF(AND(F8&lt;&gt;"",COUNTIFS('Plan versions'!$A$7:$A$306,F8,'Plan versions'!$B$7:$B$306,A8,'Plan versions'!$L$7:$L$306,"Frozen")&lt;&gt;1),"Invalid current plan ref",IF(AND(D8="Executing",F8=""),"Execution lacks plan",IF(AND(D8="Closed",OR(T8="",COUNTIFS('Reviews'!$B$7:$B$306,A8)=0,COUNTIFS('Update log'!$B$7:$B$306,A8)=0)),"Closure docs missing","Basic records complete"))))))</x:f>
      </x:c>
      <x:c r="S8" s="3"/>
      <x:c r="T8" s="3"/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20"/>
      <x:c r="J9" s="3"/>
      <x:c r="K9" s="22"/>
      <x:c r="L9" s="22"/>
      <x:c r="M9" s="24" t="str">
        <x:f>IF(A9="","",IF(COUNTIFS('Execution log'!$B$7:$B$306,A9)=0,"",IF(COUNTIFS('Execution log'!$B$7:$B$306,A9,'Execution log'!$L$7:$L$306,"Valid",'Execution log'!$P$7:$P$306,"&lt;&gt;Valid input")&gt;0,"To check",IF(COUNTIFS('Execution log'!$B$7:$B$306,A9,'Execution log'!$P$7:$P$306,"Valid input")=0,"",SUMIFS('Execution log'!$H$7:$H$306,'Execution log'!$B$7:$B$306,A9,'Execution log'!$P$7:$P$306,"Valid input")))))</x:f>
      </x:c>
      <x:c r="N9" s="24" t="str">
        <x:f>IF(A9="","",IF(COUNTIFS('Execution log'!$B$7:$B$306,A9)=0,"",IF(COUNTIFS('Execution log'!$B$7:$B$306,A9,'Execution log'!$L$7:$L$306,"Valid",'Execution log'!$P$7:$P$306,"&lt;&gt;Valid input")&gt;0,"To check",IF(COUNTIFS('Execution log'!$B$7:$B$306,A9,'Execution log'!$P$7:$P$306,"Valid input")=0,"",SUMIFS('Execution log'!$J$7:$J$306,'Execution log'!$B$7:$B$306,A9,'Execution log'!$P$7:$P$306,"Valid input")))))</x:f>
      </x:c>
      <x:c r="O9" s="24" t="str">
        <x:f>IF(A9="","",IF(NOT(ISNUMBER(K9)),"Budget TBD",IF(NOT(ISNUMBER(M9)),"No valid entries yet",K9-M9)))</x:f>
      </x:c>
      <x:c r="P9" s="24" t="str">
        <x:f>IF(A9="","",IF(NOT(ISNUMBER(L9)),"Budget TBD",IF(NOT(ISNUMBER(N9)),"No valid entries yet",L9-N9)))</x:f>
      </x:c>
      <x:c r="Q9" s="19" t="str">
        <x:f>IF(A9="","",IF(D9="Closed","Closed",IF(NOT(ISNUMBER(I9)),"Review date TBD",IF(NOT(ISNUMBER($B$3)),"Evaluation date TBD",IF(I9&lt;=$B$3,"Review due","Not due")))))</x:f>
      </x:c>
      <x:c r="R9" s="19" t="str">
        <x:f>IF(A9="","",IF(COUNTIFS($A$7:$A$306,A9)&lt;&gt;1,"Duplicate case ID",IF(OR(B9="",C9="",D9="",G9="",S9=""),"Basic info missing",IF(AND(F9&lt;&gt;"",COUNTIFS('Plan versions'!$A$7:$A$306,F9,'Plan versions'!$B$7:$B$306,A9,'Plan versions'!$L$7:$L$306,"Frozen")&lt;&gt;1),"Invalid current plan ref",IF(AND(D9="Executing",F9=""),"Execution lacks plan",IF(AND(D9="Closed",OR(T9="",COUNTIFS('Reviews'!$B$7:$B$306,A9)=0,COUNTIFS('Update log'!$B$7:$B$306,A9)=0)),"Closure docs missing","Basic records complete"))))))</x:f>
      </x:c>
      <x:c r="S9" s="3"/>
      <x:c r="T9" s="3"/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20"/>
      <x:c r="J10" s="3"/>
      <x:c r="K10" s="22"/>
      <x:c r="L10" s="22"/>
      <x:c r="M10" s="24" t="str">
        <x:f>IF(A10="","",IF(COUNTIFS('Execution log'!$B$7:$B$306,A10)=0,"",IF(COUNTIFS('Execution log'!$B$7:$B$306,A10,'Execution log'!$L$7:$L$306,"Valid",'Execution log'!$P$7:$P$306,"&lt;&gt;Valid input")&gt;0,"To check",IF(COUNTIFS('Execution log'!$B$7:$B$306,A10,'Execution log'!$P$7:$P$306,"Valid input")=0,"",SUMIFS('Execution log'!$H$7:$H$306,'Execution log'!$B$7:$B$306,A10,'Execution log'!$P$7:$P$306,"Valid input")))))</x:f>
      </x:c>
      <x:c r="N10" s="24" t="str">
        <x:f>IF(A10="","",IF(COUNTIFS('Execution log'!$B$7:$B$306,A10)=0,"",IF(COUNTIFS('Execution log'!$B$7:$B$306,A10,'Execution log'!$L$7:$L$306,"Valid",'Execution log'!$P$7:$P$306,"&lt;&gt;Valid input")&gt;0,"To check",IF(COUNTIFS('Execution log'!$B$7:$B$306,A10,'Execution log'!$P$7:$P$306,"Valid input")=0,"",SUMIFS('Execution log'!$J$7:$J$306,'Execution log'!$B$7:$B$306,A10,'Execution log'!$P$7:$P$306,"Valid input")))))</x:f>
      </x:c>
      <x:c r="O10" s="24" t="str">
        <x:f>IF(A10="","",IF(NOT(ISNUMBER(K10)),"Budget TBD",IF(NOT(ISNUMBER(M10)),"No valid entries yet",K10-M10)))</x:f>
      </x:c>
      <x:c r="P10" s="24" t="str">
        <x:f>IF(A10="","",IF(NOT(ISNUMBER(L10)),"Budget TBD",IF(NOT(ISNUMBER(N10)),"No valid entries yet",L10-N10)))</x:f>
      </x:c>
      <x:c r="Q10" s="19" t="str">
        <x:f>IF(A10="","",IF(D10="Closed","Closed",IF(NOT(ISNUMBER(I10)),"Review date TBD",IF(NOT(ISNUMBER($B$3)),"Evaluation date TBD",IF(I10&lt;=$B$3,"Review due","Not due")))))</x:f>
      </x:c>
      <x:c r="R10" s="19" t="str">
        <x:f>IF(A10="","",IF(COUNTIFS($A$7:$A$306,A10)&lt;&gt;1,"Duplicate case ID",IF(OR(B10="",C10="",D10="",G10="",S10=""),"Basic info missing",IF(AND(F10&lt;&gt;"",COUNTIFS('Plan versions'!$A$7:$A$306,F10,'Plan versions'!$B$7:$B$306,A10,'Plan versions'!$L$7:$L$306,"Frozen")&lt;&gt;1),"Invalid current plan ref",IF(AND(D10="Executing",F10=""),"Execution lacks plan",IF(AND(D10="Closed",OR(T10="",COUNTIFS('Reviews'!$B$7:$B$306,A10)=0,COUNTIFS('Update log'!$B$7:$B$306,A10)=0)),"Closure docs missing","Basic records complete"))))))</x:f>
      </x:c>
      <x:c r="S10" s="3"/>
      <x:c r="T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20"/>
      <x:c r="J11" s="3"/>
      <x:c r="K11" s="22"/>
      <x:c r="L11" s="22"/>
      <x:c r="M11" s="24" t="str">
        <x:f>IF(A11="","",IF(COUNTIFS('Execution log'!$B$7:$B$306,A11)=0,"",IF(COUNTIFS('Execution log'!$B$7:$B$306,A11,'Execution log'!$L$7:$L$306,"Valid",'Execution log'!$P$7:$P$306,"&lt;&gt;Valid input")&gt;0,"To check",IF(COUNTIFS('Execution log'!$B$7:$B$306,A11,'Execution log'!$P$7:$P$306,"Valid input")=0,"",SUMIFS('Execution log'!$H$7:$H$306,'Execution log'!$B$7:$B$306,A11,'Execution log'!$P$7:$P$306,"Valid input")))))</x:f>
      </x:c>
      <x:c r="N11" s="24" t="str">
        <x:f>IF(A11="","",IF(COUNTIFS('Execution log'!$B$7:$B$306,A11)=0,"",IF(COUNTIFS('Execution log'!$B$7:$B$306,A11,'Execution log'!$L$7:$L$306,"Valid",'Execution log'!$P$7:$P$306,"&lt;&gt;Valid input")&gt;0,"To check",IF(COUNTIFS('Execution log'!$B$7:$B$306,A11,'Execution log'!$P$7:$P$306,"Valid input")=0,"",SUMIFS('Execution log'!$J$7:$J$306,'Execution log'!$B$7:$B$306,A11,'Execution log'!$P$7:$P$306,"Valid input")))))</x:f>
      </x:c>
      <x:c r="O11" s="24" t="str">
        <x:f>IF(A11="","",IF(NOT(ISNUMBER(K11)),"Budget TBD",IF(NOT(ISNUMBER(M11)),"No valid entries yet",K11-M11)))</x:f>
      </x:c>
      <x:c r="P11" s="24" t="str">
        <x:f>IF(A11="","",IF(NOT(ISNUMBER(L11)),"Budget TBD",IF(NOT(ISNUMBER(N11)),"No valid entries yet",L11-N11)))</x:f>
      </x:c>
      <x:c r="Q11" s="19" t="str">
        <x:f>IF(A11="","",IF(D11="Closed","Closed",IF(NOT(ISNUMBER(I11)),"Review date TBD",IF(NOT(ISNUMBER($B$3)),"Evaluation date TBD",IF(I11&lt;=$B$3,"Review due","Not due")))))</x:f>
      </x:c>
      <x:c r="R11" s="19" t="str">
        <x:f>IF(A11="","",IF(COUNTIFS($A$7:$A$306,A11)&lt;&gt;1,"Duplicate case ID",IF(OR(B11="",C11="",D11="",G11="",S11=""),"Basic info missing",IF(AND(F11&lt;&gt;"",COUNTIFS('Plan versions'!$A$7:$A$306,F11,'Plan versions'!$B$7:$B$306,A11,'Plan versions'!$L$7:$L$306,"Frozen")&lt;&gt;1),"Invalid current plan ref",IF(AND(D11="Executing",F11=""),"Execution lacks plan",IF(AND(D11="Closed",OR(T11="",COUNTIFS('Reviews'!$B$7:$B$306,A11)=0,COUNTIFS('Update log'!$B$7:$B$306,A11)=0)),"Closure docs missing","Basic records complete"))))))</x:f>
      </x:c>
      <x:c r="S11" s="3"/>
      <x:c r="T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20"/>
      <x:c r="J12" s="3"/>
      <x:c r="K12" s="22"/>
      <x:c r="L12" s="22"/>
      <x:c r="M12" s="24" t="str">
        <x:f>IF(A12="","",IF(COUNTIFS('Execution log'!$B$7:$B$306,A12)=0,"",IF(COUNTIFS('Execution log'!$B$7:$B$306,A12,'Execution log'!$L$7:$L$306,"Valid",'Execution log'!$P$7:$P$306,"&lt;&gt;Valid input")&gt;0,"To check",IF(COUNTIFS('Execution log'!$B$7:$B$306,A12,'Execution log'!$P$7:$P$306,"Valid input")=0,"",SUMIFS('Execution log'!$H$7:$H$306,'Execution log'!$B$7:$B$306,A12,'Execution log'!$P$7:$P$306,"Valid input")))))</x:f>
      </x:c>
      <x:c r="N12" s="24" t="str">
        <x:f>IF(A12="","",IF(COUNTIFS('Execution log'!$B$7:$B$306,A12)=0,"",IF(COUNTIFS('Execution log'!$B$7:$B$306,A12,'Execution log'!$L$7:$L$306,"Valid",'Execution log'!$P$7:$P$306,"&lt;&gt;Valid input")&gt;0,"To check",IF(COUNTIFS('Execution log'!$B$7:$B$306,A12,'Execution log'!$P$7:$P$306,"Valid input")=0,"",SUMIFS('Execution log'!$J$7:$J$306,'Execution log'!$B$7:$B$306,A12,'Execution log'!$P$7:$P$306,"Valid input")))))</x:f>
      </x:c>
      <x:c r="O12" s="24" t="str">
        <x:f>IF(A12="","",IF(NOT(ISNUMBER(K12)),"Budget TBD",IF(NOT(ISNUMBER(M12)),"No valid entries yet",K12-M12)))</x:f>
      </x:c>
      <x:c r="P12" s="24" t="str">
        <x:f>IF(A12="","",IF(NOT(ISNUMBER(L12)),"Budget TBD",IF(NOT(ISNUMBER(N12)),"No valid entries yet",L12-N12)))</x:f>
      </x:c>
      <x:c r="Q12" s="19" t="str">
        <x:f>IF(A12="","",IF(D12="Closed","Closed",IF(NOT(ISNUMBER(I12)),"Review date TBD",IF(NOT(ISNUMBER($B$3)),"Evaluation date TBD",IF(I12&lt;=$B$3,"Review due","Not due")))))</x:f>
      </x:c>
      <x:c r="R12" s="19" t="str">
        <x:f>IF(A12="","",IF(COUNTIFS($A$7:$A$306,A12)&lt;&gt;1,"Duplicate case ID",IF(OR(B12="",C12="",D12="",G12="",S12=""),"Basic info missing",IF(AND(F12&lt;&gt;"",COUNTIFS('Plan versions'!$A$7:$A$306,F12,'Plan versions'!$B$7:$B$306,A12,'Plan versions'!$L$7:$L$306,"Frozen")&lt;&gt;1),"Invalid current plan ref",IF(AND(D12="Executing",F12=""),"Execution lacks plan",IF(AND(D12="Closed",OR(T12="",COUNTIFS('Reviews'!$B$7:$B$306,A12)=0,COUNTIFS('Update log'!$B$7:$B$306,A12)=0)),"Closure docs missing","Basic records complete"))))))</x:f>
      </x:c>
      <x:c r="S12" s="3"/>
      <x:c r="T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20"/>
      <x:c r="J13" s="3"/>
      <x:c r="K13" s="22"/>
      <x:c r="L13" s="22"/>
      <x:c r="M13" s="24" t="str">
        <x:f>IF(A13="","",IF(COUNTIFS('Execution log'!$B$7:$B$306,A13)=0,"",IF(COUNTIFS('Execution log'!$B$7:$B$306,A13,'Execution log'!$L$7:$L$306,"Valid",'Execution log'!$P$7:$P$306,"&lt;&gt;Valid input")&gt;0,"To check",IF(COUNTIFS('Execution log'!$B$7:$B$306,A13,'Execution log'!$P$7:$P$306,"Valid input")=0,"",SUMIFS('Execution log'!$H$7:$H$306,'Execution log'!$B$7:$B$306,A13,'Execution log'!$P$7:$P$306,"Valid input")))))</x:f>
      </x:c>
      <x:c r="N13" s="24" t="str">
        <x:f>IF(A13="","",IF(COUNTIFS('Execution log'!$B$7:$B$306,A13)=0,"",IF(COUNTIFS('Execution log'!$B$7:$B$306,A13,'Execution log'!$L$7:$L$306,"Valid",'Execution log'!$P$7:$P$306,"&lt;&gt;Valid input")&gt;0,"To check",IF(COUNTIFS('Execution log'!$B$7:$B$306,A13,'Execution log'!$P$7:$P$306,"Valid input")=0,"",SUMIFS('Execution log'!$J$7:$J$306,'Execution log'!$B$7:$B$306,A13,'Execution log'!$P$7:$P$306,"Valid input")))))</x:f>
      </x:c>
      <x:c r="O13" s="24" t="str">
        <x:f>IF(A13="","",IF(NOT(ISNUMBER(K13)),"Budget TBD",IF(NOT(ISNUMBER(M13)),"No valid entries yet",K13-M13)))</x:f>
      </x:c>
      <x:c r="P13" s="24" t="str">
        <x:f>IF(A13="","",IF(NOT(ISNUMBER(L13)),"Budget TBD",IF(NOT(ISNUMBER(N13)),"No valid entries yet",L13-N13)))</x:f>
      </x:c>
      <x:c r="Q13" s="19" t="str">
        <x:f>IF(A13="","",IF(D13="Closed","Closed",IF(NOT(ISNUMBER(I13)),"Review date TBD",IF(NOT(ISNUMBER($B$3)),"Evaluation date TBD",IF(I13&lt;=$B$3,"Review due","Not due")))))</x:f>
      </x:c>
      <x:c r="R13" s="19" t="str">
        <x:f>IF(A13="","",IF(COUNTIFS($A$7:$A$306,A13)&lt;&gt;1,"Duplicate case ID",IF(OR(B13="",C13="",D13="",G13="",S13=""),"Basic info missing",IF(AND(F13&lt;&gt;"",COUNTIFS('Plan versions'!$A$7:$A$306,F13,'Plan versions'!$B$7:$B$306,A13,'Plan versions'!$L$7:$L$306,"Frozen")&lt;&gt;1),"Invalid current plan ref",IF(AND(D13="Executing",F13=""),"Execution lacks plan",IF(AND(D13="Closed",OR(T13="",COUNTIFS('Reviews'!$B$7:$B$306,A13)=0,COUNTIFS('Update log'!$B$7:$B$306,A13)=0)),"Closure docs missing","Basic records complete"))))))</x:f>
      </x:c>
      <x:c r="S13" s="3"/>
      <x:c r="T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20"/>
      <x:c r="J14" s="3"/>
      <x:c r="K14" s="22"/>
      <x:c r="L14" s="22"/>
      <x:c r="M14" s="24" t="str">
        <x:f>IF(A14="","",IF(COUNTIFS('Execution log'!$B$7:$B$306,A14)=0,"",IF(COUNTIFS('Execution log'!$B$7:$B$306,A14,'Execution log'!$L$7:$L$306,"Valid",'Execution log'!$P$7:$P$306,"&lt;&gt;Valid input")&gt;0,"To check",IF(COUNTIFS('Execution log'!$B$7:$B$306,A14,'Execution log'!$P$7:$P$306,"Valid input")=0,"",SUMIFS('Execution log'!$H$7:$H$306,'Execution log'!$B$7:$B$306,A14,'Execution log'!$P$7:$P$306,"Valid input")))))</x:f>
      </x:c>
      <x:c r="N14" s="24" t="str">
        <x:f>IF(A14="","",IF(COUNTIFS('Execution log'!$B$7:$B$306,A14)=0,"",IF(COUNTIFS('Execution log'!$B$7:$B$306,A14,'Execution log'!$L$7:$L$306,"Valid",'Execution log'!$P$7:$P$306,"&lt;&gt;Valid input")&gt;0,"To check",IF(COUNTIFS('Execution log'!$B$7:$B$306,A14,'Execution log'!$P$7:$P$306,"Valid input")=0,"",SUMIFS('Execution log'!$J$7:$J$306,'Execution log'!$B$7:$B$306,A14,'Execution log'!$P$7:$P$306,"Valid input")))))</x:f>
      </x:c>
      <x:c r="O14" s="24" t="str">
        <x:f>IF(A14="","",IF(NOT(ISNUMBER(K14)),"Budget TBD",IF(NOT(ISNUMBER(M14)),"No valid entries yet",K14-M14)))</x:f>
      </x:c>
      <x:c r="P14" s="24" t="str">
        <x:f>IF(A14="","",IF(NOT(ISNUMBER(L14)),"Budget TBD",IF(NOT(ISNUMBER(N14)),"No valid entries yet",L14-N14)))</x:f>
      </x:c>
      <x:c r="Q14" s="19" t="str">
        <x:f>IF(A14="","",IF(D14="Closed","Closed",IF(NOT(ISNUMBER(I14)),"Review date TBD",IF(NOT(ISNUMBER($B$3)),"Evaluation date TBD",IF(I14&lt;=$B$3,"Review due","Not due")))))</x:f>
      </x:c>
      <x:c r="R14" s="19" t="str">
        <x:f>IF(A14="","",IF(COUNTIFS($A$7:$A$306,A14)&lt;&gt;1,"Duplicate case ID",IF(OR(B14="",C14="",D14="",G14="",S14=""),"Basic info missing",IF(AND(F14&lt;&gt;"",COUNTIFS('Plan versions'!$A$7:$A$306,F14,'Plan versions'!$B$7:$B$306,A14,'Plan versions'!$L$7:$L$306,"Frozen")&lt;&gt;1),"Invalid current plan ref",IF(AND(D14="Executing",F14=""),"Execution lacks plan",IF(AND(D14="Closed",OR(T14="",COUNTIFS('Reviews'!$B$7:$B$306,A14)=0,COUNTIFS('Update log'!$B$7:$B$306,A14)=0)),"Closure docs missing","Basic records complete"))))))</x:f>
      </x:c>
      <x:c r="S14" s="3"/>
      <x:c r="T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20"/>
      <x:c r="J15" s="3"/>
      <x:c r="K15" s="22"/>
      <x:c r="L15" s="22"/>
      <x:c r="M15" s="24" t="str">
        <x:f>IF(A15="","",IF(COUNTIFS('Execution log'!$B$7:$B$306,A15)=0,"",IF(COUNTIFS('Execution log'!$B$7:$B$306,A15,'Execution log'!$L$7:$L$306,"Valid",'Execution log'!$P$7:$P$306,"&lt;&gt;Valid input")&gt;0,"To check",IF(COUNTIFS('Execution log'!$B$7:$B$306,A15,'Execution log'!$P$7:$P$306,"Valid input")=0,"",SUMIFS('Execution log'!$H$7:$H$306,'Execution log'!$B$7:$B$306,A15,'Execution log'!$P$7:$P$306,"Valid input")))))</x:f>
      </x:c>
      <x:c r="N15" s="24" t="str">
        <x:f>IF(A15="","",IF(COUNTIFS('Execution log'!$B$7:$B$306,A15)=0,"",IF(COUNTIFS('Execution log'!$B$7:$B$306,A15,'Execution log'!$L$7:$L$306,"Valid",'Execution log'!$P$7:$P$306,"&lt;&gt;Valid input")&gt;0,"To check",IF(COUNTIFS('Execution log'!$B$7:$B$306,A15,'Execution log'!$P$7:$P$306,"Valid input")=0,"",SUMIFS('Execution log'!$J$7:$J$306,'Execution log'!$B$7:$B$306,A15,'Execution log'!$P$7:$P$306,"Valid input")))))</x:f>
      </x:c>
      <x:c r="O15" s="24" t="str">
        <x:f>IF(A15="","",IF(NOT(ISNUMBER(K15)),"Budget TBD",IF(NOT(ISNUMBER(M15)),"No valid entries yet",K15-M15)))</x:f>
      </x:c>
      <x:c r="P15" s="24" t="str">
        <x:f>IF(A15="","",IF(NOT(ISNUMBER(L15)),"Budget TBD",IF(NOT(ISNUMBER(N15)),"No valid entries yet",L15-N15)))</x:f>
      </x:c>
      <x:c r="Q15" s="19" t="str">
        <x:f>IF(A15="","",IF(D15="Closed","Closed",IF(NOT(ISNUMBER(I15)),"Review date TBD",IF(NOT(ISNUMBER($B$3)),"Evaluation date TBD",IF(I15&lt;=$B$3,"Review due","Not due")))))</x:f>
      </x:c>
      <x:c r="R15" s="19" t="str">
        <x:f>IF(A15="","",IF(COUNTIFS($A$7:$A$306,A15)&lt;&gt;1,"Duplicate case ID",IF(OR(B15="",C15="",D15="",G15="",S15=""),"Basic info missing",IF(AND(F15&lt;&gt;"",COUNTIFS('Plan versions'!$A$7:$A$306,F15,'Plan versions'!$B$7:$B$306,A15,'Plan versions'!$L$7:$L$306,"Frozen")&lt;&gt;1),"Invalid current plan ref",IF(AND(D15="Executing",F15=""),"Execution lacks plan",IF(AND(D15="Closed",OR(T15="",COUNTIFS('Reviews'!$B$7:$B$306,A15)=0,COUNTIFS('Update log'!$B$7:$B$306,A15)=0)),"Closure docs missing","Basic records complete"))))))</x:f>
      </x:c>
      <x:c r="S15" s="3"/>
      <x:c r="T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20"/>
      <x:c r="J16" s="3"/>
      <x:c r="K16" s="22"/>
      <x:c r="L16" s="22"/>
      <x:c r="M16" s="24" t="str">
        <x:f>IF(A16="","",IF(COUNTIFS('Execution log'!$B$7:$B$306,A16)=0,"",IF(COUNTIFS('Execution log'!$B$7:$B$306,A16,'Execution log'!$L$7:$L$306,"Valid",'Execution log'!$P$7:$P$306,"&lt;&gt;Valid input")&gt;0,"To check",IF(COUNTIFS('Execution log'!$B$7:$B$306,A16,'Execution log'!$P$7:$P$306,"Valid input")=0,"",SUMIFS('Execution log'!$H$7:$H$306,'Execution log'!$B$7:$B$306,A16,'Execution log'!$P$7:$P$306,"Valid input")))))</x:f>
      </x:c>
      <x:c r="N16" s="24" t="str">
        <x:f>IF(A16="","",IF(COUNTIFS('Execution log'!$B$7:$B$306,A16)=0,"",IF(COUNTIFS('Execution log'!$B$7:$B$306,A16,'Execution log'!$L$7:$L$306,"Valid",'Execution log'!$P$7:$P$306,"&lt;&gt;Valid input")&gt;0,"To check",IF(COUNTIFS('Execution log'!$B$7:$B$306,A16,'Execution log'!$P$7:$P$306,"Valid input")=0,"",SUMIFS('Execution log'!$J$7:$J$306,'Execution log'!$B$7:$B$306,A16,'Execution log'!$P$7:$P$306,"Valid input")))))</x:f>
      </x:c>
      <x:c r="O16" s="24" t="str">
        <x:f>IF(A16="","",IF(NOT(ISNUMBER(K16)),"Budget TBD",IF(NOT(ISNUMBER(M16)),"No valid entries yet",K16-M16)))</x:f>
      </x:c>
      <x:c r="P16" s="24" t="str">
        <x:f>IF(A16="","",IF(NOT(ISNUMBER(L16)),"Budget TBD",IF(NOT(ISNUMBER(N16)),"No valid entries yet",L16-N16)))</x:f>
      </x:c>
      <x:c r="Q16" s="19" t="str">
        <x:f>IF(A16="","",IF(D16="Closed","Closed",IF(NOT(ISNUMBER(I16)),"Review date TBD",IF(NOT(ISNUMBER($B$3)),"Evaluation date TBD",IF(I16&lt;=$B$3,"Review due","Not due")))))</x:f>
      </x:c>
      <x:c r="R16" s="19" t="str">
        <x:f>IF(A16="","",IF(COUNTIFS($A$7:$A$306,A16)&lt;&gt;1,"Duplicate case ID",IF(OR(B16="",C16="",D16="",G16="",S16=""),"Basic info missing",IF(AND(F16&lt;&gt;"",COUNTIFS('Plan versions'!$A$7:$A$306,F16,'Plan versions'!$B$7:$B$306,A16,'Plan versions'!$L$7:$L$306,"Frozen")&lt;&gt;1),"Invalid current plan ref",IF(AND(D16="Executing",F16=""),"Execution lacks plan",IF(AND(D16="Closed",OR(T16="",COUNTIFS('Reviews'!$B$7:$B$306,A16)=0,COUNTIFS('Update log'!$B$7:$B$306,A16)=0)),"Closure docs missing","Basic records complete"))))))</x:f>
      </x:c>
      <x:c r="S16" s="3"/>
      <x:c r="T16" s="3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20"/>
      <x:c r="J17" s="3"/>
      <x:c r="K17" s="22"/>
      <x:c r="L17" s="22"/>
      <x:c r="M17" s="24" t="str">
        <x:f>IF(A17="","",IF(COUNTIFS('Execution log'!$B$7:$B$306,A17)=0,"",IF(COUNTIFS('Execution log'!$B$7:$B$306,A17,'Execution log'!$L$7:$L$306,"Valid",'Execution log'!$P$7:$P$306,"&lt;&gt;Valid input")&gt;0,"To check",IF(COUNTIFS('Execution log'!$B$7:$B$306,A17,'Execution log'!$P$7:$P$306,"Valid input")=0,"",SUMIFS('Execution log'!$H$7:$H$306,'Execution log'!$B$7:$B$306,A17,'Execution log'!$P$7:$P$306,"Valid input")))))</x:f>
      </x:c>
      <x:c r="N17" s="24" t="str">
        <x:f>IF(A17="","",IF(COUNTIFS('Execution log'!$B$7:$B$306,A17)=0,"",IF(COUNTIFS('Execution log'!$B$7:$B$306,A17,'Execution log'!$L$7:$L$306,"Valid",'Execution log'!$P$7:$P$306,"&lt;&gt;Valid input")&gt;0,"To check",IF(COUNTIFS('Execution log'!$B$7:$B$306,A17,'Execution log'!$P$7:$P$306,"Valid input")=0,"",SUMIFS('Execution log'!$J$7:$J$306,'Execution log'!$B$7:$B$306,A17,'Execution log'!$P$7:$P$306,"Valid input")))))</x:f>
      </x:c>
      <x:c r="O17" s="24" t="str">
        <x:f>IF(A17="","",IF(NOT(ISNUMBER(K17)),"Budget TBD",IF(NOT(ISNUMBER(M17)),"No valid entries yet",K17-M17)))</x:f>
      </x:c>
      <x:c r="P17" s="24" t="str">
        <x:f>IF(A17="","",IF(NOT(ISNUMBER(L17)),"Budget TBD",IF(NOT(ISNUMBER(N17)),"No valid entries yet",L17-N17)))</x:f>
      </x:c>
      <x:c r="Q17" s="19" t="str">
        <x:f>IF(A17="","",IF(D17="Closed","Closed",IF(NOT(ISNUMBER(I17)),"Review date TBD",IF(NOT(ISNUMBER($B$3)),"Evaluation date TBD",IF(I17&lt;=$B$3,"Review due","Not due")))))</x:f>
      </x:c>
      <x:c r="R17" s="19" t="str">
        <x:f>IF(A17="","",IF(COUNTIFS($A$7:$A$306,A17)&lt;&gt;1,"Duplicate case ID",IF(OR(B17="",C17="",D17="",G17="",S17=""),"Basic info missing",IF(AND(F17&lt;&gt;"",COUNTIFS('Plan versions'!$A$7:$A$306,F17,'Plan versions'!$B$7:$B$306,A17,'Plan versions'!$L$7:$L$306,"Frozen")&lt;&gt;1),"Invalid current plan ref",IF(AND(D17="Executing",F17=""),"Execution lacks plan",IF(AND(D17="Closed",OR(T17="",COUNTIFS('Reviews'!$B$7:$B$306,A17)=0,COUNTIFS('Update log'!$B$7:$B$306,A17)=0)),"Closure docs missing","Basic records complete"))))))</x:f>
      </x:c>
      <x:c r="S17" s="3"/>
      <x:c r="T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20"/>
      <x:c r="J18" s="3"/>
      <x:c r="K18" s="22"/>
      <x:c r="L18" s="22"/>
      <x:c r="M18" s="24" t="str">
        <x:f>IF(A18="","",IF(COUNTIFS('Execution log'!$B$7:$B$306,A18)=0,"",IF(COUNTIFS('Execution log'!$B$7:$B$306,A18,'Execution log'!$L$7:$L$306,"Valid",'Execution log'!$P$7:$P$306,"&lt;&gt;Valid input")&gt;0,"To check",IF(COUNTIFS('Execution log'!$B$7:$B$306,A18,'Execution log'!$P$7:$P$306,"Valid input")=0,"",SUMIFS('Execution log'!$H$7:$H$306,'Execution log'!$B$7:$B$306,A18,'Execution log'!$P$7:$P$306,"Valid input")))))</x:f>
      </x:c>
      <x:c r="N18" s="24" t="str">
        <x:f>IF(A18="","",IF(COUNTIFS('Execution log'!$B$7:$B$306,A18)=0,"",IF(COUNTIFS('Execution log'!$B$7:$B$306,A18,'Execution log'!$L$7:$L$306,"Valid",'Execution log'!$P$7:$P$306,"&lt;&gt;Valid input")&gt;0,"To check",IF(COUNTIFS('Execution log'!$B$7:$B$306,A18,'Execution log'!$P$7:$P$306,"Valid input")=0,"",SUMIFS('Execution log'!$J$7:$J$306,'Execution log'!$B$7:$B$306,A18,'Execution log'!$P$7:$P$306,"Valid input")))))</x:f>
      </x:c>
      <x:c r="O18" s="24" t="str">
        <x:f>IF(A18="","",IF(NOT(ISNUMBER(K18)),"Budget TBD",IF(NOT(ISNUMBER(M18)),"No valid entries yet",K18-M18)))</x:f>
      </x:c>
      <x:c r="P18" s="24" t="str">
        <x:f>IF(A18="","",IF(NOT(ISNUMBER(L18)),"Budget TBD",IF(NOT(ISNUMBER(N18)),"No valid entries yet",L18-N18)))</x:f>
      </x:c>
      <x:c r="Q18" s="19" t="str">
        <x:f>IF(A18="","",IF(D18="Closed","Closed",IF(NOT(ISNUMBER(I18)),"Review date TBD",IF(NOT(ISNUMBER($B$3)),"Evaluation date TBD",IF(I18&lt;=$B$3,"Review due","Not due")))))</x:f>
      </x:c>
      <x:c r="R18" s="19" t="str">
        <x:f>IF(A18="","",IF(COUNTIFS($A$7:$A$306,A18)&lt;&gt;1,"Duplicate case ID",IF(OR(B18="",C18="",D18="",G18="",S18=""),"Basic info missing",IF(AND(F18&lt;&gt;"",COUNTIFS('Plan versions'!$A$7:$A$306,F18,'Plan versions'!$B$7:$B$306,A18,'Plan versions'!$L$7:$L$306,"Frozen")&lt;&gt;1),"Invalid current plan ref",IF(AND(D18="Executing",F18=""),"Execution lacks plan",IF(AND(D18="Closed",OR(T18="",COUNTIFS('Reviews'!$B$7:$B$306,A18)=0,COUNTIFS('Update log'!$B$7:$B$306,A18)=0)),"Closure docs missing","Basic records complete"))))))</x:f>
      </x:c>
      <x:c r="S18" s="3"/>
      <x:c r="T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20"/>
      <x:c r="J19" s="3"/>
      <x:c r="K19" s="22"/>
      <x:c r="L19" s="22"/>
      <x:c r="M19" s="24" t="str">
        <x:f>IF(A19="","",IF(COUNTIFS('Execution log'!$B$7:$B$306,A19)=0,"",IF(COUNTIFS('Execution log'!$B$7:$B$306,A19,'Execution log'!$L$7:$L$306,"Valid",'Execution log'!$P$7:$P$306,"&lt;&gt;Valid input")&gt;0,"To check",IF(COUNTIFS('Execution log'!$B$7:$B$306,A19,'Execution log'!$P$7:$P$306,"Valid input")=0,"",SUMIFS('Execution log'!$H$7:$H$306,'Execution log'!$B$7:$B$306,A19,'Execution log'!$P$7:$P$306,"Valid input")))))</x:f>
      </x:c>
      <x:c r="N19" s="24" t="str">
        <x:f>IF(A19="","",IF(COUNTIFS('Execution log'!$B$7:$B$306,A19)=0,"",IF(COUNTIFS('Execution log'!$B$7:$B$306,A19,'Execution log'!$L$7:$L$306,"Valid",'Execution log'!$P$7:$P$306,"&lt;&gt;Valid input")&gt;0,"To check",IF(COUNTIFS('Execution log'!$B$7:$B$306,A19,'Execution log'!$P$7:$P$306,"Valid input")=0,"",SUMIFS('Execution log'!$J$7:$J$306,'Execution log'!$B$7:$B$306,A19,'Execution log'!$P$7:$P$306,"Valid input")))))</x:f>
      </x:c>
      <x:c r="O19" s="24" t="str">
        <x:f>IF(A19="","",IF(NOT(ISNUMBER(K19)),"Budget TBD",IF(NOT(ISNUMBER(M19)),"No valid entries yet",K19-M19)))</x:f>
      </x:c>
      <x:c r="P19" s="24" t="str">
        <x:f>IF(A19="","",IF(NOT(ISNUMBER(L19)),"Budget TBD",IF(NOT(ISNUMBER(N19)),"No valid entries yet",L19-N19)))</x:f>
      </x:c>
      <x:c r="Q19" s="19" t="str">
        <x:f>IF(A19="","",IF(D19="Closed","Closed",IF(NOT(ISNUMBER(I19)),"Review date TBD",IF(NOT(ISNUMBER($B$3)),"Evaluation date TBD",IF(I19&lt;=$B$3,"Review due","Not due")))))</x:f>
      </x:c>
      <x:c r="R19" s="19" t="str">
        <x:f>IF(A19="","",IF(COUNTIFS($A$7:$A$306,A19)&lt;&gt;1,"Duplicate case ID",IF(OR(B19="",C19="",D19="",G19="",S19=""),"Basic info missing",IF(AND(F19&lt;&gt;"",COUNTIFS('Plan versions'!$A$7:$A$306,F19,'Plan versions'!$B$7:$B$306,A19,'Plan versions'!$L$7:$L$306,"Frozen")&lt;&gt;1),"Invalid current plan ref",IF(AND(D19="Executing",F19=""),"Execution lacks plan",IF(AND(D19="Closed",OR(T19="",COUNTIFS('Reviews'!$B$7:$B$306,A19)=0,COUNTIFS('Update log'!$B$7:$B$306,A19)=0)),"Closure docs missing","Basic records complete"))))))</x:f>
      </x:c>
      <x:c r="S19" s="3"/>
      <x:c r="T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20"/>
      <x:c r="J20" s="3"/>
      <x:c r="K20" s="22"/>
      <x:c r="L20" s="22"/>
      <x:c r="M20" s="24" t="str">
        <x:f>IF(A20="","",IF(COUNTIFS('Execution log'!$B$7:$B$306,A20)=0,"",IF(COUNTIFS('Execution log'!$B$7:$B$306,A20,'Execution log'!$L$7:$L$306,"Valid",'Execution log'!$P$7:$P$306,"&lt;&gt;Valid input")&gt;0,"To check",IF(COUNTIFS('Execution log'!$B$7:$B$306,A20,'Execution log'!$P$7:$P$306,"Valid input")=0,"",SUMIFS('Execution log'!$H$7:$H$306,'Execution log'!$B$7:$B$306,A20,'Execution log'!$P$7:$P$306,"Valid input")))))</x:f>
      </x:c>
      <x:c r="N20" s="24" t="str">
        <x:f>IF(A20="","",IF(COUNTIFS('Execution log'!$B$7:$B$306,A20)=0,"",IF(COUNTIFS('Execution log'!$B$7:$B$306,A20,'Execution log'!$L$7:$L$306,"Valid",'Execution log'!$P$7:$P$306,"&lt;&gt;Valid input")&gt;0,"To check",IF(COUNTIFS('Execution log'!$B$7:$B$306,A20,'Execution log'!$P$7:$P$306,"Valid input")=0,"",SUMIFS('Execution log'!$J$7:$J$306,'Execution log'!$B$7:$B$306,A20,'Execution log'!$P$7:$P$306,"Valid input")))))</x:f>
      </x:c>
      <x:c r="O20" s="24" t="str">
        <x:f>IF(A20="","",IF(NOT(ISNUMBER(K20)),"Budget TBD",IF(NOT(ISNUMBER(M20)),"No valid entries yet",K20-M20)))</x:f>
      </x:c>
      <x:c r="P20" s="24" t="str">
        <x:f>IF(A20="","",IF(NOT(ISNUMBER(L20)),"Budget TBD",IF(NOT(ISNUMBER(N20)),"No valid entries yet",L20-N20)))</x:f>
      </x:c>
      <x:c r="Q20" s="19" t="str">
        <x:f>IF(A20="","",IF(D20="Closed","Closed",IF(NOT(ISNUMBER(I20)),"Review date TBD",IF(NOT(ISNUMBER($B$3)),"Evaluation date TBD",IF(I20&lt;=$B$3,"Review due","Not due")))))</x:f>
      </x:c>
      <x:c r="R20" s="19" t="str">
        <x:f>IF(A20="","",IF(COUNTIFS($A$7:$A$306,A20)&lt;&gt;1,"Duplicate case ID",IF(OR(B20="",C20="",D20="",G20="",S20=""),"Basic info missing",IF(AND(F20&lt;&gt;"",COUNTIFS('Plan versions'!$A$7:$A$306,F20,'Plan versions'!$B$7:$B$306,A20,'Plan versions'!$L$7:$L$306,"Frozen")&lt;&gt;1),"Invalid current plan ref",IF(AND(D20="Executing",F20=""),"Execution lacks plan",IF(AND(D20="Closed",OR(T20="",COUNTIFS('Reviews'!$B$7:$B$306,A20)=0,COUNTIFS('Update log'!$B$7:$B$306,A20)=0)),"Closure docs missing","Basic records complete"))))))</x:f>
      </x:c>
      <x:c r="S20" s="3"/>
      <x:c r="T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20"/>
      <x:c r="J21" s="3"/>
      <x:c r="K21" s="22"/>
      <x:c r="L21" s="22"/>
      <x:c r="M21" s="24" t="str">
        <x:f>IF(A21="","",IF(COUNTIFS('Execution log'!$B$7:$B$306,A21)=0,"",IF(COUNTIFS('Execution log'!$B$7:$B$306,A21,'Execution log'!$L$7:$L$306,"Valid",'Execution log'!$P$7:$P$306,"&lt;&gt;Valid input")&gt;0,"To check",IF(COUNTIFS('Execution log'!$B$7:$B$306,A21,'Execution log'!$P$7:$P$306,"Valid input")=0,"",SUMIFS('Execution log'!$H$7:$H$306,'Execution log'!$B$7:$B$306,A21,'Execution log'!$P$7:$P$306,"Valid input")))))</x:f>
      </x:c>
      <x:c r="N21" s="24" t="str">
        <x:f>IF(A21="","",IF(COUNTIFS('Execution log'!$B$7:$B$306,A21)=0,"",IF(COUNTIFS('Execution log'!$B$7:$B$306,A21,'Execution log'!$L$7:$L$306,"Valid",'Execution log'!$P$7:$P$306,"&lt;&gt;Valid input")&gt;0,"To check",IF(COUNTIFS('Execution log'!$B$7:$B$306,A21,'Execution log'!$P$7:$P$306,"Valid input")=0,"",SUMIFS('Execution log'!$J$7:$J$306,'Execution log'!$B$7:$B$306,A21,'Execution log'!$P$7:$P$306,"Valid input")))))</x:f>
      </x:c>
      <x:c r="O21" s="24" t="str">
        <x:f>IF(A21="","",IF(NOT(ISNUMBER(K21)),"Budget TBD",IF(NOT(ISNUMBER(M21)),"No valid entries yet",K21-M21)))</x:f>
      </x:c>
      <x:c r="P21" s="24" t="str">
        <x:f>IF(A21="","",IF(NOT(ISNUMBER(L21)),"Budget TBD",IF(NOT(ISNUMBER(N21)),"No valid entries yet",L21-N21)))</x:f>
      </x:c>
      <x:c r="Q21" s="19" t="str">
        <x:f>IF(A21="","",IF(D21="Closed","Closed",IF(NOT(ISNUMBER(I21)),"Review date TBD",IF(NOT(ISNUMBER($B$3)),"Evaluation date TBD",IF(I21&lt;=$B$3,"Review due","Not due")))))</x:f>
      </x:c>
      <x:c r="R21" s="19" t="str">
        <x:f>IF(A21="","",IF(COUNTIFS($A$7:$A$306,A21)&lt;&gt;1,"Duplicate case ID",IF(OR(B21="",C21="",D21="",G21="",S21=""),"Basic info missing",IF(AND(F21&lt;&gt;"",COUNTIFS('Plan versions'!$A$7:$A$306,F21,'Plan versions'!$B$7:$B$306,A21,'Plan versions'!$L$7:$L$306,"Frozen")&lt;&gt;1),"Invalid current plan ref",IF(AND(D21="Executing",F21=""),"Execution lacks plan",IF(AND(D21="Closed",OR(T21="",COUNTIFS('Reviews'!$B$7:$B$306,A21)=0,COUNTIFS('Update log'!$B$7:$B$306,A21)=0)),"Closure docs missing","Basic records complete"))))))</x:f>
      </x:c>
      <x:c r="S21" s="3"/>
      <x:c r="T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20"/>
      <x:c r="J22" s="3"/>
      <x:c r="K22" s="22"/>
      <x:c r="L22" s="22"/>
      <x:c r="M22" s="24" t="str">
        <x:f>IF(A22="","",IF(COUNTIFS('Execution log'!$B$7:$B$306,A22)=0,"",IF(COUNTIFS('Execution log'!$B$7:$B$306,A22,'Execution log'!$L$7:$L$306,"Valid",'Execution log'!$P$7:$P$306,"&lt;&gt;Valid input")&gt;0,"To check",IF(COUNTIFS('Execution log'!$B$7:$B$306,A22,'Execution log'!$P$7:$P$306,"Valid input")=0,"",SUMIFS('Execution log'!$H$7:$H$306,'Execution log'!$B$7:$B$306,A22,'Execution log'!$P$7:$P$306,"Valid input")))))</x:f>
      </x:c>
      <x:c r="N22" s="24" t="str">
        <x:f>IF(A22="","",IF(COUNTIFS('Execution log'!$B$7:$B$306,A22)=0,"",IF(COUNTIFS('Execution log'!$B$7:$B$306,A22,'Execution log'!$L$7:$L$306,"Valid",'Execution log'!$P$7:$P$306,"&lt;&gt;Valid input")&gt;0,"To check",IF(COUNTIFS('Execution log'!$B$7:$B$306,A22,'Execution log'!$P$7:$P$306,"Valid input")=0,"",SUMIFS('Execution log'!$J$7:$J$306,'Execution log'!$B$7:$B$306,A22,'Execution log'!$P$7:$P$306,"Valid input")))))</x:f>
      </x:c>
      <x:c r="O22" s="24" t="str">
        <x:f>IF(A22="","",IF(NOT(ISNUMBER(K22)),"Budget TBD",IF(NOT(ISNUMBER(M22)),"No valid entries yet",K22-M22)))</x:f>
      </x:c>
      <x:c r="P22" s="24" t="str">
        <x:f>IF(A22="","",IF(NOT(ISNUMBER(L22)),"Budget TBD",IF(NOT(ISNUMBER(N22)),"No valid entries yet",L22-N22)))</x:f>
      </x:c>
      <x:c r="Q22" s="19" t="str">
        <x:f>IF(A22="","",IF(D22="Closed","Closed",IF(NOT(ISNUMBER(I22)),"Review date TBD",IF(NOT(ISNUMBER($B$3)),"Evaluation date TBD",IF(I22&lt;=$B$3,"Review due","Not due")))))</x:f>
      </x:c>
      <x:c r="R22" s="19" t="str">
        <x:f>IF(A22="","",IF(COUNTIFS($A$7:$A$306,A22)&lt;&gt;1,"Duplicate case ID",IF(OR(B22="",C22="",D22="",G22="",S22=""),"Basic info missing",IF(AND(F22&lt;&gt;"",COUNTIFS('Plan versions'!$A$7:$A$306,F22,'Plan versions'!$B$7:$B$306,A22,'Plan versions'!$L$7:$L$306,"Frozen")&lt;&gt;1),"Invalid current plan ref",IF(AND(D22="Executing",F22=""),"Execution lacks plan",IF(AND(D22="Closed",OR(T22="",COUNTIFS('Reviews'!$B$7:$B$306,A22)=0,COUNTIFS('Update log'!$B$7:$B$306,A22)=0)),"Closure docs missing","Basic records complete"))))))</x:f>
      </x:c>
      <x:c r="S22" s="3"/>
      <x:c r="T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20"/>
      <x:c r="J23" s="3"/>
      <x:c r="K23" s="22"/>
      <x:c r="L23" s="22"/>
      <x:c r="M23" s="24" t="str">
        <x:f>IF(A23="","",IF(COUNTIFS('Execution log'!$B$7:$B$306,A23)=0,"",IF(COUNTIFS('Execution log'!$B$7:$B$306,A23,'Execution log'!$L$7:$L$306,"Valid",'Execution log'!$P$7:$P$306,"&lt;&gt;Valid input")&gt;0,"To check",IF(COUNTIFS('Execution log'!$B$7:$B$306,A23,'Execution log'!$P$7:$P$306,"Valid input")=0,"",SUMIFS('Execution log'!$H$7:$H$306,'Execution log'!$B$7:$B$306,A23,'Execution log'!$P$7:$P$306,"Valid input")))))</x:f>
      </x:c>
      <x:c r="N23" s="24" t="str">
        <x:f>IF(A23="","",IF(COUNTIFS('Execution log'!$B$7:$B$306,A23)=0,"",IF(COUNTIFS('Execution log'!$B$7:$B$306,A23,'Execution log'!$L$7:$L$306,"Valid",'Execution log'!$P$7:$P$306,"&lt;&gt;Valid input")&gt;0,"To check",IF(COUNTIFS('Execution log'!$B$7:$B$306,A23,'Execution log'!$P$7:$P$306,"Valid input")=0,"",SUMIFS('Execution log'!$J$7:$J$306,'Execution log'!$B$7:$B$306,A23,'Execution log'!$P$7:$P$306,"Valid input")))))</x:f>
      </x:c>
      <x:c r="O23" s="24" t="str">
        <x:f>IF(A23="","",IF(NOT(ISNUMBER(K23)),"Budget TBD",IF(NOT(ISNUMBER(M23)),"No valid entries yet",K23-M23)))</x:f>
      </x:c>
      <x:c r="P23" s="24" t="str">
        <x:f>IF(A23="","",IF(NOT(ISNUMBER(L23)),"Budget TBD",IF(NOT(ISNUMBER(N23)),"No valid entries yet",L23-N23)))</x:f>
      </x:c>
      <x:c r="Q23" s="19" t="str">
        <x:f>IF(A23="","",IF(D23="Closed","Closed",IF(NOT(ISNUMBER(I23)),"Review date TBD",IF(NOT(ISNUMBER($B$3)),"Evaluation date TBD",IF(I23&lt;=$B$3,"Review due","Not due")))))</x:f>
      </x:c>
      <x:c r="R23" s="19" t="str">
        <x:f>IF(A23="","",IF(COUNTIFS($A$7:$A$306,A23)&lt;&gt;1,"Duplicate case ID",IF(OR(B23="",C23="",D23="",G23="",S23=""),"Basic info missing",IF(AND(F23&lt;&gt;"",COUNTIFS('Plan versions'!$A$7:$A$306,F23,'Plan versions'!$B$7:$B$306,A23,'Plan versions'!$L$7:$L$306,"Frozen")&lt;&gt;1),"Invalid current plan ref",IF(AND(D23="Executing",F23=""),"Execution lacks plan",IF(AND(D23="Closed",OR(T23="",COUNTIFS('Reviews'!$B$7:$B$306,A23)=0,COUNTIFS('Update log'!$B$7:$B$306,A23)=0)),"Closure docs missing","Basic records complete"))))))</x:f>
      </x:c>
      <x:c r="S23" s="3"/>
      <x:c r="T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20"/>
      <x:c r="J24" s="3"/>
      <x:c r="K24" s="22"/>
      <x:c r="L24" s="22"/>
      <x:c r="M24" s="24" t="str">
        <x:f>IF(A24="","",IF(COUNTIFS('Execution log'!$B$7:$B$306,A24)=0,"",IF(COUNTIFS('Execution log'!$B$7:$B$306,A24,'Execution log'!$L$7:$L$306,"Valid",'Execution log'!$P$7:$P$306,"&lt;&gt;Valid input")&gt;0,"To check",IF(COUNTIFS('Execution log'!$B$7:$B$306,A24,'Execution log'!$P$7:$P$306,"Valid input")=0,"",SUMIFS('Execution log'!$H$7:$H$306,'Execution log'!$B$7:$B$306,A24,'Execution log'!$P$7:$P$306,"Valid input")))))</x:f>
      </x:c>
      <x:c r="N24" s="24" t="str">
        <x:f>IF(A24="","",IF(COUNTIFS('Execution log'!$B$7:$B$306,A24)=0,"",IF(COUNTIFS('Execution log'!$B$7:$B$306,A24,'Execution log'!$L$7:$L$306,"Valid",'Execution log'!$P$7:$P$306,"&lt;&gt;Valid input")&gt;0,"To check",IF(COUNTIFS('Execution log'!$B$7:$B$306,A24,'Execution log'!$P$7:$P$306,"Valid input")=0,"",SUMIFS('Execution log'!$J$7:$J$306,'Execution log'!$B$7:$B$306,A24,'Execution log'!$P$7:$P$306,"Valid input")))))</x:f>
      </x:c>
      <x:c r="O24" s="24" t="str">
        <x:f>IF(A24="","",IF(NOT(ISNUMBER(K24)),"Budget TBD",IF(NOT(ISNUMBER(M24)),"No valid entries yet",K24-M24)))</x:f>
      </x:c>
      <x:c r="P24" s="24" t="str">
        <x:f>IF(A24="","",IF(NOT(ISNUMBER(L24)),"Budget TBD",IF(NOT(ISNUMBER(N24)),"No valid entries yet",L24-N24)))</x:f>
      </x:c>
      <x:c r="Q24" s="19" t="str">
        <x:f>IF(A24="","",IF(D24="Closed","Closed",IF(NOT(ISNUMBER(I24)),"Review date TBD",IF(NOT(ISNUMBER($B$3)),"Evaluation date TBD",IF(I24&lt;=$B$3,"Review due","Not due")))))</x:f>
      </x:c>
      <x:c r="R24" s="19" t="str">
        <x:f>IF(A24="","",IF(COUNTIFS($A$7:$A$306,A24)&lt;&gt;1,"Duplicate case ID",IF(OR(B24="",C24="",D24="",G24="",S24=""),"Basic info missing",IF(AND(F24&lt;&gt;"",COUNTIFS('Plan versions'!$A$7:$A$306,F24,'Plan versions'!$B$7:$B$306,A24,'Plan versions'!$L$7:$L$306,"Frozen")&lt;&gt;1),"Invalid current plan ref",IF(AND(D24="Executing",F24=""),"Execution lacks plan",IF(AND(D24="Closed",OR(T24="",COUNTIFS('Reviews'!$B$7:$B$306,A24)=0,COUNTIFS('Update log'!$B$7:$B$306,A24)=0)),"Closure docs missing","Basic records complete"))))))</x:f>
      </x:c>
      <x:c r="S24" s="3"/>
      <x:c r="T24" s="3"/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20"/>
      <x:c r="J25" s="3"/>
      <x:c r="K25" s="22"/>
      <x:c r="L25" s="22"/>
      <x:c r="M25" s="24" t="str">
        <x:f>IF(A25="","",IF(COUNTIFS('Execution log'!$B$7:$B$306,A25)=0,"",IF(COUNTIFS('Execution log'!$B$7:$B$306,A25,'Execution log'!$L$7:$L$306,"Valid",'Execution log'!$P$7:$P$306,"&lt;&gt;Valid input")&gt;0,"To check",IF(COUNTIFS('Execution log'!$B$7:$B$306,A25,'Execution log'!$P$7:$P$306,"Valid input")=0,"",SUMIFS('Execution log'!$H$7:$H$306,'Execution log'!$B$7:$B$306,A25,'Execution log'!$P$7:$P$306,"Valid input")))))</x:f>
      </x:c>
      <x:c r="N25" s="24" t="str">
        <x:f>IF(A25="","",IF(COUNTIFS('Execution log'!$B$7:$B$306,A25)=0,"",IF(COUNTIFS('Execution log'!$B$7:$B$306,A25,'Execution log'!$L$7:$L$306,"Valid",'Execution log'!$P$7:$P$306,"&lt;&gt;Valid input")&gt;0,"To check",IF(COUNTIFS('Execution log'!$B$7:$B$306,A25,'Execution log'!$P$7:$P$306,"Valid input")=0,"",SUMIFS('Execution log'!$J$7:$J$306,'Execution log'!$B$7:$B$306,A25,'Execution log'!$P$7:$P$306,"Valid input")))))</x:f>
      </x:c>
      <x:c r="O25" s="24" t="str">
        <x:f>IF(A25="","",IF(NOT(ISNUMBER(K25)),"Budget TBD",IF(NOT(ISNUMBER(M25)),"No valid entries yet",K25-M25)))</x:f>
      </x:c>
      <x:c r="P25" s="24" t="str">
        <x:f>IF(A25="","",IF(NOT(ISNUMBER(L25)),"Budget TBD",IF(NOT(ISNUMBER(N25)),"No valid entries yet",L25-N25)))</x:f>
      </x:c>
      <x:c r="Q25" s="19" t="str">
        <x:f>IF(A25="","",IF(D25="Closed","Closed",IF(NOT(ISNUMBER(I25)),"Review date TBD",IF(NOT(ISNUMBER($B$3)),"Evaluation date TBD",IF(I25&lt;=$B$3,"Review due","Not due")))))</x:f>
      </x:c>
      <x:c r="R25" s="19" t="str">
        <x:f>IF(A25="","",IF(COUNTIFS($A$7:$A$306,A25)&lt;&gt;1,"Duplicate case ID",IF(OR(B25="",C25="",D25="",G25="",S25=""),"Basic info missing",IF(AND(F25&lt;&gt;"",COUNTIFS('Plan versions'!$A$7:$A$306,F25,'Plan versions'!$B$7:$B$306,A25,'Plan versions'!$L$7:$L$306,"Frozen")&lt;&gt;1),"Invalid current plan ref",IF(AND(D25="Executing",F25=""),"Execution lacks plan",IF(AND(D25="Closed",OR(T25="",COUNTIFS('Reviews'!$B$7:$B$306,A25)=0,COUNTIFS('Update log'!$B$7:$B$306,A25)=0)),"Closure docs missing","Basic records complete"))))))</x:f>
      </x:c>
      <x:c r="S25" s="3"/>
      <x:c r="T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20"/>
      <x:c r="J26" s="3"/>
      <x:c r="K26" s="22"/>
      <x:c r="L26" s="22"/>
      <x:c r="M26" s="24" t="str">
        <x:f>IF(A26="","",IF(COUNTIFS('Execution log'!$B$7:$B$306,A26)=0,"",IF(COUNTIFS('Execution log'!$B$7:$B$306,A26,'Execution log'!$L$7:$L$306,"Valid",'Execution log'!$P$7:$P$306,"&lt;&gt;Valid input")&gt;0,"To check",IF(COUNTIFS('Execution log'!$B$7:$B$306,A26,'Execution log'!$P$7:$P$306,"Valid input")=0,"",SUMIFS('Execution log'!$H$7:$H$306,'Execution log'!$B$7:$B$306,A26,'Execution log'!$P$7:$P$306,"Valid input")))))</x:f>
      </x:c>
      <x:c r="N26" s="24" t="str">
        <x:f>IF(A26="","",IF(COUNTIFS('Execution log'!$B$7:$B$306,A26)=0,"",IF(COUNTIFS('Execution log'!$B$7:$B$306,A26,'Execution log'!$L$7:$L$306,"Valid",'Execution log'!$P$7:$P$306,"&lt;&gt;Valid input")&gt;0,"To check",IF(COUNTIFS('Execution log'!$B$7:$B$306,A26,'Execution log'!$P$7:$P$306,"Valid input")=0,"",SUMIFS('Execution log'!$J$7:$J$306,'Execution log'!$B$7:$B$306,A26,'Execution log'!$P$7:$P$306,"Valid input")))))</x:f>
      </x:c>
      <x:c r="O26" s="24" t="str">
        <x:f>IF(A26="","",IF(NOT(ISNUMBER(K26)),"Budget TBD",IF(NOT(ISNUMBER(M26)),"No valid entries yet",K26-M26)))</x:f>
      </x:c>
      <x:c r="P26" s="24" t="str">
        <x:f>IF(A26="","",IF(NOT(ISNUMBER(L26)),"Budget TBD",IF(NOT(ISNUMBER(N26)),"No valid entries yet",L26-N26)))</x:f>
      </x:c>
      <x:c r="Q26" s="19" t="str">
        <x:f>IF(A26="","",IF(D26="Closed","Closed",IF(NOT(ISNUMBER(I26)),"Review date TBD",IF(NOT(ISNUMBER($B$3)),"Evaluation date TBD",IF(I26&lt;=$B$3,"Review due","Not due")))))</x:f>
      </x:c>
      <x:c r="R26" s="19" t="str">
        <x:f>IF(A26="","",IF(COUNTIFS($A$7:$A$306,A26)&lt;&gt;1,"Duplicate case ID",IF(OR(B26="",C26="",D26="",G26="",S26=""),"Basic info missing",IF(AND(F26&lt;&gt;"",COUNTIFS('Plan versions'!$A$7:$A$306,F26,'Plan versions'!$B$7:$B$306,A26,'Plan versions'!$L$7:$L$306,"Frozen")&lt;&gt;1),"Invalid current plan ref",IF(AND(D26="Executing",F26=""),"Execution lacks plan",IF(AND(D26="Closed",OR(T26="",COUNTIFS('Reviews'!$B$7:$B$306,A26)=0,COUNTIFS('Update log'!$B$7:$B$306,A26)=0)),"Closure docs missing","Basic records complete"))))))</x:f>
      </x:c>
      <x:c r="S26" s="3"/>
      <x:c r="T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20"/>
      <x:c r="J27" s="3"/>
      <x:c r="K27" s="22"/>
      <x:c r="L27" s="22"/>
      <x:c r="M27" s="24" t="str">
        <x:f>IF(A27="","",IF(COUNTIFS('Execution log'!$B$7:$B$306,A27)=0,"",IF(COUNTIFS('Execution log'!$B$7:$B$306,A27,'Execution log'!$L$7:$L$306,"Valid",'Execution log'!$P$7:$P$306,"&lt;&gt;Valid input")&gt;0,"To check",IF(COUNTIFS('Execution log'!$B$7:$B$306,A27,'Execution log'!$P$7:$P$306,"Valid input")=0,"",SUMIFS('Execution log'!$H$7:$H$306,'Execution log'!$B$7:$B$306,A27,'Execution log'!$P$7:$P$306,"Valid input")))))</x:f>
      </x:c>
      <x:c r="N27" s="24" t="str">
        <x:f>IF(A27="","",IF(COUNTIFS('Execution log'!$B$7:$B$306,A27)=0,"",IF(COUNTIFS('Execution log'!$B$7:$B$306,A27,'Execution log'!$L$7:$L$306,"Valid",'Execution log'!$P$7:$P$306,"&lt;&gt;Valid input")&gt;0,"To check",IF(COUNTIFS('Execution log'!$B$7:$B$306,A27,'Execution log'!$P$7:$P$306,"Valid input")=0,"",SUMIFS('Execution log'!$J$7:$J$306,'Execution log'!$B$7:$B$306,A27,'Execution log'!$P$7:$P$306,"Valid input")))))</x:f>
      </x:c>
      <x:c r="O27" s="24" t="str">
        <x:f>IF(A27="","",IF(NOT(ISNUMBER(K27)),"Budget TBD",IF(NOT(ISNUMBER(M27)),"No valid entries yet",K27-M27)))</x:f>
      </x:c>
      <x:c r="P27" s="24" t="str">
        <x:f>IF(A27="","",IF(NOT(ISNUMBER(L27)),"Budget TBD",IF(NOT(ISNUMBER(N27)),"No valid entries yet",L27-N27)))</x:f>
      </x:c>
      <x:c r="Q27" s="19" t="str">
        <x:f>IF(A27="","",IF(D27="Closed","Closed",IF(NOT(ISNUMBER(I27)),"Review date TBD",IF(NOT(ISNUMBER($B$3)),"Evaluation date TBD",IF(I27&lt;=$B$3,"Review due","Not due")))))</x:f>
      </x:c>
      <x:c r="R27" s="19" t="str">
        <x:f>IF(A27="","",IF(COUNTIFS($A$7:$A$306,A27)&lt;&gt;1,"Duplicate case ID",IF(OR(B27="",C27="",D27="",G27="",S27=""),"Basic info missing",IF(AND(F27&lt;&gt;"",COUNTIFS('Plan versions'!$A$7:$A$306,F27,'Plan versions'!$B$7:$B$306,A27,'Plan versions'!$L$7:$L$306,"Frozen")&lt;&gt;1),"Invalid current plan ref",IF(AND(D27="Executing",F27=""),"Execution lacks plan",IF(AND(D27="Closed",OR(T27="",COUNTIFS('Reviews'!$B$7:$B$306,A27)=0,COUNTIFS('Update log'!$B$7:$B$306,A27)=0)),"Closure docs missing","Basic records complete"))))))</x:f>
      </x:c>
      <x:c r="S27" s="3"/>
      <x:c r="T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20"/>
      <x:c r="J28" s="3"/>
      <x:c r="K28" s="22"/>
      <x:c r="L28" s="22"/>
      <x:c r="M28" s="24" t="str">
        <x:f>IF(A28="","",IF(COUNTIFS('Execution log'!$B$7:$B$306,A28)=0,"",IF(COUNTIFS('Execution log'!$B$7:$B$306,A28,'Execution log'!$L$7:$L$306,"Valid",'Execution log'!$P$7:$P$306,"&lt;&gt;Valid input")&gt;0,"To check",IF(COUNTIFS('Execution log'!$B$7:$B$306,A28,'Execution log'!$P$7:$P$306,"Valid input")=0,"",SUMIFS('Execution log'!$H$7:$H$306,'Execution log'!$B$7:$B$306,A28,'Execution log'!$P$7:$P$306,"Valid input")))))</x:f>
      </x:c>
      <x:c r="N28" s="24" t="str">
        <x:f>IF(A28="","",IF(COUNTIFS('Execution log'!$B$7:$B$306,A28)=0,"",IF(COUNTIFS('Execution log'!$B$7:$B$306,A28,'Execution log'!$L$7:$L$306,"Valid",'Execution log'!$P$7:$P$306,"&lt;&gt;Valid input")&gt;0,"To check",IF(COUNTIFS('Execution log'!$B$7:$B$306,A28,'Execution log'!$P$7:$P$306,"Valid input")=0,"",SUMIFS('Execution log'!$J$7:$J$306,'Execution log'!$B$7:$B$306,A28,'Execution log'!$P$7:$P$306,"Valid input")))))</x:f>
      </x:c>
      <x:c r="O28" s="24" t="str">
        <x:f>IF(A28="","",IF(NOT(ISNUMBER(K28)),"Budget TBD",IF(NOT(ISNUMBER(M28)),"No valid entries yet",K28-M28)))</x:f>
      </x:c>
      <x:c r="P28" s="24" t="str">
        <x:f>IF(A28="","",IF(NOT(ISNUMBER(L28)),"Budget TBD",IF(NOT(ISNUMBER(N28)),"No valid entries yet",L28-N28)))</x:f>
      </x:c>
      <x:c r="Q28" s="19" t="str">
        <x:f>IF(A28="","",IF(D28="Closed","Closed",IF(NOT(ISNUMBER(I28)),"Review date TBD",IF(NOT(ISNUMBER($B$3)),"Evaluation date TBD",IF(I28&lt;=$B$3,"Review due","Not due")))))</x:f>
      </x:c>
      <x:c r="R28" s="19" t="str">
        <x:f>IF(A28="","",IF(COUNTIFS($A$7:$A$306,A28)&lt;&gt;1,"Duplicate case ID",IF(OR(B28="",C28="",D28="",G28="",S28=""),"Basic info missing",IF(AND(F28&lt;&gt;"",COUNTIFS('Plan versions'!$A$7:$A$306,F28,'Plan versions'!$B$7:$B$306,A28,'Plan versions'!$L$7:$L$306,"Frozen")&lt;&gt;1),"Invalid current plan ref",IF(AND(D28="Executing",F28=""),"Execution lacks plan",IF(AND(D28="Closed",OR(T28="",COUNTIFS('Reviews'!$B$7:$B$306,A28)=0,COUNTIFS('Update log'!$B$7:$B$306,A28)=0)),"Closure docs missing","Basic records complete"))))))</x:f>
      </x:c>
      <x:c r="S28" s="3"/>
      <x:c r="T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20"/>
      <x:c r="J29" s="3"/>
      <x:c r="K29" s="22"/>
      <x:c r="L29" s="22"/>
      <x:c r="M29" s="24" t="str">
        <x:f>IF(A29="","",IF(COUNTIFS('Execution log'!$B$7:$B$306,A29)=0,"",IF(COUNTIFS('Execution log'!$B$7:$B$306,A29,'Execution log'!$L$7:$L$306,"Valid",'Execution log'!$P$7:$P$306,"&lt;&gt;Valid input")&gt;0,"To check",IF(COUNTIFS('Execution log'!$B$7:$B$306,A29,'Execution log'!$P$7:$P$306,"Valid input")=0,"",SUMIFS('Execution log'!$H$7:$H$306,'Execution log'!$B$7:$B$306,A29,'Execution log'!$P$7:$P$306,"Valid input")))))</x:f>
      </x:c>
      <x:c r="N29" s="24" t="str">
        <x:f>IF(A29="","",IF(COUNTIFS('Execution log'!$B$7:$B$306,A29)=0,"",IF(COUNTIFS('Execution log'!$B$7:$B$306,A29,'Execution log'!$L$7:$L$306,"Valid",'Execution log'!$P$7:$P$306,"&lt;&gt;Valid input")&gt;0,"To check",IF(COUNTIFS('Execution log'!$B$7:$B$306,A29,'Execution log'!$P$7:$P$306,"Valid input")=0,"",SUMIFS('Execution log'!$J$7:$J$306,'Execution log'!$B$7:$B$306,A29,'Execution log'!$P$7:$P$306,"Valid input")))))</x:f>
      </x:c>
      <x:c r="O29" s="24" t="str">
        <x:f>IF(A29="","",IF(NOT(ISNUMBER(K29)),"Budget TBD",IF(NOT(ISNUMBER(M29)),"No valid entries yet",K29-M29)))</x:f>
      </x:c>
      <x:c r="P29" s="24" t="str">
        <x:f>IF(A29="","",IF(NOT(ISNUMBER(L29)),"Budget TBD",IF(NOT(ISNUMBER(N29)),"No valid entries yet",L29-N29)))</x:f>
      </x:c>
      <x:c r="Q29" s="19" t="str">
        <x:f>IF(A29="","",IF(D29="Closed","Closed",IF(NOT(ISNUMBER(I29)),"Review date TBD",IF(NOT(ISNUMBER($B$3)),"Evaluation date TBD",IF(I29&lt;=$B$3,"Review due","Not due")))))</x:f>
      </x:c>
      <x:c r="R29" s="19" t="str">
        <x:f>IF(A29="","",IF(COUNTIFS($A$7:$A$306,A29)&lt;&gt;1,"Duplicate case ID",IF(OR(B29="",C29="",D29="",G29="",S29=""),"Basic info missing",IF(AND(F29&lt;&gt;"",COUNTIFS('Plan versions'!$A$7:$A$306,F29,'Plan versions'!$B$7:$B$306,A29,'Plan versions'!$L$7:$L$306,"Frozen")&lt;&gt;1),"Invalid current plan ref",IF(AND(D29="Executing",F29=""),"Execution lacks plan",IF(AND(D29="Closed",OR(T29="",COUNTIFS('Reviews'!$B$7:$B$306,A29)=0,COUNTIFS('Update log'!$B$7:$B$306,A29)=0)),"Closure docs missing","Basic records complete"))))))</x:f>
      </x:c>
      <x:c r="S29" s="3"/>
      <x:c r="T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20"/>
      <x:c r="J30" s="3"/>
      <x:c r="K30" s="22"/>
      <x:c r="L30" s="22"/>
      <x:c r="M30" s="24" t="str">
        <x:f>IF(A30="","",IF(COUNTIFS('Execution log'!$B$7:$B$306,A30)=0,"",IF(COUNTIFS('Execution log'!$B$7:$B$306,A30,'Execution log'!$L$7:$L$306,"Valid",'Execution log'!$P$7:$P$306,"&lt;&gt;Valid input")&gt;0,"To check",IF(COUNTIFS('Execution log'!$B$7:$B$306,A30,'Execution log'!$P$7:$P$306,"Valid input")=0,"",SUMIFS('Execution log'!$H$7:$H$306,'Execution log'!$B$7:$B$306,A30,'Execution log'!$P$7:$P$306,"Valid input")))))</x:f>
      </x:c>
      <x:c r="N30" s="24" t="str">
        <x:f>IF(A30="","",IF(COUNTIFS('Execution log'!$B$7:$B$306,A30)=0,"",IF(COUNTIFS('Execution log'!$B$7:$B$306,A30,'Execution log'!$L$7:$L$306,"Valid",'Execution log'!$P$7:$P$306,"&lt;&gt;Valid input")&gt;0,"To check",IF(COUNTIFS('Execution log'!$B$7:$B$306,A30,'Execution log'!$P$7:$P$306,"Valid input")=0,"",SUMIFS('Execution log'!$J$7:$J$306,'Execution log'!$B$7:$B$306,A30,'Execution log'!$P$7:$P$306,"Valid input")))))</x:f>
      </x:c>
      <x:c r="O30" s="24" t="str">
        <x:f>IF(A30="","",IF(NOT(ISNUMBER(K30)),"Budget TBD",IF(NOT(ISNUMBER(M30)),"No valid entries yet",K30-M30)))</x:f>
      </x:c>
      <x:c r="P30" s="24" t="str">
        <x:f>IF(A30="","",IF(NOT(ISNUMBER(L30)),"Budget TBD",IF(NOT(ISNUMBER(N30)),"No valid entries yet",L30-N30)))</x:f>
      </x:c>
      <x:c r="Q30" s="19" t="str">
        <x:f>IF(A30="","",IF(D30="Closed","Closed",IF(NOT(ISNUMBER(I30)),"Review date TBD",IF(NOT(ISNUMBER($B$3)),"Evaluation date TBD",IF(I30&lt;=$B$3,"Review due","Not due")))))</x:f>
      </x:c>
      <x:c r="R30" s="19" t="str">
        <x:f>IF(A30="","",IF(COUNTIFS($A$7:$A$306,A30)&lt;&gt;1,"Duplicate case ID",IF(OR(B30="",C30="",D30="",G30="",S30=""),"Basic info missing",IF(AND(F30&lt;&gt;"",COUNTIFS('Plan versions'!$A$7:$A$306,F30,'Plan versions'!$B$7:$B$306,A30,'Plan versions'!$L$7:$L$306,"Frozen")&lt;&gt;1),"Invalid current plan ref",IF(AND(D30="Executing",F30=""),"Execution lacks plan",IF(AND(D30="Closed",OR(T30="",COUNTIFS('Reviews'!$B$7:$B$306,A30)=0,COUNTIFS('Update log'!$B$7:$B$306,A30)=0)),"Closure docs missing","Basic records complete"))))))</x:f>
      </x:c>
      <x:c r="S30" s="3"/>
      <x:c r="T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20"/>
      <x:c r="J31" s="3"/>
      <x:c r="K31" s="22"/>
      <x:c r="L31" s="22"/>
      <x:c r="M31" s="24" t="str">
        <x:f>IF(A31="","",IF(COUNTIFS('Execution log'!$B$7:$B$306,A31)=0,"",IF(COUNTIFS('Execution log'!$B$7:$B$306,A31,'Execution log'!$L$7:$L$306,"Valid",'Execution log'!$P$7:$P$306,"&lt;&gt;Valid input")&gt;0,"To check",IF(COUNTIFS('Execution log'!$B$7:$B$306,A31,'Execution log'!$P$7:$P$306,"Valid input")=0,"",SUMIFS('Execution log'!$H$7:$H$306,'Execution log'!$B$7:$B$306,A31,'Execution log'!$P$7:$P$306,"Valid input")))))</x:f>
      </x:c>
      <x:c r="N31" s="24" t="str">
        <x:f>IF(A31="","",IF(COUNTIFS('Execution log'!$B$7:$B$306,A31)=0,"",IF(COUNTIFS('Execution log'!$B$7:$B$306,A31,'Execution log'!$L$7:$L$306,"Valid",'Execution log'!$P$7:$P$306,"&lt;&gt;Valid input")&gt;0,"To check",IF(COUNTIFS('Execution log'!$B$7:$B$306,A31,'Execution log'!$P$7:$P$306,"Valid input")=0,"",SUMIFS('Execution log'!$J$7:$J$306,'Execution log'!$B$7:$B$306,A31,'Execution log'!$P$7:$P$306,"Valid input")))))</x:f>
      </x:c>
      <x:c r="O31" s="24" t="str">
        <x:f>IF(A31="","",IF(NOT(ISNUMBER(K31)),"Budget TBD",IF(NOT(ISNUMBER(M31)),"No valid entries yet",K31-M31)))</x:f>
      </x:c>
      <x:c r="P31" s="24" t="str">
        <x:f>IF(A31="","",IF(NOT(ISNUMBER(L31)),"Budget TBD",IF(NOT(ISNUMBER(N31)),"No valid entries yet",L31-N31)))</x:f>
      </x:c>
      <x:c r="Q31" s="19" t="str">
        <x:f>IF(A31="","",IF(D31="Closed","Closed",IF(NOT(ISNUMBER(I31)),"Review date TBD",IF(NOT(ISNUMBER($B$3)),"Evaluation date TBD",IF(I31&lt;=$B$3,"Review due","Not due")))))</x:f>
      </x:c>
      <x:c r="R31" s="19" t="str">
        <x:f>IF(A31="","",IF(COUNTIFS($A$7:$A$306,A31)&lt;&gt;1,"Duplicate case ID",IF(OR(B31="",C31="",D31="",G31="",S31=""),"Basic info missing",IF(AND(F31&lt;&gt;"",COUNTIFS('Plan versions'!$A$7:$A$306,F31,'Plan versions'!$B$7:$B$306,A31,'Plan versions'!$L$7:$L$306,"Frozen")&lt;&gt;1),"Invalid current plan ref",IF(AND(D31="Executing",F31=""),"Execution lacks plan",IF(AND(D31="Closed",OR(T31="",COUNTIFS('Reviews'!$B$7:$B$306,A31)=0,COUNTIFS('Update log'!$B$7:$B$306,A31)=0)),"Closure docs missing","Basic records complete"))))))</x:f>
      </x:c>
      <x:c r="S31" s="3"/>
      <x:c r="T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20"/>
      <x:c r="J32" s="3"/>
      <x:c r="K32" s="22"/>
      <x:c r="L32" s="22"/>
      <x:c r="M32" s="24" t="str">
        <x:f>IF(A32="","",IF(COUNTIFS('Execution log'!$B$7:$B$306,A32)=0,"",IF(COUNTIFS('Execution log'!$B$7:$B$306,A32,'Execution log'!$L$7:$L$306,"Valid",'Execution log'!$P$7:$P$306,"&lt;&gt;Valid input")&gt;0,"To check",IF(COUNTIFS('Execution log'!$B$7:$B$306,A32,'Execution log'!$P$7:$P$306,"Valid input")=0,"",SUMIFS('Execution log'!$H$7:$H$306,'Execution log'!$B$7:$B$306,A32,'Execution log'!$P$7:$P$306,"Valid input")))))</x:f>
      </x:c>
      <x:c r="N32" s="24" t="str">
        <x:f>IF(A32="","",IF(COUNTIFS('Execution log'!$B$7:$B$306,A32)=0,"",IF(COUNTIFS('Execution log'!$B$7:$B$306,A32,'Execution log'!$L$7:$L$306,"Valid",'Execution log'!$P$7:$P$306,"&lt;&gt;Valid input")&gt;0,"To check",IF(COUNTIFS('Execution log'!$B$7:$B$306,A32,'Execution log'!$P$7:$P$306,"Valid input")=0,"",SUMIFS('Execution log'!$J$7:$J$306,'Execution log'!$B$7:$B$306,A32,'Execution log'!$P$7:$P$306,"Valid input")))))</x:f>
      </x:c>
      <x:c r="O32" s="24" t="str">
        <x:f>IF(A32="","",IF(NOT(ISNUMBER(K32)),"Budget TBD",IF(NOT(ISNUMBER(M32)),"No valid entries yet",K32-M32)))</x:f>
      </x:c>
      <x:c r="P32" s="24" t="str">
        <x:f>IF(A32="","",IF(NOT(ISNUMBER(L32)),"Budget TBD",IF(NOT(ISNUMBER(N32)),"No valid entries yet",L32-N32)))</x:f>
      </x:c>
      <x:c r="Q32" s="19" t="str">
        <x:f>IF(A32="","",IF(D32="Closed","Closed",IF(NOT(ISNUMBER(I32)),"Review date TBD",IF(NOT(ISNUMBER($B$3)),"Evaluation date TBD",IF(I32&lt;=$B$3,"Review due","Not due")))))</x:f>
      </x:c>
      <x:c r="R32" s="19" t="str">
        <x:f>IF(A32="","",IF(COUNTIFS($A$7:$A$306,A32)&lt;&gt;1,"Duplicate case ID",IF(OR(B32="",C32="",D32="",G32="",S32=""),"Basic info missing",IF(AND(F32&lt;&gt;"",COUNTIFS('Plan versions'!$A$7:$A$306,F32,'Plan versions'!$B$7:$B$306,A32,'Plan versions'!$L$7:$L$306,"Frozen")&lt;&gt;1),"Invalid current plan ref",IF(AND(D32="Executing",F32=""),"Execution lacks plan",IF(AND(D32="Closed",OR(T32="",COUNTIFS('Reviews'!$B$7:$B$306,A32)=0,COUNTIFS('Update log'!$B$7:$B$306,A32)=0)),"Closure docs missing","Basic records complete"))))))</x:f>
      </x:c>
      <x:c r="S32" s="3"/>
      <x:c r="T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20"/>
      <x:c r="J33" s="3"/>
      <x:c r="K33" s="22"/>
      <x:c r="L33" s="22"/>
      <x:c r="M33" s="24" t="str">
        <x:f>IF(A33="","",IF(COUNTIFS('Execution log'!$B$7:$B$306,A33)=0,"",IF(COUNTIFS('Execution log'!$B$7:$B$306,A33,'Execution log'!$L$7:$L$306,"Valid",'Execution log'!$P$7:$P$306,"&lt;&gt;Valid input")&gt;0,"To check",IF(COUNTIFS('Execution log'!$B$7:$B$306,A33,'Execution log'!$P$7:$P$306,"Valid input")=0,"",SUMIFS('Execution log'!$H$7:$H$306,'Execution log'!$B$7:$B$306,A33,'Execution log'!$P$7:$P$306,"Valid input")))))</x:f>
      </x:c>
      <x:c r="N33" s="24" t="str">
        <x:f>IF(A33="","",IF(COUNTIFS('Execution log'!$B$7:$B$306,A33)=0,"",IF(COUNTIFS('Execution log'!$B$7:$B$306,A33,'Execution log'!$L$7:$L$306,"Valid",'Execution log'!$P$7:$P$306,"&lt;&gt;Valid input")&gt;0,"To check",IF(COUNTIFS('Execution log'!$B$7:$B$306,A33,'Execution log'!$P$7:$P$306,"Valid input")=0,"",SUMIFS('Execution log'!$J$7:$J$306,'Execution log'!$B$7:$B$306,A33,'Execution log'!$P$7:$P$306,"Valid input")))))</x:f>
      </x:c>
      <x:c r="O33" s="24" t="str">
        <x:f>IF(A33="","",IF(NOT(ISNUMBER(K33)),"Budget TBD",IF(NOT(ISNUMBER(M33)),"No valid entries yet",K33-M33)))</x:f>
      </x:c>
      <x:c r="P33" s="24" t="str">
        <x:f>IF(A33="","",IF(NOT(ISNUMBER(L33)),"Budget TBD",IF(NOT(ISNUMBER(N33)),"No valid entries yet",L33-N33)))</x:f>
      </x:c>
      <x:c r="Q33" s="19" t="str">
        <x:f>IF(A33="","",IF(D33="Closed","Closed",IF(NOT(ISNUMBER(I33)),"Review date TBD",IF(NOT(ISNUMBER($B$3)),"Evaluation date TBD",IF(I33&lt;=$B$3,"Review due","Not due")))))</x:f>
      </x:c>
      <x:c r="R33" s="19" t="str">
        <x:f>IF(A33="","",IF(COUNTIFS($A$7:$A$306,A33)&lt;&gt;1,"Duplicate case ID",IF(OR(B33="",C33="",D33="",G33="",S33=""),"Basic info missing",IF(AND(F33&lt;&gt;"",COUNTIFS('Plan versions'!$A$7:$A$306,F33,'Plan versions'!$B$7:$B$306,A33,'Plan versions'!$L$7:$L$306,"Frozen")&lt;&gt;1),"Invalid current plan ref",IF(AND(D33="Executing",F33=""),"Execution lacks plan",IF(AND(D33="Closed",OR(T33="",COUNTIFS('Reviews'!$B$7:$B$306,A33)=0,COUNTIFS('Update log'!$B$7:$B$306,A33)=0)),"Closure docs missing","Basic records complete"))))))</x:f>
      </x:c>
      <x:c r="S33" s="3"/>
      <x:c r="T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20"/>
      <x:c r="J34" s="3"/>
      <x:c r="K34" s="22"/>
      <x:c r="L34" s="22"/>
      <x:c r="M34" s="24" t="str">
        <x:f>IF(A34="","",IF(COUNTIFS('Execution log'!$B$7:$B$306,A34)=0,"",IF(COUNTIFS('Execution log'!$B$7:$B$306,A34,'Execution log'!$L$7:$L$306,"Valid",'Execution log'!$P$7:$P$306,"&lt;&gt;Valid input")&gt;0,"To check",IF(COUNTIFS('Execution log'!$B$7:$B$306,A34,'Execution log'!$P$7:$P$306,"Valid input")=0,"",SUMIFS('Execution log'!$H$7:$H$306,'Execution log'!$B$7:$B$306,A34,'Execution log'!$P$7:$P$306,"Valid input")))))</x:f>
      </x:c>
      <x:c r="N34" s="24" t="str">
        <x:f>IF(A34="","",IF(COUNTIFS('Execution log'!$B$7:$B$306,A34)=0,"",IF(COUNTIFS('Execution log'!$B$7:$B$306,A34,'Execution log'!$L$7:$L$306,"Valid",'Execution log'!$P$7:$P$306,"&lt;&gt;Valid input")&gt;0,"To check",IF(COUNTIFS('Execution log'!$B$7:$B$306,A34,'Execution log'!$P$7:$P$306,"Valid input")=0,"",SUMIFS('Execution log'!$J$7:$J$306,'Execution log'!$B$7:$B$306,A34,'Execution log'!$P$7:$P$306,"Valid input")))))</x:f>
      </x:c>
      <x:c r="O34" s="24" t="str">
        <x:f>IF(A34="","",IF(NOT(ISNUMBER(K34)),"Budget TBD",IF(NOT(ISNUMBER(M34)),"No valid entries yet",K34-M34)))</x:f>
      </x:c>
      <x:c r="P34" s="24" t="str">
        <x:f>IF(A34="","",IF(NOT(ISNUMBER(L34)),"Budget TBD",IF(NOT(ISNUMBER(N34)),"No valid entries yet",L34-N34)))</x:f>
      </x:c>
      <x:c r="Q34" s="19" t="str">
        <x:f>IF(A34="","",IF(D34="Closed","Closed",IF(NOT(ISNUMBER(I34)),"Review date TBD",IF(NOT(ISNUMBER($B$3)),"Evaluation date TBD",IF(I34&lt;=$B$3,"Review due","Not due")))))</x:f>
      </x:c>
      <x:c r="R34" s="19" t="str">
        <x:f>IF(A34="","",IF(COUNTIFS($A$7:$A$306,A34)&lt;&gt;1,"Duplicate case ID",IF(OR(B34="",C34="",D34="",G34="",S34=""),"Basic info missing",IF(AND(F34&lt;&gt;"",COUNTIFS('Plan versions'!$A$7:$A$306,F34,'Plan versions'!$B$7:$B$306,A34,'Plan versions'!$L$7:$L$306,"Frozen")&lt;&gt;1),"Invalid current plan ref",IF(AND(D34="Executing",F34=""),"Execution lacks plan",IF(AND(D34="Closed",OR(T34="",COUNTIFS('Reviews'!$B$7:$B$306,A34)=0,COUNTIFS('Update log'!$B$7:$B$306,A34)=0)),"Closure docs missing","Basic records complete"))))))</x:f>
      </x:c>
      <x:c r="S34" s="3"/>
      <x:c r="T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20"/>
      <x:c r="J35" s="3"/>
      <x:c r="K35" s="22"/>
      <x:c r="L35" s="22"/>
      <x:c r="M35" s="24" t="str">
        <x:f>IF(A35="","",IF(COUNTIFS('Execution log'!$B$7:$B$306,A35)=0,"",IF(COUNTIFS('Execution log'!$B$7:$B$306,A35,'Execution log'!$L$7:$L$306,"Valid",'Execution log'!$P$7:$P$306,"&lt;&gt;Valid input")&gt;0,"To check",IF(COUNTIFS('Execution log'!$B$7:$B$306,A35,'Execution log'!$P$7:$P$306,"Valid input")=0,"",SUMIFS('Execution log'!$H$7:$H$306,'Execution log'!$B$7:$B$306,A35,'Execution log'!$P$7:$P$306,"Valid input")))))</x:f>
      </x:c>
      <x:c r="N35" s="24" t="str">
        <x:f>IF(A35="","",IF(COUNTIFS('Execution log'!$B$7:$B$306,A35)=0,"",IF(COUNTIFS('Execution log'!$B$7:$B$306,A35,'Execution log'!$L$7:$L$306,"Valid",'Execution log'!$P$7:$P$306,"&lt;&gt;Valid input")&gt;0,"To check",IF(COUNTIFS('Execution log'!$B$7:$B$306,A35,'Execution log'!$P$7:$P$306,"Valid input")=0,"",SUMIFS('Execution log'!$J$7:$J$306,'Execution log'!$B$7:$B$306,A35,'Execution log'!$P$7:$P$306,"Valid input")))))</x:f>
      </x:c>
      <x:c r="O35" s="24" t="str">
        <x:f>IF(A35="","",IF(NOT(ISNUMBER(K35)),"Budget TBD",IF(NOT(ISNUMBER(M35)),"No valid entries yet",K35-M35)))</x:f>
      </x:c>
      <x:c r="P35" s="24" t="str">
        <x:f>IF(A35="","",IF(NOT(ISNUMBER(L35)),"Budget TBD",IF(NOT(ISNUMBER(N35)),"No valid entries yet",L35-N35)))</x:f>
      </x:c>
      <x:c r="Q35" s="19" t="str">
        <x:f>IF(A35="","",IF(D35="Closed","Closed",IF(NOT(ISNUMBER(I35)),"Review date TBD",IF(NOT(ISNUMBER($B$3)),"Evaluation date TBD",IF(I35&lt;=$B$3,"Review due","Not due")))))</x:f>
      </x:c>
      <x:c r="R35" s="19" t="str">
        <x:f>IF(A35="","",IF(COUNTIFS($A$7:$A$306,A35)&lt;&gt;1,"Duplicate case ID",IF(OR(B35="",C35="",D35="",G35="",S35=""),"Basic info missing",IF(AND(F35&lt;&gt;"",COUNTIFS('Plan versions'!$A$7:$A$306,F35,'Plan versions'!$B$7:$B$306,A35,'Plan versions'!$L$7:$L$306,"Frozen")&lt;&gt;1),"Invalid current plan ref",IF(AND(D35="Executing",F35=""),"Execution lacks plan",IF(AND(D35="Closed",OR(T35="",COUNTIFS('Reviews'!$B$7:$B$306,A35)=0,COUNTIFS('Update log'!$B$7:$B$306,A35)=0)),"Closure docs missing","Basic records complete"))))))</x:f>
      </x:c>
      <x:c r="S35" s="3"/>
      <x:c r="T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20"/>
      <x:c r="J36" s="3"/>
      <x:c r="K36" s="22"/>
      <x:c r="L36" s="22"/>
      <x:c r="M36" s="24" t="str">
        <x:f>IF(A36="","",IF(COUNTIFS('Execution log'!$B$7:$B$306,A36)=0,"",IF(COUNTIFS('Execution log'!$B$7:$B$306,A36,'Execution log'!$L$7:$L$306,"Valid",'Execution log'!$P$7:$P$306,"&lt;&gt;Valid input")&gt;0,"To check",IF(COUNTIFS('Execution log'!$B$7:$B$306,A36,'Execution log'!$P$7:$P$306,"Valid input")=0,"",SUMIFS('Execution log'!$H$7:$H$306,'Execution log'!$B$7:$B$306,A36,'Execution log'!$P$7:$P$306,"Valid input")))))</x:f>
      </x:c>
      <x:c r="N36" s="24" t="str">
        <x:f>IF(A36="","",IF(COUNTIFS('Execution log'!$B$7:$B$306,A36)=0,"",IF(COUNTIFS('Execution log'!$B$7:$B$306,A36,'Execution log'!$L$7:$L$306,"Valid",'Execution log'!$P$7:$P$306,"&lt;&gt;Valid input")&gt;0,"To check",IF(COUNTIFS('Execution log'!$B$7:$B$306,A36,'Execution log'!$P$7:$P$306,"Valid input")=0,"",SUMIFS('Execution log'!$J$7:$J$306,'Execution log'!$B$7:$B$306,A36,'Execution log'!$P$7:$P$306,"Valid input")))))</x:f>
      </x:c>
      <x:c r="O36" s="24" t="str">
        <x:f>IF(A36="","",IF(NOT(ISNUMBER(K36)),"Budget TBD",IF(NOT(ISNUMBER(M36)),"No valid entries yet",K36-M36)))</x:f>
      </x:c>
      <x:c r="P36" s="24" t="str">
        <x:f>IF(A36="","",IF(NOT(ISNUMBER(L36)),"Budget TBD",IF(NOT(ISNUMBER(N36)),"No valid entries yet",L36-N36)))</x:f>
      </x:c>
      <x:c r="Q36" s="19" t="str">
        <x:f>IF(A36="","",IF(D36="Closed","Closed",IF(NOT(ISNUMBER(I36)),"Review date TBD",IF(NOT(ISNUMBER($B$3)),"Evaluation date TBD",IF(I36&lt;=$B$3,"Review due","Not due")))))</x:f>
      </x:c>
      <x:c r="R36" s="19" t="str">
        <x:f>IF(A36="","",IF(COUNTIFS($A$7:$A$306,A36)&lt;&gt;1,"Duplicate case ID",IF(OR(B36="",C36="",D36="",G36="",S36=""),"Basic info missing",IF(AND(F36&lt;&gt;"",COUNTIFS('Plan versions'!$A$7:$A$306,F36,'Plan versions'!$B$7:$B$306,A36,'Plan versions'!$L$7:$L$306,"Frozen")&lt;&gt;1),"Invalid current plan ref",IF(AND(D36="Executing",F36=""),"Execution lacks plan",IF(AND(D36="Closed",OR(T36="",COUNTIFS('Reviews'!$B$7:$B$306,A36)=0,COUNTIFS('Update log'!$B$7:$B$306,A36)=0)),"Closure docs missing","Basic records complete"))))))</x:f>
      </x:c>
      <x:c r="S36" s="3"/>
      <x:c r="T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20"/>
      <x:c r="J37" s="3"/>
      <x:c r="K37" s="22"/>
      <x:c r="L37" s="22"/>
      <x:c r="M37" s="24" t="str">
        <x:f>IF(A37="","",IF(COUNTIFS('Execution log'!$B$7:$B$306,A37)=0,"",IF(COUNTIFS('Execution log'!$B$7:$B$306,A37,'Execution log'!$L$7:$L$306,"Valid",'Execution log'!$P$7:$P$306,"&lt;&gt;Valid input")&gt;0,"To check",IF(COUNTIFS('Execution log'!$B$7:$B$306,A37,'Execution log'!$P$7:$P$306,"Valid input")=0,"",SUMIFS('Execution log'!$H$7:$H$306,'Execution log'!$B$7:$B$306,A37,'Execution log'!$P$7:$P$306,"Valid input")))))</x:f>
      </x:c>
      <x:c r="N37" s="24" t="str">
        <x:f>IF(A37="","",IF(COUNTIFS('Execution log'!$B$7:$B$306,A37)=0,"",IF(COUNTIFS('Execution log'!$B$7:$B$306,A37,'Execution log'!$L$7:$L$306,"Valid",'Execution log'!$P$7:$P$306,"&lt;&gt;Valid input")&gt;0,"To check",IF(COUNTIFS('Execution log'!$B$7:$B$306,A37,'Execution log'!$P$7:$P$306,"Valid input")=0,"",SUMIFS('Execution log'!$J$7:$J$306,'Execution log'!$B$7:$B$306,A37,'Execution log'!$P$7:$P$306,"Valid input")))))</x:f>
      </x:c>
      <x:c r="O37" s="24" t="str">
        <x:f>IF(A37="","",IF(NOT(ISNUMBER(K37)),"Budget TBD",IF(NOT(ISNUMBER(M37)),"No valid entries yet",K37-M37)))</x:f>
      </x:c>
      <x:c r="P37" s="24" t="str">
        <x:f>IF(A37="","",IF(NOT(ISNUMBER(L37)),"Budget TBD",IF(NOT(ISNUMBER(N37)),"No valid entries yet",L37-N37)))</x:f>
      </x:c>
      <x:c r="Q37" s="19" t="str">
        <x:f>IF(A37="","",IF(D37="Closed","Closed",IF(NOT(ISNUMBER(I37)),"Review date TBD",IF(NOT(ISNUMBER($B$3)),"Evaluation date TBD",IF(I37&lt;=$B$3,"Review due","Not due")))))</x:f>
      </x:c>
      <x:c r="R37" s="19" t="str">
        <x:f>IF(A37="","",IF(COUNTIFS($A$7:$A$306,A37)&lt;&gt;1,"Duplicate case ID",IF(OR(B37="",C37="",D37="",G37="",S37=""),"Basic info missing",IF(AND(F37&lt;&gt;"",COUNTIFS('Plan versions'!$A$7:$A$306,F37,'Plan versions'!$B$7:$B$306,A37,'Plan versions'!$L$7:$L$306,"Frozen")&lt;&gt;1),"Invalid current plan ref",IF(AND(D37="Executing",F37=""),"Execution lacks plan",IF(AND(D37="Closed",OR(T37="",COUNTIFS('Reviews'!$B$7:$B$306,A37)=0,COUNTIFS('Update log'!$B$7:$B$306,A37)=0)),"Closure docs missing","Basic records complete"))))))</x:f>
      </x:c>
      <x:c r="S37" s="3"/>
      <x:c r="T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20"/>
      <x:c r="J38" s="3"/>
      <x:c r="K38" s="22"/>
      <x:c r="L38" s="22"/>
      <x:c r="M38" s="24" t="str">
        <x:f>IF(A38="","",IF(COUNTIFS('Execution log'!$B$7:$B$306,A38)=0,"",IF(COUNTIFS('Execution log'!$B$7:$B$306,A38,'Execution log'!$L$7:$L$306,"Valid",'Execution log'!$P$7:$P$306,"&lt;&gt;Valid input")&gt;0,"To check",IF(COUNTIFS('Execution log'!$B$7:$B$306,A38,'Execution log'!$P$7:$P$306,"Valid input")=0,"",SUMIFS('Execution log'!$H$7:$H$306,'Execution log'!$B$7:$B$306,A38,'Execution log'!$P$7:$P$306,"Valid input")))))</x:f>
      </x:c>
      <x:c r="N38" s="24" t="str">
        <x:f>IF(A38="","",IF(COUNTIFS('Execution log'!$B$7:$B$306,A38)=0,"",IF(COUNTIFS('Execution log'!$B$7:$B$306,A38,'Execution log'!$L$7:$L$306,"Valid",'Execution log'!$P$7:$P$306,"&lt;&gt;Valid input")&gt;0,"To check",IF(COUNTIFS('Execution log'!$B$7:$B$306,A38,'Execution log'!$P$7:$P$306,"Valid input")=0,"",SUMIFS('Execution log'!$J$7:$J$306,'Execution log'!$B$7:$B$306,A38,'Execution log'!$P$7:$P$306,"Valid input")))))</x:f>
      </x:c>
      <x:c r="O38" s="24" t="str">
        <x:f>IF(A38="","",IF(NOT(ISNUMBER(K38)),"Budget TBD",IF(NOT(ISNUMBER(M38)),"No valid entries yet",K38-M38)))</x:f>
      </x:c>
      <x:c r="P38" s="24" t="str">
        <x:f>IF(A38="","",IF(NOT(ISNUMBER(L38)),"Budget TBD",IF(NOT(ISNUMBER(N38)),"No valid entries yet",L38-N38)))</x:f>
      </x:c>
      <x:c r="Q38" s="19" t="str">
        <x:f>IF(A38="","",IF(D38="Closed","Closed",IF(NOT(ISNUMBER(I38)),"Review date TBD",IF(NOT(ISNUMBER($B$3)),"Evaluation date TBD",IF(I38&lt;=$B$3,"Review due","Not due")))))</x:f>
      </x:c>
      <x:c r="R38" s="19" t="str">
        <x:f>IF(A38="","",IF(COUNTIFS($A$7:$A$306,A38)&lt;&gt;1,"Duplicate case ID",IF(OR(B38="",C38="",D38="",G38="",S38=""),"Basic info missing",IF(AND(F38&lt;&gt;"",COUNTIFS('Plan versions'!$A$7:$A$306,F38,'Plan versions'!$B$7:$B$306,A38,'Plan versions'!$L$7:$L$306,"Frozen")&lt;&gt;1),"Invalid current plan ref",IF(AND(D38="Executing",F38=""),"Execution lacks plan",IF(AND(D38="Closed",OR(T38="",COUNTIFS('Reviews'!$B$7:$B$306,A38)=0,COUNTIFS('Update log'!$B$7:$B$306,A38)=0)),"Closure docs missing","Basic records complete"))))))</x:f>
      </x:c>
      <x:c r="S38" s="3"/>
      <x:c r="T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20"/>
      <x:c r="J39" s="3"/>
      <x:c r="K39" s="22"/>
      <x:c r="L39" s="22"/>
      <x:c r="M39" s="24" t="str">
        <x:f>IF(A39="","",IF(COUNTIFS('Execution log'!$B$7:$B$306,A39)=0,"",IF(COUNTIFS('Execution log'!$B$7:$B$306,A39,'Execution log'!$L$7:$L$306,"Valid",'Execution log'!$P$7:$P$306,"&lt;&gt;Valid input")&gt;0,"To check",IF(COUNTIFS('Execution log'!$B$7:$B$306,A39,'Execution log'!$P$7:$P$306,"Valid input")=0,"",SUMIFS('Execution log'!$H$7:$H$306,'Execution log'!$B$7:$B$306,A39,'Execution log'!$P$7:$P$306,"Valid input")))))</x:f>
      </x:c>
      <x:c r="N39" s="24" t="str">
        <x:f>IF(A39="","",IF(COUNTIFS('Execution log'!$B$7:$B$306,A39)=0,"",IF(COUNTIFS('Execution log'!$B$7:$B$306,A39,'Execution log'!$L$7:$L$306,"Valid",'Execution log'!$P$7:$P$306,"&lt;&gt;Valid input")&gt;0,"To check",IF(COUNTIFS('Execution log'!$B$7:$B$306,A39,'Execution log'!$P$7:$P$306,"Valid input")=0,"",SUMIFS('Execution log'!$J$7:$J$306,'Execution log'!$B$7:$B$306,A39,'Execution log'!$P$7:$P$306,"Valid input")))))</x:f>
      </x:c>
      <x:c r="O39" s="24" t="str">
        <x:f>IF(A39="","",IF(NOT(ISNUMBER(K39)),"Budget TBD",IF(NOT(ISNUMBER(M39)),"No valid entries yet",K39-M39)))</x:f>
      </x:c>
      <x:c r="P39" s="24" t="str">
        <x:f>IF(A39="","",IF(NOT(ISNUMBER(L39)),"Budget TBD",IF(NOT(ISNUMBER(N39)),"No valid entries yet",L39-N39)))</x:f>
      </x:c>
      <x:c r="Q39" s="19" t="str">
        <x:f>IF(A39="","",IF(D39="Closed","Closed",IF(NOT(ISNUMBER(I39)),"Review date TBD",IF(NOT(ISNUMBER($B$3)),"Evaluation date TBD",IF(I39&lt;=$B$3,"Review due","Not due")))))</x:f>
      </x:c>
      <x:c r="R39" s="19" t="str">
        <x:f>IF(A39="","",IF(COUNTIFS($A$7:$A$306,A39)&lt;&gt;1,"Duplicate case ID",IF(OR(B39="",C39="",D39="",G39="",S39=""),"Basic info missing",IF(AND(F39&lt;&gt;"",COUNTIFS('Plan versions'!$A$7:$A$306,F39,'Plan versions'!$B$7:$B$306,A39,'Plan versions'!$L$7:$L$306,"Frozen")&lt;&gt;1),"Invalid current plan ref",IF(AND(D39="Executing",F39=""),"Execution lacks plan",IF(AND(D39="Closed",OR(T39="",COUNTIFS('Reviews'!$B$7:$B$306,A39)=0,COUNTIFS('Update log'!$B$7:$B$306,A39)=0)),"Closure docs missing","Basic records complete"))))))</x:f>
      </x:c>
      <x:c r="S39" s="3"/>
      <x:c r="T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20"/>
      <x:c r="J40" s="3"/>
      <x:c r="K40" s="22"/>
      <x:c r="L40" s="22"/>
      <x:c r="M40" s="24" t="str">
        <x:f>IF(A40="","",IF(COUNTIFS('Execution log'!$B$7:$B$306,A40)=0,"",IF(COUNTIFS('Execution log'!$B$7:$B$306,A40,'Execution log'!$L$7:$L$306,"Valid",'Execution log'!$P$7:$P$306,"&lt;&gt;Valid input")&gt;0,"To check",IF(COUNTIFS('Execution log'!$B$7:$B$306,A40,'Execution log'!$P$7:$P$306,"Valid input")=0,"",SUMIFS('Execution log'!$H$7:$H$306,'Execution log'!$B$7:$B$306,A40,'Execution log'!$P$7:$P$306,"Valid input")))))</x:f>
      </x:c>
      <x:c r="N40" s="24" t="str">
        <x:f>IF(A40="","",IF(COUNTIFS('Execution log'!$B$7:$B$306,A40)=0,"",IF(COUNTIFS('Execution log'!$B$7:$B$306,A40,'Execution log'!$L$7:$L$306,"Valid",'Execution log'!$P$7:$P$306,"&lt;&gt;Valid input")&gt;0,"To check",IF(COUNTIFS('Execution log'!$B$7:$B$306,A40,'Execution log'!$P$7:$P$306,"Valid input")=0,"",SUMIFS('Execution log'!$J$7:$J$306,'Execution log'!$B$7:$B$306,A40,'Execution log'!$P$7:$P$306,"Valid input")))))</x:f>
      </x:c>
      <x:c r="O40" s="24" t="str">
        <x:f>IF(A40="","",IF(NOT(ISNUMBER(K40)),"Budget TBD",IF(NOT(ISNUMBER(M40)),"No valid entries yet",K40-M40)))</x:f>
      </x:c>
      <x:c r="P40" s="24" t="str">
        <x:f>IF(A40="","",IF(NOT(ISNUMBER(L40)),"Budget TBD",IF(NOT(ISNUMBER(N40)),"No valid entries yet",L40-N40)))</x:f>
      </x:c>
      <x:c r="Q40" s="19" t="str">
        <x:f>IF(A40="","",IF(D40="Closed","Closed",IF(NOT(ISNUMBER(I40)),"Review date TBD",IF(NOT(ISNUMBER($B$3)),"Evaluation date TBD",IF(I40&lt;=$B$3,"Review due","Not due")))))</x:f>
      </x:c>
      <x:c r="R40" s="19" t="str">
        <x:f>IF(A40="","",IF(COUNTIFS($A$7:$A$306,A40)&lt;&gt;1,"Duplicate case ID",IF(OR(B40="",C40="",D40="",G40="",S40=""),"Basic info missing",IF(AND(F40&lt;&gt;"",COUNTIFS('Plan versions'!$A$7:$A$306,F40,'Plan versions'!$B$7:$B$306,A40,'Plan versions'!$L$7:$L$306,"Frozen")&lt;&gt;1),"Invalid current plan ref",IF(AND(D40="Executing",F40=""),"Execution lacks plan",IF(AND(D40="Closed",OR(T40="",COUNTIFS('Reviews'!$B$7:$B$306,A40)=0,COUNTIFS('Update log'!$B$7:$B$306,A40)=0)),"Closure docs missing","Basic records complete"))))))</x:f>
      </x:c>
      <x:c r="S40" s="3"/>
      <x:c r="T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20"/>
      <x:c r="J41" s="3"/>
      <x:c r="K41" s="22"/>
      <x:c r="L41" s="22"/>
      <x:c r="M41" s="24" t="str">
        <x:f>IF(A41="","",IF(COUNTIFS('Execution log'!$B$7:$B$306,A41)=0,"",IF(COUNTIFS('Execution log'!$B$7:$B$306,A41,'Execution log'!$L$7:$L$306,"Valid",'Execution log'!$P$7:$P$306,"&lt;&gt;Valid input")&gt;0,"To check",IF(COUNTIFS('Execution log'!$B$7:$B$306,A41,'Execution log'!$P$7:$P$306,"Valid input")=0,"",SUMIFS('Execution log'!$H$7:$H$306,'Execution log'!$B$7:$B$306,A41,'Execution log'!$P$7:$P$306,"Valid input")))))</x:f>
      </x:c>
      <x:c r="N41" s="24" t="str">
        <x:f>IF(A41="","",IF(COUNTIFS('Execution log'!$B$7:$B$306,A41)=0,"",IF(COUNTIFS('Execution log'!$B$7:$B$306,A41,'Execution log'!$L$7:$L$306,"Valid",'Execution log'!$P$7:$P$306,"&lt;&gt;Valid input")&gt;0,"To check",IF(COUNTIFS('Execution log'!$B$7:$B$306,A41,'Execution log'!$P$7:$P$306,"Valid input")=0,"",SUMIFS('Execution log'!$J$7:$J$306,'Execution log'!$B$7:$B$306,A41,'Execution log'!$P$7:$P$306,"Valid input")))))</x:f>
      </x:c>
      <x:c r="O41" s="24" t="str">
        <x:f>IF(A41="","",IF(NOT(ISNUMBER(K41)),"Budget TBD",IF(NOT(ISNUMBER(M41)),"No valid entries yet",K41-M41)))</x:f>
      </x:c>
      <x:c r="P41" s="24" t="str">
        <x:f>IF(A41="","",IF(NOT(ISNUMBER(L41)),"Budget TBD",IF(NOT(ISNUMBER(N41)),"No valid entries yet",L41-N41)))</x:f>
      </x:c>
      <x:c r="Q41" s="19" t="str">
        <x:f>IF(A41="","",IF(D41="Closed","Closed",IF(NOT(ISNUMBER(I41)),"Review date TBD",IF(NOT(ISNUMBER($B$3)),"Evaluation date TBD",IF(I41&lt;=$B$3,"Review due","Not due")))))</x:f>
      </x:c>
      <x:c r="R41" s="19" t="str">
        <x:f>IF(A41="","",IF(COUNTIFS($A$7:$A$306,A41)&lt;&gt;1,"Duplicate case ID",IF(OR(B41="",C41="",D41="",G41="",S41=""),"Basic info missing",IF(AND(F41&lt;&gt;"",COUNTIFS('Plan versions'!$A$7:$A$306,F41,'Plan versions'!$B$7:$B$306,A41,'Plan versions'!$L$7:$L$306,"Frozen")&lt;&gt;1),"Invalid current plan ref",IF(AND(D41="Executing",F41=""),"Execution lacks plan",IF(AND(D41="Closed",OR(T41="",COUNTIFS('Reviews'!$B$7:$B$306,A41)=0,COUNTIFS('Update log'!$B$7:$B$306,A41)=0)),"Closure docs missing","Basic records complete"))))))</x:f>
      </x:c>
      <x:c r="S41" s="3"/>
      <x:c r="T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20"/>
      <x:c r="J42" s="3"/>
      <x:c r="K42" s="22"/>
      <x:c r="L42" s="22"/>
      <x:c r="M42" s="24" t="str">
        <x:f>IF(A42="","",IF(COUNTIFS('Execution log'!$B$7:$B$306,A42)=0,"",IF(COUNTIFS('Execution log'!$B$7:$B$306,A42,'Execution log'!$L$7:$L$306,"Valid",'Execution log'!$P$7:$P$306,"&lt;&gt;Valid input")&gt;0,"To check",IF(COUNTIFS('Execution log'!$B$7:$B$306,A42,'Execution log'!$P$7:$P$306,"Valid input")=0,"",SUMIFS('Execution log'!$H$7:$H$306,'Execution log'!$B$7:$B$306,A42,'Execution log'!$P$7:$P$306,"Valid input")))))</x:f>
      </x:c>
      <x:c r="N42" s="24" t="str">
        <x:f>IF(A42="","",IF(COUNTIFS('Execution log'!$B$7:$B$306,A42)=0,"",IF(COUNTIFS('Execution log'!$B$7:$B$306,A42,'Execution log'!$L$7:$L$306,"Valid",'Execution log'!$P$7:$P$306,"&lt;&gt;Valid input")&gt;0,"To check",IF(COUNTIFS('Execution log'!$B$7:$B$306,A42,'Execution log'!$P$7:$P$306,"Valid input")=0,"",SUMIFS('Execution log'!$J$7:$J$306,'Execution log'!$B$7:$B$306,A42,'Execution log'!$P$7:$P$306,"Valid input")))))</x:f>
      </x:c>
      <x:c r="O42" s="24" t="str">
        <x:f>IF(A42="","",IF(NOT(ISNUMBER(K42)),"Budget TBD",IF(NOT(ISNUMBER(M42)),"No valid entries yet",K42-M42)))</x:f>
      </x:c>
      <x:c r="P42" s="24" t="str">
        <x:f>IF(A42="","",IF(NOT(ISNUMBER(L42)),"Budget TBD",IF(NOT(ISNUMBER(N42)),"No valid entries yet",L42-N42)))</x:f>
      </x:c>
      <x:c r="Q42" s="19" t="str">
        <x:f>IF(A42="","",IF(D42="Closed","Closed",IF(NOT(ISNUMBER(I42)),"Review date TBD",IF(NOT(ISNUMBER($B$3)),"Evaluation date TBD",IF(I42&lt;=$B$3,"Review due","Not due")))))</x:f>
      </x:c>
      <x:c r="R42" s="19" t="str">
        <x:f>IF(A42="","",IF(COUNTIFS($A$7:$A$306,A42)&lt;&gt;1,"Duplicate case ID",IF(OR(B42="",C42="",D42="",G42="",S42=""),"Basic info missing",IF(AND(F42&lt;&gt;"",COUNTIFS('Plan versions'!$A$7:$A$306,F42,'Plan versions'!$B$7:$B$306,A42,'Plan versions'!$L$7:$L$306,"Frozen")&lt;&gt;1),"Invalid current plan ref",IF(AND(D42="Executing",F42=""),"Execution lacks plan",IF(AND(D42="Closed",OR(T42="",COUNTIFS('Reviews'!$B$7:$B$306,A42)=0,COUNTIFS('Update log'!$B$7:$B$306,A42)=0)),"Closure docs missing","Basic records complete"))))))</x:f>
      </x:c>
      <x:c r="S42" s="3"/>
      <x:c r="T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20"/>
      <x:c r="J43" s="3"/>
      <x:c r="K43" s="22"/>
      <x:c r="L43" s="22"/>
      <x:c r="M43" s="24" t="str">
        <x:f>IF(A43="","",IF(COUNTIFS('Execution log'!$B$7:$B$306,A43)=0,"",IF(COUNTIFS('Execution log'!$B$7:$B$306,A43,'Execution log'!$L$7:$L$306,"Valid",'Execution log'!$P$7:$P$306,"&lt;&gt;Valid input")&gt;0,"To check",IF(COUNTIFS('Execution log'!$B$7:$B$306,A43,'Execution log'!$P$7:$P$306,"Valid input")=0,"",SUMIFS('Execution log'!$H$7:$H$306,'Execution log'!$B$7:$B$306,A43,'Execution log'!$P$7:$P$306,"Valid input")))))</x:f>
      </x:c>
      <x:c r="N43" s="24" t="str">
        <x:f>IF(A43="","",IF(COUNTIFS('Execution log'!$B$7:$B$306,A43)=0,"",IF(COUNTIFS('Execution log'!$B$7:$B$306,A43,'Execution log'!$L$7:$L$306,"Valid",'Execution log'!$P$7:$P$306,"&lt;&gt;Valid input")&gt;0,"To check",IF(COUNTIFS('Execution log'!$B$7:$B$306,A43,'Execution log'!$P$7:$P$306,"Valid input")=0,"",SUMIFS('Execution log'!$J$7:$J$306,'Execution log'!$B$7:$B$306,A43,'Execution log'!$P$7:$P$306,"Valid input")))))</x:f>
      </x:c>
      <x:c r="O43" s="24" t="str">
        <x:f>IF(A43="","",IF(NOT(ISNUMBER(K43)),"Budget TBD",IF(NOT(ISNUMBER(M43)),"No valid entries yet",K43-M43)))</x:f>
      </x:c>
      <x:c r="P43" s="24" t="str">
        <x:f>IF(A43="","",IF(NOT(ISNUMBER(L43)),"Budget TBD",IF(NOT(ISNUMBER(N43)),"No valid entries yet",L43-N43)))</x:f>
      </x:c>
      <x:c r="Q43" s="19" t="str">
        <x:f>IF(A43="","",IF(D43="Closed","Closed",IF(NOT(ISNUMBER(I43)),"Review date TBD",IF(NOT(ISNUMBER($B$3)),"Evaluation date TBD",IF(I43&lt;=$B$3,"Review due","Not due")))))</x:f>
      </x:c>
      <x:c r="R43" s="19" t="str">
        <x:f>IF(A43="","",IF(COUNTIFS($A$7:$A$306,A43)&lt;&gt;1,"Duplicate case ID",IF(OR(B43="",C43="",D43="",G43="",S43=""),"Basic info missing",IF(AND(F43&lt;&gt;"",COUNTIFS('Plan versions'!$A$7:$A$306,F43,'Plan versions'!$B$7:$B$306,A43,'Plan versions'!$L$7:$L$306,"Frozen")&lt;&gt;1),"Invalid current plan ref",IF(AND(D43="Executing",F43=""),"Execution lacks plan",IF(AND(D43="Closed",OR(T43="",COUNTIFS('Reviews'!$B$7:$B$306,A43)=0,COUNTIFS('Update log'!$B$7:$B$306,A43)=0)),"Closure docs missing","Basic records complete"))))))</x:f>
      </x:c>
      <x:c r="S43" s="3"/>
      <x:c r="T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20"/>
      <x:c r="J44" s="3"/>
      <x:c r="K44" s="22"/>
      <x:c r="L44" s="22"/>
      <x:c r="M44" s="24" t="str">
        <x:f>IF(A44="","",IF(COUNTIFS('Execution log'!$B$7:$B$306,A44)=0,"",IF(COUNTIFS('Execution log'!$B$7:$B$306,A44,'Execution log'!$L$7:$L$306,"Valid",'Execution log'!$P$7:$P$306,"&lt;&gt;Valid input")&gt;0,"To check",IF(COUNTIFS('Execution log'!$B$7:$B$306,A44,'Execution log'!$P$7:$P$306,"Valid input")=0,"",SUMIFS('Execution log'!$H$7:$H$306,'Execution log'!$B$7:$B$306,A44,'Execution log'!$P$7:$P$306,"Valid input")))))</x:f>
      </x:c>
      <x:c r="N44" s="24" t="str">
        <x:f>IF(A44="","",IF(COUNTIFS('Execution log'!$B$7:$B$306,A44)=0,"",IF(COUNTIFS('Execution log'!$B$7:$B$306,A44,'Execution log'!$L$7:$L$306,"Valid",'Execution log'!$P$7:$P$306,"&lt;&gt;Valid input")&gt;0,"To check",IF(COUNTIFS('Execution log'!$B$7:$B$306,A44,'Execution log'!$P$7:$P$306,"Valid input")=0,"",SUMIFS('Execution log'!$J$7:$J$306,'Execution log'!$B$7:$B$306,A44,'Execution log'!$P$7:$P$306,"Valid input")))))</x:f>
      </x:c>
      <x:c r="O44" s="24" t="str">
        <x:f>IF(A44="","",IF(NOT(ISNUMBER(K44)),"Budget TBD",IF(NOT(ISNUMBER(M44)),"No valid entries yet",K44-M44)))</x:f>
      </x:c>
      <x:c r="P44" s="24" t="str">
        <x:f>IF(A44="","",IF(NOT(ISNUMBER(L44)),"Budget TBD",IF(NOT(ISNUMBER(N44)),"No valid entries yet",L44-N44)))</x:f>
      </x:c>
      <x:c r="Q44" s="19" t="str">
        <x:f>IF(A44="","",IF(D44="Closed","Closed",IF(NOT(ISNUMBER(I44)),"Review date TBD",IF(NOT(ISNUMBER($B$3)),"Evaluation date TBD",IF(I44&lt;=$B$3,"Review due","Not due")))))</x:f>
      </x:c>
      <x:c r="R44" s="19" t="str">
        <x:f>IF(A44="","",IF(COUNTIFS($A$7:$A$306,A44)&lt;&gt;1,"Duplicate case ID",IF(OR(B44="",C44="",D44="",G44="",S44=""),"Basic info missing",IF(AND(F44&lt;&gt;"",COUNTIFS('Plan versions'!$A$7:$A$306,F44,'Plan versions'!$B$7:$B$306,A44,'Plan versions'!$L$7:$L$306,"Frozen")&lt;&gt;1),"Invalid current plan ref",IF(AND(D44="Executing",F44=""),"Execution lacks plan",IF(AND(D44="Closed",OR(T44="",COUNTIFS('Reviews'!$B$7:$B$306,A44)=0,COUNTIFS('Update log'!$B$7:$B$306,A44)=0)),"Closure docs missing","Basic records complete"))))))</x:f>
      </x:c>
      <x:c r="S44" s="3"/>
      <x:c r="T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20"/>
      <x:c r="J45" s="3"/>
      <x:c r="K45" s="22"/>
      <x:c r="L45" s="22"/>
      <x:c r="M45" s="24" t="str">
        <x:f>IF(A45="","",IF(COUNTIFS('Execution log'!$B$7:$B$306,A45)=0,"",IF(COUNTIFS('Execution log'!$B$7:$B$306,A45,'Execution log'!$L$7:$L$306,"Valid",'Execution log'!$P$7:$P$306,"&lt;&gt;Valid input")&gt;0,"To check",IF(COUNTIFS('Execution log'!$B$7:$B$306,A45,'Execution log'!$P$7:$P$306,"Valid input")=0,"",SUMIFS('Execution log'!$H$7:$H$306,'Execution log'!$B$7:$B$306,A45,'Execution log'!$P$7:$P$306,"Valid input")))))</x:f>
      </x:c>
      <x:c r="N45" s="24" t="str">
        <x:f>IF(A45="","",IF(COUNTIFS('Execution log'!$B$7:$B$306,A45)=0,"",IF(COUNTIFS('Execution log'!$B$7:$B$306,A45,'Execution log'!$L$7:$L$306,"Valid",'Execution log'!$P$7:$P$306,"&lt;&gt;Valid input")&gt;0,"To check",IF(COUNTIFS('Execution log'!$B$7:$B$306,A45,'Execution log'!$P$7:$P$306,"Valid input")=0,"",SUMIFS('Execution log'!$J$7:$J$306,'Execution log'!$B$7:$B$306,A45,'Execution log'!$P$7:$P$306,"Valid input")))))</x:f>
      </x:c>
      <x:c r="O45" s="24" t="str">
        <x:f>IF(A45="","",IF(NOT(ISNUMBER(K45)),"Budget TBD",IF(NOT(ISNUMBER(M45)),"No valid entries yet",K45-M45)))</x:f>
      </x:c>
      <x:c r="P45" s="24" t="str">
        <x:f>IF(A45="","",IF(NOT(ISNUMBER(L45)),"Budget TBD",IF(NOT(ISNUMBER(N45)),"No valid entries yet",L45-N45)))</x:f>
      </x:c>
      <x:c r="Q45" s="19" t="str">
        <x:f>IF(A45="","",IF(D45="Closed","Closed",IF(NOT(ISNUMBER(I45)),"Review date TBD",IF(NOT(ISNUMBER($B$3)),"Evaluation date TBD",IF(I45&lt;=$B$3,"Review due","Not due")))))</x:f>
      </x:c>
      <x:c r="R45" s="19" t="str">
        <x:f>IF(A45="","",IF(COUNTIFS($A$7:$A$306,A45)&lt;&gt;1,"Duplicate case ID",IF(OR(B45="",C45="",D45="",G45="",S45=""),"Basic info missing",IF(AND(F45&lt;&gt;"",COUNTIFS('Plan versions'!$A$7:$A$306,F45,'Plan versions'!$B$7:$B$306,A45,'Plan versions'!$L$7:$L$306,"Frozen")&lt;&gt;1),"Invalid current plan ref",IF(AND(D45="Executing",F45=""),"Execution lacks plan",IF(AND(D45="Closed",OR(T45="",COUNTIFS('Reviews'!$B$7:$B$306,A45)=0,COUNTIFS('Update log'!$B$7:$B$306,A45)=0)),"Closure docs missing","Basic records complete"))))))</x:f>
      </x:c>
      <x:c r="S45" s="3"/>
      <x:c r="T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20"/>
      <x:c r="J46" s="3"/>
      <x:c r="K46" s="22"/>
      <x:c r="L46" s="22"/>
      <x:c r="M46" s="24" t="str">
        <x:f>IF(A46="","",IF(COUNTIFS('Execution log'!$B$7:$B$306,A46)=0,"",IF(COUNTIFS('Execution log'!$B$7:$B$306,A46,'Execution log'!$L$7:$L$306,"Valid",'Execution log'!$P$7:$P$306,"&lt;&gt;Valid input")&gt;0,"To check",IF(COUNTIFS('Execution log'!$B$7:$B$306,A46,'Execution log'!$P$7:$P$306,"Valid input")=0,"",SUMIFS('Execution log'!$H$7:$H$306,'Execution log'!$B$7:$B$306,A46,'Execution log'!$P$7:$P$306,"Valid input")))))</x:f>
      </x:c>
      <x:c r="N46" s="24" t="str">
        <x:f>IF(A46="","",IF(COUNTIFS('Execution log'!$B$7:$B$306,A46)=0,"",IF(COUNTIFS('Execution log'!$B$7:$B$306,A46,'Execution log'!$L$7:$L$306,"Valid",'Execution log'!$P$7:$P$306,"&lt;&gt;Valid input")&gt;0,"To check",IF(COUNTIFS('Execution log'!$B$7:$B$306,A46,'Execution log'!$P$7:$P$306,"Valid input")=0,"",SUMIFS('Execution log'!$J$7:$J$306,'Execution log'!$B$7:$B$306,A46,'Execution log'!$P$7:$P$306,"Valid input")))))</x:f>
      </x:c>
      <x:c r="O46" s="24" t="str">
        <x:f>IF(A46="","",IF(NOT(ISNUMBER(K46)),"Budget TBD",IF(NOT(ISNUMBER(M46)),"No valid entries yet",K46-M46)))</x:f>
      </x:c>
      <x:c r="P46" s="24" t="str">
        <x:f>IF(A46="","",IF(NOT(ISNUMBER(L46)),"Budget TBD",IF(NOT(ISNUMBER(N46)),"No valid entries yet",L46-N46)))</x:f>
      </x:c>
      <x:c r="Q46" s="19" t="str">
        <x:f>IF(A46="","",IF(D46="Closed","Closed",IF(NOT(ISNUMBER(I46)),"Review date TBD",IF(NOT(ISNUMBER($B$3)),"Evaluation date TBD",IF(I46&lt;=$B$3,"Review due","Not due")))))</x:f>
      </x:c>
      <x:c r="R46" s="19" t="str">
        <x:f>IF(A46="","",IF(COUNTIFS($A$7:$A$306,A46)&lt;&gt;1,"Duplicate case ID",IF(OR(B46="",C46="",D46="",G46="",S46=""),"Basic info missing",IF(AND(F46&lt;&gt;"",COUNTIFS('Plan versions'!$A$7:$A$306,F46,'Plan versions'!$B$7:$B$306,A46,'Plan versions'!$L$7:$L$306,"Frozen")&lt;&gt;1),"Invalid current plan ref",IF(AND(D46="Executing",F46=""),"Execution lacks plan",IF(AND(D46="Closed",OR(T46="",COUNTIFS('Reviews'!$B$7:$B$306,A46)=0,COUNTIFS('Update log'!$B$7:$B$306,A46)=0)),"Closure docs missing","Basic records complete"))))))</x:f>
      </x:c>
      <x:c r="S46" s="3"/>
      <x:c r="T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20"/>
      <x:c r="J47" s="3"/>
      <x:c r="K47" s="22"/>
      <x:c r="L47" s="22"/>
      <x:c r="M47" s="24" t="str">
        <x:f>IF(A47="","",IF(COUNTIFS('Execution log'!$B$7:$B$306,A47)=0,"",IF(COUNTIFS('Execution log'!$B$7:$B$306,A47,'Execution log'!$L$7:$L$306,"Valid",'Execution log'!$P$7:$P$306,"&lt;&gt;Valid input")&gt;0,"To check",IF(COUNTIFS('Execution log'!$B$7:$B$306,A47,'Execution log'!$P$7:$P$306,"Valid input")=0,"",SUMIFS('Execution log'!$H$7:$H$306,'Execution log'!$B$7:$B$306,A47,'Execution log'!$P$7:$P$306,"Valid input")))))</x:f>
      </x:c>
      <x:c r="N47" s="24" t="str">
        <x:f>IF(A47="","",IF(COUNTIFS('Execution log'!$B$7:$B$306,A47)=0,"",IF(COUNTIFS('Execution log'!$B$7:$B$306,A47,'Execution log'!$L$7:$L$306,"Valid",'Execution log'!$P$7:$P$306,"&lt;&gt;Valid input")&gt;0,"To check",IF(COUNTIFS('Execution log'!$B$7:$B$306,A47,'Execution log'!$P$7:$P$306,"Valid input")=0,"",SUMIFS('Execution log'!$J$7:$J$306,'Execution log'!$B$7:$B$306,A47,'Execution log'!$P$7:$P$306,"Valid input")))))</x:f>
      </x:c>
      <x:c r="O47" s="24" t="str">
        <x:f>IF(A47="","",IF(NOT(ISNUMBER(K47)),"Budget TBD",IF(NOT(ISNUMBER(M47)),"No valid entries yet",K47-M47)))</x:f>
      </x:c>
      <x:c r="P47" s="24" t="str">
        <x:f>IF(A47="","",IF(NOT(ISNUMBER(L47)),"Budget TBD",IF(NOT(ISNUMBER(N47)),"No valid entries yet",L47-N47)))</x:f>
      </x:c>
      <x:c r="Q47" s="19" t="str">
        <x:f>IF(A47="","",IF(D47="Closed","Closed",IF(NOT(ISNUMBER(I47)),"Review date TBD",IF(NOT(ISNUMBER($B$3)),"Evaluation date TBD",IF(I47&lt;=$B$3,"Review due","Not due")))))</x:f>
      </x:c>
      <x:c r="R47" s="19" t="str">
        <x:f>IF(A47="","",IF(COUNTIFS($A$7:$A$306,A47)&lt;&gt;1,"Duplicate case ID",IF(OR(B47="",C47="",D47="",G47="",S47=""),"Basic info missing",IF(AND(F47&lt;&gt;"",COUNTIFS('Plan versions'!$A$7:$A$306,F47,'Plan versions'!$B$7:$B$306,A47,'Plan versions'!$L$7:$L$306,"Frozen")&lt;&gt;1),"Invalid current plan ref",IF(AND(D47="Executing",F47=""),"Execution lacks plan",IF(AND(D47="Closed",OR(T47="",COUNTIFS('Reviews'!$B$7:$B$306,A47)=0,COUNTIFS('Update log'!$B$7:$B$306,A47)=0)),"Closure docs missing","Basic records complete"))))))</x:f>
      </x:c>
      <x:c r="S47" s="3"/>
      <x:c r="T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20"/>
      <x:c r="J48" s="3"/>
      <x:c r="K48" s="22"/>
      <x:c r="L48" s="22"/>
      <x:c r="M48" s="24" t="str">
        <x:f>IF(A48="","",IF(COUNTIFS('Execution log'!$B$7:$B$306,A48)=0,"",IF(COUNTIFS('Execution log'!$B$7:$B$306,A48,'Execution log'!$L$7:$L$306,"Valid",'Execution log'!$P$7:$P$306,"&lt;&gt;Valid input")&gt;0,"To check",IF(COUNTIFS('Execution log'!$B$7:$B$306,A48,'Execution log'!$P$7:$P$306,"Valid input")=0,"",SUMIFS('Execution log'!$H$7:$H$306,'Execution log'!$B$7:$B$306,A48,'Execution log'!$P$7:$P$306,"Valid input")))))</x:f>
      </x:c>
      <x:c r="N48" s="24" t="str">
        <x:f>IF(A48="","",IF(COUNTIFS('Execution log'!$B$7:$B$306,A48)=0,"",IF(COUNTIFS('Execution log'!$B$7:$B$306,A48,'Execution log'!$L$7:$L$306,"Valid",'Execution log'!$P$7:$P$306,"&lt;&gt;Valid input")&gt;0,"To check",IF(COUNTIFS('Execution log'!$B$7:$B$306,A48,'Execution log'!$P$7:$P$306,"Valid input")=0,"",SUMIFS('Execution log'!$J$7:$J$306,'Execution log'!$B$7:$B$306,A48,'Execution log'!$P$7:$P$306,"Valid input")))))</x:f>
      </x:c>
      <x:c r="O48" s="24" t="str">
        <x:f>IF(A48="","",IF(NOT(ISNUMBER(K48)),"Budget TBD",IF(NOT(ISNUMBER(M48)),"No valid entries yet",K48-M48)))</x:f>
      </x:c>
      <x:c r="P48" s="24" t="str">
        <x:f>IF(A48="","",IF(NOT(ISNUMBER(L48)),"Budget TBD",IF(NOT(ISNUMBER(N48)),"No valid entries yet",L48-N48)))</x:f>
      </x:c>
      <x:c r="Q48" s="19" t="str">
        <x:f>IF(A48="","",IF(D48="Closed","Closed",IF(NOT(ISNUMBER(I48)),"Review date TBD",IF(NOT(ISNUMBER($B$3)),"Evaluation date TBD",IF(I48&lt;=$B$3,"Review due","Not due")))))</x:f>
      </x:c>
      <x:c r="R48" s="19" t="str">
        <x:f>IF(A48="","",IF(COUNTIFS($A$7:$A$306,A48)&lt;&gt;1,"Duplicate case ID",IF(OR(B48="",C48="",D48="",G48="",S48=""),"Basic info missing",IF(AND(F48&lt;&gt;"",COUNTIFS('Plan versions'!$A$7:$A$306,F48,'Plan versions'!$B$7:$B$306,A48,'Plan versions'!$L$7:$L$306,"Frozen")&lt;&gt;1),"Invalid current plan ref",IF(AND(D48="Executing",F48=""),"Execution lacks plan",IF(AND(D48="Closed",OR(T48="",COUNTIFS('Reviews'!$B$7:$B$306,A48)=0,COUNTIFS('Update log'!$B$7:$B$306,A48)=0)),"Closure docs missing","Basic records complete"))))))</x:f>
      </x:c>
      <x:c r="S48" s="3"/>
      <x:c r="T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20"/>
      <x:c r="J49" s="3"/>
      <x:c r="K49" s="22"/>
      <x:c r="L49" s="22"/>
      <x:c r="M49" s="24" t="str">
        <x:f>IF(A49="","",IF(COUNTIFS('Execution log'!$B$7:$B$306,A49)=0,"",IF(COUNTIFS('Execution log'!$B$7:$B$306,A49,'Execution log'!$L$7:$L$306,"Valid",'Execution log'!$P$7:$P$306,"&lt;&gt;Valid input")&gt;0,"To check",IF(COUNTIFS('Execution log'!$B$7:$B$306,A49,'Execution log'!$P$7:$P$306,"Valid input")=0,"",SUMIFS('Execution log'!$H$7:$H$306,'Execution log'!$B$7:$B$306,A49,'Execution log'!$P$7:$P$306,"Valid input")))))</x:f>
      </x:c>
      <x:c r="N49" s="24" t="str">
        <x:f>IF(A49="","",IF(COUNTIFS('Execution log'!$B$7:$B$306,A49)=0,"",IF(COUNTIFS('Execution log'!$B$7:$B$306,A49,'Execution log'!$L$7:$L$306,"Valid",'Execution log'!$P$7:$P$306,"&lt;&gt;Valid input")&gt;0,"To check",IF(COUNTIFS('Execution log'!$B$7:$B$306,A49,'Execution log'!$P$7:$P$306,"Valid input")=0,"",SUMIFS('Execution log'!$J$7:$J$306,'Execution log'!$B$7:$B$306,A49,'Execution log'!$P$7:$P$306,"Valid input")))))</x:f>
      </x:c>
      <x:c r="O49" s="24" t="str">
        <x:f>IF(A49="","",IF(NOT(ISNUMBER(K49)),"Budget TBD",IF(NOT(ISNUMBER(M49)),"No valid entries yet",K49-M49)))</x:f>
      </x:c>
      <x:c r="P49" s="24" t="str">
        <x:f>IF(A49="","",IF(NOT(ISNUMBER(L49)),"Budget TBD",IF(NOT(ISNUMBER(N49)),"No valid entries yet",L49-N49)))</x:f>
      </x:c>
      <x:c r="Q49" s="19" t="str">
        <x:f>IF(A49="","",IF(D49="Closed","Closed",IF(NOT(ISNUMBER(I49)),"Review date TBD",IF(NOT(ISNUMBER($B$3)),"Evaluation date TBD",IF(I49&lt;=$B$3,"Review due","Not due")))))</x:f>
      </x:c>
      <x:c r="R49" s="19" t="str">
        <x:f>IF(A49="","",IF(COUNTIFS($A$7:$A$306,A49)&lt;&gt;1,"Duplicate case ID",IF(OR(B49="",C49="",D49="",G49="",S49=""),"Basic info missing",IF(AND(F49&lt;&gt;"",COUNTIFS('Plan versions'!$A$7:$A$306,F49,'Plan versions'!$B$7:$B$306,A49,'Plan versions'!$L$7:$L$306,"Frozen")&lt;&gt;1),"Invalid current plan ref",IF(AND(D49="Executing",F49=""),"Execution lacks plan",IF(AND(D49="Closed",OR(T49="",COUNTIFS('Reviews'!$B$7:$B$306,A49)=0,COUNTIFS('Update log'!$B$7:$B$306,A49)=0)),"Closure docs missing","Basic records complete"))))))</x:f>
      </x:c>
      <x:c r="S49" s="3"/>
      <x:c r="T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20"/>
      <x:c r="J50" s="3"/>
      <x:c r="K50" s="22"/>
      <x:c r="L50" s="22"/>
      <x:c r="M50" s="24" t="str">
        <x:f>IF(A50="","",IF(COUNTIFS('Execution log'!$B$7:$B$306,A50)=0,"",IF(COUNTIFS('Execution log'!$B$7:$B$306,A50,'Execution log'!$L$7:$L$306,"Valid",'Execution log'!$P$7:$P$306,"&lt;&gt;Valid input")&gt;0,"To check",IF(COUNTIFS('Execution log'!$B$7:$B$306,A50,'Execution log'!$P$7:$P$306,"Valid input")=0,"",SUMIFS('Execution log'!$H$7:$H$306,'Execution log'!$B$7:$B$306,A50,'Execution log'!$P$7:$P$306,"Valid input")))))</x:f>
      </x:c>
      <x:c r="N50" s="24" t="str">
        <x:f>IF(A50="","",IF(COUNTIFS('Execution log'!$B$7:$B$306,A50)=0,"",IF(COUNTIFS('Execution log'!$B$7:$B$306,A50,'Execution log'!$L$7:$L$306,"Valid",'Execution log'!$P$7:$P$306,"&lt;&gt;Valid input")&gt;0,"To check",IF(COUNTIFS('Execution log'!$B$7:$B$306,A50,'Execution log'!$P$7:$P$306,"Valid input")=0,"",SUMIFS('Execution log'!$J$7:$J$306,'Execution log'!$B$7:$B$306,A50,'Execution log'!$P$7:$P$306,"Valid input")))))</x:f>
      </x:c>
      <x:c r="O50" s="24" t="str">
        <x:f>IF(A50="","",IF(NOT(ISNUMBER(K50)),"Budget TBD",IF(NOT(ISNUMBER(M50)),"No valid entries yet",K50-M50)))</x:f>
      </x:c>
      <x:c r="P50" s="24" t="str">
        <x:f>IF(A50="","",IF(NOT(ISNUMBER(L50)),"Budget TBD",IF(NOT(ISNUMBER(N50)),"No valid entries yet",L50-N50)))</x:f>
      </x:c>
      <x:c r="Q50" s="19" t="str">
        <x:f>IF(A50="","",IF(D50="Closed","Closed",IF(NOT(ISNUMBER(I50)),"Review date TBD",IF(NOT(ISNUMBER($B$3)),"Evaluation date TBD",IF(I50&lt;=$B$3,"Review due","Not due")))))</x:f>
      </x:c>
      <x:c r="R50" s="19" t="str">
        <x:f>IF(A50="","",IF(COUNTIFS($A$7:$A$306,A50)&lt;&gt;1,"Duplicate case ID",IF(OR(B50="",C50="",D50="",G50="",S50=""),"Basic info missing",IF(AND(F50&lt;&gt;"",COUNTIFS('Plan versions'!$A$7:$A$306,F50,'Plan versions'!$B$7:$B$306,A50,'Plan versions'!$L$7:$L$306,"Frozen")&lt;&gt;1),"Invalid current plan ref",IF(AND(D50="Executing",F50=""),"Execution lacks plan",IF(AND(D50="Closed",OR(T50="",COUNTIFS('Reviews'!$B$7:$B$306,A50)=0,COUNTIFS('Update log'!$B$7:$B$306,A50)=0)),"Closure docs missing","Basic records complete"))))))</x:f>
      </x:c>
      <x:c r="S50" s="3"/>
      <x:c r="T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20"/>
      <x:c r="J51" s="3"/>
      <x:c r="K51" s="22"/>
      <x:c r="L51" s="22"/>
      <x:c r="M51" s="24" t="str">
        <x:f>IF(A51="","",IF(COUNTIFS('Execution log'!$B$7:$B$306,A51)=0,"",IF(COUNTIFS('Execution log'!$B$7:$B$306,A51,'Execution log'!$L$7:$L$306,"Valid",'Execution log'!$P$7:$P$306,"&lt;&gt;Valid input")&gt;0,"To check",IF(COUNTIFS('Execution log'!$B$7:$B$306,A51,'Execution log'!$P$7:$P$306,"Valid input")=0,"",SUMIFS('Execution log'!$H$7:$H$306,'Execution log'!$B$7:$B$306,A51,'Execution log'!$P$7:$P$306,"Valid input")))))</x:f>
      </x:c>
      <x:c r="N51" s="24" t="str">
        <x:f>IF(A51="","",IF(COUNTIFS('Execution log'!$B$7:$B$306,A51)=0,"",IF(COUNTIFS('Execution log'!$B$7:$B$306,A51,'Execution log'!$L$7:$L$306,"Valid",'Execution log'!$P$7:$P$306,"&lt;&gt;Valid input")&gt;0,"To check",IF(COUNTIFS('Execution log'!$B$7:$B$306,A51,'Execution log'!$P$7:$P$306,"Valid input")=0,"",SUMIFS('Execution log'!$J$7:$J$306,'Execution log'!$B$7:$B$306,A51,'Execution log'!$P$7:$P$306,"Valid input")))))</x:f>
      </x:c>
      <x:c r="O51" s="24" t="str">
        <x:f>IF(A51="","",IF(NOT(ISNUMBER(K51)),"Budget TBD",IF(NOT(ISNUMBER(M51)),"No valid entries yet",K51-M51)))</x:f>
      </x:c>
      <x:c r="P51" s="24" t="str">
        <x:f>IF(A51="","",IF(NOT(ISNUMBER(L51)),"Budget TBD",IF(NOT(ISNUMBER(N51)),"No valid entries yet",L51-N51)))</x:f>
      </x:c>
      <x:c r="Q51" s="19" t="str">
        <x:f>IF(A51="","",IF(D51="Closed","Closed",IF(NOT(ISNUMBER(I51)),"Review date TBD",IF(NOT(ISNUMBER($B$3)),"Evaluation date TBD",IF(I51&lt;=$B$3,"Review due","Not due")))))</x:f>
      </x:c>
      <x:c r="R51" s="19" t="str">
        <x:f>IF(A51="","",IF(COUNTIFS($A$7:$A$306,A51)&lt;&gt;1,"Duplicate case ID",IF(OR(B51="",C51="",D51="",G51="",S51=""),"Basic info missing",IF(AND(F51&lt;&gt;"",COUNTIFS('Plan versions'!$A$7:$A$306,F51,'Plan versions'!$B$7:$B$306,A51,'Plan versions'!$L$7:$L$306,"Frozen")&lt;&gt;1),"Invalid current plan ref",IF(AND(D51="Executing",F51=""),"Execution lacks plan",IF(AND(D51="Closed",OR(T51="",COUNTIFS('Reviews'!$B$7:$B$306,A51)=0,COUNTIFS('Update log'!$B$7:$B$306,A51)=0)),"Closure docs missing","Basic records complete"))))))</x:f>
      </x:c>
      <x:c r="S51" s="3"/>
      <x:c r="T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20"/>
      <x:c r="J52" s="3"/>
      <x:c r="K52" s="22"/>
      <x:c r="L52" s="22"/>
      <x:c r="M52" s="24" t="str">
        <x:f>IF(A52="","",IF(COUNTIFS('Execution log'!$B$7:$B$306,A52)=0,"",IF(COUNTIFS('Execution log'!$B$7:$B$306,A52,'Execution log'!$L$7:$L$306,"Valid",'Execution log'!$P$7:$P$306,"&lt;&gt;Valid input")&gt;0,"To check",IF(COUNTIFS('Execution log'!$B$7:$B$306,A52,'Execution log'!$P$7:$P$306,"Valid input")=0,"",SUMIFS('Execution log'!$H$7:$H$306,'Execution log'!$B$7:$B$306,A52,'Execution log'!$P$7:$P$306,"Valid input")))))</x:f>
      </x:c>
      <x:c r="N52" s="24" t="str">
        <x:f>IF(A52="","",IF(COUNTIFS('Execution log'!$B$7:$B$306,A52)=0,"",IF(COUNTIFS('Execution log'!$B$7:$B$306,A52,'Execution log'!$L$7:$L$306,"Valid",'Execution log'!$P$7:$P$306,"&lt;&gt;Valid input")&gt;0,"To check",IF(COUNTIFS('Execution log'!$B$7:$B$306,A52,'Execution log'!$P$7:$P$306,"Valid input")=0,"",SUMIFS('Execution log'!$J$7:$J$306,'Execution log'!$B$7:$B$306,A52,'Execution log'!$P$7:$P$306,"Valid input")))))</x:f>
      </x:c>
      <x:c r="O52" s="24" t="str">
        <x:f>IF(A52="","",IF(NOT(ISNUMBER(K52)),"Budget TBD",IF(NOT(ISNUMBER(M52)),"No valid entries yet",K52-M52)))</x:f>
      </x:c>
      <x:c r="P52" s="24" t="str">
        <x:f>IF(A52="","",IF(NOT(ISNUMBER(L52)),"Budget TBD",IF(NOT(ISNUMBER(N52)),"No valid entries yet",L52-N52)))</x:f>
      </x:c>
      <x:c r="Q52" s="19" t="str">
        <x:f>IF(A52="","",IF(D52="Closed","Closed",IF(NOT(ISNUMBER(I52)),"Review date TBD",IF(NOT(ISNUMBER($B$3)),"Evaluation date TBD",IF(I52&lt;=$B$3,"Review due","Not due")))))</x:f>
      </x:c>
      <x:c r="R52" s="19" t="str">
        <x:f>IF(A52="","",IF(COUNTIFS($A$7:$A$306,A52)&lt;&gt;1,"Duplicate case ID",IF(OR(B52="",C52="",D52="",G52="",S52=""),"Basic info missing",IF(AND(F52&lt;&gt;"",COUNTIFS('Plan versions'!$A$7:$A$306,F52,'Plan versions'!$B$7:$B$306,A52,'Plan versions'!$L$7:$L$306,"Frozen")&lt;&gt;1),"Invalid current plan ref",IF(AND(D52="Executing",F52=""),"Execution lacks plan",IF(AND(D52="Closed",OR(T52="",COUNTIFS('Reviews'!$B$7:$B$306,A52)=0,COUNTIFS('Update log'!$B$7:$B$306,A52)=0)),"Closure docs missing","Basic records complete"))))))</x:f>
      </x:c>
      <x:c r="S52" s="3"/>
      <x:c r="T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20"/>
      <x:c r="J53" s="3"/>
      <x:c r="K53" s="22"/>
      <x:c r="L53" s="22"/>
      <x:c r="M53" s="24" t="str">
        <x:f>IF(A53="","",IF(COUNTIFS('Execution log'!$B$7:$B$306,A53)=0,"",IF(COUNTIFS('Execution log'!$B$7:$B$306,A53,'Execution log'!$L$7:$L$306,"Valid",'Execution log'!$P$7:$P$306,"&lt;&gt;Valid input")&gt;0,"To check",IF(COUNTIFS('Execution log'!$B$7:$B$306,A53,'Execution log'!$P$7:$P$306,"Valid input")=0,"",SUMIFS('Execution log'!$H$7:$H$306,'Execution log'!$B$7:$B$306,A53,'Execution log'!$P$7:$P$306,"Valid input")))))</x:f>
      </x:c>
      <x:c r="N53" s="24" t="str">
        <x:f>IF(A53="","",IF(COUNTIFS('Execution log'!$B$7:$B$306,A53)=0,"",IF(COUNTIFS('Execution log'!$B$7:$B$306,A53,'Execution log'!$L$7:$L$306,"Valid",'Execution log'!$P$7:$P$306,"&lt;&gt;Valid input")&gt;0,"To check",IF(COUNTIFS('Execution log'!$B$7:$B$306,A53,'Execution log'!$P$7:$P$306,"Valid input")=0,"",SUMIFS('Execution log'!$J$7:$J$306,'Execution log'!$B$7:$B$306,A53,'Execution log'!$P$7:$P$306,"Valid input")))))</x:f>
      </x:c>
      <x:c r="O53" s="24" t="str">
        <x:f>IF(A53="","",IF(NOT(ISNUMBER(K53)),"Budget TBD",IF(NOT(ISNUMBER(M53)),"No valid entries yet",K53-M53)))</x:f>
      </x:c>
      <x:c r="P53" s="24" t="str">
        <x:f>IF(A53="","",IF(NOT(ISNUMBER(L53)),"Budget TBD",IF(NOT(ISNUMBER(N53)),"No valid entries yet",L53-N53)))</x:f>
      </x:c>
      <x:c r="Q53" s="19" t="str">
        <x:f>IF(A53="","",IF(D53="Closed","Closed",IF(NOT(ISNUMBER(I53)),"Review date TBD",IF(NOT(ISNUMBER($B$3)),"Evaluation date TBD",IF(I53&lt;=$B$3,"Review due","Not due")))))</x:f>
      </x:c>
      <x:c r="R53" s="19" t="str">
        <x:f>IF(A53="","",IF(COUNTIFS($A$7:$A$306,A53)&lt;&gt;1,"Duplicate case ID",IF(OR(B53="",C53="",D53="",G53="",S53=""),"Basic info missing",IF(AND(F53&lt;&gt;"",COUNTIFS('Plan versions'!$A$7:$A$306,F53,'Plan versions'!$B$7:$B$306,A53,'Plan versions'!$L$7:$L$306,"Frozen")&lt;&gt;1),"Invalid current plan ref",IF(AND(D53="Executing",F53=""),"Execution lacks plan",IF(AND(D53="Closed",OR(T53="",COUNTIFS('Reviews'!$B$7:$B$306,A53)=0,COUNTIFS('Update log'!$B$7:$B$306,A53)=0)),"Closure docs missing","Basic records complete"))))))</x:f>
      </x:c>
      <x:c r="S53" s="3"/>
      <x:c r="T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20"/>
      <x:c r="J54" s="3"/>
      <x:c r="K54" s="22"/>
      <x:c r="L54" s="22"/>
      <x:c r="M54" s="24" t="str">
        <x:f>IF(A54="","",IF(COUNTIFS('Execution log'!$B$7:$B$306,A54)=0,"",IF(COUNTIFS('Execution log'!$B$7:$B$306,A54,'Execution log'!$L$7:$L$306,"Valid",'Execution log'!$P$7:$P$306,"&lt;&gt;Valid input")&gt;0,"To check",IF(COUNTIFS('Execution log'!$B$7:$B$306,A54,'Execution log'!$P$7:$P$306,"Valid input")=0,"",SUMIFS('Execution log'!$H$7:$H$306,'Execution log'!$B$7:$B$306,A54,'Execution log'!$P$7:$P$306,"Valid input")))))</x:f>
      </x:c>
      <x:c r="N54" s="24" t="str">
        <x:f>IF(A54="","",IF(COUNTIFS('Execution log'!$B$7:$B$306,A54)=0,"",IF(COUNTIFS('Execution log'!$B$7:$B$306,A54,'Execution log'!$L$7:$L$306,"Valid",'Execution log'!$P$7:$P$306,"&lt;&gt;Valid input")&gt;0,"To check",IF(COUNTIFS('Execution log'!$B$7:$B$306,A54,'Execution log'!$P$7:$P$306,"Valid input")=0,"",SUMIFS('Execution log'!$J$7:$J$306,'Execution log'!$B$7:$B$306,A54,'Execution log'!$P$7:$P$306,"Valid input")))))</x:f>
      </x:c>
      <x:c r="O54" s="24" t="str">
        <x:f>IF(A54="","",IF(NOT(ISNUMBER(K54)),"Budget TBD",IF(NOT(ISNUMBER(M54)),"No valid entries yet",K54-M54)))</x:f>
      </x:c>
      <x:c r="P54" s="24" t="str">
        <x:f>IF(A54="","",IF(NOT(ISNUMBER(L54)),"Budget TBD",IF(NOT(ISNUMBER(N54)),"No valid entries yet",L54-N54)))</x:f>
      </x:c>
      <x:c r="Q54" s="19" t="str">
        <x:f>IF(A54="","",IF(D54="Closed","Closed",IF(NOT(ISNUMBER(I54)),"Review date TBD",IF(NOT(ISNUMBER($B$3)),"Evaluation date TBD",IF(I54&lt;=$B$3,"Review due","Not due")))))</x:f>
      </x:c>
      <x:c r="R54" s="19" t="str">
        <x:f>IF(A54="","",IF(COUNTIFS($A$7:$A$306,A54)&lt;&gt;1,"Duplicate case ID",IF(OR(B54="",C54="",D54="",G54="",S54=""),"Basic info missing",IF(AND(F54&lt;&gt;"",COUNTIFS('Plan versions'!$A$7:$A$306,F54,'Plan versions'!$B$7:$B$306,A54,'Plan versions'!$L$7:$L$306,"Frozen")&lt;&gt;1),"Invalid current plan ref",IF(AND(D54="Executing",F54=""),"Execution lacks plan",IF(AND(D54="Closed",OR(T54="",COUNTIFS('Reviews'!$B$7:$B$306,A54)=0,COUNTIFS('Update log'!$B$7:$B$306,A54)=0)),"Closure docs missing","Basic records complete"))))))</x:f>
      </x:c>
      <x:c r="S54" s="3"/>
      <x:c r="T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20"/>
      <x:c r="J55" s="3"/>
      <x:c r="K55" s="22"/>
      <x:c r="L55" s="22"/>
      <x:c r="M55" s="24" t="str">
        <x:f>IF(A55="","",IF(COUNTIFS('Execution log'!$B$7:$B$306,A55)=0,"",IF(COUNTIFS('Execution log'!$B$7:$B$306,A55,'Execution log'!$L$7:$L$306,"Valid",'Execution log'!$P$7:$P$306,"&lt;&gt;Valid input")&gt;0,"To check",IF(COUNTIFS('Execution log'!$B$7:$B$306,A55,'Execution log'!$P$7:$P$306,"Valid input")=0,"",SUMIFS('Execution log'!$H$7:$H$306,'Execution log'!$B$7:$B$306,A55,'Execution log'!$P$7:$P$306,"Valid input")))))</x:f>
      </x:c>
      <x:c r="N55" s="24" t="str">
        <x:f>IF(A55="","",IF(COUNTIFS('Execution log'!$B$7:$B$306,A55)=0,"",IF(COUNTIFS('Execution log'!$B$7:$B$306,A55,'Execution log'!$L$7:$L$306,"Valid",'Execution log'!$P$7:$P$306,"&lt;&gt;Valid input")&gt;0,"To check",IF(COUNTIFS('Execution log'!$B$7:$B$306,A55,'Execution log'!$P$7:$P$306,"Valid input")=0,"",SUMIFS('Execution log'!$J$7:$J$306,'Execution log'!$B$7:$B$306,A55,'Execution log'!$P$7:$P$306,"Valid input")))))</x:f>
      </x:c>
      <x:c r="O55" s="24" t="str">
        <x:f>IF(A55="","",IF(NOT(ISNUMBER(K55)),"Budget TBD",IF(NOT(ISNUMBER(M55)),"No valid entries yet",K55-M55)))</x:f>
      </x:c>
      <x:c r="P55" s="24" t="str">
        <x:f>IF(A55="","",IF(NOT(ISNUMBER(L55)),"Budget TBD",IF(NOT(ISNUMBER(N55)),"No valid entries yet",L55-N55)))</x:f>
      </x:c>
      <x:c r="Q55" s="19" t="str">
        <x:f>IF(A55="","",IF(D55="Closed","Closed",IF(NOT(ISNUMBER(I55)),"Review date TBD",IF(NOT(ISNUMBER($B$3)),"Evaluation date TBD",IF(I55&lt;=$B$3,"Review due","Not due")))))</x:f>
      </x:c>
      <x:c r="R55" s="19" t="str">
        <x:f>IF(A55="","",IF(COUNTIFS($A$7:$A$306,A55)&lt;&gt;1,"Duplicate case ID",IF(OR(B55="",C55="",D55="",G55="",S55=""),"Basic info missing",IF(AND(F55&lt;&gt;"",COUNTIFS('Plan versions'!$A$7:$A$306,F55,'Plan versions'!$B$7:$B$306,A55,'Plan versions'!$L$7:$L$306,"Frozen")&lt;&gt;1),"Invalid current plan ref",IF(AND(D55="Executing",F55=""),"Execution lacks plan",IF(AND(D55="Closed",OR(T55="",COUNTIFS('Reviews'!$B$7:$B$306,A55)=0,COUNTIFS('Update log'!$B$7:$B$306,A55)=0)),"Closure docs missing","Basic records complete"))))))</x:f>
      </x:c>
      <x:c r="S55" s="3"/>
      <x:c r="T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20"/>
      <x:c r="J56" s="3"/>
      <x:c r="K56" s="22"/>
      <x:c r="L56" s="22"/>
      <x:c r="M56" s="24" t="str">
        <x:f>IF(A56="","",IF(COUNTIFS('Execution log'!$B$7:$B$306,A56)=0,"",IF(COUNTIFS('Execution log'!$B$7:$B$306,A56,'Execution log'!$L$7:$L$306,"Valid",'Execution log'!$P$7:$P$306,"&lt;&gt;Valid input")&gt;0,"To check",IF(COUNTIFS('Execution log'!$B$7:$B$306,A56,'Execution log'!$P$7:$P$306,"Valid input")=0,"",SUMIFS('Execution log'!$H$7:$H$306,'Execution log'!$B$7:$B$306,A56,'Execution log'!$P$7:$P$306,"Valid input")))))</x:f>
      </x:c>
      <x:c r="N56" s="24" t="str">
        <x:f>IF(A56="","",IF(COUNTIFS('Execution log'!$B$7:$B$306,A56)=0,"",IF(COUNTIFS('Execution log'!$B$7:$B$306,A56,'Execution log'!$L$7:$L$306,"Valid",'Execution log'!$P$7:$P$306,"&lt;&gt;Valid input")&gt;0,"To check",IF(COUNTIFS('Execution log'!$B$7:$B$306,A56,'Execution log'!$P$7:$P$306,"Valid input")=0,"",SUMIFS('Execution log'!$J$7:$J$306,'Execution log'!$B$7:$B$306,A56,'Execution log'!$P$7:$P$306,"Valid input")))))</x:f>
      </x:c>
      <x:c r="O56" s="24" t="str">
        <x:f>IF(A56="","",IF(NOT(ISNUMBER(K56)),"Budget TBD",IF(NOT(ISNUMBER(M56)),"No valid entries yet",K56-M56)))</x:f>
      </x:c>
      <x:c r="P56" s="24" t="str">
        <x:f>IF(A56="","",IF(NOT(ISNUMBER(L56)),"Budget TBD",IF(NOT(ISNUMBER(N56)),"No valid entries yet",L56-N56)))</x:f>
      </x:c>
      <x:c r="Q56" s="19" t="str">
        <x:f>IF(A56="","",IF(D56="Closed","Closed",IF(NOT(ISNUMBER(I56)),"Review date TBD",IF(NOT(ISNUMBER($B$3)),"Evaluation date TBD",IF(I56&lt;=$B$3,"Review due","Not due")))))</x:f>
      </x:c>
      <x:c r="R56" s="19" t="str">
        <x:f>IF(A56="","",IF(COUNTIFS($A$7:$A$306,A56)&lt;&gt;1,"Duplicate case ID",IF(OR(B56="",C56="",D56="",G56="",S56=""),"Basic info missing",IF(AND(F56&lt;&gt;"",COUNTIFS('Plan versions'!$A$7:$A$306,F56,'Plan versions'!$B$7:$B$306,A56,'Plan versions'!$L$7:$L$306,"Frozen")&lt;&gt;1),"Invalid current plan ref",IF(AND(D56="Executing",F56=""),"Execution lacks plan",IF(AND(D56="Closed",OR(T56="",COUNTIFS('Reviews'!$B$7:$B$306,A56)=0,COUNTIFS('Update log'!$B$7:$B$306,A56)=0)),"Closure docs missing","Basic records complete"))))))</x:f>
      </x:c>
      <x:c r="S56" s="3"/>
      <x:c r="T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20"/>
      <x:c r="J57" s="3"/>
      <x:c r="K57" s="22"/>
      <x:c r="L57" s="22"/>
      <x:c r="M57" s="24" t="str">
        <x:f>IF(A57="","",IF(COUNTIFS('Execution log'!$B$7:$B$306,A57)=0,"",IF(COUNTIFS('Execution log'!$B$7:$B$306,A57,'Execution log'!$L$7:$L$306,"Valid",'Execution log'!$P$7:$P$306,"&lt;&gt;Valid input")&gt;0,"To check",IF(COUNTIFS('Execution log'!$B$7:$B$306,A57,'Execution log'!$P$7:$P$306,"Valid input")=0,"",SUMIFS('Execution log'!$H$7:$H$306,'Execution log'!$B$7:$B$306,A57,'Execution log'!$P$7:$P$306,"Valid input")))))</x:f>
      </x:c>
      <x:c r="N57" s="24" t="str">
        <x:f>IF(A57="","",IF(COUNTIFS('Execution log'!$B$7:$B$306,A57)=0,"",IF(COUNTIFS('Execution log'!$B$7:$B$306,A57,'Execution log'!$L$7:$L$306,"Valid",'Execution log'!$P$7:$P$306,"&lt;&gt;Valid input")&gt;0,"To check",IF(COUNTIFS('Execution log'!$B$7:$B$306,A57,'Execution log'!$P$7:$P$306,"Valid input")=0,"",SUMIFS('Execution log'!$J$7:$J$306,'Execution log'!$B$7:$B$306,A57,'Execution log'!$P$7:$P$306,"Valid input")))))</x:f>
      </x:c>
      <x:c r="O57" s="24" t="str">
        <x:f>IF(A57="","",IF(NOT(ISNUMBER(K57)),"Budget TBD",IF(NOT(ISNUMBER(M57)),"No valid entries yet",K57-M57)))</x:f>
      </x:c>
      <x:c r="P57" s="24" t="str">
        <x:f>IF(A57="","",IF(NOT(ISNUMBER(L57)),"Budget TBD",IF(NOT(ISNUMBER(N57)),"No valid entries yet",L57-N57)))</x:f>
      </x:c>
      <x:c r="Q57" s="19" t="str">
        <x:f>IF(A57="","",IF(D57="Closed","Closed",IF(NOT(ISNUMBER(I57)),"Review date TBD",IF(NOT(ISNUMBER($B$3)),"Evaluation date TBD",IF(I57&lt;=$B$3,"Review due","Not due")))))</x:f>
      </x:c>
      <x:c r="R57" s="19" t="str">
        <x:f>IF(A57="","",IF(COUNTIFS($A$7:$A$306,A57)&lt;&gt;1,"Duplicate case ID",IF(OR(B57="",C57="",D57="",G57="",S57=""),"Basic info missing",IF(AND(F57&lt;&gt;"",COUNTIFS('Plan versions'!$A$7:$A$306,F57,'Plan versions'!$B$7:$B$306,A57,'Plan versions'!$L$7:$L$306,"Frozen")&lt;&gt;1),"Invalid current plan ref",IF(AND(D57="Executing",F57=""),"Execution lacks plan",IF(AND(D57="Closed",OR(T57="",COUNTIFS('Reviews'!$B$7:$B$306,A57)=0,COUNTIFS('Update log'!$B$7:$B$306,A57)=0)),"Closure docs missing","Basic records complete"))))))</x:f>
      </x:c>
      <x:c r="S57" s="3"/>
      <x:c r="T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20"/>
      <x:c r="J58" s="3"/>
      <x:c r="K58" s="22"/>
      <x:c r="L58" s="22"/>
      <x:c r="M58" s="24" t="str">
        <x:f>IF(A58="","",IF(COUNTIFS('Execution log'!$B$7:$B$306,A58)=0,"",IF(COUNTIFS('Execution log'!$B$7:$B$306,A58,'Execution log'!$L$7:$L$306,"Valid",'Execution log'!$P$7:$P$306,"&lt;&gt;Valid input")&gt;0,"To check",IF(COUNTIFS('Execution log'!$B$7:$B$306,A58,'Execution log'!$P$7:$P$306,"Valid input")=0,"",SUMIFS('Execution log'!$H$7:$H$306,'Execution log'!$B$7:$B$306,A58,'Execution log'!$P$7:$P$306,"Valid input")))))</x:f>
      </x:c>
      <x:c r="N58" s="24" t="str">
        <x:f>IF(A58="","",IF(COUNTIFS('Execution log'!$B$7:$B$306,A58)=0,"",IF(COUNTIFS('Execution log'!$B$7:$B$306,A58,'Execution log'!$L$7:$L$306,"Valid",'Execution log'!$P$7:$P$306,"&lt;&gt;Valid input")&gt;0,"To check",IF(COUNTIFS('Execution log'!$B$7:$B$306,A58,'Execution log'!$P$7:$P$306,"Valid input")=0,"",SUMIFS('Execution log'!$J$7:$J$306,'Execution log'!$B$7:$B$306,A58,'Execution log'!$P$7:$P$306,"Valid input")))))</x:f>
      </x:c>
      <x:c r="O58" s="24" t="str">
        <x:f>IF(A58="","",IF(NOT(ISNUMBER(K58)),"Budget TBD",IF(NOT(ISNUMBER(M58)),"No valid entries yet",K58-M58)))</x:f>
      </x:c>
      <x:c r="P58" s="24" t="str">
        <x:f>IF(A58="","",IF(NOT(ISNUMBER(L58)),"Budget TBD",IF(NOT(ISNUMBER(N58)),"No valid entries yet",L58-N58)))</x:f>
      </x:c>
      <x:c r="Q58" s="19" t="str">
        <x:f>IF(A58="","",IF(D58="Closed","Closed",IF(NOT(ISNUMBER(I58)),"Review date TBD",IF(NOT(ISNUMBER($B$3)),"Evaluation date TBD",IF(I58&lt;=$B$3,"Review due","Not due")))))</x:f>
      </x:c>
      <x:c r="R58" s="19" t="str">
        <x:f>IF(A58="","",IF(COUNTIFS($A$7:$A$306,A58)&lt;&gt;1,"Duplicate case ID",IF(OR(B58="",C58="",D58="",G58="",S58=""),"Basic info missing",IF(AND(F58&lt;&gt;"",COUNTIFS('Plan versions'!$A$7:$A$306,F58,'Plan versions'!$B$7:$B$306,A58,'Plan versions'!$L$7:$L$306,"Frozen")&lt;&gt;1),"Invalid current plan ref",IF(AND(D58="Executing",F58=""),"Execution lacks plan",IF(AND(D58="Closed",OR(T58="",COUNTIFS('Reviews'!$B$7:$B$306,A58)=0,COUNTIFS('Update log'!$B$7:$B$306,A58)=0)),"Closure docs missing","Basic records complete"))))))</x:f>
      </x:c>
      <x:c r="S58" s="3"/>
      <x:c r="T58" s="3"/>
    </x:row>
    <x:row r="59" ht="25" customHeight="1">
      <x:c r="A59" s="3"/>
      <x:c r="B59" s="3"/>
      <x:c r="C59" s="3"/>
      <x:c r="D59" s="3"/>
      <x:c r="E59" s="3"/>
      <x:c r="F59" s="3"/>
      <x:c r="G59" s="3"/>
      <x:c r="H59" s="3"/>
      <x:c r="I59" s="20"/>
      <x:c r="J59" s="3"/>
      <x:c r="K59" s="22"/>
      <x:c r="L59" s="22"/>
      <x:c r="M59" s="24" t="str">
        <x:f>IF(A59="","",IF(COUNTIFS('Execution log'!$B$7:$B$306,A59)=0,"",IF(COUNTIFS('Execution log'!$B$7:$B$306,A59,'Execution log'!$L$7:$L$306,"Valid",'Execution log'!$P$7:$P$306,"&lt;&gt;Valid input")&gt;0,"To check",IF(COUNTIFS('Execution log'!$B$7:$B$306,A59,'Execution log'!$P$7:$P$306,"Valid input")=0,"",SUMIFS('Execution log'!$H$7:$H$306,'Execution log'!$B$7:$B$306,A59,'Execution log'!$P$7:$P$306,"Valid input")))))</x:f>
      </x:c>
      <x:c r="N59" s="24" t="str">
        <x:f>IF(A59="","",IF(COUNTIFS('Execution log'!$B$7:$B$306,A59)=0,"",IF(COUNTIFS('Execution log'!$B$7:$B$306,A59,'Execution log'!$L$7:$L$306,"Valid",'Execution log'!$P$7:$P$306,"&lt;&gt;Valid input")&gt;0,"To check",IF(COUNTIFS('Execution log'!$B$7:$B$306,A59,'Execution log'!$P$7:$P$306,"Valid input")=0,"",SUMIFS('Execution log'!$J$7:$J$306,'Execution log'!$B$7:$B$306,A59,'Execution log'!$P$7:$P$306,"Valid input")))))</x:f>
      </x:c>
      <x:c r="O59" s="24" t="str">
        <x:f>IF(A59="","",IF(NOT(ISNUMBER(K59)),"Budget TBD",IF(NOT(ISNUMBER(M59)),"No valid entries yet",K59-M59)))</x:f>
      </x:c>
      <x:c r="P59" s="24" t="str">
        <x:f>IF(A59="","",IF(NOT(ISNUMBER(L59)),"Budget TBD",IF(NOT(ISNUMBER(N59)),"No valid entries yet",L59-N59)))</x:f>
      </x:c>
      <x:c r="Q59" s="19" t="str">
        <x:f>IF(A59="","",IF(D59="Closed","Closed",IF(NOT(ISNUMBER(I59)),"Review date TBD",IF(NOT(ISNUMBER($B$3)),"Evaluation date TBD",IF(I59&lt;=$B$3,"Review due","Not due")))))</x:f>
      </x:c>
      <x:c r="R59" s="19" t="str">
        <x:f>IF(A59="","",IF(COUNTIFS($A$7:$A$306,A59)&lt;&gt;1,"Duplicate case ID",IF(OR(B59="",C59="",D59="",G59="",S59=""),"Basic info missing",IF(AND(F59&lt;&gt;"",COUNTIFS('Plan versions'!$A$7:$A$306,F59,'Plan versions'!$B$7:$B$306,A59,'Plan versions'!$L$7:$L$306,"Frozen")&lt;&gt;1),"Invalid current plan ref",IF(AND(D59="Executing",F59=""),"Execution lacks plan",IF(AND(D59="Closed",OR(T59="",COUNTIFS('Reviews'!$B$7:$B$306,A59)=0,COUNTIFS('Update log'!$B$7:$B$306,A59)=0)),"Closure docs missing","Basic records complete"))))))</x:f>
      </x:c>
      <x:c r="S59" s="3"/>
      <x:c r="T59" s="3"/>
    </x:row>
    <x:row r="60" ht="25" customHeight="1">
      <x:c r="A60" s="3"/>
      <x:c r="B60" s="3"/>
      <x:c r="C60" s="3"/>
      <x:c r="D60" s="3"/>
      <x:c r="E60" s="3"/>
      <x:c r="F60" s="3"/>
      <x:c r="G60" s="3"/>
      <x:c r="H60" s="3"/>
      <x:c r="I60" s="20"/>
      <x:c r="J60" s="3"/>
      <x:c r="K60" s="22"/>
      <x:c r="L60" s="22"/>
      <x:c r="M60" s="24" t="str">
        <x:f>IF(A60="","",IF(COUNTIFS('Execution log'!$B$7:$B$306,A60)=0,"",IF(COUNTIFS('Execution log'!$B$7:$B$306,A60,'Execution log'!$L$7:$L$306,"Valid",'Execution log'!$P$7:$P$306,"&lt;&gt;Valid input")&gt;0,"To check",IF(COUNTIFS('Execution log'!$B$7:$B$306,A60,'Execution log'!$P$7:$P$306,"Valid input")=0,"",SUMIFS('Execution log'!$H$7:$H$306,'Execution log'!$B$7:$B$306,A60,'Execution log'!$P$7:$P$306,"Valid input")))))</x:f>
      </x:c>
      <x:c r="N60" s="24" t="str">
        <x:f>IF(A60="","",IF(COUNTIFS('Execution log'!$B$7:$B$306,A60)=0,"",IF(COUNTIFS('Execution log'!$B$7:$B$306,A60,'Execution log'!$L$7:$L$306,"Valid",'Execution log'!$P$7:$P$306,"&lt;&gt;Valid input")&gt;0,"To check",IF(COUNTIFS('Execution log'!$B$7:$B$306,A60,'Execution log'!$P$7:$P$306,"Valid input")=0,"",SUMIFS('Execution log'!$J$7:$J$306,'Execution log'!$B$7:$B$306,A60,'Execution log'!$P$7:$P$306,"Valid input")))))</x:f>
      </x:c>
      <x:c r="O60" s="24" t="str">
        <x:f>IF(A60="","",IF(NOT(ISNUMBER(K60)),"Budget TBD",IF(NOT(ISNUMBER(M60)),"No valid entries yet",K60-M60)))</x:f>
      </x:c>
      <x:c r="P60" s="24" t="str">
        <x:f>IF(A60="","",IF(NOT(ISNUMBER(L60)),"Budget TBD",IF(NOT(ISNUMBER(N60)),"No valid entries yet",L60-N60)))</x:f>
      </x:c>
      <x:c r="Q60" s="19" t="str">
        <x:f>IF(A60="","",IF(D60="Closed","Closed",IF(NOT(ISNUMBER(I60)),"Review date TBD",IF(NOT(ISNUMBER($B$3)),"Evaluation date TBD",IF(I60&lt;=$B$3,"Review due","Not due")))))</x:f>
      </x:c>
      <x:c r="R60" s="19" t="str">
        <x:f>IF(A60="","",IF(COUNTIFS($A$7:$A$306,A60)&lt;&gt;1,"Duplicate case ID",IF(OR(B60="",C60="",D60="",G60="",S60=""),"Basic info missing",IF(AND(F60&lt;&gt;"",COUNTIFS('Plan versions'!$A$7:$A$306,F60,'Plan versions'!$B$7:$B$306,A60,'Plan versions'!$L$7:$L$306,"Frozen")&lt;&gt;1),"Invalid current plan ref",IF(AND(D60="Executing",F60=""),"Execution lacks plan",IF(AND(D60="Closed",OR(T60="",COUNTIFS('Reviews'!$B$7:$B$306,A60)=0,COUNTIFS('Update log'!$B$7:$B$306,A60)=0)),"Closure docs missing","Basic records complete"))))))</x:f>
      </x:c>
      <x:c r="S60" s="3"/>
      <x:c r="T60" s="3"/>
    </x:row>
    <x:row r="61" ht="25" customHeight="1">
      <x:c r="A61" s="3"/>
      <x:c r="B61" s="3"/>
      <x:c r="C61" s="3"/>
      <x:c r="D61" s="3"/>
      <x:c r="E61" s="3"/>
      <x:c r="F61" s="3"/>
      <x:c r="G61" s="3"/>
      <x:c r="H61" s="3"/>
      <x:c r="I61" s="20"/>
      <x:c r="J61" s="3"/>
      <x:c r="K61" s="22"/>
      <x:c r="L61" s="22"/>
      <x:c r="M61" s="24" t="str">
        <x:f>IF(A61="","",IF(COUNTIFS('Execution log'!$B$7:$B$306,A61)=0,"",IF(COUNTIFS('Execution log'!$B$7:$B$306,A61,'Execution log'!$L$7:$L$306,"Valid",'Execution log'!$P$7:$P$306,"&lt;&gt;Valid input")&gt;0,"To check",IF(COUNTIFS('Execution log'!$B$7:$B$306,A61,'Execution log'!$P$7:$P$306,"Valid input")=0,"",SUMIFS('Execution log'!$H$7:$H$306,'Execution log'!$B$7:$B$306,A61,'Execution log'!$P$7:$P$306,"Valid input")))))</x:f>
      </x:c>
      <x:c r="N61" s="24" t="str">
        <x:f>IF(A61="","",IF(COUNTIFS('Execution log'!$B$7:$B$306,A61)=0,"",IF(COUNTIFS('Execution log'!$B$7:$B$306,A61,'Execution log'!$L$7:$L$306,"Valid",'Execution log'!$P$7:$P$306,"&lt;&gt;Valid input")&gt;0,"To check",IF(COUNTIFS('Execution log'!$B$7:$B$306,A61,'Execution log'!$P$7:$P$306,"Valid input")=0,"",SUMIFS('Execution log'!$J$7:$J$306,'Execution log'!$B$7:$B$306,A61,'Execution log'!$P$7:$P$306,"Valid input")))))</x:f>
      </x:c>
      <x:c r="O61" s="24" t="str">
        <x:f>IF(A61="","",IF(NOT(ISNUMBER(K61)),"Budget TBD",IF(NOT(ISNUMBER(M61)),"No valid entries yet",K61-M61)))</x:f>
      </x:c>
      <x:c r="P61" s="24" t="str">
        <x:f>IF(A61="","",IF(NOT(ISNUMBER(L61)),"Budget TBD",IF(NOT(ISNUMBER(N61)),"No valid entries yet",L61-N61)))</x:f>
      </x:c>
      <x:c r="Q61" s="19" t="str">
        <x:f>IF(A61="","",IF(D61="Closed","Closed",IF(NOT(ISNUMBER(I61)),"Review date TBD",IF(NOT(ISNUMBER($B$3)),"Evaluation date TBD",IF(I61&lt;=$B$3,"Review due","Not due")))))</x:f>
      </x:c>
      <x:c r="R61" s="19" t="str">
        <x:f>IF(A61="","",IF(COUNTIFS($A$7:$A$306,A61)&lt;&gt;1,"Duplicate case ID",IF(OR(B61="",C61="",D61="",G61="",S61=""),"Basic info missing",IF(AND(F61&lt;&gt;"",COUNTIFS('Plan versions'!$A$7:$A$306,F61,'Plan versions'!$B$7:$B$306,A61,'Plan versions'!$L$7:$L$306,"Frozen")&lt;&gt;1),"Invalid current plan ref",IF(AND(D61="Executing",F61=""),"Execution lacks plan",IF(AND(D61="Closed",OR(T61="",COUNTIFS('Reviews'!$B$7:$B$306,A61)=0,COUNTIFS('Update log'!$B$7:$B$306,A61)=0)),"Closure docs missing","Basic records complete"))))))</x:f>
      </x:c>
      <x:c r="S61" s="3"/>
      <x:c r="T61" s="3"/>
    </x:row>
    <x:row r="62" ht="25" customHeight="1">
      <x:c r="A62" s="3"/>
      <x:c r="B62" s="3"/>
      <x:c r="C62" s="3"/>
      <x:c r="D62" s="3"/>
      <x:c r="E62" s="3"/>
      <x:c r="F62" s="3"/>
      <x:c r="G62" s="3"/>
      <x:c r="H62" s="3"/>
      <x:c r="I62" s="20"/>
      <x:c r="J62" s="3"/>
      <x:c r="K62" s="22"/>
      <x:c r="L62" s="22"/>
      <x:c r="M62" s="24" t="str">
        <x:f>IF(A62="","",IF(COUNTIFS('Execution log'!$B$7:$B$306,A62)=0,"",IF(COUNTIFS('Execution log'!$B$7:$B$306,A62,'Execution log'!$L$7:$L$306,"Valid",'Execution log'!$P$7:$P$306,"&lt;&gt;Valid input")&gt;0,"To check",IF(COUNTIFS('Execution log'!$B$7:$B$306,A62,'Execution log'!$P$7:$P$306,"Valid input")=0,"",SUMIFS('Execution log'!$H$7:$H$306,'Execution log'!$B$7:$B$306,A62,'Execution log'!$P$7:$P$306,"Valid input")))))</x:f>
      </x:c>
      <x:c r="N62" s="24" t="str">
        <x:f>IF(A62="","",IF(COUNTIFS('Execution log'!$B$7:$B$306,A62)=0,"",IF(COUNTIFS('Execution log'!$B$7:$B$306,A62,'Execution log'!$L$7:$L$306,"Valid",'Execution log'!$P$7:$P$306,"&lt;&gt;Valid input")&gt;0,"To check",IF(COUNTIFS('Execution log'!$B$7:$B$306,A62,'Execution log'!$P$7:$P$306,"Valid input")=0,"",SUMIFS('Execution log'!$J$7:$J$306,'Execution log'!$B$7:$B$306,A62,'Execution log'!$P$7:$P$306,"Valid input")))))</x:f>
      </x:c>
      <x:c r="O62" s="24" t="str">
        <x:f>IF(A62="","",IF(NOT(ISNUMBER(K62)),"Budget TBD",IF(NOT(ISNUMBER(M62)),"No valid entries yet",K62-M62)))</x:f>
      </x:c>
      <x:c r="P62" s="24" t="str">
        <x:f>IF(A62="","",IF(NOT(ISNUMBER(L62)),"Budget TBD",IF(NOT(ISNUMBER(N62)),"No valid entries yet",L62-N62)))</x:f>
      </x:c>
      <x:c r="Q62" s="19" t="str">
        <x:f>IF(A62="","",IF(D62="Closed","Closed",IF(NOT(ISNUMBER(I62)),"Review date TBD",IF(NOT(ISNUMBER($B$3)),"Evaluation date TBD",IF(I62&lt;=$B$3,"Review due","Not due")))))</x:f>
      </x:c>
      <x:c r="R62" s="19" t="str">
        <x:f>IF(A62="","",IF(COUNTIFS($A$7:$A$306,A62)&lt;&gt;1,"Duplicate case ID",IF(OR(B62="",C62="",D62="",G62="",S62=""),"Basic info missing",IF(AND(F62&lt;&gt;"",COUNTIFS('Plan versions'!$A$7:$A$306,F62,'Plan versions'!$B$7:$B$306,A62,'Plan versions'!$L$7:$L$306,"Frozen")&lt;&gt;1),"Invalid current plan ref",IF(AND(D62="Executing",F62=""),"Execution lacks plan",IF(AND(D62="Closed",OR(T62="",COUNTIFS('Reviews'!$B$7:$B$306,A62)=0,COUNTIFS('Update log'!$B$7:$B$306,A62)=0)),"Closure docs missing","Basic records complete"))))))</x:f>
      </x:c>
      <x:c r="S62" s="3"/>
      <x:c r="T62" s="3"/>
    </x:row>
    <x:row r="63" ht="25" customHeight="1">
      <x:c r="A63" s="3"/>
      <x:c r="B63" s="3"/>
      <x:c r="C63" s="3"/>
      <x:c r="D63" s="3"/>
      <x:c r="E63" s="3"/>
      <x:c r="F63" s="3"/>
      <x:c r="G63" s="3"/>
      <x:c r="H63" s="3"/>
      <x:c r="I63" s="20"/>
      <x:c r="J63" s="3"/>
      <x:c r="K63" s="22"/>
      <x:c r="L63" s="22"/>
      <x:c r="M63" s="24" t="str">
        <x:f>IF(A63="","",IF(COUNTIFS('Execution log'!$B$7:$B$306,A63)=0,"",IF(COUNTIFS('Execution log'!$B$7:$B$306,A63,'Execution log'!$L$7:$L$306,"Valid",'Execution log'!$P$7:$P$306,"&lt;&gt;Valid input")&gt;0,"To check",IF(COUNTIFS('Execution log'!$B$7:$B$306,A63,'Execution log'!$P$7:$P$306,"Valid input")=0,"",SUMIFS('Execution log'!$H$7:$H$306,'Execution log'!$B$7:$B$306,A63,'Execution log'!$P$7:$P$306,"Valid input")))))</x:f>
      </x:c>
      <x:c r="N63" s="24" t="str">
        <x:f>IF(A63="","",IF(COUNTIFS('Execution log'!$B$7:$B$306,A63)=0,"",IF(COUNTIFS('Execution log'!$B$7:$B$306,A63,'Execution log'!$L$7:$L$306,"Valid",'Execution log'!$P$7:$P$306,"&lt;&gt;Valid input")&gt;0,"To check",IF(COUNTIFS('Execution log'!$B$7:$B$306,A63,'Execution log'!$P$7:$P$306,"Valid input")=0,"",SUMIFS('Execution log'!$J$7:$J$306,'Execution log'!$B$7:$B$306,A63,'Execution log'!$P$7:$P$306,"Valid input")))))</x:f>
      </x:c>
      <x:c r="O63" s="24" t="str">
        <x:f>IF(A63="","",IF(NOT(ISNUMBER(K63)),"Budget TBD",IF(NOT(ISNUMBER(M63)),"No valid entries yet",K63-M63)))</x:f>
      </x:c>
      <x:c r="P63" s="24" t="str">
        <x:f>IF(A63="","",IF(NOT(ISNUMBER(L63)),"Budget TBD",IF(NOT(ISNUMBER(N63)),"No valid entries yet",L63-N63)))</x:f>
      </x:c>
      <x:c r="Q63" s="19" t="str">
        <x:f>IF(A63="","",IF(D63="Closed","Closed",IF(NOT(ISNUMBER(I63)),"Review date TBD",IF(NOT(ISNUMBER($B$3)),"Evaluation date TBD",IF(I63&lt;=$B$3,"Review due","Not due")))))</x:f>
      </x:c>
      <x:c r="R63" s="19" t="str">
        <x:f>IF(A63="","",IF(COUNTIFS($A$7:$A$306,A63)&lt;&gt;1,"Duplicate case ID",IF(OR(B63="",C63="",D63="",G63="",S63=""),"Basic info missing",IF(AND(F63&lt;&gt;"",COUNTIFS('Plan versions'!$A$7:$A$306,F63,'Plan versions'!$B$7:$B$306,A63,'Plan versions'!$L$7:$L$306,"Frozen")&lt;&gt;1),"Invalid current plan ref",IF(AND(D63="Executing",F63=""),"Execution lacks plan",IF(AND(D63="Closed",OR(T63="",COUNTIFS('Reviews'!$B$7:$B$306,A63)=0,COUNTIFS('Update log'!$B$7:$B$306,A63)=0)),"Closure docs missing","Basic records complete"))))))</x:f>
      </x:c>
      <x:c r="S63" s="3"/>
      <x:c r="T63" s="3"/>
    </x:row>
    <x:row r="64" ht="25" customHeight="1">
      <x:c r="A64" s="3"/>
      <x:c r="B64" s="3"/>
      <x:c r="C64" s="3"/>
      <x:c r="D64" s="3"/>
      <x:c r="E64" s="3"/>
      <x:c r="F64" s="3"/>
      <x:c r="G64" s="3"/>
      <x:c r="H64" s="3"/>
      <x:c r="I64" s="20"/>
      <x:c r="J64" s="3"/>
      <x:c r="K64" s="22"/>
      <x:c r="L64" s="22"/>
      <x:c r="M64" s="24" t="str">
        <x:f>IF(A64="","",IF(COUNTIFS('Execution log'!$B$7:$B$306,A64)=0,"",IF(COUNTIFS('Execution log'!$B$7:$B$306,A64,'Execution log'!$L$7:$L$306,"Valid",'Execution log'!$P$7:$P$306,"&lt;&gt;Valid input")&gt;0,"To check",IF(COUNTIFS('Execution log'!$B$7:$B$306,A64,'Execution log'!$P$7:$P$306,"Valid input")=0,"",SUMIFS('Execution log'!$H$7:$H$306,'Execution log'!$B$7:$B$306,A64,'Execution log'!$P$7:$P$306,"Valid input")))))</x:f>
      </x:c>
      <x:c r="N64" s="24" t="str">
        <x:f>IF(A64="","",IF(COUNTIFS('Execution log'!$B$7:$B$306,A64)=0,"",IF(COUNTIFS('Execution log'!$B$7:$B$306,A64,'Execution log'!$L$7:$L$306,"Valid",'Execution log'!$P$7:$P$306,"&lt;&gt;Valid input")&gt;0,"To check",IF(COUNTIFS('Execution log'!$B$7:$B$306,A64,'Execution log'!$P$7:$P$306,"Valid input")=0,"",SUMIFS('Execution log'!$J$7:$J$306,'Execution log'!$B$7:$B$306,A64,'Execution log'!$P$7:$P$306,"Valid input")))))</x:f>
      </x:c>
      <x:c r="O64" s="24" t="str">
        <x:f>IF(A64="","",IF(NOT(ISNUMBER(K64)),"Budget TBD",IF(NOT(ISNUMBER(M64)),"No valid entries yet",K64-M64)))</x:f>
      </x:c>
      <x:c r="P64" s="24" t="str">
        <x:f>IF(A64="","",IF(NOT(ISNUMBER(L64)),"Budget TBD",IF(NOT(ISNUMBER(N64)),"No valid entries yet",L64-N64)))</x:f>
      </x:c>
      <x:c r="Q64" s="19" t="str">
        <x:f>IF(A64="","",IF(D64="Closed","Closed",IF(NOT(ISNUMBER(I64)),"Review date TBD",IF(NOT(ISNUMBER($B$3)),"Evaluation date TBD",IF(I64&lt;=$B$3,"Review due","Not due")))))</x:f>
      </x:c>
      <x:c r="R64" s="19" t="str">
        <x:f>IF(A64="","",IF(COUNTIFS($A$7:$A$306,A64)&lt;&gt;1,"Duplicate case ID",IF(OR(B64="",C64="",D64="",G64="",S64=""),"Basic info missing",IF(AND(F64&lt;&gt;"",COUNTIFS('Plan versions'!$A$7:$A$306,F64,'Plan versions'!$B$7:$B$306,A64,'Plan versions'!$L$7:$L$306,"Frozen")&lt;&gt;1),"Invalid current plan ref",IF(AND(D64="Executing",F64=""),"Execution lacks plan",IF(AND(D64="Closed",OR(T64="",COUNTIFS('Reviews'!$B$7:$B$306,A64)=0,COUNTIFS('Update log'!$B$7:$B$306,A64)=0)),"Closure docs missing","Basic records complete"))))))</x:f>
      </x:c>
      <x:c r="S64" s="3"/>
      <x:c r="T64" s="3"/>
    </x:row>
    <x:row r="65" ht="25" customHeight="1">
      <x:c r="A65" s="3"/>
      <x:c r="B65" s="3"/>
      <x:c r="C65" s="3"/>
      <x:c r="D65" s="3"/>
      <x:c r="E65" s="3"/>
      <x:c r="F65" s="3"/>
      <x:c r="G65" s="3"/>
      <x:c r="H65" s="3"/>
      <x:c r="I65" s="20"/>
      <x:c r="J65" s="3"/>
      <x:c r="K65" s="22"/>
      <x:c r="L65" s="22"/>
      <x:c r="M65" s="24" t="str">
        <x:f>IF(A65="","",IF(COUNTIFS('Execution log'!$B$7:$B$306,A65)=0,"",IF(COUNTIFS('Execution log'!$B$7:$B$306,A65,'Execution log'!$L$7:$L$306,"Valid",'Execution log'!$P$7:$P$306,"&lt;&gt;Valid input")&gt;0,"To check",IF(COUNTIFS('Execution log'!$B$7:$B$306,A65,'Execution log'!$P$7:$P$306,"Valid input")=0,"",SUMIFS('Execution log'!$H$7:$H$306,'Execution log'!$B$7:$B$306,A65,'Execution log'!$P$7:$P$306,"Valid input")))))</x:f>
      </x:c>
      <x:c r="N65" s="24" t="str">
        <x:f>IF(A65="","",IF(COUNTIFS('Execution log'!$B$7:$B$306,A65)=0,"",IF(COUNTIFS('Execution log'!$B$7:$B$306,A65,'Execution log'!$L$7:$L$306,"Valid",'Execution log'!$P$7:$P$306,"&lt;&gt;Valid input")&gt;0,"To check",IF(COUNTIFS('Execution log'!$B$7:$B$306,A65,'Execution log'!$P$7:$P$306,"Valid input")=0,"",SUMIFS('Execution log'!$J$7:$J$306,'Execution log'!$B$7:$B$306,A65,'Execution log'!$P$7:$P$306,"Valid input")))))</x:f>
      </x:c>
      <x:c r="O65" s="24" t="str">
        <x:f>IF(A65="","",IF(NOT(ISNUMBER(K65)),"Budget TBD",IF(NOT(ISNUMBER(M65)),"No valid entries yet",K65-M65)))</x:f>
      </x:c>
      <x:c r="P65" s="24" t="str">
        <x:f>IF(A65="","",IF(NOT(ISNUMBER(L65)),"Budget TBD",IF(NOT(ISNUMBER(N65)),"No valid entries yet",L65-N65)))</x:f>
      </x:c>
      <x:c r="Q65" s="19" t="str">
        <x:f>IF(A65="","",IF(D65="Closed","Closed",IF(NOT(ISNUMBER(I65)),"Review date TBD",IF(NOT(ISNUMBER($B$3)),"Evaluation date TBD",IF(I65&lt;=$B$3,"Review due","Not due")))))</x:f>
      </x:c>
      <x:c r="R65" s="19" t="str">
        <x:f>IF(A65="","",IF(COUNTIFS($A$7:$A$306,A65)&lt;&gt;1,"Duplicate case ID",IF(OR(B65="",C65="",D65="",G65="",S65=""),"Basic info missing",IF(AND(F65&lt;&gt;"",COUNTIFS('Plan versions'!$A$7:$A$306,F65,'Plan versions'!$B$7:$B$306,A65,'Plan versions'!$L$7:$L$306,"Frozen")&lt;&gt;1),"Invalid current plan ref",IF(AND(D65="Executing",F65=""),"Execution lacks plan",IF(AND(D65="Closed",OR(T65="",COUNTIFS('Reviews'!$B$7:$B$306,A65)=0,COUNTIFS('Update log'!$B$7:$B$306,A65)=0)),"Closure docs missing","Basic records complete"))))))</x:f>
      </x:c>
      <x:c r="S65" s="3"/>
      <x:c r="T65" s="3"/>
    </x:row>
    <x:row r="66" ht="25" customHeight="1">
      <x:c r="A66" s="3"/>
      <x:c r="B66" s="3"/>
      <x:c r="C66" s="3"/>
      <x:c r="D66" s="3"/>
      <x:c r="E66" s="3"/>
      <x:c r="F66" s="3"/>
      <x:c r="G66" s="3"/>
      <x:c r="H66" s="3"/>
      <x:c r="I66" s="20"/>
      <x:c r="J66" s="3"/>
      <x:c r="K66" s="22"/>
      <x:c r="L66" s="22"/>
      <x:c r="M66" s="24" t="str">
        <x:f>IF(A66="","",IF(COUNTIFS('Execution log'!$B$7:$B$306,A66)=0,"",IF(COUNTIFS('Execution log'!$B$7:$B$306,A66,'Execution log'!$L$7:$L$306,"Valid",'Execution log'!$P$7:$P$306,"&lt;&gt;Valid input")&gt;0,"To check",IF(COUNTIFS('Execution log'!$B$7:$B$306,A66,'Execution log'!$P$7:$P$306,"Valid input")=0,"",SUMIFS('Execution log'!$H$7:$H$306,'Execution log'!$B$7:$B$306,A66,'Execution log'!$P$7:$P$306,"Valid input")))))</x:f>
      </x:c>
      <x:c r="N66" s="24" t="str">
        <x:f>IF(A66="","",IF(COUNTIFS('Execution log'!$B$7:$B$306,A66)=0,"",IF(COUNTIFS('Execution log'!$B$7:$B$306,A66,'Execution log'!$L$7:$L$306,"Valid",'Execution log'!$P$7:$P$306,"&lt;&gt;Valid input")&gt;0,"To check",IF(COUNTIFS('Execution log'!$B$7:$B$306,A66,'Execution log'!$P$7:$P$306,"Valid input")=0,"",SUMIFS('Execution log'!$J$7:$J$306,'Execution log'!$B$7:$B$306,A66,'Execution log'!$P$7:$P$306,"Valid input")))))</x:f>
      </x:c>
      <x:c r="O66" s="24" t="str">
        <x:f>IF(A66="","",IF(NOT(ISNUMBER(K66)),"Budget TBD",IF(NOT(ISNUMBER(M66)),"No valid entries yet",K66-M66)))</x:f>
      </x:c>
      <x:c r="P66" s="24" t="str">
        <x:f>IF(A66="","",IF(NOT(ISNUMBER(L66)),"Budget TBD",IF(NOT(ISNUMBER(N66)),"No valid entries yet",L66-N66)))</x:f>
      </x:c>
      <x:c r="Q66" s="19" t="str">
        <x:f>IF(A66="","",IF(D66="Closed","Closed",IF(NOT(ISNUMBER(I66)),"Review date TBD",IF(NOT(ISNUMBER($B$3)),"Evaluation date TBD",IF(I66&lt;=$B$3,"Review due","Not due")))))</x:f>
      </x:c>
      <x:c r="R66" s="19" t="str">
        <x:f>IF(A66="","",IF(COUNTIFS($A$7:$A$306,A66)&lt;&gt;1,"Duplicate case ID",IF(OR(B66="",C66="",D66="",G66="",S66=""),"Basic info missing",IF(AND(F66&lt;&gt;"",COUNTIFS('Plan versions'!$A$7:$A$306,F66,'Plan versions'!$B$7:$B$306,A66,'Plan versions'!$L$7:$L$306,"Frozen")&lt;&gt;1),"Invalid current plan ref",IF(AND(D66="Executing",F66=""),"Execution lacks plan",IF(AND(D66="Closed",OR(T66="",COUNTIFS('Reviews'!$B$7:$B$306,A66)=0,COUNTIFS('Update log'!$B$7:$B$306,A66)=0)),"Closure docs missing","Basic records complete"))))))</x:f>
      </x:c>
      <x:c r="S66" s="3"/>
      <x:c r="T66" s="3"/>
    </x:row>
    <x:row r="67" ht="25" customHeight="1">
      <x:c r="A67" s="3"/>
      <x:c r="B67" s="3"/>
      <x:c r="C67" s="3"/>
      <x:c r="D67" s="3"/>
      <x:c r="E67" s="3"/>
      <x:c r="F67" s="3"/>
      <x:c r="G67" s="3"/>
      <x:c r="H67" s="3"/>
      <x:c r="I67" s="20"/>
      <x:c r="J67" s="3"/>
      <x:c r="K67" s="22"/>
      <x:c r="L67" s="22"/>
      <x:c r="M67" s="24" t="str">
        <x:f>IF(A67="","",IF(COUNTIFS('Execution log'!$B$7:$B$306,A67)=0,"",IF(COUNTIFS('Execution log'!$B$7:$B$306,A67,'Execution log'!$L$7:$L$306,"Valid",'Execution log'!$P$7:$P$306,"&lt;&gt;Valid input")&gt;0,"To check",IF(COUNTIFS('Execution log'!$B$7:$B$306,A67,'Execution log'!$P$7:$P$306,"Valid input")=0,"",SUMIFS('Execution log'!$H$7:$H$306,'Execution log'!$B$7:$B$306,A67,'Execution log'!$P$7:$P$306,"Valid input")))))</x:f>
      </x:c>
      <x:c r="N67" s="24" t="str">
        <x:f>IF(A67="","",IF(COUNTIFS('Execution log'!$B$7:$B$306,A67)=0,"",IF(COUNTIFS('Execution log'!$B$7:$B$306,A67,'Execution log'!$L$7:$L$306,"Valid",'Execution log'!$P$7:$P$306,"&lt;&gt;Valid input")&gt;0,"To check",IF(COUNTIFS('Execution log'!$B$7:$B$306,A67,'Execution log'!$P$7:$P$306,"Valid input")=0,"",SUMIFS('Execution log'!$J$7:$J$306,'Execution log'!$B$7:$B$306,A67,'Execution log'!$P$7:$P$306,"Valid input")))))</x:f>
      </x:c>
      <x:c r="O67" s="24" t="str">
        <x:f>IF(A67="","",IF(NOT(ISNUMBER(K67)),"Budget TBD",IF(NOT(ISNUMBER(M67)),"No valid entries yet",K67-M67)))</x:f>
      </x:c>
      <x:c r="P67" s="24" t="str">
        <x:f>IF(A67="","",IF(NOT(ISNUMBER(L67)),"Budget TBD",IF(NOT(ISNUMBER(N67)),"No valid entries yet",L67-N67)))</x:f>
      </x:c>
      <x:c r="Q67" s="19" t="str">
        <x:f>IF(A67="","",IF(D67="Closed","Closed",IF(NOT(ISNUMBER(I67)),"Review date TBD",IF(NOT(ISNUMBER($B$3)),"Evaluation date TBD",IF(I67&lt;=$B$3,"Review due","Not due")))))</x:f>
      </x:c>
      <x:c r="R67" s="19" t="str">
        <x:f>IF(A67="","",IF(COUNTIFS($A$7:$A$306,A67)&lt;&gt;1,"Duplicate case ID",IF(OR(B67="",C67="",D67="",G67="",S67=""),"Basic info missing",IF(AND(F67&lt;&gt;"",COUNTIFS('Plan versions'!$A$7:$A$306,F67,'Plan versions'!$B$7:$B$306,A67,'Plan versions'!$L$7:$L$306,"Frozen")&lt;&gt;1),"Invalid current plan ref",IF(AND(D67="Executing",F67=""),"Execution lacks plan",IF(AND(D67="Closed",OR(T67="",COUNTIFS('Reviews'!$B$7:$B$306,A67)=0,COUNTIFS('Update log'!$B$7:$B$306,A67)=0)),"Closure docs missing","Basic records complete"))))))</x:f>
      </x:c>
      <x:c r="S67" s="3"/>
      <x:c r="T67" s="3"/>
    </x:row>
    <x:row r="68" ht="25" customHeight="1">
      <x:c r="A68" s="3"/>
      <x:c r="B68" s="3"/>
      <x:c r="C68" s="3"/>
      <x:c r="D68" s="3"/>
      <x:c r="E68" s="3"/>
      <x:c r="F68" s="3"/>
      <x:c r="G68" s="3"/>
      <x:c r="H68" s="3"/>
      <x:c r="I68" s="20"/>
      <x:c r="J68" s="3"/>
      <x:c r="K68" s="22"/>
      <x:c r="L68" s="22"/>
      <x:c r="M68" s="24" t="str">
        <x:f>IF(A68="","",IF(COUNTIFS('Execution log'!$B$7:$B$306,A68)=0,"",IF(COUNTIFS('Execution log'!$B$7:$B$306,A68,'Execution log'!$L$7:$L$306,"Valid",'Execution log'!$P$7:$P$306,"&lt;&gt;Valid input")&gt;0,"To check",IF(COUNTIFS('Execution log'!$B$7:$B$306,A68,'Execution log'!$P$7:$P$306,"Valid input")=0,"",SUMIFS('Execution log'!$H$7:$H$306,'Execution log'!$B$7:$B$306,A68,'Execution log'!$P$7:$P$306,"Valid input")))))</x:f>
      </x:c>
      <x:c r="N68" s="24" t="str">
        <x:f>IF(A68="","",IF(COUNTIFS('Execution log'!$B$7:$B$306,A68)=0,"",IF(COUNTIFS('Execution log'!$B$7:$B$306,A68,'Execution log'!$L$7:$L$306,"Valid",'Execution log'!$P$7:$P$306,"&lt;&gt;Valid input")&gt;0,"To check",IF(COUNTIFS('Execution log'!$B$7:$B$306,A68,'Execution log'!$P$7:$P$306,"Valid input")=0,"",SUMIFS('Execution log'!$J$7:$J$306,'Execution log'!$B$7:$B$306,A68,'Execution log'!$P$7:$P$306,"Valid input")))))</x:f>
      </x:c>
      <x:c r="O68" s="24" t="str">
        <x:f>IF(A68="","",IF(NOT(ISNUMBER(K68)),"Budget TBD",IF(NOT(ISNUMBER(M68)),"No valid entries yet",K68-M68)))</x:f>
      </x:c>
      <x:c r="P68" s="24" t="str">
        <x:f>IF(A68="","",IF(NOT(ISNUMBER(L68)),"Budget TBD",IF(NOT(ISNUMBER(N68)),"No valid entries yet",L68-N68)))</x:f>
      </x:c>
      <x:c r="Q68" s="19" t="str">
        <x:f>IF(A68="","",IF(D68="Closed","Closed",IF(NOT(ISNUMBER(I68)),"Review date TBD",IF(NOT(ISNUMBER($B$3)),"Evaluation date TBD",IF(I68&lt;=$B$3,"Review due","Not due")))))</x:f>
      </x:c>
      <x:c r="R68" s="19" t="str">
        <x:f>IF(A68="","",IF(COUNTIFS($A$7:$A$306,A68)&lt;&gt;1,"Duplicate case ID",IF(OR(B68="",C68="",D68="",G68="",S68=""),"Basic info missing",IF(AND(F68&lt;&gt;"",COUNTIFS('Plan versions'!$A$7:$A$306,F68,'Plan versions'!$B$7:$B$306,A68,'Plan versions'!$L$7:$L$306,"Frozen")&lt;&gt;1),"Invalid current plan ref",IF(AND(D68="Executing",F68=""),"Execution lacks plan",IF(AND(D68="Closed",OR(T68="",COUNTIFS('Reviews'!$B$7:$B$306,A68)=0,COUNTIFS('Update log'!$B$7:$B$306,A68)=0)),"Closure docs missing","Basic records complete"))))))</x:f>
      </x:c>
      <x:c r="S68" s="3"/>
      <x:c r="T68" s="3"/>
    </x:row>
    <x:row r="69" ht="25" customHeight="1">
      <x:c r="A69" s="3"/>
      <x:c r="B69" s="3"/>
      <x:c r="C69" s="3"/>
      <x:c r="D69" s="3"/>
      <x:c r="E69" s="3"/>
      <x:c r="F69" s="3"/>
      <x:c r="G69" s="3"/>
      <x:c r="H69" s="3"/>
      <x:c r="I69" s="20"/>
      <x:c r="J69" s="3"/>
      <x:c r="K69" s="22"/>
      <x:c r="L69" s="22"/>
      <x:c r="M69" s="24" t="str">
        <x:f>IF(A69="","",IF(COUNTIFS('Execution log'!$B$7:$B$306,A69)=0,"",IF(COUNTIFS('Execution log'!$B$7:$B$306,A69,'Execution log'!$L$7:$L$306,"Valid",'Execution log'!$P$7:$P$306,"&lt;&gt;Valid input")&gt;0,"To check",IF(COUNTIFS('Execution log'!$B$7:$B$306,A69,'Execution log'!$P$7:$P$306,"Valid input")=0,"",SUMIFS('Execution log'!$H$7:$H$306,'Execution log'!$B$7:$B$306,A69,'Execution log'!$P$7:$P$306,"Valid input")))))</x:f>
      </x:c>
      <x:c r="N69" s="24" t="str">
        <x:f>IF(A69="","",IF(COUNTIFS('Execution log'!$B$7:$B$306,A69)=0,"",IF(COUNTIFS('Execution log'!$B$7:$B$306,A69,'Execution log'!$L$7:$L$306,"Valid",'Execution log'!$P$7:$P$306,"&lt;&gt;Valid input")&gt;0,"To check",IF(COUNTIFS('Execution log'!$B$7:$B$306,A69,'Execution log'!$P$7:$P$306,"Valid input")=0,"",SUMIFS('Execution log'!$J$7:$J$306,'Execution log'!$B$7:$B$306,A69,'Execution log'!$P$7:$P$306,"Valid input")))))</x:f>
      </x:c>
      <x:c r="O69" s="24" t="str">
        <x:f>IF(A69="","",IF(NOT(ISNUMBER(K69)),"Budget TBD",IF(NOT(ISNUMBER(M69)),"No valid entries yet",K69-M69)))</x:f>
      </x:c>
      <x:c r="P69" s="24" t="str">
        <x:f>IF(A69="","",IF(NOT(ISNUMBER(L69)),"Budget TBD",IF(NOT(ISNUMBER(N69)),"No valid entries yet",L69-N69)))</x:f>
      </x:c>
      <x:c r="Q69" s="19" t="str">
        <x:f>IF(A69="","",IF(D69="Closed","Closed",IF(NOT(ISNUMBER(I69)),"Review date TBD",IF(NOT(ISNUMBER($B$3)),"Evaluation date TBD",IF(I69&lt;=$B$3,"Review due","Not due")))))</x:f>
      </x:c>
      <x:c r="R69" s="19" t="str">
        <x:f>IF(A69="","",IF(COUNTIFS($A$7:$A$306,A69)&lt;&gt;1,"Duplicate case ID",IF(OR(B69="",C69="",D69="",G69="",S69=""),"Basic info missing",IF(AND(F69&lt;&gt;"",COUNTIFS('Plan versions'!$A$7:$A$306,F69,'Plan versions'!$B$7:$B$306,A69,'Plan versions'!$L$7:$L$306,"Frozen")&lt;&gt;1),"Invalid current plan ref",IF(AND(D69="Executing",F69=""),"Execution lacks plan",IF(AND(D69="Closed",OR(T69="",COUNTIFS('Reviews'!$B$7:$B$306,A69)=0,COUNTIFS('Update log'!$B$7:$B$306,A69)=0)),"Closure docs missing","Basic records complete"))))))</x:f>
      </x:c>
      <x:c r="S69" s="3"/>
      <x:c r="T69" s="3"/>
    </x:row>
    <x:row r="70" ht="25" customHeight="1">
      <x:c r="A70" s="3"/>
      <x:c r="B70" s="3"/>
      <x:c r="C70" s="3"/>
      <x:c r="D70" s="3"/>
      <x:c r="E70" s="3"/>
      <x:c r="F70" s="3"/>
      <x:c r="G70" s="3"/>
      <x:c r="H70" s="3"/>
      <x:c r="I70" s="20"/>
      <x:c r="J70" s="3"/>
      <x:c r="K70" s="22"/>
      <x:c r="L70" s="22"/>
      <x:c r="M70" s="24" t="str">
        <x:f>IF(A70="","",IF(COUNTIFS('Execution log'!$B$7:$B$306,A70)=0,"",IF(COUNTIFS('Execution log'!$B$7:$B$306,A70,'Execution log'!$L$7:$L$306,"Valid",'Execution log'!$P$7:$P$306,"&lt;&gt;Valid input")&gt;0,"To check",IF(COUNTIFS('Execution log'!$B$7:$B$306,A70,'Execution log'!$P$7:$P$306,"Valid input")=0,"",SUMIFS('Execution log'!$H$7:$H$306,'Execution log'!$B$7:$B$306,A70,'Execution log'!$P$7:$P$306,"Valid input")))))</x:f>
      </x:c>
      <x:c r="N70" s="24" t="str">
        <x:f>IF(A70="","",IF(COUNTIFS('Execution log'!$B$7:$B$306,A70)=0,"",IF(COUNTIFS('Execution log'!$B$7:$B$306,A70,'Execution log'!$L$7:$L$306,"Valid",'Execution log'!$P$7:$P$306,"&lt;&gt;Valid input")&gt;0,"To check",IF(COUNTIFS('Execution log'!$B$7:$B$306,A70,'Execution log'!$P$7:$P$306,"Valid input")=0,"",SUMIFS('Execution log'!$J$7:$J$306,'Execution log'!$B$7:$B$306,A70,'Execution log'!$P$7:$P$306,"Valid input")))))</x:f>
      </x:c>
      <x:c r="O70" s="24" t="str">
        <x:f>IF(A70="","",IF(NOT(ISNUMBER(K70)),"Budget TBD",IF(NOT(ISNUMBER(M70)),"No valid entries yet",K70-M70)))</x:f>
      </x:c>
      <x:c r="P70" s="24" t="str">
        <x:f>IF(A70="","",IF(NOT(ISNUMBER(L70)),"Budget TBD",IF(NOT(ISNUMBER(N70)),"No valid entries yet",L70-N70)))</x:f>
      </x:c>
      <x:c r="Q70" s="19" t="str">
        <x:f>IF(A70="","",IF(D70="Closed","Closed",IF(NOT(ISNUMBER(I70)),"Review date TBD",IF(NOT(ISNUMBER($B$3)),"Evaluation date TBD",IF(I70&lt;=$B$3,"Review due","Not due")))))</x:f>
      </x:c>
      <x:c r="R70" s="19" t="str">
        <x:f>IF(A70="","",IF(COUNTIFS($A$7:$A$306,A70)&lt;&gt;1,"Duplicate case ID",IF(OR(B70="",C70="",D70="",G70="",S70=""),"Basic info missing",IF(AND(F70&lt;&gt;"",COUNTIFS('Plan versions'!$A$7:$A$306,F70,'Plan versions'!$B$7:$B$306,A70,'Plan versions'!$L$7:$L$306,"Frozen")&lt;&gt;1),"Invalid current plan ref",IF(AND(D70="Executing",F70=""),"Execution lacks plan",IF(AND(D70="Closed",OR(T70="",COUNTIFS('Reviews'!$B$7:$B$306,A70)=0,COUNTIFS('Update log'!$B$7:$B$306,A70)=0)),"Closure docs missing","Basic records complete"))))))</x:f>
      </x:c>
      <x:c r="S70" s="3"/>
      <x:c r="T70" s="3"/>
    </x:row>
    <x:row r="71" ht="25" customHeight="1">
      <x:c r="A71" s="3"/>
      <x:c r="B71" s="3"/>
      <x:c r="C71" s="3"/>
      <x:c r="D71" s="3"/>
      <x:c r="E71" s="3"/>
      <x:c r="F71" s="3"/>
      <x:c r="G71" s="3"/>
      <x:c r="H71" s="3"/>
      <x:c r="I71" s="20"/>
      <x:c r="J71" s="3"/>
      <x:c r="K71" s="22"/>
      <x:c r="L71" s="22"/>
      <x:c r="M71" s="24" t="str">
        <x:f>IF(A71="","",IF(COUNTIFS('Execution log'!$B$7:$B$306,A71)=0,"",IF(COUNTIFS('Execution log'!$B$7:$B$306,A71,'Execution log'!$L$7:$L$306,"Valid",'Execution log'!$P$7:$P$306,"&lt;&gt;Valid input")&gt;0,"To check",IF(COUNTIFS('Execution log'!$B$7:$B$306,A71,'Execution log'!$P$7:$P$306,"Valid input")=0,"",SUMIFS('Execution log'!$H$7:$H$306,'Execution log'!$B$7:$B$306,A71,'Execution log'!$P$7:$P$306,"Valid input")))))</x:f>
      </x:c>
      <x:c r="N71" s="24" t="str">
        <x:f>IF(A71="","",IF(COUNTIFS('Execution log'!$B$7:$B$306,A71)=0,"",IF(COUNTIFS('Execution log'!$B$7:$B$306,A71,'Execution log'!$L$7:$L$306,"Valid",'Execution log'!$P$7:$P$306,"&lt;&gt;Valid input")&gt;0,"To check",IF(COUNTIFS('Execution log'!$B$7:$B$306,A71,'Execution log'!$P$7:$P$306,"Valid input")=0,"",SUMIFS('Execution log'!$J$7:$J$306,'Execution log'!$B$7:$B$306,A71,'Execution log'!$P$7:$P$306,"Valid input")))))</x:f>
      </x:c>
      <x:c r="O71" s="24" t="str">
        <x:f>IF(A71="","",IF(NOT(ISNUMBER(K71)),"Budget TBD",IF(NOT(ISNUMBER(M71)),"No valid entries yet",K71-M71)))</x:f>
      </x:c>
      <x:c r="P71" s="24" t="str">
        <x:f>IF(A71="","",IF(NOT(ISNUMBER(L71)),"Budget TBD",IF(NOT(ISNUMBER(N71)),"No valid entries yet",L71-N71)))</x:f>
      </x:c>
      <x:c r="Q71" s="19" t="str">
        <x:f>IF(A71="","",IF(D71="Closed","Closed",IF(NOT(ISNUMBER(I71)),"Review date TBD",IF(NOT(ISNUMBER($B$3)),"Evaluation date TBD",IF(I71&lt;=$B$3,"Review due","Not due")))))</x:f>
      </x:c>
      <x:c r="R71" s="19" t="str">
        <x:f>IF(A71="","",IF(COUNTIFS($A$7:$A$306,A71)&lt;&gt;1,"Duplicate case ID",IF(OR(B71="",C71="",D71="",G71="",S71=""),"Basic info missing",IF(AND(F71&lt;&gt;"",COUNTIFS('Plan versions'!$A$7:$A$306,F71,'Plan versions'!$B$7:$B$306,A71,'Plan versions'!$L$7:$L$306,"Frozen")&lt;&gt;1),"Invalid current plan ref",IF(AND(D71="Executing",F71=""),"Execution lacks plan",IF(AND(D71="Closed",OR(T71="",COUNTIFS('Reviews'!$B$7:$B$306,A71)=0,COUNTIFS('Update log'!$B$7:$B$306,A71)=0)),"Closure docs missing","Basic records complete"))))))</x:f>
      </x:c>
      <x:c r="S71" s="3"/>
      <x:c r="T71" s="3"/>
    </x:row>
    <x:row r="72" ht="25" customHeight="1">
      <x:c r="A72" s="3"/>
      <x:c r="B72" s="3"/>
      <x:c r="C72" s="3"/>
      <x:c r="D72" s="3"/>
      <x:c r="E72" s="3"/>
      <x:c r="F72" s="3"/>
      <x:c r="G72" s="3"/>
      <x:c r="H72" s="3"/>
      <x:c r="I72" s="20"/>
      <x:c r="J72" s="3"/>
      <x:c r="K72" s="22"/>
      <x:c r="L72" s="22"/>
      <x:c r="M72" s="24" t="str">
        <x:f>IF(A72="","",IF(COUNTIFS('Execution log'!$B$7:$B$306,A72)=0,"",IF(COUNTIFS('Execution log'!$B$7:$B$306,A72,'Execution log'!$L$7:$L$306,"Valid",'Execution log'!$P$7:$P$306,"&lt;&gt;Valid input")&gt;0,"To check",IF(COUNTIFS('Execution log'!$B$7:$B$306,A72,'Execution log'!$P$7:$P$306,"Valid input")=0,"",SUMIFS('Execution log'!$H$7:$H$306,'Execution log'!$B$7:$B$306,A72,'Execution log'!$P$7:$P$306,"Valid input")))))</x:f>
      </x:c>
      <x:c r="N72" s="24" t="str">
        <x:f>IF(A72="","",IF(COUNTIFS('Execution log'!$B$7:$B$306,A72)=0,"",IF(COUNTIFS('Execution log'!$B$7:$B$306,A72,'Execution log'!$L$7:$L$306,"Valid",'Execution log'!$P$7:$P$306,"&lt;&gt;Valid input")&gt;0,"To check",IF(COUNTIFS('Execution log'!$B$7:$B$306,A72,'Execution log'!$P$7:$P$306,"Valid input")=0,"",SUMIFS('Execution log'!$J$7:$J$306,'Execution log'!$B$7:$B$306,A72,'Execution log'!$P$7:$P$306,"Valid input")))))</x:f>
      </x:c>
      <x:c r="O72" s="24" t="str">
        <x:f>IF(A72="","",IF(NOT(ISNUMBER(K72)),"Budget TBD",IF(NOT(ISNUMBER(M72)),"No valid entries yet",K72-M72)))</x:f>
      </x:c>
      <x:c r="P72" s="24" t="str">
        <x:f>IF(A72="","",IF(NOT(ISNUMBER(L72)),"Budget TBD",IF(NOT(ISNUMBER(N72)),"No valid entries yet",L72-N72)))</x:f>
      </x:c>
      <x:c r="Q72" s="19" t="str">
        <x:f>IF(A72="","",IF(D72="Closed","Closed",IF(NOT(ISNUMBER(I72)),"Review date TBD",IF(NOT(ISNUMBER($B$3)),"Evaluation date TBD",IF(I72&lt;=$B$3,"Review due","Not due")))))</x:f>
      </x:c>
      <x:c r="R72" s="19" t="str">
        <x:f>IF(A72="","",IF(COUNTIFS($A$7:$A$306,A72)&lt;&gt;1,"Duplicate case ID",IF(OR(B72="",C72="",D72="",G72="",S72=""),"Basic info missing",IF(AND(F72&lt;&gt;"",COUNTIFS('Plan versions'!$A$7:$A$306,F72,'Plan versions'!$B$7:$B$306,A72,'Plan versions'!$L$7:$L$306,"Frozen")&lt;&gt;1),"Invalid current plan ref",IF(AND(D72="Executing",F72=""),"Execution lacks plan",IF(AND(D72="Closed",OR(T72="",COUNTIFS('Reviews'!$B$7:$B$306,A72)=0,COUNTIFS('Update log'!$B$7:$B$306,A72)=0)),"Closure docs missing","Basic records complete"))))))</x:f>
      </x:c>
      <x:c r="S72" s="3"/>
      <x:c r="T72" s="3"/>
    </x:row>
    <x:row r="73" ht="25" customHeight="1">
      <x:c r="A73" s="3"/>
      <x:c r="B73" s="3"/>
      <x:c r="C73" s="3"/>
      <x:c r="D73" s="3"/>
      <x:c r="E73" s="3"/>
      <x:c r="F73" s="3"/>
      <x:c r="G73" s="3"/>
      <x:c r="H73" s="3"/>
      <x:c r="I73" s="20"/>
      <x:c r="J73" s="3"/>
      <x:c r="K73" s="22"/>
      <x:c r="L73" s="22"/>
      <x:c r="M73" s="24" t="str">
        <x:f>IF(A73="","",IF(COUNTIFS('Execution log'!$B$7:$B$306,A73)=0,"",IF(COUNTIFS('Execution log'!$B$7:$B$306,A73,'Execution log'!$L$7:$L$306,"Valid",'Execution log'!$P$7:$P$306,"&lt;&gt;Valid input")&gt;0,"To check",IF(COUNTIFS('Execution log'!$B$7:$B$306,A73,'Execution log'!$P$7:$P$306,"Valid input")=0,"",SUMIFS('Execution log'!$H$7:$H$306,'Execution log'!$B$7:$B$306,A73,'Execution log'!$P$7:$P$306,"Valid input")))))</x:f>
      </x:c>
      <x:c r="N73" s="24" t="str">
        <x:f>IF(A73="","",IF(COUNTIFS('Execution log'!$B$7:$B$306,A73)=0,"",IF(COUNTIFS('Execution log'!$B$7:$B$306,A73,'Execution log'!$L$7:$L$306,"Valid",'Execution log'!$P$7:$P$306,"&lt;&gt;Valid input")&gt;0,"To check",IF(COUNTIFS('Execution log'!$B$7:$B$306,A73,'Execution log'!$P$7:$P$306,"Valid input")=0,"",SUMIFS('Execution log'!$J$7:$J$306,'Execution log'!$B$7:$B$306,A73,'Execution log'!$P$7:$P$306,"Valid input")))))</x:f>
      </x:c>
      <x:c r="O73" s="24" t="str">
        <x:f>IF(A73="","",IF(NOT(ISNUMBER(K73)),"Budget TBD",IF(NOT(ISNUMBER(M73)),"No valid entries yet",K73-M73)))</x:f>
      </x:c>
      <x:c r="P73" s="24" t="str">
        <x:f>IF(A73="","",IF(NOT(ISNUMBER(L73)),"Budget TBD",IF(NOT(ISNUMBER(N73)),"No valid entries yet",L73-N73)))</x:f>
      </x:c>
      <x:c r="Q73" s="19" t="str">
        <x:f>IF(A73="","",IF(D73="Closed","Closed",IF(NOT(ISNUMBER(I73)),"Review date TBD",IF(NOT(ISNUMBER($B$3)),"Evaluation date TBD",IF(I73&lt;=$B$3,"Review due","Not due")))))</x:f>
      </x:c>
      <x:c r="R73" s="19" t="str">
        <x:f>IF(A73="","",IF(COUNTIFS($A$7:$A$306,A73)&lt;&gt;1,"Duplicate case ID",IF(OR(B73="",C73="",D73="",G73="",S73=""),"Basic info missing",IF(AND(F73&lt;&gt;"",COUNTIFS('Plan versions'!$A$7:$A$306,F73,'Plan versions'!$B$7:$B$306,A73,'Plan versions'!$L$7:$L$306,"Frozen")&lt;&gt;1),"Invalid current plan ref",IF(AND(D73="Executing",F73=""),"Execution lacks plan",IF(AND(D73="Closed",OR(T73="",COUNTIFS('Reviews'!$B$7:$B$306,A73)=0,COUNTIFS('Update log'!$B$7:$B$306,A73)=0)),"Closure docs missing","Basic records complete"))))))</x:f>
      </x:c>
      <x:c r="S73" s="3"/>
      <x:c r="T73" s="3"/>
    </x:row>
    <x:row r="74" ht="25" customHeight="1">
      <x:c r="A74" s="3"/>
      <x:c r="B74" s="3"/>
      <x:c r="C74" s="3"/>
      <x:c r="D74" s="3"/>
      <x:c r="E74" s="3"/>
      <x:c r="F74" s="3"/>
      <x:c r="G74" s="3"/>
      <x:c r="H74" s="3"/>
      <x:c r="I74" s="20"/>
      <x:c r="J74" s="3"/>
      <x:c r="K74" s="22"/>
      <x:c r="L74" s="22"/>
      <x:c r="M74" s="24" t="str">
        <x:f>IF(A74="","",IF(COUNTIFS('Execution log'!$B$7:$B$306,A74)=0,"",IF(COUNTIFS('Execution log'!$B$7:$B$306,A74,'Execution log'!$L$7:$L$306,"Valid",'Execution log'!$P$7:$P$306,"&lt;&gt;Valid input")&gt;0,"To check",IF(COUNTIFS('Execution log'!$B$7:$B$306,A74,'Execution log'!$P$7:$P$306,"Valid input")=0,"",SUMIFS('Execution log'!$H$7:$H$306,'Execution log'!$B$7:$B$306,A74,'Execution log'!$P$7:$P$306,"Valid input")))))</x:f>
      </x:c>
      <x:c r="N74" s="24" t="str">
        <x:f>IF(A74="","",IF(COUNTIFS('Execution log'!$B$7:$B$306,A74)=0,"",IF(COUNTIFS('Execution log'!$B$7:$B$306,A74,'Execution log'!$L$7:$L$306,"Valid",'Execution log'!$P$7:$P$306,"&lt;&gt;Valid input")&gt;0,"To check",IF(COUNTIFS('Execution log'!$B$7:$B$306,A74,'Execution log'!$P$7:$P$306,"Valid input")=0,"",SUMIFS('Execution log'!$J$7:$J$306,'Execution log'!$B$7:$B$306,A74,'Execution log'!$P$7:$P$306,"Valid input")))))</x:f>
      </x:c>
      <x:c r="O74" s="24" t="str">
        <x:f>IF(A74="","",IF(NOT(ISNUMBER(K74)),"Budget TBD",IF(NOT(ISNUMBER(M74)),"No valid entries yet",K74-M74)))</x:f>
      </x:c>
      <x:c r="P74" s="24" t="str">
        <x:f>IF(A74="","",IF(NOT(ISNUMBER(L74)),"Budget TBD",IF(NOT(ISNUMBER(N74)),"No valid entries yet",L74-N74)))</x:f>
      </x:c>
      <x:c r="Q74" s="19" t="str">
        <x:f>IF(A74="","",IF(D74="Closed","Closed",IF(NOT(ISNUMBER(I74)),"Review date TBD",IF(NOT(ISNUMBER($B$3)),"Evaluation date TBD",IF(I74&lt;=$B$3,"Review due","Not due")))))</x:f>
      </x:c>
      <x:c r="R74" s="19" t="str">
        <x:f>IF(A74="","",IF(COUNTIFS($A$7:$A$306,A74)&lt;&gt;1,"Duplicate case ID",IF(OR(B74="",C74="",D74="",G74="",S74=""),"Basic info missing",IF(AND(F74&lt;&gt;"",COUNTIFS('Plan versions'!$A$7:$A$306,F74,'Plan versions'!$B$7:$B$306,A74,'Plan versions'!$L$7:$L$306,"Frozen")&lt;&gt;1),"Invalid current plan ref",IF(AND(D74="Executing",F74=""),"Execution lacks plan",IF(AND(D74="Closed",OR(T74="",COUNTIFS('Reviews'!$B$7:$B$306,A74)=0,COUNTIFS('Update log'!$B$7:$B$306,A74)=0)),"Closure docs missing","Basic records complete"))))))</x:f>
      </x:c>
      <x:c r="S74" s="3"/>
      <x:c r="T74" s="3"/>
    </x:row>
    <x:row r="75" ht="25" customHeight="1">
      <x:c r="A75" s="3"/>
      <x:c r="B75" s="3"/>
      <x:c r="C75" s="3"/>
      <x:c r="D75" s="3"/>
      <x:c r="E75" s="3"/>
      <x:c r="F75" s="3"/>
      <x:c r="G75" s="3"/>
      <x:c r="H75" s="3"/>
      <x:c r="I75" s="20"/>
      <x:c r="J75" s="3"/>
      <x:c r="K75" s="22"/>
      <x:c r="L75" s="22"/>
      <x:c r="M75" s="24" t="str">
        <x:f>IF(A75="","",IF(COUNTIFS('Execution log'!$B$7:$B$306,A75)=0,"",IF(COUNTIFS('Execution log'!$B$7:$B$306,A75,'Execution log'!$L$7:$L$306,"Valid",'Execution log'!$P$7:$P$306,"&lt;&gt;Valid input")&gt;0,"To check",IF(COUNTIFS('Execution log'!$B$7:$B$306,A75,'Execution log'!$P$7:$P$306,"Valid input")=0,"",SUMIFS('Execution log'!$H$7:$H$306,'Execution log'!$B$7:$B$306,A75,'Execution log'!$P$7:$P$306,"Valid input")))))</x:f>
      </x:c>
      <x:c r="N75" s="24" t="str">
        <x:f>IF(A75="","",IF(COUNTIFS('Execution log'!$B$7:$B$306,A75)=0,"",IF(COUNTIFS('Execution log'!$B$7:$B$306,A75,'Execution log'!$L$7:$L$306,"Valid",'Execution log'!$P$7:$P$306,"&lt;&gt;Valid input")&gt;0,"To check",IF(COUNTIFS('Execution log'!$B$7:$B$306,A75,'Execution log'!$P$7:$P$306,"Valid input")=0,"",SUMIFS('Execution log'!$J$7:$J$306,'Execution log'!$B$7:$B$306,A75,'Execution log'!$P$7:$P$306,"Valid input")))))</x:f>
      </x:c>
      <x:c r="O75" s="24" t="str">
        <x:f>IF(A75="","",IF(NOT(ISNUMBER(K75)),"Budget TBD",IF(NOT(ISNUMBER(M75)),"No valid entries yet",K75-M75)))</x:f>
      </x:c>
      <x:c r="P75" s="24" t="str">
        <x:f>IF(A75="","",IF(NOT(ISNUMBER(L75)),"Budget TBD",IF(NOT(ISNUMBER(N75)),"No valid entries yet",L75-N75)))</x:f>
      </x:c>
      <x:c r="Q75" s="19" t="str">
        <x:f>IF(A75="","",IF(D75="Closed","Closed",IF(NOT(ISNUMBER(I75)),"Review date TBD",IF(NOT(ISNUMBER($B$3)),"Evaluation date TBD",IF(I75&lt;=$B$3,"Review due","Not due")))))</x:f>
      </x:c>
      <x:c r="R75" s="19" t="str">
        <x:f>IF(A75="","",IF(COUNTIFS($A$7:$A$306,A75)&lt;&gt;1,"Duplicate case ID",IF(OR(B75="",C75="",D75="",G75="",S75=""),"Basic info missing",IF(AND(F75&lt;&gt;"",COUNTIFS('Plan versions'!$A$7:$A$306,F75,'Plan versions'!$B$7:$B$306,A75,'Plan versions'!$L$7:$L$306,"Frozen")&lt;&gt;1),"Invalid current plan ref",IF(AND(D75="Executing",F75=""),"Execution lacks plan",IF(AND(D75="Closed",OR(T75="",COUNTIFS('Reviews'!$B$7:$B$306,A75)=0,COUNTIFS('Update log'!$B$7:$B$306,A75)=0)),"Closure docs missing","Basic records complete"))))))</x:f>
      </x:c>
      <x:c r="S75" s="3"/>
      <x:c r="T75" s="3"/>
    </x:row>
    <x:row r="76" ht="25" customHeight="1">
      <x:c r="A76" s="3"/>
      <x:c r="B76" s="3"/>
      <x:c r="C76" s="3"/>
      <x:c r="D76" s="3"/>
      <x:c r="E76" s="3"/>
      <x:c r="F76" s="3"/>
      <x:c r="G76" s="3"/>
      <x:c r="H76" s="3"/>
      <x:c r="I76" s="20"/>
      <x:c r="J76" s="3"/>
      <x:c r="K76" s="22"/>
      <x:c r="L76" s="22"/>
      <x:c r="M76" s="24" t="str">
        <x:f>IF(A76="","",IF(COUNTIFS('Execution log'!$B$7:$B$306,A76)=0,"",IF(COUNTIFS('Execution log'!$B$7:$B$306,A76,'Execution log'!$L$7:$L$306,"Valid",'Execution log'!$P$7:$P$306,"&lt;&gt;Valid input")&gt;0,"To check",IF(COUNTIFS('Execution log'!$B$7:$B$306,A76,'Execution log'!$P$7:$P$306,"Valid input")=0,"",SUMIFS('Execution log'!$H$7:$H$306,'Execution log'!$B$7:$B$306,A76,'Execution log'!$P$7:$P$306,"Valid input")))))</x:f>
      </x:c>
      <x:c r="N76" s="24" t="str">
        <x:f>IF(A76="","",IF(COUNTIFS('Execution log'!$B$7:$B$306,A76)=0,"",IF(COUNTIFS('Execution log'!$B$7:$B$306,A76,'Execution log'!$L$7:$L$306,"Valid",'Execution log'!$P$7:$P$306,"&lt;&gt;Valid input")&gt;0,"To check",IF(COUNTIFS('Execution log'!$B$7:$B$306,A76,'Execution log'!$P$7:$P$306,"Valid input")=0,"",SUMIFS('Execution log'!$J$7:$J$306,'Execution log'!$B$7:$B$306,A76,'Execution log'!$P$7:$P$306,"Valid input")))))</x:f>
      </x:c>
      <x:c r="O76" s="24" t="str">
        <x:f>IF(A76="","",IF(NOT(ISNUMBER(K76)),"Budget TBD",IF(NOT(ISNUMBER(M76)),"No valid entries yet",K76-M76)))</x:f>
      </x:c>
      <x:c r="P76" s="24" t="str">
        <x:f>IF(A76="","",IF(NOT(ISNUMBER(L76)),"Budget TBD",IF(NOT(ISNUMBER(N76)),"No valid entries yet",L76-N76)))</x:f>
      </x:c>
      <x:c r="Q76" s="19" t="str">
        <x:f>IF(A76="","",IF(D76="Closed","Closed",IF(NOT(ISNUMBER(I76)),"Review date TBD",IF(NOT(ISNUMBER($B$3)),"Evaluation date TBD",IF(I76&lt;=$B$3,"Review due","Not due")))))</x:f>
      </x:c>
      <x:c r="R76" s="19" t="str">
        <x:f>IF(A76="","",IF(COUNTIFS($A$7:$A$306,A76)&lt;&gt;1,"Duplicate case ID",IF(OR(B76="",C76="",D76="",G76="",S76=""),"Basic info missing",IF(AND(F76&lt;&gt;"",COUNTIFS('Plan versions'!$A$7:$A$306,F76,'Plan versions'!$B$7:$B$306,A76,'Plan versions'!$L$7:$L$306,"Frozen")&lt;&gt;1),"Invalid current plan ref",IF(AND(D76="Executing",F76=""),"Execution lacks plan",IF(AND(D76="Closed",OR(T76="",COUNTIFS('Reviews'!$B$7:$B$306,A76)=0,COUNTIFS('Update log'!$B$7:$B$306,A76)=0)),"Closure docs missing","Basic records complete"))))))</x:f>
      </x:c>
      <x:c r="S76" s="3"/>
      <x:c r="T76" s="3"/>
    </x:row>
    <x:row r="77" ht="25" customHeight="1">
      <x:c r="A77" s="3"/>
      <x:c r="B77" s="3"/>
      <x:c r="C77" s="3"/>
      <x:c r="D77" s="3"/>
      <x:c r="E77" s="3"/>
      <x:c r="F77" s="3"/>
      <x:c r="G77" s="3"/>
      <x:c r="H77" s="3"/>
      <x:c r="I77" s="20"/>
      <x:c r="J77" s="3"/>
      <x:c r="K77" s="22"/>
      <x:c r="L77" s="22"/>
      <x:c r="M77" s="24" t="str">
        <x:f>IF(A77="","",IF(COUNTIFS('Execution log'!$B$7:$B$306,A77)=0,"",IF(COUNTIFS('Execution log'!$B$7:$B$306,A77,'Execution log'!$L$7:$L$306,"Valid",'Execution log'!$P$7:$P$306,"&lt;&gt;Valid input")&gt;0,"To check",IF(COUNTIFS('Execution log'!$B$7:$B$306,A77,'Execution log'!$P$7:$P$306,"Valid input")=0,"",SUMIFS('Execution log'!$H$7:$H$306,'Execution log'!$B$7:$B$306,A77,'Execution log'!$P$7:$P$306,"Valid input")))))</x:f>
      </x:c>
      <x:c r="N77" s="24" t="str">
        <x:f>IF(A77="","",IF(COUNTIFS('Execution log'!$B$7:$B$306,A77)=0,"",IF(COUNTIFS('Execution log'!$B$7:$B$306,A77,'Execution log'!$L$7:$L$306,"Valid",'Execution log'!$P$7:$P$306,"&lt;&gt;Valid input")&gt;0,"To check",IF(COUNTIFS('Execution log'!$B$7:$B$306,A77,'Execution log'!$P$7:$P$306,"Valid input")=0,"",SUMIFS('Execution log'!$J$7:$J$306,'Execution log'!$B$7:$B$306,A77,'Execution log'!$P$7:$P$306,"Valid input")))))</x:f>
      </x:c>
      <x:c r="O77" s="24" t="str">
        <x:f>IF(A77="","",IF(NOT(ISNUMBER(K77)),"Budget TBD",IF(NOT(ISNUMBER(M77)),"No valid entries yet",K77-M77)))</x:f>
      </x:c>
      <x:c r="P77" s="24" t="str">
        <x:f>IF(A77="","",IF(NOT(ISNUMBER(L77)),"Budget TBD",IF(NOT(ISNUMBER(N77)),"No valid entries yet",L77-N77)))</x:f>
      </x:c>
      <x:c r="Q77" s="19" t="str">
        <x:f>IF(A77="","",IF(D77="Closed","Closed",IF(NOT(ISNUMBER(I77)),"Review date TBD",IF(NOT(ISNUMBER($B$3)),"Evaluation date TBD",IF(I77&lt;=$B$3,"Review due","Not due")))))</x:f>
      </x:c>
      <x:c r="R77" s="19" t="str">
        <x:f>IF(A77="","",IF(COUNTIFS($A$7:$A$306,A77)&lt;&gt;1,"Duplicate case ID",IF(OR(B77="",C77="",D77="",G77="",S77=""),"Basic info missing",IF(AND(F77&lt;&gt;"",COUNTIFS('Plan versions'!$A$7:$A$306,F77,'Plan versions'!$B$7:$B$306,A77,'Plan versions'!$L$7:$L$306,"Frozen")&lt;&gt;1),"Invalid current plan ref",IF(AND(D77="Executing",F77=""),"Execution lacks plan",IF(AND(D77="Closed",OR(T77="",COUNTIFS('Reviews'!$B$7:$B$306,A77)=0,COUNTIFS('Update log'!$B$7:$B$306,A77)=0)),"Closure docs missing","Basic records complete"))))))</x:f>
      </x:c>
      <x:c r="S77" s="3"/>
      <x:c r="T77" s="3"/>
    </x:row>
    <x:row r="78" ht="25" customHeight="1">
      <x:c r="A78" s="3"/>
      <x:c r="B78" s="3"/>
      <x:c r="C78" s="3"/>
      <x:c r="D78" s="3"/>
      <x:c r="E78" s="3"/>
      <x:c r="F78" s="3"/>
      <x:c r="G78" s="3"/>
      <x:c r="H78" s="3"/>
      <x:c r="I78" s="20"/>
      <x:c r="J78" s="3"/>
      <x:c r="K78" s="22"/>
      <x:c r="L78" s="22"/>
      <x:c r="M78" s="24" t="str">
        <x:f>IF(A78="","",IF(COUNTIFS('Execution log'!$B$7:$B$306,A78)=0,"",IF(COUNTIFS('Execution log'!$B$7:$B$306,A78,'Execution log'!$L$7:$L$306,"Valid",'Execution log'!$P$7:$P$306,"&lt;&gt;Valid input")&gt;0,"To check",IF(COUNTIFS('Execution log'!$B$7:$B$306,A78,'Execution log'!$P$7:$P$306,"Valid input")=0,"",SUMIFS('Execution log'!$H$7:$H$306,'Execution log'!$B$7:$B$306,A78,'Execution log'!$P$7:$P$306,"Valid input")))))</x:f>
      </x:c>
      <x:c r="N78" s="24" t="str">
        <x:f>IF(A78="","",IF(COUNTIFS('Execution log'!$B$7:$B$306,A78)=0,"",IF(COUNTIFS('Execution log'!$B$7:$B$306,A78,'Execution log'!$L$7:$L$306,"Valid",'Execution log'!$P$7:$P$306,"&lt;&gt;Valid input")&gt;0,"To check",IF(COUNTIFS('Execution log'!$B$7:$B$306,A78,'Execution log'!$P$7:$P$306,"Valid input")=0,"",SUMIFS('Execution log'!$J$7:$J$306,'Execution log'!$B$7:$B$306,A78,'Execution log'!$P$7:$P$306,"Valid input")))))</x:f>
      </x:c>
      <x:c r="O78" s="24" t="str">
        <x:f>IF(A78="","",IF(NOT(ISNUMBER(K78)),"Budget TBD",IF(NOT(ISNUMBER(M78)),"No valid entries yet",K78-M78)))</x:f>
      </x:c>
      <x:c r="P78" s="24" t="str">
        <x:f>IF(A78="","",IF(NOT(ISNUMBER(L78)),"Budget TBD",IF(NOT(ISNUMBER(N78)),"No valid entries yet",L78-N78)))</x:f>
      </x:c>
      <x:c r="Q78" s="19" t="str">
        <x:f>IF(A78="","",IF(D78="Closed","Closed",IF(NOT(ISNUMBER(I78)),"Review date TBD",IF(NOT(ISNUMBER($B$3)),"Evaluation date TBD",IF(I78&lt;=$B$3,"Review due","Not due")))))</x:f>
      </x:c>
      <x:c r="R78" s="19" t="str">
        <x:f>IF(A78="","",IF(COUNTIFS($A$7:$A$306,A78)&lt;&gt;1,"Duplicate case ID",IF(OR(B78="",C78="",D78="",G78="",S78=""),"Basic info missing",IF(AND(F78&lt;&gt;"",COUNTIFS('Plan versions'!$A$7:$A$306,F78,'Plan versions'!$B$7:$B$306,A78,'Plan versions'!$L$7:$L$306,"Frozen")&lt;&gt;1),"Invalid current plan ref",IF(AND(D78="Executing",F78=""),"Execution lacks plan",IF(AND(D78="Closed",OR(T78="",COUNTIFS('Reviews'!$B$7:$B$306,A78)=0,COUNTIFS('Update log'!$B$7:$B$306,A78)=0)),"Closure docs missing","Basic records complete"))))))</x:f>
      </x:c>
      <x:c r="S78" s="3"/>
      <x:c r="T78" s="3"/>
    </x:row>
    <x:row r="79" ht="25" customHeight="1">
      <x:c r="A79" s="3"/>
      <x:c r="B79" s="3"/>
      <x:c r="C79" s="3"/>
      <x:c r="D79" s="3"/>
      <x:c r="E79" s="3"/>
      <x:c r="F79" s="3"/>
      <x:c r="G79" s="3"/>
      <x:c r="H79" s="3"/>
      <x:c r="I79" s="20"/>
      <x:c r="J79" s="3"/>
      <x:c r="K79" s="22"/>
      <x:c r="L79" s="22"/>
      <x:c r="M79" s="24" t="str">
        <x:f>IF(A79="","",IF(COUNTIFS('Execution log'!$B$7:$B$306,A79)=0,"",IF(COUNTIFS('Execution log'!$B$7:$B$306,A79,'Execution log'!$L$7:$L$306,"Valid",'Execution log'!$P$7:$P$306,"&lt;&gt;Valid input")&gt;0,"To check",IF(COUNTIFS('Execution log'!$B$7:$B$306,A79,'Execution log'!$P$7:$P$306,"Valid input")=0,"",SUMIFS('Execution log'!$H$7:$H$306,'Execution log'!$B$7:$B$306,A79,'Execution log'!$P$7:$P$306,"Valid input")))))</x:f>
      </x:c>
      <x:c r="N79" s="24" t="str">
        <x:f>IF(A79="","",IF(COUNTIFS('Execution log'!$B$7:$B$306,A79)=0,"",IF(COUNTIFS('Execution log'!$B$7:$B$306,A79,'Execution log'!$L$7:$L$306,"Valid",'Execution log'!$P$7:$P$306,"&lt;&gt;Valid input")&gt;0,"To check",IF(COUNTIFS('Execution log'!$B$7:$B$306,A79,'Execution log'!$P$7:$P$306,"Valid input")=0,"",SUMIFS('Execution log'!$J$7:$J$306,'Execution log'!$B$7:$B$306,A79,'Execution log'!$P$7:$P$306,"Valid input")))))</x:f>
      </x:c>
      <x:c r="O79" s="24" t="str">
        <x:f>IF(A79="","",IF(NOT(ISNUMBER(K79)),"Budget TBD",IF(NOT(ISNUMBER(M79)),"No valid entries yet",K79-M79)))</x:f>
      </x:c>
      <x:c r="P79" s="24" t="str">
        <x:f>IF(A79="","",IF(NOT(ISNUMBER(L79)),"Budget TBD",IF(NOT(ISNUMBER(N79)),"No valid entries yet",L79-N79)))</x:f>
      </x:c>
      <x:c r="Q79" s="19" t="str">
        <x:f>IF(A79="","",IF(D79="Closed","Closed",IF(NOT(ISNUMBER(I79)),"Review date TBD",IF(NOT(ISNUMBER($B$3)),"Evaluation date TBD",IF(I79&lt;=$B$3,"Review due","Not due")))))</x:f>
      </x:c>
      <x:c r="R79" s="19" t="str">
        <x:f>IF(A79="","",IF(COUNTIFS($A$7:$A$306,A79)&lt;&gt;1,"Duplicate case ID",IF(OR(B79="",C79="",D79="",G79="",S79=""),"Basic info missing",IF(AND(F79&lt;&gt;"",COUNTIFS('Plan versions'!$A$7:$A$306,F79,'Plan versions'!$B$7:$B$306,A79,'Plan versions'!$L$7:$L$306,"Frozen")&lt;&gt;1),"Invalid current plan ref",IF(AND(D79="Executing",F79=""),"Execution lacks plan",IF(AND(D79="Closed",OR(T79="",COUNTIFS('Reviews'!$B$7:$B$306,A79)=0,COUNTIFS('Update log'!$B$7:$B$306,A79)=0)),"Closure docs missing","Basic records complete"))))))</x:f>
      </x:c>
      <x:c r="S79" s="3"/>
      <x:c r="T79" s="3"/>
    </x:row>
    <x:row r="80" ht="25" customHeight="1">
      <x:c r="A80" s="3"/>
      <x:c r="B80" s="3"/>
      <x:c r="C80" s="3"/>
      <x:c r="D80" s="3"/>
      <x:c r="E80" s="3"/>
      <x:c r="F80" s="3"/>
      <x:c r="G80" s="3"/>
      <x:c r="H80" s="3"/>
      <x:c r="I80" s="20"/>
      <x:c r="J80" s="3"/>
      <x:c r="K80" s="22"/>
      <x:c r="L80" s="22"/>
      <x:c r="M80" s="24" t="str">
        <x:f>IF(A80="","",IF(COUNTIFS('Execution log'!$B$7:$B$306,A80)=0,"",IF(COUNTIFS('Execution log'!$B$7:$B$306,A80,'Execution log'!$L$7:$L$306,"Valid",'Execution log'!$P$7:$P$306,"&lt;&gt;Valid input")&gt;0,"To check",IF(COUNTIFS('Execution log'!$B$7:$B$306,A80,'Execution log'!$P$7:$P$306,"Valid input")=0,"",SUMIFS('Execution log'!$H$7:$H$306,'Execution log'!$B$7:$B$306,A80,'Execution log'!$P$7:$P$306,"Valid input")))))</x:f>
      </x:c>
      <x:c r="N80" s="24" t="str">
        <x:f>IF(A80="","",IF(COUNTIFS('Execution log'!$B$7:$B$306,A80)=0,"",IF(COUNTIFS('Execution log'!$B$7:$B$306,A80,'Execution log'!$L$7:$L$306,"Valid",'Execution log'!$P$7:$P$306,"&lt;&gt;Valid input")&gt;0,"To check",IF(COUNTIFS('Execution log'!$B$7:$B$306,A80,'Execution log'!$P$7:$P$306,"Valid input")=0,"",SUMIFS('Execution log'!$J$7:$J$306,'Execution log'!$B$7:$B$306,A80,'Execution log'!$P$7:$P$306,"Valid input")))))</x:f>
      </x:c>
      <x:c r="O80" s="24" t="str">
        <x:f>IF(A80="","",IF(NOT(ISNUMBER(K80)),"Budget TBD",IF(NOT(ISNUMBER(M80)),"No valid entries yet",K80-M80)))</x:f>
      </x:c>
      <x:c r="P80" s="24" t="str">
        <x:f>IF(A80="","",IF(NOT(ISNUMBER(L80)),"Budget TBD",IF(NOT(ISNUMBER(N80)),"No valid entries yet",L80-N80)))</x:f>
      </x:c>
      <x:c r="Q80" s="19" t="str">
        <x:f>IF(A80="","",IF(D80="Closed","Closed",IF(NOT(ISNUMBER(I80)),"Review date TBD",IF(NOT(ISNUMBER($B$3)),"Evaluation date TBD",IF(I80&lt;=$B$3,"Review due","Not due")))))</x:f>
      </x:c>
      <x:c r="R80" s="19" t="str">
        <x:f>IF(A80="","",IF(COUNTIFS($A$7:$A$306,A80)&lt;&gt;1,"Duplicate case ID",IF(OR(B80="",C80="",D80="",G80="",S80=""),"Basic info missing",IF(AND(F80&lt;&gt;"",COUNTIFS('Plan versions'!$A$7:$A$306,F80,'Plan versions'!$B$7:$B$306,A80,'Plan versions'!$L$7:$L$306,"Frozen")&lt;&gt;1),"Invalid current plan ref",IF(AND(D80="Executing",F80=""),"Execution lacks plan",IF(AND(D80="Closed",OR(T80="",COUNTIFS('Reviews'!$B$7:$B$306,A80)=0,COUNTIFS('Update log'!$B$7:$B$306,A80)=0)),"Closure docs missing","Basic records complete"))))))</x:f>
      </x:c>
      <x:c r="S80" s="3"/>
      <x:c r="T80" s="3"/>
    </x:row>
    <x:row r="81" ht="25" customHeight="1">
      <x:c r="A81" s="3"/>
      <x:c r="B81" s="3"/>
      <x:c r="C81" s="3"/>
      <x:c r="D81" s="3"/>
      <x:c r="E81" s="3"/>
      <x:c r="F81" s="3"/>
      <x:c r="G81" s="3"/>
      <x:c r="H81" s="3"/>
      <x:c r="I81" s="20"/>
      <x:c r="J81" s="3"/>
      <x:c r="K81" s="22"/>
      <x:c r="L81" s="22"/>
      <x:c r="M81" s="24" t="str">
        <x:f>IF(A81="","",IF(COUNTIFS('Execution log'!$B$7:$B$306,A81)=0,"",IF(COUNTIFS('Execution log'!$B$7:$B$306,A81,'Execution log'!$L$7:$L$306,"Valid",'Execution log'!$P$7:$P$306,"&lt;&gt;Valid input")&gt;0,"To check",IF(COUNTIFS('Execution log'!$B$7:$B$306,A81,'Execution log'!$P$7:$P$306,"Valid input")=0,"",SUMIFS('Execution log'!$H$7:$H$306,'Execution log'!$B$7:$B$306,A81,'Execution log'!$P$7:$P$306,"Valid input")))))</x:f>
      </x:c>
      <x:c r="N81" s="24" t="str">
        <x:f>IF(A81="","",IF(COUNTIFS('Execution log'!$B$7:$B$306,A81)=0,"",IF(COUNTIFS('Execution log'!$B$7:$B$306,A81,'Execution log'!$L$7:$L$306,"Valid",'Execution log'!$P$7:$P$306,"&lt;&gt;Valid input")&gt;0,"To check",IF(COUNTIFS('Execution log'!$B$7:$B$306,A81,'Execution log'!$P$7:$P$306,"Valid input")=0,"",SUMIFS('Execution log'!$J$7:$J$306,'Execution log'!$B$7:$B$306,A81,'Execution log'!$P$7:$P$306,"Valid input")))))</x:f>
      </x:c>
      <x:c r="O81" s="24" t="str">
        <x:f>IF(A81="","",IF(NOT(ISNUMBER(K81)),"Budget TBD",IF(NOT(ISNUMBER(M81)),"No valid entries yet",K81-M81)))</x:f>
      </x:c>
      <x:c r="P81" s="24" t="str">
        <x:f>IF(A81="","",IF(NOT(ISNUMBER(L81)),"Budget TBD",IF(NOT(ISNUMBER(N81)),"No valid entries yet",L81-N81)))</x:f>
      </x:c>
      <x:c r="Q81" s="19" t="str">
        <x:f>IF(A81="","",IF(D81="Closed","Closed",IF(NOT(ISNUMBER(I81)),"Review date TBD",IF(NOT(ISNUMBER($B$3)),"Evaluation date TBD",IF(I81&lt;=$B$3,"Review due","Not due")))))</x:f>
      </x:c>
      <x:c r="R81" s="19" t="str">
        <x:f>IF(A81="","",IF(COUNTIFS($A$7:$A$306,A81)&lt;&gt;1,"Duplicate case ID",IF(OR(B81="",C81="",D81="",G81="",S81=""),"Basic info missing",IF(AND(F81&lt;&gt;"",COUNTIFS('Plan versions'!$A$7:$A$306,F81,'Plan versions'!$B$7:$B$306,A81,'Plan versions'!$L$7:$L$306,"Frozen")&lt;&gt;1),"Invalid current plan ref",IF(AND(D81="Executing",F81=""),"Execution lacks plan",IF(AND(D81="Closed",OR(T81="",COUNTIFS('Reviews'!$B$7:$B$306,A81)=0,COUNTIFS('Update log'!$B$7:$B$306,A81)=0)),"Closure docs missing","Basic records complete"))))))</x:f>
      </x:c>
      <x:c r="S81" s="3"/>
      <x:c r="T81" s="3"/>
    </x:row>
    <x:row r="82" ht="25" customHeight="1">
      <x:c r="A82" s="3"/>
      <x:c r="B82" s="3"/>
      <x:c r="C82" s="3"/>
      <x:c r="D82" s="3"/>
      <x:c r="E82" s="3"/>
      <x:c r="F82" s="3"/>
      <x:c r="G82" s="3"/>
      <x:c r="H82" s="3"/>
      <x:c r="I82" s="20"/>
      <x:c r="J82" s="3"/>
      <x:c r="K82" s="22"/>
      <x:c r="L82" s="22"/>
      <x:c r="M82" s="24" t="str">
        <x:f>IF(A82="","",IF(COUNTIFS('Execution log'!$B$7:$B$306,A82)=0,"",IF(COUNTIFS('Execution log'!$B$7:$B$306,A82,'Execution log'!$L$7:$L$306,"Valid",'Execution log'!$P$7:$P$306,"&lt;&gt;Valid input")&gt;0,"To check",IF(COUNTIFS('Execution log'!$B$7:$B$306,A82,'Execution log'!$P$7:$P$306,"Valid input")=0,"",SUMIFS('Execution log'!$H$7:$H$306,'Execution log'!$B$7:$B$306,A82,'Execution log'!$P$7:$P$306,"Valid input")))))</x:f>
      </x:c>
      <x:c r="N82" s="24" t="str">
        <x:f>IF(A82="","",IF(COUNTIFS('Execution log'!$B$7:$B$306,A82)=0,"",IF(COUNTIFS('Execution log'!$B$7:$B$306,A82,'Execution log'!$L$7:$L$306,"Valid",'Execution log'!$P$7:$P$306,"&lt;&gt;Valid input")&gt;0,"To check",IF(COUNTIFS('Execution log'!$B$7:$B$306,A82,'Execution log'!$P$7:$P$306,"Valid input")=0,"",SUMIFS('Execution log'!$J$7:$J$306,'Execution log'!$B$7:$B$306,A82,'Execution log'!$P$7:$P$306,"Valid input")))))</x:f>
      </x:c>
      <x:c r="O82" s="24" t="str">
        <x:f>IF(A82="","",IF(NOT(ISNUMBER(K82)),"Budget TBD",IF(NOT(ISNUMBER(M82)),"No valid entries yet",K82-M82)))</x:f>
      </x:c>
      <x:c r="P82" s="24" t="str">
        <x:f>IF(A82="","",IF(NOT(ISNUMBER(L82)),"Budget TBD",IF(NOT(ISNUMBER(N82)),"No valid entries yet",L82-N82)))</x:f>
      </x:c>
      <x:c r="Q82" s="19" t="str">
        <x:f>IF(A82="","",IF(D82="Closed","Closed",IF(NOT(ISNUMBER(I82)),"Review date TBD",IF(NOT(ISNUMBER($B$3)),"Evaluation date TBD",IF(I82&lt;=$B$3,"Review due","Not due")))))</x:f>
      </x:c>
      <x:c r="R82" s="19" t="str">
        <x:f>IF(A82="","",IF(COUNTIFS($A$7:$A$306,A82)&lt;&gt;1,"Duplicate case ID",IF(OR(B82="",C82="",D82="",G82="",S82=""),"Basic info missing",IF(AND(F82&lt;&gt;"",COUNTIFS('Plan versions'!$A$7:$A$306,F82,'Plan versions'!$B$7:$B$306,A82,'Plan versions'!$L$7:$L$306,"Frozen")&lt;&gt;1),"Invalid current plan ref",IF(AND(D82="Executing",F82=""),"Execution lacks plan",IF(AND(D82="Closed",OR(T82="",COUNTIFS('Reviews'!$B$7:$B$306,A82)=0,COUNTIFS('Update log'!$B$7:$B$306,A82)=0)),"Closure docs missing","Basic records complete"))))))</x:f>
      </x:c>
      <x:c r="S82" s="3"/>
      <x:c r="T82" s="3"/>
    </x:row>
    <x:row r="83" ht="25" customHeight="1">
      <x:c r="A83" s="3"/>
      <x:c r="B83" s="3"/>
      <x:c r="C83" s="3"/>
      <x:c r="D83" s="3"/>
      <x:c r="E83" s="3"/>
      <x:c r="F83" s="3"/>
      <x:c r="G83" s="3"/>
      <x:c r="H83" s="3"/>
      <x:c r="I83" s="20"/>
      <x:c r="J83" s="3"/>
      <x:c r="K83" s="22"/>
      <x:c r="L83" s="22"/>
      <x:c r="M83" s="24" t="str">
        <x:f>IF(A83="","",IF(COUNTIFS('Execution log'!$B$7:$B$306,A83)=0,"",IF(COUNTIFS('Execution log'!$B$7:$B$306,A83,'Execution log'!$L$7:$L$306,"Valid",'Execution log'!$P$7:$P$306,"&lt;&gt;Valid input")&gt;0,"To check",IF(COUNTIFS('Execution log'!$B$7:$B$306,A83,'Execution log'!$P$7:$P$306,"Valid input")=0,"",SUMIFS('Execution log'!$H$7:$H$306,'Execution log'!$B$7:$B$306,A83,'Execution log'!$P$7:$P$306,"Valid input")))))</x:f>
      </x:c>
      <x:c r="N83" s="24" t="str">
        <x:f>IF(A83="","",IF(COUNTIFS('Execution log'!$B$7:$B$306,A83)=0,"",IF(COUNTIFS('Execution log'!$B$7:$B$306,A83,'Execution log'!$L$7:$L$306,"Valid",'Execution log'!$P$7:$P$306,"&lt;&gt;Valid input")&gt;0,"To check",IF(COUNTIFS('Execution log'!$B$7:$B$306,A83,'Execution log'!$P$7:$P$306,"Valid input")=0,"",SUMIFS('Execution log'!$J$7:$J$306,'Execution log'!$B$7:$B$306,A83,'Execution log'!$P$7:$P$306,"Valid input")))))</x:f>
      </x:c>
      <x:c r="O83" s="24" t="str">
        <x:f>IF(A83="","",IF(NOT(ISNUMBER(K83)),"Budget TBD",IF(NOT(ISNUMBER(M83)),"No valid entries yet",K83-M83)))</x:f>
      </x:c>
      <x:c r="P83" s="24" t="str">
        <x:f>IF(A83="","",IF(NOT(ISNUMBER(L83)),"Budget TBD",IF(NOT(ISNUMBER(N83)),"No valid entries yet",L83-N83)))</x:f>
      </x:c>
      <x:c r="Q83" s="19" t="str">
        <x:f>IF(A83="","",IF(D83="Closed","Closed",IF(NOT(ISNUMBER(I83)),"Review date TBD",IF(NOT(ISNUMBER($B$3)),"Evaluation date TBD",IF(I83&lt;=$B$3,"Review due","Not due")))))</x:f>
      </x:c>
      <x:c r="R83" s="19" t="str">
        <x:f>IF(A83="","",IF(COUNTIFS($A$7:$A$306,A83)&lt;&gt;1,"Duplicate case ID",IF(OR(B83="",C83="",D83="",G83="",S83=""),"Basic info missing",IF(AND(F83&lt;&gt;"",COUNTIFS('Plan versions'!$A$7:$A$306,F83,'Plan versions'!$B$7:$B$306,A83,'Plan versions'!$L$7:$L$306,"Frozen")&lt;&gt;1),"Invalid current plan ref",IF(AND(D83="Executing",F83=""),"Execution lacks plan",IF(AND(D83="Closed",OR(T83="",COUNTIFS('Reviews'!$B$7:$B$306,A83)=0,COUNTIFS('Update log'!$B$7:$B$306,A83)=0)),"Closure docs missing","Basic records complete"))))))</x:f>
      </x:c>
      <x:c r="S83" s="3"/>
      <x:c r="T83" s="3"/>
    </x:row>
    <x:row r="84" ht="25" customHeight="1">
      <x:c r="A84" s="3"/>
      <x:c r="B84" s="3"/>
      <x:c r="C84" s="3"/>
      <x:c r="D84" s="3"/>
      <x:c r="E84" s="3"/>
      <x:c r="F84" s="3"/>
      <x:c r="G84" s="3"/>
      <x:c r="H84" s="3"/>
      <x:c r="I84" s="20"/>
      <x:c r="J84" s="3"/>
      <x:c r="K84" s="22"/>
      <x:c r="L84" s="22"/>
      <x:c r="M84" s="24" t="str">
        <x:f>IF(A84="","",IF(COUNTIFS('Execution log'!$B$7:$B$306,A84)=0,"",IF(COUNTIFS('Execution log'!$B$7:$B$306,A84,'Execution log'!$L$7:$L$306,"Valid",'Execution log'!$P$7:$P$306,"&lt;&gt;Valid input")&gt;0,"To check",IF(COUNTIFS('Execution log'!$B$7:$B$306,A84,'Execution log'!$P$7:$P$306,"Valid input")=0,"",SUMIFS('Execution log'!$H$7:$H$306,'Execution log'!$B$7:$B$306,A84,'Execution log'!$P$7:$P$306,"Valid input")))))</x:f>
      </x:c>
      <x:c r="N84" s="24" t="str">
        <x:f>IF(A84="","",IF(COUNTIFS('Execution log'!$B$7:$B$306,A84)=0,"",IF(COUNTIFS('Execution log'!$B$7:$B$306,A84,'Execution log'!$L$7:$L$306,"Valid",'Execution log'!$P$7:$P$306,"&lt;&gt;Valid input")&gt;0,"To check",IF(COUNTIFS('Execution log'!$B$7:$B$306,A84,'Execution log'!$P$7:$P$306,"Valid input")=0,"",SUMIFS('Execution log'!$J$7:$J$306,'Execution log'!$B$7:$B$306,A84,'Execution log'!$P$7:$P$306,"Valid input")))))</x:f>
      </x:c>
      <x:c r="O84" s="24" t="str">
        <x:f>IF(A84="","",IF(NOT(ISNUMBER(K84)),"Budget TBD",IF(NOT(ISNUMBER(M84)),"No valid entries yet",K84-M84)))</x:f>
      </x:c>
      <x:c r="P84" s="24" t="str">
        <x:f>IF(A84="","",IF(NOT(ISNUMBER(L84)),"Budget TBD",IF(NOT(ISNUMBER(N84)),"No valid entries yet",L84-N84)))</x:f>
      </x:c>
      <x:c r="Q84" s="19" t="str">
        <x:f>IF(A84="","",IF(D84="Closed","Closed",IF(NOT(ISNUMBER(I84)),"Review date TBD",IF(NOT(ISNUMBER($B$3)),"Evaluation date TBD",IF(I84&lt;=$B$3,"Review due","Not due")))))</x:f>
      </x:c>
      <x:c r="R84" s="19" t="str">
        <x:f>IF(A84="","",IF(COUNTIFS($A$7:$A$306,A84)&lt;&gt;1,"Duplicate case ID",IF(OR(B84="",C84="",D84="",G84="",S84=""),"Basic info missing",IF(AND(F84&lt;&gt;"",COUNTIFS('Plan versions'!$A$7:$A$306,F84,'Plan versions'!$B$7:$B$306,A84,'Plan versions'!$L$7:$L$306,"Frozen")&lt;&gt;1),"Invalid current plan ref",IF(AND(D84="Executing",F84=""),"Execution lacks plan",IF(AND(D84="Closed",OR(T84="",COUNTIFS('Reviews'!$B$7:$B$306,A84)=0,COUNTIFS('Update log'!$B$7:$B$306,A84)=0)),"Closure docs missing","Basic records complete"))))))</x:f>
      </x:c>
      <x:c r="S84" s="3"/>
      <x:c r="T84" s="3"/>
    </x:row>
    <x:row r="85" ht="25" customHeight="1">
      <x:c r="A85" s="3"/>
      <x:c r="B85" s="3"/>
      <x:c r="C85" s="3"/>
      <x:c r="D85" s="3"/>
      <x:c r="E85" s="3"/>
      <x:c r="F85" s="3"/>
      <x:c r="G85" s="3"/>
      <x:c r="H85" s="3"/>
      <x:c r="I85" s="20"/>
      <x:c r="J85" s="3"/>
      <x:c r="K85" s="22"/>
      <x:c r="L85" s="22"/>
      <x:c r="M85" s="24" t="str">
        <x:f>IF(A85="","",IF(COUNTIFS('Execution log'!$B$7:$B$306,A85)=0,"",IF(COUNTIFS('Execution log'!$B$7:$B$306,A85,'Execution log'!$L$7:$L$306,"Valid",'Execution log'!$P$7:$P$306,"&lt;&gt;Valid input")&gt;0,"To check",IF(COUNTIFS('Execution log'!$B$7:$B$306,A85,'Execution log'!$P$7:$P$306,"Valid input")=0,"",SUMIFS('Execution log'!$H$7:$H$306,'Execution log'!$B$7:$B$306,A85,'Execution log'!$P$7:$P$306,"Valid input")))))</x:f>
      </x:c>
      <x:c r="N85" s="24" t="str">
        <x:f>IF(A85="","",IF(COUNTIFS('Execution log'!$B$7:$B$306,A85)=0,"",IF(COUNTIFS('Execution log'!$B$7:$B$306,A85,'Execution log'!$L$7:$L$306,"Valid",'Execution log'!$P$7:$P$306,"&lt;&gt;Valid input")&gt;0,"To check",IF(COUNTIFS('Execution log'!$B$7:$B$306,A85,'Execution log'!$P$7:$P$306,"Valid input")=0,"",SUMIFS('Execution log'!$J$7:$J$306,'Execution log'!$B$7:$B$306,A85,'Execution log'!$P$7:$P$306,"Valid input")))))</x:f>
      </x:c>
      <x:c r="O85" s="24" t="str">
        <x:f>IF(A85="","",IF(NOT(ISNUMBER(K85)),"Budget TBD",IF(NOT(ISNUMBER(M85)),"No valid entries yet",K85-M85)))</x:f>
      </x:c>
      <x:c r="P85" s="24" t="str">
        <x:f>IF(A85="","",IF(NOT(ISNUMBER(L85)),"Budget TBD",IF(NOT(ISNUMBER(N85)),"No valid entries yet",L85-N85)))</x:f>
      </x:c>
      <x:c r="Q85" s="19" t="str">
        <x:f>IF(A85="","",IF(D85="Closed","Closed",IF(NOT(ISNUMBER(I85)),"Review date TBD",IF(NOT(ISNUMBER($B$3)),"Evaluation date TBD",IF(I85&lt;=$B$3,"Review due","Not due")))))</x:f>
      </x:c>
      <x:c r="R85" s="19" t="str">
        <x:f>IF(A85="","",IF(COUNTIFS($A$7:$A$306,A85)&lt;&gt;1,"Duplicate case ID",IF(OR(B85="",C85="",D85="",G85="",S85=""),"Basic info missing",IF(AND(F85&lt;&gt;"",COUNTIFS('Plan versions'!$A$7:$A$306,F85,'Plan versions'!$B$7:$B$306,A85,'Plan versions'!$L$7:$L$306,"Frozen")&lt;&gt;1),"Invalid current plan ref",IF(AND(D85="Executing",F85=""),"Execution lacks plan",IF(AND(D85="Closed",OR(T85="",COUNTIFS('Reviews'!$B$7:$B$306,A85)=0,COUNTIFS('Update log'!$B$7:$B$306,A85)=0)),"Closure docs missing","Basic records complete"))))))</x:f>
      </x:c>
      <x:c r="S85" s="3"/>
      <x:c r="T85" s="3"/>
    </x:row>
    <x:row r="86" ht="25" customHeight="1">
      <x:c r="A86" s="3"/>
      <x:c r="B86" s="3"/>
      <x:c r="C86" s="3"/>
      <x:c r="D86" s="3"/>
      <x:c r="E86" s="3"/>
      <x:c r="F86" s="3"/>
      <x:c r="G86" s="3"/>
      <x:c r="H86" s="3"/>
      <x:c r="I86" s="20"/>
      <x:c r="J86" s="3"/>
      <x:c r="K86" s="22"/>
      <x:c r="L86" s="22"/>
      <x:c r="M86" s="24" t="str">
        <x:f>IF(A86="","",IF(COUNTIFS('Execution log'!$B$7:$B$306,A86)=0,"",IF(COUNTIFS('Execution log'!$B$7:$B$306,A86,'Execution log'!$L$7:$L$306,"Valid",'Execution log'!$P$7:$P$306,"&lt;&gt;Valid input")&gt;0,"To check",IF(COUNTIFS('Execution log'!$B$7:$B$306,A86,'Execution log'!$P$7:$P$306,"Valid input")=0,"",SUMIFS('Execution log'!$H$7:$H$306,'Execution log'!$B$7:$B$306,A86,'Execution log'!$P$7:$P$306,"Valid input")))))</x:f>
      </x:c>
      <x:c r="N86" s="24" t="str">
        <x:f>IF(A86="","",IF(COUNTIFS('Execution log'!$B$7:$B$306,A86)=0,"",IF(COUNTIFS('Execution log'!$B$7:$B$306,A86,'Execution log'!$L$7:$L$306,"Valid",'Execution log'!$P$7:$P$306,"&lt;&gt;Valid input")&gt;0,"To check",IF(COUNTIFS('Execution log'!$B$7:$B$306,A86,'Execution log'!$P$7:$P$306,"Valid input")=0,"",SUMIFS('Execution log'!$J$7:$J$306,'Execution log'!$B$7:$B$306,A86,'Execution log'!$P$7:$P$306,"Valid input")))))</x:f>
      </x:c>
      <x:c r="O86" s="24" t="str">
        <x:f>IF(A86="","",IF(NOT(ISNUMBER(K86)),"Budget TBD",IF(NOT(ISNUMBER(M86)),"No valid entries yet",K86-M86)))</x:f>
      </x:c>
      <x:c r="P86" s="24" t="str">
        <x:f>IF(A86="","",IF(NOT(ISNUMBER(L86)),"Budget TBD",IF(NOT(ISNUMBER(N86)),"No valid entries yet",L86-N86)))</x:f>
      </x:c>
      <x:c r="Q86" s="19" t="str">
        <x:f>IF(A86="","",IF(D86="Closed","Closed",IF(NOT(ISNUMBER(I86)),"Review date TBD",IF(NOT(ISNUMBER($B$3)),"Evaluation date TBD",IF(I86&lt;=$B$3,"Review due","Not due")))))</x:f>
      </x:c>
      <x:c r="R86" s="19" t="str">
        <x:f>IF(A86="","",IF(COUNTIFS($A$7:$A$306,A86)&lt;&gt;1,"Duplicate case ID",IF(OR(B86="",C86="",D86="",G86="",S86=""),"Basic info missing",IF(AND(F86&lt;&gt;"",COUNTIFS('Plan versions'!$A$7:$A$306,F86,'Plan versions'!$B$7:$B$306,A86,'Plan versions'!$L$7:$L$306,"Frozen")&lt;&gt;1),"Invalid current plan ref",IF(AND(D86="Executing",F86=""),"Execution lacks plan",IF(AND(D86="Closed",OR(T86="",COUNTIFS('Reviews'!$B$7:$B$306,A86)=0,COUNTIFS('Update log'!$B$7:$B$306,A86)=0)),"Closure docs missing","Basic records complete"))))))</x:f>
      </x:c>
      <x:c r="S86" s="3"/>
      <x:c r="T86" s="3"/>
    </x:row>
    <x:row r="87" ht="25" customHeight="1">
      <x:c r="A87" s="3"/>
      <x:c r="B87" s="3"/>
      <x:c r="C87" s="3"/>
      <x:c r="D87" s="3"/>
      <x:c r="E87" s="3"/>
      <x:c r="F87" s="3"/>
      <x:c r="G87" s="3"/>
      <x:c r="H87" s="3"/>
      <x:c r="I87" s="20"/>
      <x:c r="J87" s="3"/>
      <x:c r="K87" s="22"/>
      <x:c r="L87" s="22"/>
      <x:c r="M87" s="24" t="str">
        <x:f>IF(A87="","",IF(COUNTIFS('Execution log'!$B$7:$B$306,A87)=0,"",IF(COUNTIFS('Execution log'!$B$7:$B$306,A87,'Execution log'!$L$7:$L$306,"Valid",'Execution log'!$P$7:$P$306,"&lt;&gt;Valid input")&gt;0,"To check",IF(COUNTIFS('Execution log'!$B$7:$B$306,A87,'Execution log'!$P$7:$P$306,"Valid input")=0,"",SUMIFS('Execution log'!$H$7:$H$306,'Execution log'!$B$7:$B$306,A87,'Execution log'!$P$7:$P$306,"Valid input")))))</x:f>
      </x:c>
      <x:c r="N87" s="24" t="str">
        <x:f>IF(A87="","",IF(COUNTIFS('Execution log'!$B$7:$B$306,A87)=0,"",IF(COUNTIFS('Execution log'!$B$7:$B$306,A87,'Execution log'!$L$7:$L$306,"Valid",'Execution log'!$P$7:$P$306,"&lt;&gt;Valid input")&gt;0,"To check",IF(COUNTIFS('Execution log'!$B$7:$B$306,A87,'Execution log'!$P$7:$P$306,"Valid input")=0,"",SUMIFS('Execution log'!$J$7:$J$306,'Execution log'!$B$7:$B$306,A87,'Execution log'!$P$7:$P$306,"Valid input")))))</x:f>
      </x:c>
      <x:c r="O87" s="24" t="str">
        <x:f>IF(A87="","",IF(NOT(ISNUMBER(K87)),"Budget TBD",IF(NOT(ISNUMBER(M87)),"No valid entries yet",K87-M87)))</x:f>
      </x:c>
      <x:c r="P87" s="24" t="str">
        <x:f>IF(A87="","",IF(NOT(ISNUMBER(L87)),"Budget TBD",IF(NOT(ISNUMBER(N87)),"No valid entries yet",L87-N87)))</x:f>
      </x:c>
      <x:c r="Q87" s="19" t="str">
        <x:f>IF(A87="","",IF(D87="Closed","Closed",IF(NOT(ISNUMBER(I87)),"Review date TBD",IF(NOT(ISNUMBER($B$3)),"Evaluation date TBD",IF(I87&lt;=$B$3,"Review due","Not due")))))</x:f>
      </x:c>
      <x:c r="R87" s="19" t="str">
        <x:f>IF(A87="","",IF(COUNTIFS($A$7:$A$306,A87)&lt;&gt;1,"Duplicate case ID",IF(OR(B87="",C87="",D87="",G87="",S87=""),"Basic info missing",IF(AND(F87&lt;&gt;"",COUNTIFS('Plan versions'!$A$7:$A$306,F87,'Plan versions'!$B$7:$B$306,A87,'Plan versions'!$L$7:$L$306,"Frozen")&lt;&gt;1),"Invalid current plan ref",IF(AND(D87="Executing",F87=""),"Execution lacks plan",IF(AND(D87="Closed",OR(T87="",COUNTIFS('Reviews'!$B$7:$B$306,A87)=0,COUNTIFS('Update log'!$B$7:$B$306,A87)=0)),"Closure docs missing","Basic records complete"))))))</x:f>
      </x:c>
      <x:c r="S87" s="3"/>
      <x:c r="T87" s="3"/>
    </x:row>
    <x:row r="88" ht="25" customHeight="1">
      <x:c r="A88" s="3"/>
      <x:c r="B88" s="3"/>
      <x:c r="C88" s="3"/>
      <x:c r="D88" s="3"/>
      <x:c r="E88" s="3"/>
      <x:c r="F88" s="3"/>
      <x:c r="G88" s="3"/>
      <x:c r="H88" s="3"/>
      <x:c r="I88" s="20"/>
      <x:c r="J88" s="3"/>
      <x:c r="K88" s="22"/>
      <x:c r="L88" s="22"/>
      <x:c r="M88" s="24" t="str">
        <x:f>IF(A88="","",IF(COUNTIFS('Execution log'!$B$7:$B$306,A88)=0,"",IF(COUNTIFS('Execution log'!$B$7:$B$306,A88,'Execution log'!$L$7:$L$306,"Valid",'Execution log'!$P$7:$P$306,"&lt;&gt;Valid input")&gt;0,"To check",IF(COUNTIFS('Execution log'!$B$7:$B$306,A88,'Execution log'!$P$7:$P$306,"Valid input")=0,"",SUMIFS('Execution log'!$H$7:$H$306,'Execution log'!$B$7:$B$306,A88,'Execution log'!$P$7:$P$306,"Valid input")))))</x:f>
      </x:c>
      <x:c r="N88" s="24" t="str">
        <x:f>IF(A88="","",IF(COUNTIFS('Execution log'!$B$7:$B$306,A88)=0,"",IF(COUNTIFS('Execution log'!$B$7:$B$306,A88,'Execution log'!$L$7:$L$306,"Valid",'Execution log'!$P$7:$P$306,"&lt;&gt;Valid input")&gt;0,"To check",IF(COUNTIFS('Execution log'!$B$7:$B$306,A88,'Execution log'!$P$7:$P$306,"Valid input")=0,"",SUMIFS('Execution log'!$J$7:$J$306,'Execution log'!$B$7:$B$306,A88,'Execution log'!$P$7:$P$306,"Valid input")))))</x:f>
      </x:c>
      <x:c r="O88" s="24" t="str">
        <x:f>IF(A88="","",IF(NOT(ISNUMBER(K88)),"Budget TBD",IF(NOT(ISNUMBER(M88)),"No valid entries yet",K88-M88)))</x:f>
      </x:c>
      <x:c r="P88" s="24" t="str">
        <x:f>IF(A88="","",IF(NOT(ISNUMBER(L88)),"Budget TBD",IF(NOT(ISNUMBER(N88)),"No valid entries yet",L88-N88)))</x:f>
      </x:c>
      <x:c r="Q88" s="19" t="str">
        <x:f>IF(A88="","",IF(D88="Closed","Closed",IF(NOT(ISNUMBER(I88)),"Review date TBD",IF(NOT(ISNUMBER($B$3)),"Evaluation date TBD",IF(I88&lt;=$B$3,"Review due","Not due")))))</x:f>
      </x:c>
      <x:c r="R88" s="19" t="str">
        <x:f>IF(A88="","",IF(COUNTIFS($A$7:$A$306,A88)&lt;&gt;1,"Duplicate case ID",IF(OR(B88="",C88="",D88="",G88="",S88=""),"Basic info missing",IF(AND(F88&lt;&gt;"",COUNTIFS('Plan versions'!$A$7:$A$306,F88,'Plan versions'!$B$7:$B$306,A88,'Plan versions'!$L$7:$L$306,"Frozen")&lt;&gt;1),"Invalid current plan ref",IF(AND(D88="Executing",F88=""),"Execution lacks plan",IF(AND(D88="Closed",OR(T88="",COUNTIFS('Reviews'!$B$7:$B$306,A88)=0,COUNTIFS('Update log'!$B$7:$B$306,A88)=0)),"Closure docs missing","Basic records complete"))))))</x:f>
      </x:c>
      <x:c r="S88" s="3"/>
      <x:c r="T88" s="3"/>
    </x:row>
    <x:row r="89" ht="25" customHeight="1">
      <x:c r="A89" s="3"/>
      <x:c r="B89" s="3"/>
      <x:c r="C89" s="3"/>
      <x:c r="D89" s="3"/>
      <x:c r="E89" s="3"/>
      <x:c r="F89" s="3"/>
      <x:c r="G89" s="3"/>
      <x:c r="H89" s="3"/>
      <x:c r="I89" s="20"/>
      <x:c r="J89" s="3"/>
      <x:c r="K89" s="22"/>
      <x:c r="L89" s="22"/>
      <x:c r="M89" s="24" t="str">
        <x:f>IF(A89="","",IF(COUNTIFS('Execution log'!$B$7:$B$306,A89)=0,"",IF(COUNTIFS('Execution log'!$B$7:$B$306,A89,'Execution log'!$L$7:$L$306,"Valid",'Execution log'!$P$7:$P$306,"&lt;&gt;Valid input")&gt;0,"To check",IF(COUNTIFS('Execution log'!$B$7:$B$306,A89,'Execution log'!$P$7:$P$306,"Valid input")=0,"",SUMIFS('Execution log'!$H$7:$H$306,'Execution log'!$B$7:$B$306,A89,'Execution log'!$P$7:$P$306,"Valid input")))))</x:f>
      </x:c>
      <x:c r="N89" s="24" t="str">
        <x:f>IF(A89="","",IF(COUNTIFS('Execution log'!$B$7:$B$306,A89)=0,"",IF(COUNTIFS('Execution log'!$B$7:$B$306,A89,'Execution log'!$L$7:$L$306,"Valid",'Execution log'!$P$7:$P$306,"&lt;&gt;Valid input")&gt;0,"To check",IF(COUNTIFS('Execution log'!$B$7:$B$306,A89,'Execution log'!$P$7:$P$306,"Valid input")=0,"",SUMIFS('Execution log'!$J$7:$J$306,'Execution log'!$B$7:$B$306,A89,'Execution log'!$P$7:$P$306,"Valid input")))))</x:f>
      </x:c>
      <x:c r="O89" s="24" t="str">
        <x:f>IF(A89="","",IF(NOT(ISNUMBER(K89)),"Budget TBD",IF(NOT(ISNUMBER(M89)),"No valid entries yet",K89-M89)))</x:f>
      </x:c>
      <x:c r="P89" s="24" t="str">
        <x:f>IF(A89="","",IF(NOT(ISNUMBER(L89)),"Budget TBD",IF(NOT(ISNUMBER(N89)),"No valid entries yet",L89-N89)))</x:f>
      </x:c>
      <x:c r="Q89" s="19" t="str">
        <x:f>IF(A89="","",IF(D89="Closed","Closed",IF(NOT(ISNUMBER(I89)),"Review date TBD",IF(NOT(ISNUMBER($B$3)),"Evaluation date TBD",IF(I89&lt;=$B$3,"Review due","Not due")))))</x:f>
      </x:c>
      <x:c r="R89" s="19" t="str">
        <x:f>IF(A89="","",IF(COUNTIFS($A$7:$A$306,A89)&lt;&gt;1,"Duplicate case ID",IF(OR(B89="",C89="",D89="",G89="",S89=""),"Basic info missing",IF(AND(F89&lt;&gt;"",COUNTIFS('Plan versions'!$A$7:$A$306,F89,'Plan versions'!$B$7:$B$306,A89,'Plan versions'!$L$7:$L$306,"Frozen")&lt;&gt;1),"Invalid current plan ref",IF(AND(D89="Executing",F89=""),"Execution lacks plan",IF(AND(D89="Closed",OR(T89="",COUNTIFS('Reviews'!$B$7:$B$306,A89)=0,COUNTIFS('Update log'!$B$7:$B$306,A89)=0)),"Closure docs missing","Basic records complete"))))))</x:f>
      </x:c>
      <x:c r="S89" s="3"/>
      <x:c r="T89" s="3"/>
    </x:row>
    <x:row r="90" ht="25" customHeight="1">
      <x:c r="A90" s="3"/>
      <x:c r="B90" s="3"/>
      <x:c r="C90" s="3"/>
      <x:c r="D90" s="3"/>
      <x:c r="E90" s="3"/>
      <x:c r="F90" s="3"/>
      <x:c r="G90" s="3"/>
      <x:c r="H90" s="3"/>
      <x:c r="I90" s="20"/>
      <x:c r="J90" s="3"/>
      <x:c r="K90" s="22"/>
      <x:c r="L90" s="22"/>
      <x:c r="M90" s="24" t="str">
        <x:f>IF(A90="","",IF(COUNTIFS('Execution log'!$B$7:$B$306,A90)=0,"",IF(COUNTIFS('Execution log'!$B$7:$B$306,A90,'Execution log'!$L$7:$L$306,"Valid",'Execution log'!$P$7:$P$306,"&lt;&gt;Valid input")&gt;0,"To check",IF(COUNTIFS('Execution log'!$B$7:$B$306,A90,'Execution log'!$P$7:$P$306,"Valid input")=0,"",SUMIFS('Execution log'!$H$7:$H$306,'Execution log'!$B$7:$B$306,A90,'Execution log'!$P$7:$P$306,"Valid input")))))</x:f>
      </x:c>
      <x:c r="N90" s="24" t="str">
        <x:f>IF(A90="","",IF(COUNTIFS('Execution log'!$B$7:$B$306,A90)=0,"",IF(COUNTIFS('Execution log'!$B$7:$B$306,A90,'Execution log'!$L$7:$L$306,"Valid",'Execution log'!$P$7:$P$306,"&lt;&gt;Valid input")&gt;0,"To check",IF(COUNTIFS('Execution log'!$B$7:$B$306,A90,'Execution log'!$P$7:$P$306,"Valid input")=0,"",SUMIFS('Execution log'!$J$7:$J$306,'Execution log'!$B$7:$B$306,A90,'Execution log'!$P$7:$P$306,"Valid input")))))</x:f>
      </x:c>
      <x:c r="O90" s="24" t="str">
        <x:f>IF(A90="","",IF(NOT(ISNUMBER(K90)),"Budget TBD",IF(NOT(ISNUMBER(M90)),"No valid entries yet",K90-M90)))</x:f>
      </x:c>
      <x:c r="P90" s="24" t="str">
        <x:f>IF(A90="","",IF(NOT(ISNUMBER(L90)),"Budget TBD",IF(NOT(ISNUMBER(N90)),"No valid entries yet",L90-N90)))</x:f>
      </x:c>
      <x:c r="Q90" s="19" t="str">
        <x:f>IF(A90="","",IF(D90="Closed","Closed",IF(NOT(ISNUMBER(I90)),"Review date TBD",IF(NOT(ISNUMBER($B$3)),"Evaluation date TBD",IF(I90&lt;=$B$3,"Review due","Not due")))))</x:f>
      </x:c>
      <x:c r="R90" s="19" t="str">
        <x:f>IF(A90="","",IF(COUNTIFS($A$7:$A$306,A90)&lt;&gt;1,"Duplicate case ID",IF(OR(B90="",C90="",D90="",G90="",S90=""),"Basic info missing",IF(AND(F90&lt;&gt;"",COUNTIFS('Plan versions'!$A$7:$A$306,F90,'Plan versions'!$B$7:$B$306,A90,'Plan versions'!$L$7:$L$306,"Frozen")&lt;&gt;1),"Invalid current plan ref",IF(AND(D90="Executing",F90=""),"Execution lacks plan",IF(AND(D90="Closed",OR(T90="",COUNTIFS('Reviews'!$B$7:$B$306,A90)=0,COUNTIFS('Update log'!$B$7:$B$306,A90)=0)),"Closure docs missing","Basic records complete"))))))</x:f>
      </x:c>
      <x:c r="S90" s="3"/>
      <x:c r="T90" s="3"/>
    </x:row>
    <x:row r="91" ht="25" customHeight="1">
      <x:c r="A91" s="3"/>
      <x:c r="B91" s="3"/>
      <x:c r="C91" s="3"/>
      <x:c r="D91" s="3"/>
      <x:c r="E91" s="3"/>
      <x:c r="F91" s="3"/>
      <x:c r="G91" s="3"/>
      <x:c r="H91" s="3"/>
      <x:c r="I91" s="20"/>
      <x:c r="J91" s="3"/>
      <x:c r="K91" s="22"/>
      <x:c r="L91" s="22"/>
      <x:c r="M91" s="24" t="str">
        <x:f>IF(A91="","",IF(COUNTIFS('Execution log'!$B$7:$B$306,A91)=0,"",IF(COUNTIFS('Execution log'!$B$7:$B$306,A91,'Execution log'!$L$7:$L$306,"Valid",'Execution log'!$P$7:$P$306,"&lt;&gt;Valid input")&gt;0,"To check",IF(COUNTIFS('Execution log'!$B$7:$B$306,A91,'Execution log'!$P$7:$P$306,"Valid input")=0,"",SUMIFS('Execution log'!$H$7:$H$306,'Execution log'!$B$7:$B$306,A91,'Execution log'!$P$7:$P$306,"Valid input")))))</x:f>
      </x:c>
      <x:c r="N91" s="24" t="str">
        <x:f>IF(A91="","",IF(COUNTIFS('Execution log'!$B$7:$B$306,A91)=0,"",IF(COUNTIFS('Execution log'!$B$7:$B$306,A91,'Execution log'!$L$7:$L$306,"Valid",'Execution log'!$P$7:$P$306,"&lt;&gt;Valid input")&gt;0,"To check",IF(COUNTIFS('Execution log'!$B$7:$B$306,A91,'Execution log'!$P$7:$P$306,"Valid input")=0,"",SUMIFS('Execution log'!$J$7:$J$306,'Execution log'!$B$7:$B$306,A91,'Execution log'!$P$7:$P$306,"Valid input")))))</x:f>
      </x:c>
      <x:c r="O91" s="24" t="str">
        <x:f>IF(A91="","",IF(NOT(ISNUMBER(K91)),"Budget TBD",IF(NOT(ISNUMBER(M91)),"No valid entries yet",K91-M91)))</x:f>
      </x:c>
      <x:c r="P91" s="24" t="str">
        <x:f>IF(A91="","",IF(NOT(ISNUMBER(L91)),"Budget TBD",IF(NOT(ISNUMBER(N91)),"No valid entries yet",L91-N91)))</x:f>
      </x:c>
      <x:c r="Q91" s="19" t="str">
        <x:f>IF(A91="","",IF(D91="Closed","Closed",IF(NOT(ISNUMBER(I91)),"Review date TBD",IF(NOT(ISNUMBER($B$3)),"Evaluation date TBD",IF(I91&lt;=$B$3,"Review due","Not due")))))</x:f>
      </x:c>
      <x:c r="R91" s="19" t="str">
        <x:f>IF(A91="","",IF(COUNTIFS($A$7:$A$306,A91)&lt;&gt;1,"Duplicate case ID",IF(OR(B91="",C91="",D91="",G91="",S91=""),"Basic info missing",IF(AND(F91&lt;&gt;"",COUNTIFS('Plan versions'!$A$7:$A$306,F91,'Plan versions'!$B$7:$B$306,A91,'Plan versions'!$L$7:$L$306,"Frozen")&lt;&gt;1),"Invalid current plan ref",IF(AND(D91="Executing",F91=""),"Execution lacks plan",IF(AND(D91="Closed",OR(T91="",COUNTIFS('Reviews'!$B$7:$B$306,A91)=0,COUNTIFS('Update log'!$B$7:$B$306,A91)=0)),"Closure docs missing","Basic records complete"))))))</x:f>
      </x:c>
      <x:c r="S91" s="3"/>
      <x:c r="T91" s="3"/>
    </x:row>
    <x:row r="92" ht="25" customHeight="1">
      <x:c r="A92" s="3"/>
      <x:c r="B92" s="3"/>
      <x:c r="C92" s="3"/>
      <x:c r="D92" s="3"/>
      <x:c r="E92" s="3"/>
      <x:c r="F92" s="3"/>
      <x:c r="G92" s="3"/>
      <x:c r="H92" s="3"/>
      <x:c r="I92" s="20"/>
      <x:c r="J92" s="3"/>
      <x:c r="K92" s="22"/>
      <x:c r="L92" s="22"/>
      <x:c r="M92" s="24" t="str">
        <x:f>IF(A92="","",IF(COUNTIFS('Execution log'!$B$7:$B$306,A92)=0,"",IF(COUNTIFS('Execution log'!$B$7:$B$306,A92,'Execution log'!$L$7:$L$306,"Valid",'Execution log'!$P$7:$P$306,"&lt;&gt;Valid input")&gt;0,"To check",IF(COUNTIFS('Execution log'!$B$7:$B$306,A92,'Execution log'!$P$7:$P$306,"Valid input")=0,"",SUMIFS('Execution log'!$H$7:$H$306,'Execution log'!$B$7:$B$306,A92,'Execution log'!$P$7:$P$306,"Valid input")))))</x:f>
      </x:c>
      <x:c r="N92" s="24" t="str">
        <x:f>IF(A92="","",IF(COUNTIFS('Execution log'!$B$7:$B$306,A92)=0,"",IF(COUNTIFS('Execution log'!$B$7:$B$306,A92,'Execution log'!$L$7:$L$306,"Valid",'Execution log'!$P$7:$P$306,"&lt;&gt;Valid input")&gt;0,"To check",IF(COUNTIFS('Execution log'!$B$7:$B$306,A92,'Execution log'!$P$7:$P$306,"Valid input")=0,"",SUMIFS('Execution log'!$J$7:$J$306,'Execution log'!$B$7:$B$306,A92,'Execution log'!$P$7:$P$306,"Valid input")))))</x:f>
      </x:c>
      <x:c r="O92" s="24" t="str">
        <x:f>IF(A92="","",IF(NOT(ISNUMBER(K92)),"Budget TBD",IF(NOT(ISNUMBER(M92)),"No valid entries yet",K92-M92)))</x:f>
      </x:c>
      <x:c r="P92" s="24" t="str">
        <x:f>IF(A92="","",IF(NOT(ISNUMBER(L92)),"Budget TBD",IF(NOT(ISNUMBER(N92)),"No valid entries yet",L92-N92)))</x:f>
      </x:c>
      <x:c r="Q92" s="19" t="str">
        <x:f>IF(A92="","",IF(D92="Closed","Closed",IF(NOT(ISNUMBER(I92)),"Review date TBD",IF(NOT(ISNUMBER($B$3)),"Evaluation date TBD",IF(I92&lt;=$B$3,"Review due","Not due")))))</x:f>
      </x:c>
      <x:c r="R92" s="19" t="str">
        <x:f>IF(A92="","",IF(COUNTIFS($A$7:$A$306,A92)&lt;&gt;1,"Duplicate case ID",IF(OR(B92="",C92="",D92="",G92="",S92=""),"Basic info missing",IF(AND(F92&lt;&gt;"",COUNTIFS('Plan versions'!$A$7:$A$306,F92,'Plan versions'!$B$7:$B$306,A92,'Plan versions'!$L$7:$L$306,"Frozen")&lt;&gt;1),"Invalid current plan ref",IF(AND(D92="Executing",F92=""),"Execution lacks plan",IF(AND(D92="Closed",OR(T92="",COUNTIFS('Reviews'!$B$7:$B$306,A92)=0,COUNTIFS('Update log'!$B$7:$B$306,A92)=0)),"Closure docs missing","Basic records complete"))))))</x:f>
      </x:c>
      <x:c r="S92" s="3"/>
      <x:c r="T92" s="3"/>
    </x:row>
    <x:row r="93" ht="25" customHeight="1">
      <x:c r="A93" s="3"/>
      <x:c r="B93" s="3"/>
      <x:c r="C93" s="3"/>
      <x:c r="D93" s="3"/>
      <x:c r="E93" s="3"/>
      <x:c r="F93" s="3"/>
      <x:c r="G93" s="3"/>
      <x:c r="H93" s="3"/>
      <x:c r="I93" s="20"/>
      <x:c r="J93" s="3"/>
      <x:c r="K93" s="22"/>
      <x:c r="L93" s="22"/>
      <x:c r="M93" s="24" t="str">
        <x:f>IF(A93="","",IF(COUNTIFS('Execution log'!$B$7:$B$306,A93)=0,"",IF(COUNTIFS('Execution log'!$B$7:$B$306,A93,'Execution log'!$L$7:$L$306,"Valid",'Execution log'!$P$7:$P$306,"&lt;&gt;Valid input")&gt;0,"To check",IF(COUNTIFS('Execution log'!$B$7:$B$306,A93,'Execution log'!$P$7:$P$306,"Valid input")=0,"",SUMIFS('Execution log'!$H$7:$H$306,'Execution log'!$B$7:$B$306,A93,'Execution log'!$P$7:$P$306,"Valid input")))))</x:f>
      </x:c>
      <x:c r="N93" s="24" t="str">
        <x:f>IF(A93="","",IF(COUNTIFS('Execution log'!$B$7:$B$306,A93)=0,"",IF(COUNTIFS('Execution log'!$B$7:$B$306,A93,'Execution log'!$L$7:$L$306,"Valid",'Execution log'!$P$7:$P$306,"&lt;&gt;Valid input")&gt;0,"To check",IF(COUNTIFS('Execution log'!$B$7:$B$306,A93,'Execution log'!$P$7:$P$306,"Valid input")=0,"",SUMIFS('Execution log'!$J$7:$J$306,'Execution log'!$B$7:$B$306,A93,'Execution log'!$P$7:$P$306,"Valid input")))))</x:f>
      </x:c>
      <x:c r="O93" s="24" t="str">
        <x:f>IF(A93="","",IF(NOT(ISNUMBER(K93)),"Budget TBD",IF(NOT(ISNUMBER(M93)),"No valid entries yet",K93-M93)))</x:f>
      </x:c>
      <x:c r="P93" s="24" t="str">
        <x:f>IF(A93="","",IF(NOT(ISNUMBER(L93)),"Budget TBD",IF(NOT(ISNUMBER(N93)),"No valid entries yet",L93-N93)))</x:f>
      </x:c>
      <x:c r="Q93" s="19" t="str">
        <x:f>IF(A93="","",IF(D93="Closed","Closed",IF(NOT(ISNUMBER(I93)),"Review date TBD",IF(NOT(ISNUMBER($B$3)),"Evaluation date TBD",IF(I93&lt;=$B$3,"Review due","Not due")))))</x:f>
      </x:c>
      <x:c r="R93" s="19" t="str">
        <x:f>IF(A93="","",IF(COUNTIFS($A$7:$A$306,A93)&lt;&gt;1,"Duplicate case ID",IF(OR(B93="",C93="",D93="",G93="",S93=""),"Basic info missing",IF(AND(F93&lt;&gt;"",COUNTIFS('Plan versions'!$A$7:$A$306,F93,'Plan versions'!$B$7:$B$306,A93,'Plan versions'!$L$7:$L$306,"Frozen")&lt;&gt;1),"Invalid current plan ref",IF(AND(D93="Executing",F93=""),"Execution lacks plan",IF(AND(D93="Closed",OR(T93="",COUNTIFS('Reviews'!$B$7:$B$306,A93)=0,COUNTIFS('Update log'!$B$7:$B$306,A93)=0)),"Closure docs missing","Basic records complete"))))))</x:f>
      </x:c>
      <x:c r="S93" s="3"/>
      <x:c r="T93" s="3"/>
    </x:row>
    <x:row r="94" ht="25" customHeight="1">
      <x:c r="A94" s="3"/>
      <x:c r="B94" s="3"/>
      <x:c r="C94" s="3"/>
      <x:c r="D94" s="3"/>
      <x:c r="E94" s="3"/>
      <x:c r="F94" s="3"/>
      <x:c r="G94" s="3"/>
      <x:c r="H94" s="3"/>
      <x:c r="I94" s="20"/>
      <x:c r="J94" s="3"/>
      <x:c r="K94" s="22"/>
      <x:c r="L94" s="22"/>
      <x:c r="M94" s="24" t="str">
        <x:f>IF(A94="","",IF(COUNTIFS('Execution log'!$B$7:$B$306,A94)=0,"",IF(COUNTIFS('Execution log'!$B$7:$B$306,A94,'Execution log'!$L$7:$L$306,"Valid",'Execution log'!$P$7:$P$306,"&lt;&gt;Valid input")&gt;0,"To check",IF(COUNTIFS('Execution log'!$B$7:$B$306,A94,'Execution log'!$P$7:$P$306,"Valid input")=0,"",SUMIFS('Execution log'!$H$7:$H$306,'Execution log'!$B$7:$B$306,A94,'Execution log'!$P$7:$P$306,"Valid input")))))</x:f>
      </x:c>
      <x:c r="N94" s="24" t="str">
        <x:f>IF(A94="","",IF(COUNTIFS('Execution log'!$B$7:$B$306,A94)=0,"",IF(COUNTIFS('Execution log'!$B$7:$B$306,A94,'Execution log'!$L$7:$L$306,"Valid",'Execution log'!$P$7:$P$306,"&lt;&gt;Valid input")&gt;0,"To check",IF(COUNTIFS('Execution log'!$B$7:$B$306,A94,'Execution log'!$P$7:$P$306,"Valid input")=0,"",SUMIFS('Execution log'!$J$7:$J$306,'Execution log'!$B$7:$B$306,A94,'Execution log'!$P$7:$P$306,"Valid input")))))</x:f>
      </x:c>
      <x:c r="O94" s="24" t="str">
        <x:f>IF(A94="","",IF(NOT(ISNUMBER(K94)),"Budget TBD",IF(NOT(ISNUMBER(M94)),"No valid entries yet",K94-M94)))</x:f>
      </x:c>
      <x:c r="P94" s="24" t="str">
        <x:f>IF(A94="","",IF(NOT(ISNUMBER(L94)),"Budget TBD",IF(NOT(ISNUMBER(N94)),"No valid entries yet",L94-N94)))</x:f>
      </x:c>
      <x:c r="Q94" s="19" t="str">
        <x:f>IF(A94="","",IF(D94="Closed","Closed",IF(NOT(ISNUMBER(I94)),"Review date TBD",IF(NOT(ISNUMBER($B$3)),"Evaluation date TBD",IF(I94&lt;=$B$3,"Review due","Not due")))))</x:f>
      </x:c>
      <x:c r="R94" s="19" t="str">
        <x:f>IF(A94="","",IF(COUNTIFS($A$7:$A$306,A94)&lt;&gt;1,"Duplicate case ID",IF(OR(B94="",C94="",D94="",G94="",S94=""),"Basic info missing",IF(AND(F94&lt;&gt;"",COUNTIFS('Plan versions'!$A$7:$A$306,F94,'Plan versions'!$B$7:$B$306,A94,'Plan versions'!$L$7:$L$306,"Frozen")&lt;&gt;1),"Invalid current plan ref",IF(AND(D94="Executing",F94=""),"Execution lacks plan",IF(AND(D94="Closed",OR(T94="",COUNTIFS('Reviews'!$B$7:$B$306,A94)=0,COUNTIFS('Update log'!$B$7:$B$306,A94)=0)),"Closure docs missing","Basic records complete"))))))</x:f>
      </x:c>
      <x:c r="S94" s="3"/>
      <x:c r="T94" s="3"/>
    </x:row>
    <x:row r="95" ht="25" customHeight="1">
      <x:c r="A95" s="3"/>
      <x:c r="B95" s="3"/>
      <x:c r="C95" s="3"/>
      <x:c r="D95" s="3"/>
      <x:c r="E95" s="3"/>
      <x:c r="F95" s="3"/>
      <x:c r="G95" s="3"/>
      <x:c r="H95" s="3"/>
      <x:c r="I95" s="20"/>
      <x:c r="J95" s="3"/>
      <x:c r="K95" s="22"/>
      <x:c r="L95" s="22"/>
      <x:c r="M95" s="24" t="str">
        <x:f>IF(A95="","",IF(COUNTIFS('Execution log'!$B$7:$B$306,A95)=0,"",IF(COUNTIFS('Execution log'!$B$7:$B$306,A95,'Execution log'!$L$7:$L$306,"Valid",'Execution log'!$P$7:$P$306,"&lt;&gt;Valid input")&gt;0,"To check",IF(COUNTIFS('Execution log'!$B$7:$B$306,A95,'Execution log'!$P$7:$P$306,"Valid input")=0,"",SUMIFS('Execution log'!$H$7:$H$306,'Execution log'!$B$7:$B$306,A95,'Execution log'!$P$7:$P$306,"Valid input")))))</x:f>
      </x:c>
      <x:c r="N95" s="24" t="str">
        <x:f>IF(A95="","",IF(COUNTIFS('Execution log'!$B$7:$B$306,A95)=0,"",IF(COUNTIFS('Execution log'!$B$7:$B$306,A95,'Execution log'!$L$7:$L$306,"Valid",'Execution log'!$P$7:$P$306,"&lt;&gt;Valid input")&gt;0,"To check",IF(COUNTIFS('Execution log'!$B$7:$B$306,A95,'Execution log'!$P$7:$P$306,"Valid input")=0,"",SUMIFS('Execution log'!$J$7:$J$306,'Execution log'!$B$7:$B$306,A95,'Execution log'!$P$7:$P$306,"Valid input")))))</x:f>
      </x:c>
      <x:c r="O95" s="24" t="str">
        <x:f>IF(A95="","",IF(NOT(ISNUMBER(K95)),"Budget TBD",IF(NOT(ISNUMBER(M95)),"No valid entries yet",K95-M95)))</x:f>
      </x:c>
      <x:c r="P95" s="24" t="str">
        <x:f>IF(A95="","",IF(NOT(ISNUMBER(L95)),"Budget TBD",IF(NOT(ISNUMBER(N95)),"No valid entries yet",L95-N95)))</x:f>
      </x:c>
      <x:c r="Q95" s="19" t="str">
        <x:f>IF(A95="","",IF(D95="Closed","Closed",IF(NOT(ISNUMBER(I95)),"Review date TBD",IF(NOT(ISNUMBER($B$3)),"Evaluation date TBD",IF(I95&lt;=$B$3,"Review due","Not due")))))</x:f>
      </x:c>
      <x:c r="R95" s="19" t="str">
        <x:f>IF(A95="","",IF(COUNTIFS($A$7:$A$306,A95)&lt;&gt;1,"Duplicate case ID",IF(OR(B95="",C95="",D95="",G95="",S95=""),"Basic info missing",IF(AND(F95&lt;&gt;"",COUNTIFS('Plan versions'!$A$7:$A$306,F95,'Plan versions'!$B$7:$B$306,A95,'Plan versions'!$L$7:$L$306,"Frozen")&lt;&gt;1),"Invalid current plan ref",IF(AND(D95="Executing",F95=""),"Execution lacks plan",IF(AND(D95="Closed",OR(T95="",COUNTIFS('Reviews'!$B$7:$B$306,A95)=0,COUNTIFS('Update log'!$B$7:$B$306,A95)=0)),"Closure docs missing","Basic records complete"))))))</x:f>
      </x:c>
      <x:c r="S95" s="3"/>
      <x:c r="T95" s="3"/>
    </x:row>
    <x:row r="96" ht="25" customHeight="1">
      <x:c r="A96" s="3"/>
      <x:c r="B96" s="3"/>
      <x:c r="C96" s="3"/>
      <x:c r="D96" s="3"/>
      <x:c r="E96" s="3"/>
      <x:c r="F96" s="3"/>
      <x:c r="G96" s="3"/>
      <x:c r="H96" s="3"/>
      <x:c r="I96" s="20"/>
      <x:c r="J96" s="3"/>
      <x:c r="K96" s="22"/>
      <x:c r="L96" s="22"/>
      <x:c r="M96" s="24" t="str">
        <x:f>IF(A96="","",IF(COUNTIFS('Execution log'!$B$7:$B$306,A96)=0,"",IF(COUNTIFS('Execution log'!$B$7:$B$306,A96,'Execution log'!$L$7:$L$306,"Valid",'Execution log'!$P$7:$P$306,"&lt;&gt;Valid input")&gt;0,"To check",IF(COUNTIFS('Execution log'!$B$7:$B$306,A96,'Execution log'!$P$7:$P$306,"Valid input")=0,"",SUMIFS('Execution log'!$H$7:$H$306,'Execution log'!$B$7:$B$306,A96,'Execution log'!$P$7:$P$306,"Valid input")))))</x:f>
      </x:c>
      <x:c r="N96" s="24" t="str">
        <x:f>IF(A96="","",IF(COUNTIFS('Execution log'!$B$7:$B$306,A96)=0,"",IF(COUNTIFS('Execution log'!$B$7:$B$306,A96,'Execution log'!$L$7:$L$306,"Valid",'Execution log'!$P$7:$P$306,"&lt;&gt;Valid input")&gt;0,"To check",IF(COUNTIFS('Execution log'!$B$7:$B$306,A96,'Execution log'!$P$7:$P$306,"Valid input")=0,"",SUMIFS('Execution log'!$J$7:$J$306,'Execution log'!$B$7:$B$306,A96,'Execution log'!$P$7:$P$306,"Valid input")))))</x:f>
      </x:c>
      <x:c r="O96" s="24" t="str">
        <x:f>IF(A96="","",IF(NOT(ISNUMBER(K96)),"Budget TBD",IF(NOT(ISNUMBER(M96)),"No valid entries yet",K96-M96)))</x:f>
      </x:c>
      <x:c r="P96" s="24" t="str">
        <x:f>IF(A96="","",IF(NOT(ISNUMBER(L96)),"Budget TBD",IF(NOT(ISNUMBER(N96)),"No valid entries yet",L96-N96)))</x:f>
      </x:c>
      <x:c r="Q96" s="19" t="str">
        <x:f>IF(A96="","",IF(D96="Closed","Closed",IF(NOT(ISNUMBER(I96)),"Review date TBD",IF(NOT(ISNUMBER($B$3)),"Evaluation date TBD",IF(I96&lt;=$B$3,"Review due","Not due")))))</x:f>
      </x:c>
      <x:c r="R96" s="19" t="str">
        <x:f>IF(A96="","",IF(COUNTIFS($A$7:$A$306,A96)&lt;&gt;1,"Duplicate case ID",IF(OR(B96="",C96="",D96="",G96="",S96=""),"Basic info missing",IF(AND(F96&lt;&gt;"",COUNTIFS('Plan versions'!$A$7:$A$306,F96,'Plan versions'!$B$7:$B$306,A96,'Plan versions'!$L$7:$L$306,"Frozen")&lt;&gt;1),"Invalid current plan ref",IF(AND(D96="Executing",F96=""),"Execution lacks plan",IF(AND(D96="Closed",OR(T96="",COUNTIFS('Reviews'!$B$7:$B$306,A96)=0,COUNTIFS('Update log'!$B$7:$B$306,A96)=0)),"Closure docs missing","Basic records complete"))))))</x:f>
      </x:c>
      <x:c r="S96" s="3"/>
      <x:c r="T96" s="3"/>
    </x:row>
    <x:row r="97" ht="25" customHeight="1">
      <x:c r="A97" s="3"/>
      <x:c r="B97" s="3"/>
      <x:c r="C97" s="3"/>
      <x:c r="D97" s="3"/>
      <x:c r="E97" s="3"/>
      <x:c r="F97" s="3"/>
      <x:c r="G97" s="3"/>
      <x:c r="H97" s="3"/>
      <x:c r="I97" s="20"/>
      <x:c r="J97" s="3"/>
      <x:c r="K97" s="22"/>
      <x:c r="L97" s="22"/>
      <x:c r="M97" s="24" t="str">
        <x:f>IF(A97="","",IF(COUNTIFS('Execution log'!$B$7:$B$306,A97)=0,"",IF(COUNTIFS('Execution log'!$B$7:$B$306,A97,'Execution log'!$L$7:$L$306,"Valid",'Execution log'!$P$7:$P$306,"&lt;&gt;Valid input")&gt;0,"To check",IF(COUNTIFS('Execution log'!$B$7:$B$306,A97,'Execution log'!$P$7:$P$306,"Valid input")=0,"",SUMIFS('Execution log'!$H$7:$H$306,'Execution log'!$B$7:$B$306,A97,'Execution log'!$P$7:$P$306,"Valid input")))))</x:f>
      </x:c>
      <x:c r="N97" s="24" t="str">
        <x:f>IF(A97="","",IF(COUNTIFS('Execution log'!$B$7:$B$306,A97)=0,"",IF(COUNTIFS('Execution log'!$B$7:$B$306,A97,'Execution log'!$L$7:$L$306,"Valid",'Execution log'!$P$7:$P$306,"&lt;&gt;Valid input")&gt;0,"To check",IF(COUNTIFS('Execution log'!$B$7:$B$306,A97,'Execution log'!$P$7:$P$306,"Valid input")=0,"",SUMIFS('Execution log'!$J$7:$J$306,'Execution log'!$B$7:$B$306,A97,'Execution log'!$P$7:$P$306,"Valid input")))))</x:f>
      </x:c>
      <x:c r="O97" s="24" t="str">
        <x:f>IF(A97="","",IF(NOT(ISNUMBER(K97)),"Budget TBD",IF(NOT(ISNUMBER(M97)),"No valid entries yet",K97-M97)))</x:f>
      </x:c>
      <x:c r="P97" s="24" t="str">
        <x:f>IF(A97="","",IF(NOT(ISNUMBER(L97)),"Budget TBD",IF(NOT(ISNUMBER(N97)),"No valid entries yet",L97-N97)))</x:f>
      </x:c>
      <x:c r="Q97" s="19" t="str">
        <x:f>IF(A97="","",IF(D97="Closed","Closed",IF(NOT(ISNUMBER(I97)),"Review date TBD",IF(NOT(ISNUMBER($B$3)),"Evaluation date TBD",IF(I97&lt;=$B$3,"Review due","Not due")))))</x:f>
      </x:c>
      <x:c r="R97" s="19" t="str">
        <x:f>IF(A97="","",IF(COUNTIFS($A$7:$A$306,A97)&lt;&gt;1,"Duplicate case ID",IF(OR(B97="",C97="",D97="",G97="",S97=""),"Basic info missing",IF(AND(F97&lt;&gt;"",COUNTIFS('Plan versions'!$A$7:$A$306,F97,'Plan versions'!$B$7:$B$306,A97,'Plan versions'!$L$7:$L$306,"Frozen")&lt;&gt;1),"Invalid current plan ref",IF(AND(D97="Executing",F97=""),"Execution lacks plan",IF(AND(D97="Closed",OR(T97="",COUNTIFS('Reviews'!$B$7:$B$306,A97)=0,COUNTIFS('Update log'!$B$7:$B$306,A97)=0)),"Closure docs missing","Basic records complete"))))))</x:f>
      </x:c>
      <x:c r="S97" s="3"/>
      <x:c r="T97" s="3"/>
    </x:row>
    <x:row r="98" ht="25" customHeight="1">
      <x:c r="A98" s="3"/>
      <x:c r="B98" s="3"/>
      <x:c r="C98" s="3"/>
      <x:c r="D98" s="3"/>
      <x:c r="E98" s="3"/>
      <x:c r="F98" s="3"/>
      <x:c r="G98" s="3"/>
      <x:c r="H98" s="3"/>
      <x:c r="I98" s="20"/>
      <x:c r="J98" s="3"/>
      <x:c r="K98" s="22"/>
      <x:c r="L98" s="22"/>
      <x:c r="M98" s="24" t="str">
        <x:f>IF(A98="","",IF(COUNTIFS('Execution log'!$B$7:$B$306,A98)=0,"",IF(COUNTIFS('Execution log'!$B$7:$B$306,A98,'Execution log'!$L$7:$L$306,"Valid",'Execution log'!$P$7:$P$306,"&lt;&gt;Valid input")&gt;0,"To check",IF(COUNTIFS('Execution log'!$B$7:$B$306,A98,'Execution log'!$P$7:$P$306,"Valid input")=0,"",SUMIFS('Execution log'!$H$7:$H$306,'Execution log'!$B$7:$B$306,A98,'Execution log'!$P$7:$P$306,"Valid input")))))</x:f>
      </x:c>
      <x:c r="N98" s="24" t="str">
        <x:f>IF(A98="","",IF(COUNTIFS('Execution log'!$B$7:$B$306,A98)=0,"",IF(COUNTIFS('Execution log'!$B$7:$B$306,A98,'Execution log'!$L$7:$L$306,"Valid",'Execution log'!$P$7:$P$306,"&lt;&gt;Valid input")&gt;0,"To check",IF(COUNTIFS('Execution log'!$B$7:$B$306,A98,'Execution log'!$P$7:$P$306,"Valid input")=0,"",SUMIFS('Execution log'!$J$7:$J$306,'Execution log'!$B$7:$B$306,A98,'Execution log'!$P$7:$P$306,"Valid input")))))</x:f>
      </x:c>
      <x:c r="O98" s="24" t="str">
        <x:f>IF(A98="","",IF(NOT(ISNUMBER(K98)),"Budget TBD",IF(NOT(ISNUMBER(M98)),"No valid entries yet",K98-M98)))</x:f>
      </x:c>
      <x:c r="P98" s="24" t="str">
        <x:f>IF(A98="","",IF(NOT(ISNUMBER(L98)),"Budget TBD",IF(NOT(ISNUMBER(N98)),"No valid entries yet",L98-N98)))</x:f>
      </x:c>
      <x:c r="Q98" s="19" t="str">
        <x:f>IF(A98="","",IF(D98="Closed","Closed",IF(NOT(ISNUMBER(I98)),"Review date TBD",IF(NOT(ISNUMBER($B$3)),"Evaluation date TBD",IF(I98&lt;=$B$3,"Review due","Not due")))))</x:f>
      </x:c>
      <x:c r="R98" s="19" t="str">
        <x:f>IF(A98="","",IF(COUNTIFS($A$7:$A$306,A98)&lt;&gt;1,"Duplicate case ID",IF(OR(B98="",C98="",D98="",G98="",S98=""),"Basic info missing",IF(AND(F98&lt;&gt;"",COUNTIFS('Plan versions'!$A$7:$A$306,F98,'Plan versions'!$B$7:$B$306,A98,'Plan versions'!$L$7:$L$306,"Frozen")&lt;&gt;1),"Invalid current plan ref",IF(AND(D98="Executing",F98=""),"Execution lacks plan",IF(AND(D98="Closed",OR(T98="",COUNTIFS('Reviews'!$B$7:$B$306,A98)=0,COUNTIFS('Update log'!$B$7:$B$306,A98)=0)),"Closure docs missing","Basic records complete"))))))</x:f>
      </x:c>
      <x:c r="S98" s="3"/>
      <x:c r="T98" s="3"/>
    </x:row>
    <x:row r="99" ht="25" customHeight="1">
      <x:c r="A99" s="3"/>
      <x:c r="B99" s="3"/>
      <x:c r="C99" s="3"/>
      <x:c r="D99" s="3"/>
      <x:c r="E99" s="3"/>
      <x:c r="F99" s="3"/>
      <x:c r="G99" s="3"/>
      <x:c r="H99" s="3"/>
      <x:c r="I99" s="20"/>
      <x:c r="J99" s="3"/>
      <x:c r="K99" s="22"/>
      <x:c r="L99" s="22"/>
      <x:c r="M99" s="24" t="str">
        <x:f>IF(A99="","",IF(COUNTIFS('Execution log'!$B$7:$B$306,A99)=0,"",IF(COUNTIFS('Execution log'!$B$7:$B$306,A99,'Execution log'!$L$7:$L$306,"Valid",'Execution log'!$P$7:$P$306,"&lt;&gt;Valid input")&gt;0,"To check",IF(COUNTIFS('Execution log'!$B$7:$B$306,A99,'Execution log'!$P$7:$P$306,"Valid input")=0,"",SUMIFS('Execution log'!$H$7:$H$306,'Execution log'!$B$7:$B$306,A99,'Execution log'!$P$7:$P$306,"Valid input")))))</x:f>
      </x:c>
      <x:c r="N99" s="24" t="str">
        <x:f>IF(A99="","",IF(COUNTIFS('Execution log'!$B$7:$B$306,A99)=0,"",IF(COUNTIFS('Execution log'!$B$7:$B$306,A99,'Execution log'!$L$7:$L$306,"Valid",'Execution log'!$P$7:$P$306,"&lt;&gt;Valid input")&gt;0,"To check",IF(COUNTIFS('Execution log'!$B$7:$B$306,A99,'Execution log'!$P$7:$P$306,"Valid input")=0,"",SUMIFS('Execution log'!$J$7:$J$306,'Execution log'!$B$7:$B$306,A99,'Execution log'!$P$7:$P$306,"Valid input")))))</x:f>
      </x:c>
      <x:c r="O99" s="24" t="str">
        <x:f>IF(A99="","",IF(NOT(ISNUMBER(K99)),"Budget TBD",IF(NOT(ISNUMBER(M99)),"No valid entries yet",K99-M99)))</x:f>
      </x:c>
      <x:c r="P99" s="24" t="str">
        <x:f>IF(A99="","",IF(NOT(ISNUMBER(L99)),"Budget TBD",IF(NOT(ISNUMBER(N99)),"No valid entries yet",L99-N99)))</x:f>
      </x:c>
      <x:c r="Q99" s="19" t="str">
        <x:f>IF(A99="","",IF(D99="Closed","Closed",IF(NOT(ISNUMBER(I99)),"Review date TBD",IF(NOT(ISNUMBER($B$3)),"Evaluation date TBD",IF(I99&lt;=$B$3,"Review due","Not due")))))</x:f>
      </x:c>
      <x:c r="R99" s="19" t="str">
        <x:f>IF(A99="","",IF(COUNTIFS($A$7:$A$306,A99)&lt;&gt;1,"Duplicate case ID",IF(OR(B99="",C99="",D99="",G99="",S99=""),"Basic info missing",IF(AND(F99&lt;&gt;"",COUNTIFS('Plan versions'!$A$7:$A$306,F99,'Plan versions'!$B$7:$B$306,A99,'Plan versions'!$L$7:$L$306,"Frozen")&lt;&gt;1),"Invalid current plan ref",IF(AND(D99="Executing",F99=""),"Execution lacks plan",IF(AND(D99="Closed",OR(T99="",COUNTIFS('Reviews'!$B$7:$B$306,A99)=0,COUNTIFS('Update log'!$B$7:$B$306,A99)=0)),"Closure docs missing","Basic records complete"))))))</x:f>
      </x:c>
      <x:c r="S99" s="3"/>
      <x:c r="T99" s="3"/>
    </x:row>
    <x:row r="100" ht="25" customHeight="1">
      <x:c r="A100" s="3"/>
      <x:c r="B100" s="3"/>
      <x:c r="C100" s="3"/>
      <x:c r="D100" s="3"/>
      <x:c r="E100" s="3"/>
      <x:c r="F100" s="3"/>
      <x:c r="G100" s="3"/>
      <x:c r="H100" s="3"/>
      <x:c r="I100" s="20"/>
      <x:c r="J100" s="3"/>
      <x:c r="K100" s="22"/>
      <x:c r="L100" s="22"/>
      <x:c r="M100" s="24" t="str">
        <x:f>IF(A100="","",IF(COUNTIFS('Execution log'!$B$7:$B$306,A100)=0,"",IF(COUNTIFS('Execution log'!$B$7:$B$306,A100,'Execution log'!$L$7:$L$306,"Valid",'Execution log'!$P$7:$P$306,"&lt;&gt;Valid input")&gt;0,"To check",IF(COUNTIFS('Execution log'!$B$7:$B$306,A100,'Execution log'!$P$7:$P$306,"Valid input")=0,"",SUMIFS('Execution log'!$H$7:$H$306,'Execution log'!$B$7:$B$306,A100,'Execution log'!$P$7:$P$306,"Valid input")))))</x:f>
      </x:c>
      <x:c r="N100" s="24" t="str">
        <x:f>IF(A100="","",IF(COUNTIFS('Execution log'!$B$7:$B$306,A100)=0,"",IF(COUNTIFS('Execution log'!$B$7:$B$306,A100,'Execution log'!$L$7:$L$306,"Valid",'Execution log'!$P$7:$P$306,"&lt;&gt;Valid input")&gt;0,"To check",IF(COUNTIFS('Execution log'!$B$7:$B$306,A100,'Execution log'!$P$7:$P$306,"Valid input")=0,"",SUMIFS('Execution log'!$J$7:$J$306,'Execution log'!$B$7:$B$306,A100,'Execution log'!$P$7:$P$306,"Valid input")))))</x:f>
      </x:c>
      <x:c r="O100" s="24" t="str">
        <x:f>IF(A100="","",IF(NOT(ISNUMBER(K100)),"Budget TBD",IF(NOT(ISNUMBER(M100)),"No valid entries yet",K100-M100)))</x:f>
      </x:c>
      <x:c r="P100" s="24" t="str">
        <x:f>IF(A100="","",IF(NOT(ISNUMBER(L100)),"Budget TBD",IF(NOT(ISNUMBER(N100)),"No valid entries yet",L100-N100)))</x:f>
      </x:c>
      <x:c r="Q100" s="19" t="str">
        <x:f>IF(A100="","",IF(D100="Closed","Closed",IF(NOT(ISNUMBER(I100)),"Review date TBD",IF(NOT(ISNUMBER($B$3)),"Evaluation date TBD",IF(I100&lt;=$B$3,"Review due","Not due")))))</x:f>
      </x:c>
      <x:c r="R100" s="19" t="str">
        <x:f>IF(A100="","",IF(COUNTIFS($A$7:$A$306,A100)&lt;&gt;1,"Duplicate case ID",IF(OR(B100="",C100="",D100="",G100="",S100=""),"Basic info missing",IF(AND(F100&lt;&gt;"",COUNTIFS('Plan versions'!$A$7:$A$306,F100,'Plan versions'!$B$7:$B$306,A100,'Plan versions'!$L$7:$L$306,"Frozen")&lt;&gt;1),"Invalid current plan ref",IF(AND(D100="Executing",F100=""),"Execution lacks plan",IF(AND(D100="Closed",OR(T100="",COUNTIFS('Reviews'!$B$7:$B$306,A100)=0,COUNTIFS('Update log'!$B$7:$B$306,A100)=0)),"Closure docs missing","Basic records complete"))))))</x:f>
      </x:c>
      <x:c r="S100" s="3"/>
      <x:c r="T100" s="3"/>
    </x:row>
    <x:row r="101" ht="25" customHeight="1">
      <x:c r="A101" s="3"/>
      <x:c r="B101" s="3"/>
      <x:c r="C101" s="3"/>
      <x:c r="D101" s="3"/>
      <x:c r="E101" s="3"/>
      <x:c r="F101" s="3"/>
      <x:c r="G101" s="3"/>
      <x:c r="H101" s="3"/>
      <x:c r="I101" s="20"/>
      <x:c r="J101" s="3"/>
      <x:c r="K101" s="22"/>
      <x:c r="L101" s="22"/>
      <x:c r="M101" s="24" t="str">
        <x:f>IF(A101="","",IF(COUNTIFS('Execution log'!$B$7:$B$306,A101)=0,"",IF(COUNTIFS('Execution log'!$B$7:$B$306,A101,'Execution log'!$L$7:$L$306,"Valid",'Execution log'!$P$7:$P$306,"&lt;&gt;Valid input")&gt;0,"To check",IF(COUNTIFS('Execution log'!$B$7:$B$306,A101,'Execution log'!$P$7:$P$306,"Valid input")=0,"",SUMIFS('Execution log'!$H$7:$H$306,'Execution log'!$B$7:$B$306,A101,'Execution log'!$P$7:$P$306,"Valid input")))))</x:f>
      </x:c>
      <x:c r="N101" s="24" t="str">
        <x:f>IF(A101="","",IF(COUNTIFS('Execution log'!$B$7:$B$306,A101)=0,"",IF(COUNTIFS('Execution log'!$B$7:$B$306,A101,'Execution log'!$L$7:$L$306,"Valid",'Execution log'!$P$7:$P$306,"&lt;&gt;Valid input")&gt;0,"To check",IF(COUNTIFS('Execution log'!$B$7:$B$306,A101,'Execution log'!$P$7:$P$306,"Valid input")=0,"",SUMIFS('Execution log'!$J$7:$J$306,'Execution log'!$B$7:$B$306,A101,'Execution log'!$P$7:$P$306,"Valid input")))))</x:f>
      </x:c>
      <x:c r="O101" s="24" t="str">
        <x:f>IF(A101="","",IF(NOT(ISNUMBER(K101)),"Budget TBD",IF(NOT(ISNUMBER(M101)),"No valid entries yet",K101-M101)))</x:f>
      </x:c>
      <x:c r="P101" s="24" t="str">
        <x:f>IF(A101="","",IF(NOT(ISNUMBER(L101)),"Budget TBD",IF(NOT(ISNUMBER(N101)),"No valid entries yet",L101-N101)))</x:f>
      </x:c>
      <x:c r="Q101" s="19" t="str">
        <x:f>IF(A101="","",IF(D101="Closed","Closed",IF(NOT(ISNUMBER(I101)),"Review date TBD",IF(NOT(ISNUMBER($B$3)),"Evaluation date TBD",IF(I101&lt;=$B$3,"Review due","Not due")))))</x:f>
      </x:c>
      <x:c r="R101" s="19" t="str">
        <x:f>IF(A101="","",IF(COUNTIFS($A$7:$A$306,A101)&lt;&gt;1,"Duplicate case ID",IF(OR(B101="",C101="",D101="",G101="",S101=""),"Basic info missing",IF(AND(F101&lt;&gt;"",COUNTIFS('Plan versions'!$A$7:$A$306,F101,'Plan versions'!$B$7:$B$306,A101,'Plan versions'!$L$7:$L$306,"Frozen")&lt;&gt;1),"Invalid current plan ref",IF(AND(D101="Executing",F101=""),"Execution lacks plan",IF(AND(D101="Closed",OR(T101="",COUNTIFS('Reviews'!$B$7:$B$306,A101)=0,COUNTIFS('Update log'!$B$7:$B$306,A101)=0)),"Closure docs missing","Basic records complete"))))))</x:f>
      </x:c>
      <x:c r="S101" s="3"/>
      <x:c r="T101" s="3"/>
    </x:row>
    <x:row r="102" ht="25" customHeight="1">
      <x:c r="A102" s="3"/>
      <x:c r="B102" s="3"/>
      <x:c r="C102" s="3"/>
      <x:c r="D102" s="3"/>
      <x:c r="E102" s="3"/>
      <x:c r="F102" s="3"/>
      <x:c r="G102" s="3"/>
      <x:c r="H102" s="3"/>
      <x:c r="I102" s="20"/>
      <x:c r="J102" s="3"/>
      <x:c r="K102" s="22"/>
      <x:c r="L102" s="22"/>
      <x:c r="M102" s="24" t="str">
        <x:f>IF(A102="","",IF(COUNTIFS('Execution log'!$B$7:$B$306,A102)=0,"",IF(COUNTIFS('Execution log'!$B$7:$B$306,A102,'Execution log'!$L$7:$L$306,"Valid",'Execution log'!$P$7:$P$306,"&lt;&gt;Valid input")&gt;0,"To check",IF(COUNTIFS('Execution log'!$B$7:$B$306,A102,'Execution log'!$P$7:$P$306,"Valid input")=0,"",SUMIFS('Execution log'!$H$7:$H$306,'Execution log'!$B$7:$B$306,A102,'Execution log'!$P$7:$P$306,"Valid input")))))</x:f>
      </x:c>
      <x:c r="N102" s="24" t="str">
        <x:f>IF(A102="","",IF(COUNTIFS('Execution log'!$B$7:$B$306,A102)=0,"",IF(COUNTIFS('Execution log'!$B$7:$B$306,A102,'Execution log'!$L$7:$L$306,"Valid",'Execution log'!$P$7:$P$306,"&lt;&gt;Valid input")&gt;0,"To check",IF(COUNTIFS('Execution log'!$B$7:$B$306,A102,'Execution log'!$P$7:$P$306,"Valid input")=0,"",SUMIFS('Execution log'!$J$7:$J$306,'Execution log'!$B$7:$B$306,A102,'Execution log'!$P$7:$P$306,"Valid input")))))</x:f>
      </x:c>
      <x:c r="O102" s="24" t="str">
        <x:f>IF(A102="","",IF(NOT(ISNUMBER(K102)),"Budget TBD",IF(NOT(ISNUMBER(M102)),"No valid entries yet",K102-M102)))</x:f>
      </x:c>
      <x:c r="P102" s="24" t="str">
        <x:f>IF(A102="","",IF(NOT(ISNUMBER(L102)),"Budget TBD",IF(NOT(ISNUMBER(N102)),"No valid entries yet",L102-N102)))</x:f>
      </x:c>
      <x:c r="Q102" s="19" t="str">
        <x:f>IF(A102="","",IF(D102="Closed","Closed",IF(NOT(ISNUMBER(I102)),"Review date TBD",IF(NOT(ISNUMBER($B$3)),"Evaluation date TBD",IF(I102&lt;=$B$3,"Review due","Not due")))))</x:f>
      </x:c>
      <x:c r="R102" s="19" t="str">
        <x:f>IF(A102="","",IF(COUNTIFS($A$7:$A$306,A102)&lt;&gt;1,"Duplicate case ID",IF(OR(B102="",C102="",D102="",G102="",S102=""),"Basic info missing",IF(AND(F102&lt;&gt;"",COUNTIFS('Plan versions'!$A$7:$A$306,F102,'Plan versions'!$B$7:$B$306,A102,'Plan versions'!$L$7:$L$306,"Frozen")&lt;&gt;1),"Invalid current plan ref",IF(AND(D102="Executing",F102=""),"Execution lacks plan",IF(AND(D102="Closed",OR(T102="",COUNTIFS('Reviews'!$B$7:$B$306,A102)=0,COUNTIFS('Update log'!$B$7:$B$306,A102)=0)),"Closure docs missing","Basic records complete"))))))</x:f>
      </x:c>
      <x:c r="S102" s="3"/>
      <x:c r="T102" s="3"/>
    </x:row>
    <x:row r="103" ht="25" customHeight="1">
      <x:c r="A103" s="3"/>
      <x:c r="B103" s="3"/>
      <x:c r="C103" s="3"/>
      <x:c r="D103" s="3"/>
      <x:c r="E103" s="3"/>
      <x:c r="F103" s="3"/>
      <x:c r="G103" s="3"/>
      <x:c r="H103" s="3"/>
      <x:c r="I103" s="20"/>
      <x:c r="J103" s="3"/>
      <x:c r="K103" s="22"/>
      <x:c r="L103" s="22"/>
      <x:c r="M103" s="24" t="str">
        <x:f>IF(A103="","",IF(COUNTIFS('Execution log'!$B$7:$B$306,A103)=0,"",IF(COUNTIFS('Execution log'!$B$7:$B$306,A103,'Execution log'!$L$7:$L$306,"Valid",'Execution log'!$P$7:$P$306,"&lt;&gt;Valid input")&gt;0,"To check",IF(COUNTIFS('Execution log'!$B$7:$B$306,A103,'Execution log'!$P$7:$P$306,"Valid input")=0,"",SUMIFS('Execution log'!$H$7:$H$306,'Execution log'!$B$7:$B$306,A103,'Execution log'!$P$7:$P$306,"Valid input")))))</x:f>
      </x:c>
      <x:c r="N103" s="24" t="str">
        <x:f>IF(A103="","",IF(COUNTIFS('Execution log'!$B$7:$B$306,A103)=0,"",IF(COUNTIFS('Execution log'!$B$7:$B$306,A103,'Execution log'!$L$7:$L$306,"Valid",'Execution log'!$P$7:$P$306,"&lt;&gt;Valid input")&gt;0,"To check",IF(COUNTIFS('Execution log'!$B$7:$B$306,A103,'Execution log'!$P$7:$P$306,"Valid input")=0,"",SUMIFS('Execution log'!$J$7:$J$306,'Execution log'!$B$7:$B$306,A103,'Execution log'!$P$7:$P$306,"Valid input")))))</x:f>
      </x:c>
      <x:c r="O103" s="24" t="str">
        <x:f>IF(A103="","",IF(NOT(ISNUMBER(K103)),"Budget TBD",IF(NOT(ISNUMBER(M103)),"No valid entries yet",K103-M103)))</x:f>
      </x:c>
      <x:c r="P103" s="24" t="str">
        <x:f>IF(A103="","",IF(NOT(ISNUMBER(L103)),"Budget TBD",IF(NOT(ISNUMBER(N103)),"No valid entries yet",L103-N103)))</x:f>
      </x:c>
      <x:c r="Q103" s="19" t="str">
        <x:f>IF(A103="","",IF(D103="Closed","Closed",IF(NOT(ISNUMBER(I103)),"Review date TBD",IF(NOT(ISNUMBER($B$3)),"Evaluation date TBD",IF(I103&lt;=$B$3,"Review due","Not due")))))</x:f>
      </x:c>
      <x:c r="R103" s="19" t="str">
        <x:f>IF(A103="","",IF(COUNTIFS($A$7:$A$306,A103)&lt;&gt;1,"Duplicate case ID",IF(OR(B103="",C103="",D103="",G103="",S103=""),"Basic info missing",IF(AND(F103&lt;&gt;"",COUNTIFS('Plan versions'!$A$7:$A$306,F103,'Plan versions'!$B$7:$B$306,A103,'Plan versions'!$L$7:$L$306,"Frozen")&lt;&gt;1),"Invalid current plan ref",IF(AND(D103="Executing",F103=""),"Execution lacks plan",IF(AND(D103="Closed",OR(T103="",COUNTIFS('Reviews'!$B$7:$B$306,A103)=0,COUNTIFS('Update log'!$B$7:$B$306,A103)=0)),"Closure docs missing","Basic records complete"))))))</x:f>
      </x:c>
      <x:c r="S103" s="3"/>
      <x:c r="T103" s="3"/>
    </x:row>
    <x:row r="104" ht="25" customHeight="1">
      <x:c r="A104" s="3"/>
      <x:c r="B104" s="3"/>
      <x:c r="C104" s="3"/>
      <x:c r="D104" s="3"/>
      <x:c r="E104" s="3"/>
      <x:c r="F104" s="3"/>
      <x:c r="G104" s="3"/>
      <x:c r="H104" s="3"/>
      <x:c r="I104" s="20"/>
      <x:c r="J104" s="3"/>
      <x:c r="K104" s="22"/>
      <x:c r="L104" s="22"/>
      <x:c r="M104" s="24" t="str">
        <x:f>IF(A104="","",IF(COUNTIFS('Execution log'!$B$7:$B$306,A104)=0,"",IF(COUNTIFS('Execution log'!$B$7:$B$306,A104,'Execution log'!$L$7:$L$306,"Valid",'Execution log'!$P$7:$P$306,"&lt;&gt;Valid input")&gt;0,"To check",IF(COUNTIFS('Execution log'!$B$7:$B$306,A104,'Execution log'!$P$7:$P$306,"Valid input")=0,"",SUMIFS('Execution log'!$H$7:$H$306,'Execution log'!$B$7:$B$306,A104,'Execution log'!$P$7:$P$306,"Valid input")))))</x:f>
      </x:c>
      <x:c r="N104" s="24" t="str">
        <x:f>IF(A104="","",IF(COUNTIFS('Execution log'!$B$7:$B$306,A104)=0,"",IF(COUNTIFS('Execution log'!$B$7:$B$306,A104,'Execution log'!$L$7:$L$306,"Valid",'Execution log'!$P$7:$P$306,"&lt;&gt;Valid input")&gt;0,"To check",IF(COUNTIFS('Execution log'!$B$7:$B$306,A104,'Execution log'!$P$7:$P$306,"Valid input")=0,"",SUMIFS('Execution log'!$J$7:$J$306,'Execution log'!$B$7:$B$306,A104,'Execution log'!$P$7:$P$306,"Valid input")))))</x:f>
      </x:c>
      <x:c r="O104" s="24" t="str">
        <x:f>IF(A104="","",IF(NOT(ISNUMBER(K104)),"Budget TBD",IF(NOT(ISNUMBER(M104)),"No valid entries yet",K104-M104)))</x:f>
      </x:c>
      <x:c r="P104" s="24" t="str">
        <x:f>IF(A104="","",IF(NOT(ISNUMBER(L104)),"Budget TBD",IF(NOT(ISNUMBER(N104)),"No valid entries yet",L104-N104)))</x:f>
      </x:c>
      <x:c r="Q104" s="19" t="str">
        <x:f>IF(A104="","",IF(D104="Closed","Closed",IF(NOT(ISNUMBER(I104)),"Review date TBD",IF(NOT(ISNUMBER($B$3)),"Evaluation date TBD",IF(I104&lt;=$B$3,"Review due","Not due")))))</x:f>
      </x:c>
      <x:c r="R104" s="19" t="str">
        <x:f>IF(A104="","",IF(COUNTIFS($A$7:$A$306,A104)&lt;&gt;1,"Duplicate case ID",IF(OR(B104="",C104="",D104="",G104="",S104=""),"Basic info missing",IF(AND(F104&lt;&gt;"",COUNTIFS('Plan versions'!$A$7:$A$306,F104,'Plan versions'!$B$7:$B$306,A104,'Plan versions'!$L$7:$L$306,"Frozen")&lt;&gt;1),"Invalid current plan ref",IF(AND(D104="Executing",F104=""),"Execution lacks plan",IF(AND(D104="Closed",OR(T104="",COUNTIFS('Reviews'!$B$7:$B$306,A104)=0,COUNTIFS('Update log'!$B$7:$B$306,A104)=0)),"Closure docs missing","Basic records complete"))))))</x:f>
      </x:c>
      <x:c r="S104" s="3"/>
      <x:c r="T104" s="3"/>
    </x:row>
    <x:row r="105" ht="25" customHeight="1">
      <x:c r="A105" s="3"/>
      <x:c r="B105" s="3"/>
      <x:c r="C105" s="3"/>
      <x:c r="D105" s="3"/>
      <x:c r="E105" s="3"/>
      <x:c r="F105" s="3"/>
      <x:c r="G105" s="3"/>
      <x:c r="H105" s="3"/>
      <x:c r="I105" s="20"/>
      <x:c r="J105" s="3"/>
      <x:c r="K105" s="22"/>
      <x:c r="L105" s="22"/>
      <x:c r="M105" s="24" t="str">
        <x:f>IF(A105="","",IF(COUNTIFS('Execution log'!$B$7:$B$306,A105)=0,"",IF(COUNTIFS('Execution log'!$B$7:$B$306,A105,'Execution log'!$L$7:$L$306,"Valid",'Execution log'!$P$7:$P$306,"&lt;&gt;Valid input")&gt;0,"To check",IF(COUNTIFS('Execution log'!$B$7:$B$306,A105,'Execution log'!$P$7:$P$306,"Valid input")=0,"",SUMIFS('Execution log'!$H$7:$H$306,'Execution log'!$B$7:$B$306,A105,'Execution log'!$P$7:$P$306,"Valid input")))))</x:f>
      </x:c>
      <x:c r="N105" s="24" t="str">
        <x:f>IF(A105="","",IF(COUNTIFS('Execution log'!$B$7:$B$306,A105)=0,"",IF(COUNTIFS('Execution log'!$B$7:$B$306,A105,'Execution log'!$L$7:$L$306,"Valid",'Execution log'!$P$7:$P$306,"&lt;&gt;Valid input")&gt;0,"To check",IF(COUNTIFS('Execution log'!$B$7:$B$306,A105,'Execution log'!$P$7:$P$306,"Valid input")=0,"",SUMIFS('Execution log'!$J$7:$J$306,'Execution log'!$B$7:$B$306,A105,'Execution log'!$P$7:$P$306,"Valid input")))))</x:f>
      </x:c>
      <x:c r="O105" s="24" t="str">
        <x:f>IF(A105="","",IF(NOT(ISNUMBER(K105)),"Budget TBD",IF(NOT(ISNUMBER(M105)),"No valid entries yet",K105-M105)))</x:f>
      </x:c>
      <x:c r="P105" s="24" t="str">
        <x:f>IF(A105="","",IF(NOT(ISNUMBER(L105)),"Budget TBD",IF(NOT(ISNUMBER(N105)),"No valid entries yet",L105-N105)))</x:f>
      </x:c>
      <x:c r="Q105" s="19" t="str">
        <x:f>IF(A105="","",IF(D105="Closed","Closed",IF(NOT(ISNUMBER(I105)),"Review date TBD",IF(NOT(ISNUMBER($B$3)),"Evaluation date TBD",IF(I105&lt;=$B$3,"Review due","Not due")))))</x:f>
      </x:c>
      <x:c r="R105" s="19" t="str">
        <x:f>IF(A105="","",IF(COUNTIFS($A$7:$A$306,A105)&lt;&gt;1,"Duplicate case ID",IF(OR(B105="",C105="",D105="",G105="",S105=""),"Basic info missing",IF(AND(F105&lt;&gt;"",COUNTIFS('Plan versions'!$A$7:$A$306,F105,'Plan versions'!$B$7:$B$306,A105,'Plan versions'!$L$7:$L$306,"Frozen")&lt;&gt;1),"Invalid current plan ref",IF(AND(D105="Executing",F105=""),"Execution lacks plan",IF(AND(D105="Closed",OR(T105="",COUNTIFS('Reviews'!$B$7:$B$306,A105)=0,COUNTIFS('Update log'!$B$7:$B$306,A105)=0)),"Closure docs missing","Basic records complete"))))))</x:f>
      </x:c>
      <x:c r="S105" s="3"/>
      <x:c r="T105" s="3"/>
    </x:row>
    <x:row r="106" ht="25" customHeight="1">
      <x:c r="A106" s="3"/>
      <x:c r="B106" s="3"/>
      <x:c r="C106" s="3"/>
      <x:c r="D106" s="3"/>
      <x:c r="E106" s="3"/>
      <x:c r="F106" s="3"/>
      <x:c r="G106" s="3"/>
      <x:c r="H106" s="3"/>
      <x:c r="I106" s="20"/>
      <x:c r="J106" s="3"/>
      <x:c r="K106" s="22"/>
      <x:c r="L106" s="22"/>
      <x:c r="M106" s="24" t="str">
        <x:f>IF(A106="","",IF(COUNTIFS('Execution log'!$B$7:$B$306,A106)=0,"",IF(COUNTIFS('Execution log'!$B$7:$B$306,A106,'Execution log'!$L$7:$L$306,"Valid",'Execution log'!$P$7:$P$306,"&lt;&gt;Valid input")&gt;0,"To check",IF(COUNTIFS('Execution log'!$B$7:$B$306,A106,'Execution log'!$P$7:$P$306,"Valid input")=0,"",SUMIFS('Execution log'!$H$7:$H$306,'Execution log'!$B$7:$B$306,A106,'Execution log'!$P$7:$P$306,"Valid input")))))</x:f>
      </x:c>
      <x:c r="N106" s="24" t="str">
        <x:f>IF(A106="","",IF(COUNTIFS('Execution log'!$B$7:$B$306,A106)=0,"",IF(COUNTIFS('Execution log'!$B$7:$B$306,A106,'Execution log'!$L$7:$L$306,"Valid",'Execution log'!$P$7:$P$306,"&lt;&gt;Valid input")&gt;0,"To check",IF(COUNTIFS('Execution log'!$B$7:$B$306,A106,'Execution log'!$P$7:$P$306,"Valid input")=0,"",SUMIFS('Execution log'!$J$7:$J$306,'Execution log'!$B$7:$B$306,A106,'Execution log'!$P$7:$P$306,"Valid input")))))</x:f>
      </x:c>
      <x:c r="O106" s="24" t="str">
        <x:f>IF(A106="","",IF(NOT(ISNUMBER(K106)),"Budget TBD",IF(NOT(ISNUMBER(M106)),"No valid entries yet",K106-M106)))</x:f>
      </x:c>
      <x:c r="P106" s="24" t="str">
        <x:f>IF(A106="","",IF(NOT(ISNUMBER(L106)),"Budget TBD",IF(NOT(ISNUMBER(N106)),"No valid entries yet",L106-N106)))</x:f>
      </x:c>
      <x:c r="Q106" s="19" t="str">
        <x:f>IF(A106="","",IF(D106="Closed","Closed",IF(NOT(ISNUMBER(I106)),"Review date TBD",IF(NOT(ISNUMBER($B$3)),"Evaluation date TBD",IF(I106&lt;=$B$3,"Review due","Not due")))))</x:f>
      </x:c>
      <x:c r="R106" s="19" t="str">
        <x:f>IF(A106="","",IF(COUNTIFS($A$7:$A$306,A106)&lt;&gt;1,"Duplicate case ID",IF(OR(B106="",C106="",D106="",G106="",S106=""),"Basic info missing",IF(AND(F106&lt;&gt;"",COUNTIFS('Plan versions'!$A$7:$A$306,F106,'Plan versions'!$B$7:$B$306,A106,'Plan versions'!$L$7:$L$306,"Frozen")&lt;&gt;1),"Invalid current plan ref",IF(AND(D106="Executing",F106=""),"Execution lacks plan",IF(AND(D106="Closed",OR(T106="",COUNTIFS('Reviews'!$B$7:$B$306,A106)=0,COUNTIFS('Update log'!$B$7:$B$306,A106)=0)),"Closure docs missing","Basic records complete"))))))</x:f>
      </x:c>
      <x:c r="S106" s="3"/>
      <x:c r="T106" s="3"/>
    </x:row>
    <x:row r="107" ht="25" customHeight="1">
      <x:c r="A107" s="3"/>
      <x:c r="B107" s="3"/>
      <x:c r="C107" s="3"/>
      <x:c r="D107" s="3"/>
      <x:c r="E107" s="3"/>
      <x:c r="F107" s="3"/>
      <x:c r="G107" s="3"/>
      <x:c r="H107" s="3"/>
      <x:c r="I107" s="20"/>
      <x:c r="J107" s="3"/>
      <x:c r="K107" s="22"/>
      <x:c r="L107" s="22"/>
      <x:c r="M107" s="24" t="str">
        <x:f>IF(A107="","",IF(COUNTIFS('Execution log'!$B$7:$B$306,A107)=0,"",IF(COUNTIFS('Execution log'!$B$7:$B$306,A107,'Execution log'!$L$7:$L$306,"Valid",'Execution log'!$P$7:$P$306,"&lt;&gt;Valid input")&gt;0,"To check",IF(COUNTIFS('Execution log'!$B$7:$B$306,A107,'Execution log'!$P$7:$P$306,"Valid input")=0,"",SUMIFS('Execution log'!$H$7:$H$306,'Execution log'!$B$7:$B$306,A107,'Execution log'!$P$7:$P$306,"Valid input")))))</x:f>
      </x:c>
      <x:c r="N107" s="24" t="str">
        <x:f>IF(A107="","",IF(COUNTIFS('Execution log'!$B$7:$B$306,A107)=0,"",IF(COUNTIFS('Execution log'!$B$7:$B$306,A107,'Execution log'!$L$7:$L$306,"Valid",'Execution log'!$P$7:$P$306,"&lt;&gt;Valid input")&gt;0,"To check",IF(COUNTIFS('Execution log'!$B$7:$B$306,A107,'Execution log'!$P$7:$P$306,"Valid input")=0,"",SUMIFS('Execution log'!$J$7:$J$306,'Execution log'!$B$7:$B$306,A107,'Execution log'!$P$7:$P$306,"Valid input")))))</x:f>
      </x:c>
      <x:c r="O107" s="24" t="str">
        <x:f>IF(A107="","",IF(NOT(ISNUMBER(K107)),"Budget TBD",IF(NOT(ISNUMBER(M107)),"No valid entries yet",K107-M107)))</x:f>
      </x:c>
      <x:c r="P107" s="24" t="str">
        <x:f>IF(A107="","",IF(NOT(ISNUMBER(L107)),"Budget TBD",IF(NOT(ISNUMBER(N107)),"No valid entries yet",L107-N107)))</x:f>
      </x:c>
      <x:c r="Q107" s="19" t="str">
        <x:f>IF(A107="","",IF(D107="Closed","Closed",IF(NOT(ISNUMBER(I107)),"Review date TBD",IF(NOT(ISNUMBER($B$3)),"Evaluation date TBD",IF(I107&lt;=$B$3,"Review due","Not due")))))</x:f>
      </x:c>
      <x:c r="R107" s="19" t="str">
        <x:f>IF(A107="","",IF(COUNTIFS($A$7:$A$306,A107)&lt;&gt;1,"Duplicate case ID",IF(OR(B107="",C107="",D107="",G107="",S107=""),"Basic info missing",IF(AND(F107&lt;&gt;"",COUNTIFS('Plan versions'!$A$7:$A$306,F107,'Plan versions'!$B$7:$B$306,A107,'Plan versions'!$L$7:$L$306,"Frozen")&lt;&gt;1),"Invalid current plan ref",IF(AND(D107="Executing",F107=""),"Execution lacks plan",IF(AND(D107="Closed",OR(T107="",COUNTIFS('Reviews'!$B$7:$B$306,A107)=0,COUNTIFS('Update log'!$B$7:$B$306,A107)=0)),"Closure docs missing","Basic records complete"))))))</x:f>
      </x:c>
      <x:c r="S107" s="3"/>
      <x:c r="T107" s="3"/>
    </x:row>
    <x:row r="108" ht="25" customHeight="1">
      <x:c r="A108" s="3"/>
      <x:c r="B108" s="3"/>
      <x:c r="C108" s="3"/>
      <x:c r="D108" s="3"/>
      <x:c r="E108" s="3"/>
      <x:c r="F108" s="3"/>
      <x:c r="G108" s="3"/>
      <x:c r="H108" s="3"/>
      <x:c r="I108" s="20"/>
      <x:c r="J108" s="3"/>
      <x:c r="K108" s="22"/>
      <x:c r="L108" s="22"/>
      <x:c r="M108" s="24" t="str">
        <x:f>IF(A108="","",IF(COUNTIFS('Execution log'!$B$7:$B$306,A108)=0,"",IF(COUNTIFS('Execution log'!$B$7:$B$306,A108,'Execution log'!$L$7:$L$306,"Valid",'Execution log'!$P$7:$P$306,"&lt;&gt;Valid input")&gt;0,"To check",IF(COUNTIFS('Execution log'!$B$7:$B$306,A108,'Execution log'!$P$7:$P$306,"Valid input")=0,"",SUMIFS('Execution log'!$H$7:$H$306,'Execution log'!$B$7:$B$306,A108,'Execution log'!$P$7:$P$306,"Valid input")))))</x:f>
      </x:c>
      <x:c r="N108" s="24" t="str">
        <x:f>IF(A108="","",IF(COUNTIFS('Execution log'!$B$7:$B$306,A108)=0,"",IF(COUNTIFS('Execution log'!$B$7:$B$306,A108,'Execution log'!$L$7:$L$306,"Valid",'Execution log'!$P$7:$P$306,"&lt;&gt;Valid input")&gt;0,"To check",IF(COUNTIFS('Execution log'!$B$7:$B$306,A108,'Execution log'!$P$7:$P$306,"Valid input")=0,"",SUMIFS('Execution log'!$J$7:$J$306,'Execution log'!$B$7:$B$306,A108,'Execution log'!$P$7:$P$306,"Valid input")))))</x:f>
      </x:c>
      <x:c r="O108" s="24" t="str">
        <x:f>IF(A108="","",IF(NOT(ISNUMBER(K108)),"Budget TBD",IF(NOT(ISNUMBER(M108)),"No valid entries yet",K108-M108)))</x:f>
      </x:c>
      <x:c r="P108" s="24" t="str">
        <x:f>IF(A108="","",IF(NOT(ISNUMBER(L108)),"Budget TBD",IF(NOT(ISNUMBER(N108)),"No valid entries yet",L108-N108)))</x:f>
      </x:c>
      <x:c r="Q108" s="19" t="str">
        <x:f>IF(A108="","",IF(D108="Closed","Closed",IF(NOT(ISNUMBER(I108)),"Review date TBD",IF(NOT(ISNUMBER($B$3)),"Evaluation date TBD",IF(I108&lt;=$B$3,"Review due","Not due")))))</x:f>
      </x:c>
      <x:c r="R108" s="19" t="str">
        <x:f>IF(A108="","",IF(COUNTIFS($A$7:$A$306,A108)&lt;&gt;1,"Duplicate case ID",IF(OR(B108="",C108="",D108="",G108="",S108=""),"Basic info missing",IF(AND(F108&lt;&gt;"",COUNTIFS('Plan versions'!$A$7:$A$306,F108,'Plan versions'!$B$7:$B$306,A108,'Plan versions'!$L$7:$L$306,"Frozen")&lt;&gt;1),"Invalid current plan ref",IF(AND(D108="Executing",F108=""),"Execution lacks plan",IF(AND(D108="Closed",OR(T108="",COUNTIFS('Reviews'!$B$7:$B$306,A108)=0,COUNTIFS('Update log'!$B$7:$B$306,A108)=0)),"Closure docs missing","Basic records complete"))))))</x:f>
      </x:c>
      <x:c r="S108" s="3"/>
      <x:c r="T108" s="3"/>
    </x:row>
    <x:row r="109" ht="25" customHeight="1">
      <x:c r="A109" s="3"/>
      <x:c r="B109" s="3"/>
      <x:c r="C109" s="3"/>
      <x:c r="D109" s="3"/>
      <x:c r="E109" s="3"/>
      <x:c r="F109" s="3"/>
      <x:c r="G109" s="3"/>
      <x:c r="H109" s="3"/>
      <x:c r="I109" s="20"/>
      <x:c r="J109" s="3"/>
      <x:c r="K109" s="22"/>
      <x:c r="L109" s="22"/>
      <x:c r="M109" s="24" t="str">
        <x:f>IF(A109="","",IF(COUNTIFS('Execution log'!$B$7:$B$306,A109)=0,"",IF(COUNTIFS('Execution log'!$B$7:$B$306,A109,'Execution log'!$L$7:$L$306,"Valid",'Execution log'!$P$7:$P$306,"&lt;&gt;Valid input")&gt;0,"To check",IF(COUNTIFS('Execution log'!$B$7:$B$306,A109,'Execution log'!$P$7:$P$306,"Valid input")=0,"",SUMIFS('Execution log'!$H$7:$H$306,'Execution log'!$B$7:$B$306,A109,'Execution log'!$P$7:$P$306,"Valid input")))))</x:f>
      </x:c>
      <x:c r="N109" s="24" t="str">
        <x:f>IF(A109="","",IF(COUNTIFS('Execution log'!$B$7:$B$306,A109)=0,"",IF(COUNTIFS('Execution log'!$B$7:$B$306,A109,'Execution log'!$L$7:$L$306,"Valid",'Execution log'!$P$7:$P$306,"&lt;&gt;Valid input")&gt;0,"To check",IF(COUNTIFS('Execution log'!$B$7:$B$306,A109,'Execution log'!$P$7:$P$306,"Valid input")=0,"",SUMIFS('Execution log'!$J$7:$J$306,'Execution log'!$B$7:$B$306,A109,'Execution log'!$P$7:$P$306,"Valid input")))))</x:f>
      </x:c>
      <x:c r="O109" s="24" t="str">
        <x:f>IF(A109="","",IF(NOT(ISNUMBER(K109)),"Budget TBD",IF(NOT(ISNUMBER(M109)),"No valid entries yet",K109-M109)))</x:f>
      </x:c>
      <x:c r="P109" s="24" t="str">
        <x:f>IF(A109="","",IF(NOT(ISNUMBER(L109)),"Budget TBD",IF(NOT(ISNUMBER(N109)),"No valid entries yet",L109-N109)))</x:f>
      </x:c>
      <x:c r="Q109" s="19" t="str">
        <x:f>IF(A109="","",IF(D109="Closed","Closed",IF(NOT(ISNUMBER(I109)),"Review date TBD",IF(NOT(ISNUMBER($B$3)),"Evaluation date TBD",IF(I109&lt;=$B$3,"Review due","Not due")))))</x:f>
      </x:c>
      <x:c r="R109" s="19" t="str">
        <x:f>IF(A109="","",IF(COUNTIFS($A$7:$A$306,A109)&lt;&gt;1,"Duplicate case ID",IF(OR(B109="",C109="",D109="",G109="",S109=""),"Basic info missing",IF(AND(F109&lt;&gt;"",COUNTIFS('Plan versions'!$A$7:$A$306,F109,'Plan versions'!$B$7:$B$306,A109,'Plan versions'!$L$7:$L$306,"Frozen")&lt;&gt;1),"Invalid current plan ref",IF(AND(D109="Executing",F109=""),"Execution lacks plan",IF(AND(D109="Closed",OR(T109="",COUNTIFS('Reviews'!$B$7:$B$306,A109)=0,COUNTIFS('Update log'!$B$7:$B$306,A109)=0)),"Closure docs missing","Basic records complete"))))))</x:f>
      </x:c>
      <x:c r="S109" s="3"/>
      <x:c r="T109" s="3"/>
    </x:row>
    <x:row r="110" ht="25" customHeight="1">
      <x:c r="A110" s="3"/>
      <x:c r="B110" s="3"/>
      <x:c r="C110" s="3"/>
      <x:c r="D110" s="3"/>
      <x:c r="E110" s="3"/>
      <x:c r="F110" s="3"/>
      <x:c r="G110" s="3"/>
      <x:c r="H110" s="3"/>
      <x:c r="I110" s="20"/>
      <x:c r="J110" s="3"/>
      <x:c r="K110" s="22"/>
      <x:c r="L110" s="22"/>
      <x:c r="M110" s="24" t="str">
        <x:f>IF(A110="","",IF(COUNTIFS('Execution log'!$B$7:$B$306,A110)=0,"",IF(COUNTIFS('Execution log'!$B$7:$B$306,A110,'Execution log'!$L$7:$L$306,"Valid",'Execution log'!$P$7:$P$306,"&lt;&gt;Valid input")&gt;0,"To check",IF(COUNTIFS('Execution log'!$B$7:$B$306,A110,'Execution log'!$P$7:$P$306,"Valid input")=0,"",SUMIFS('Execution log'!$H$7:$H$306,'Execution log'!$B$7:$B$306,A110,'Execution log'!$P$7:$P$306,"Valid input")))))</x:f>
      </x:c>
      <x:c r="N110" s="24" t="str">
        <x:f>IF(A110="","",IF(COUNTIFS('Execution log'!$B$7:$B$306,A110)=0,"",IF(COUNTIFS('Execution log'!$B$7:$B$306,A110,'Execution log'!$L$7:$L$306,"Valid",'Execution log'!$P$7:$P$306,"&lt;&gt;Valid input")&gt;0,"To check",IF(COUNTIFS('Execution log'!$B$7:$B$306,A110,'Execution log'!$P$7:$P$306,"Valid input")=0,"",SUMIFS('Execution log'!$J$7:$J$306,'Execution log'!$B$7:$B$306,A110,'Execution log'!$P$7:$P$306,"Valid input")))))</x:f>
      </x:c>
      <x:c r="O110" s="24" t="str">
        <x:f>IF(A110="","",IF(NOT(ISNUMBER(K110)),"Budget TBD",IF(NOT(ISNUMBER(M110)),"No valid entries yet",K110-M110)))</x:f>
      </x:c>
      <x:c r="P110" s="24" t="str">
        <x:f>IF(A110="","",IF(NOT(ISNUMBER(L110)),"Budget TBD",IF(NOT(ISNUMBER(N110)),"No valid entries yet",L110-N110)))</x:f>
      </x:c>
      <x:c r="Q110" s="19" t="str">
        <x:f>IF(A110="","",IF(D110="Closed","Closed",IF(NOT(ISNUMBER(I110)),"Review date TBD",IF(NOT(ISNUMBER($B$3)),"Evaluation date TBD",IF(I110&lt;=$B$3,"Review due","Not due")))))</x:f>
      </x:c>
      <x:c r="R110" s="19" t="str">
        <x:f>IF(A110="","",IF(COUNTIFS($A$7:$A$306,A110)&lt;&gt;1,"Duplicate case ID",IF(OR(B110="",C110="",D110="",G110="",S110=""),"Basic info missing",IF(AND(F110&lt;&gt;"",COUNTIFS('Plan versions'!$A$7:$A$306,F110,'Plan versions'!$B$7:$B$306,A110,'Plan versions'!$L$7:$L$306,"Frozen")&lt;&gt;1),"Invalid current plan ref",IF(AND(D110="Executing",F110=""),"Execution lacks plan",IF(AND(D110="Closed",OR(T110="",COUNTIFS('Reviews'!$B$7:$B$306,A110)=0,COUNTIFS('Update log'!$B$7:$B$306,A110)=0)),"Closure docs missing","Basic records complete"))))))</x:f>
      </x:c>
      <x:c r="S110" s="3"/>
      <x:c r="T110" s="3"/>
    </x:row>
    <x:row r="111" ht="25" customHeight="1">
      <x:c r="A111" s="3"/>
      <x:c r="B111" s="3"/>
      <x:c r="C111" s="3"/>
      <x:c r="D111" s="3"/>
      <x:c r="E111" s="3"/>
      <x:c r="F111" s="3"/>
      <x:c r="G111" s="3"/>
      <x:c r="H111" s="3"/>
      <x:c r="I111" s="20"/>
      <x:c r="J111" s="3"/>
      <x:c r="K111" s="22"/>
      <x:c r="L111" s="22"/>
      <x:c r="M111" s="24" t="str">
        <x:f>IF(A111="","",IF(COUNTIFS('Execution log'!$B$7:$B$306,A111)=0,"",IF(COUNTIFS('Execution log'!$B$7:$B$306,A111,'Execution log'!$L$7:$L$306,"Valid",'Execution log'!$P$7:$P$306,"&lt;&gt;Valid input")&gt;0,"To check",IF(COUNTIFS('Execution log'!$B$7:$B$306,A111,'Execution log'!$P$7:$P$306,"Valid input")=0,"",SUMIFS('Execution log'!$H$7:$H$306,'Execution log'!$B$7:$B$306,A111,'Execution log'!$P$7:$P$306,"Valid input")))))</x:f>
      </x:c>
      <x:c r="N111" s="24" t="str">
        <x:f>IF(A111="","",IF(COUNTIFS('Execution log'!$B$7:$B$306,A111)=0,"",IF(COUNTIFS('Execution log'!$B$7:$B$306,A111,'Execution log'!$L$7:$L$306,"Valid",'Execution log'!$P$7:$P$306,"&lt;&gt;Valid input")&gt;0,"To check",IF(COUNTIFS('Execution log'!$B$7:$B$306,A111,'Execution log'!$P$7:$P$306,"Valid input")=0,"",SUMIFS('Execution log'!$J$7:$J$306,'Execution log'!$B$7:$B$306,A111,'Execution log'!$P$7:$P$306,"Valid input")))))</x:f>
      </x:c>
      <x:c r="O111" s="24" t="str">
        <x:f>IF(A111="","",IF(NOT(ISNUMBER(K111)),"Budget TBD",IF(NOT(ISNUMBER(M111)),"No valid entries yet",K111-M111)))</x:f>
      </x:c>
      <x:c r="P111" s="24" t="str">
        <x:f>IF(A111="","",IF(NOT(ISNUMBER(L111)),"Budget TBD",IF(NOT(ISNUMBER(N111)),"No valid entries yet",L111-N111)))</x:f>
      </x:c>
      <x:c r="Q111" s="19" t="str">
        <x:f>IF(A111="","",IF(D111="Closed","Closed",IF(NOT(ISNUMBER(I111)),"Review date TBD",IF(NOT(ISNUMBER($B$3)),"Evaluation date TBD",IF(I111&lt;=$B$3,"Review due","Not due")))))</x:f>
      </x:c>
      <x:c r="R111" s="19" t="str">
        <x:f>IF(A111="","",IF(COUNTIFS($A$7:$A$306,A111)&lt;&gt;1,"Duplicate case ID",IF(OR(B111="",C111="",D111="",G111="",S111=""),"Basic info missing",IF(AND(F111&lt;&gt;"",COUNTIFS('Plan versions'!$A$7:$A$306,F111,'Plan versions'!$B$7:$B$306,A111,'Plan versions'!$L$7:$L$306,"Frozen")&lt;&gt;1),"Invalid current plan ref",IF(AND(D111="Executing",F111=""),"Execution lacks plan",IF(AND(D111="Closed",OR(T111="",COUNTIFS('Reviews'!$B$7:$B$306,A111)=0,COUNTIFS('Update log'!$B$7:$B$306,A111)=0)),"Closure docs missing","Basic records complete"))))))</x:f>
      </x:c>
      <x:c r="S111" s="3"/>
      <x:c r="T111" s="3"/>
    </x:row>
    <x:row r="112" ht="25" customHeight="1">
      <x:c r="A112" s="3"/>
      <x:c r="B112" s="3"/>
      <x:c r="C112" s="3"/>
      <x:c r="D112" s="3"/>
      <x:c r="E112" s="3"/>
      <x:c r="F112" s="3"/>
      <x:c r="G112" s="3"/>
      <x:c r="H112" s="3"/>
      <x:c r="I112" s="20"/>
      <x:c r="J112" s="3"/>
      <x:c r="K112" s="22"/>
      <x:c r="L112" s="22"/>
      <x:c r="M112" s="24" t="str">
        <x:f>IF(A112="","",IF(COUNTIFS('Execution log'!$B$7:$B$306,A112)=0,"",IF(COUNTIFS('Execution log'!$B$7:$B$306,A112,'Execution log'!$L$7:$L$306,"Valid",'Execution log'!$P$7:$P$306,"&lt;&gt;Valid input")&gt;0,"To check",IF(COUNTIFS('Execution log'!$B$7:$B$306,A112,'Execution log'!$P$7:$P$306,"Valid input")=0,"",SUMIFS('Execution log'!$H$7:$H$306,'Execution log'!$B$7:$B$306,A112,'Execution log'!$P$7:$P$306,"Valid input")))))</x:f>
      </x:c>
      <x:c r="N112" s="24" t="str">
        <x:f>IF(A112="","",IF(COUNTIFS('Execution log'!$B$7:$B$306,A112)=0,"",IF(COUNTIFS('Execution log'!$B$7:$B$306,A112,'Execution log'!$L$7:$L$306,"Valid",'Execution log'!$P$7:$P$306,"&lt;&gt;Valid input")&gt;0,"To check",IF(COUNTIFS('Execution log'!$B$7:$B$306,A112,'Execution log'!$P$7:$P$306,"Valid input")=0,"",SUMIFS('Execution log'!$J$7:$J$306,'Execution log'!$B$7:$B$306,A112,'Execution log'!$P$7:$P$306,"Valid input")))))</x:f>
      </x:c>
      <x:c r="O112" s="24" t="str">
        <x:f>IF(A112="","",IF(NOT(ISNUMBER(K112)),"Budget TBD",IF(NOT(ISNUMBER(M112)),"No valid entries yet",K112-M112)))</x:f>
      </x:c>
      <x:c r="P112" s="24" t="str">
        <x:f>IF(A112="","",IF(NOT(ISNUMBER(L112)),"Budget TBD",IF(NOT(ISNUMBER(N112)),"No valid entries yet",L112-N112)))</x:f>
      </x:c>
      <x:c r="Q112" s="19" t="str">
        <x:f>IF(A112="","",IF(D112="Closed","Closed",IF(NOT(ISNUMBER(I112)),"Review date TBD",IF(NOT(ISNUMBER($B$3)),"Evaluation date TBD",IF(I112&lt;=$B$3,"Review due","Not due")))))</x:f>
      </x:c>
      <x:c r="R112" s="19" t="str">
        <x:f>IF(A112="","",IF(COUNTIFS($A$7:$A$306,A112)&lt;&gt;1,"Duplicate case ID",IF(OR(B112="",C112="",D112="",G112="",S112=""),"Basic info missing",IF(AND(F112&lt;&gt;"",COUNTIFS('Plan versions'!$A$7:$A$306,F112,'Plan versions'!$B$7:$B$306,A112,'Plan versions'!$L$7:$L$306,"Frozen")&lt;&gt;1),"Invalid current plan ref",IF(AND(D112="Executing",F112=""),"Execution lacks plan",IF(AND(D112="Closed",OR(T112="",COUNTIFS('Reviews'!$B$7:$B$306,A112)=0,COUNTIFS('Update log'!$B$7:$B$306,A112)=0)),"Closure docs missing","Basic records complete"))))))</x:f>
      </x:c>
      <x:c r="S112" s="3"/>
      <x:c r="T112" s="3"/>
    </x:row>
    <x:row r="113" ht="25" customHeight="1">
      <x:c r="A113" s="3"/>
      <x:c r="B113" s="3"/>
      <x:c r="C113" s="3"/>
      <x:c r="D113" s="3"/>
      <x:c r="E113" s="3"/>
      <x:c r="F113" s="3"/>
      <x:c r="G113" s="3"/>
      <x:c r="H113" s="3"/>
      <x:c r="I113" s="20"/>
      <x:c r="J113" s="3"/>
      <x:c r="K113" s="22"/>
      <x:c r="L113" s="22"/>
      <x:c r="M113" s="24" t="str">
        <x:f>IF(A113="","",IF(COUNTIFS('Execution log'!$B$7:$B$306,A113)=0,"",IF(COUNTIFS('Execution log'!$B$7:$B$306,A113,'Execution log'!$L$7:$L$306,"Valid",'Execution log'!$P$7:$P$306,"&lt;&gt;Valid input")&gt;0,"To check",IF(COUNTIFS('Execution log'!$B$7:$B$306,A113,'Execution log'!$P$7:$P$306,"Valid input")=0,"",SUMIFS('Execution log'!$H$7:$H$306,'Execution log'!$B$7:$B$306,A113,'Execution log'!$P$7:$P$306,"Valid input")))))</x:f>
      </x:c>
      <x:c r="N113" s="24" t="str">
        <x:f>IF(A113="","",IF(COUNTIFS('Execution log'!$B$7:$B$306,A113)=0,"",IF(COUNTIFS('Execution log'!$B$7:$B$306,A113,'Execution log'!$L$7:$L$306,"Valid",'Execution log'!$P$7:$P$306,"&lt;&gt;Valid input")&gt;0,"To check",IF(COUNTIFS('Execution log'!$B$7:$B$306,A113,'Execution log'!$P$7:$P$306,"Valid input")=0,"",SUMIFS('Execution log'!$J$7:$J$306,'Execution log'!$B$7:$B$306,A113,'Execution log'!$P$7:$P$306,"Valid input")))))</x:f>
      </x:c>
      <x:c r="O113" s="24" t="str">
        <x:f>IF(A113="","",IF(NOT(ISNUMBER(K113)),"Budget TBD",IF(NOT(ISNUMBER(M113)),"No valid entries yet",K113-M113)))</x:f>
      </x:c>
      <x:c r="P113" s="24" t="str">
        <x:f>IF(A113="","",IF(NOT(ISNUMBER(L113)),"Budget TBD",IF(NOT(ISNUMBER(N113)),"No valid entries yet",L113-N113)))</x:f>
      </x:c>
      <x:c r="Q113" s="19" t="str">
        <x:f>IF(A113="","",IF(D113="Closed","Closed",IF(NOT(ISNUMBER(I113)),"Review date TBD",IF(NOT(ISNUMBER($B$3)),"Evaluation date TBD",IF(I113&lt;=$B$3,"Review due","Not due")))))</x:f>
      </x:c>
      <x:c r="R113" s="19" t="str">
        <x:f>IF(A113="","",IF(COUNTIFS($A$7:$A$306,A113)&lt;&gt;1,"Duplicate case ID",IF(OR(B113="",C113="",D113="",G113="",S113=""),"Basic info missing",IF(AND(F113&lt;&gt;"",COUNTIFS('Plan versions'!$A$7:$A$306,F113,'Plan versions'!$B$7:$B$306,A113,'Plan versions'!$L$7:$L$306,"Frozen")&lt;&gt;1),"Invalid current plan ref",IF(AND(D113="Executing",F113=""),"Execution lacks plan",IF(AND(D113="Closed",OR(T113="",COUNTIFS('Reviews'!$B$7:$B$306,A113)=0,COUNTIFS('Update log'!$B$7:$B$306,A113)=0)),"Closure docs missing","Basic records complete"))))))</x:f>
      </x:c>
      <x:c r="S113" s="3"/>
      <x:c r="T113" s="3"/>
    </x:row>
    <x:row r="114" ht="25" customHeight="1">
      <x:c r="A114" s="3"/>
      <x:c r="B114" s="3"/>
      <x:c r="C114" s="3"/>
      <x:c r="D114" s="3"/>
      <x:c r="E114" s="3"/>
      <x:c r="F114" s="3"/>
      <x:c r="G114" s="3"/>
      <x:c r="H114" s="3"/>
      <x:c r="I114" s="20"/>
      <x:c r="J114" s="3"/>
      <x:c r="K114" s="22"/>
      <x:c r="L114" s="22"/>
      <x:c r="M114" s="24" t="str">
        <x:f>IF(A114="","",IF(COUNTIFS('Execution log'!$B$7:$B$306,A114)=0,"",IF(COUNTIFS('Execution log'!$B$7:$B$306,A114,'Execution log'!$L$7:$L$306,"Valid",'Execution log'!$P$7:$P$306,"&lt;&gt;Valid input")&gt;0,"To check",IF(COUNTIFS('Execution log'!$B$7:$B$306,A114,'Execution log'!$P$7:$P$306,"Valid input")=0,"",SUMIFS('Execution log'!$H$7:$H$306,'Execution log'!$B$7:$B$306,A114,'Execution log'!$P$7:$P$306,"Valid input")))))</x:f>
      </x:c>
      <x:c r="N114" s="24" t="str">
        <x:f>IF(A114="","",IF(COUNTIFS('Execution log'!$B$7:$B$306,A114)=0,"",IF(COUNTIFS('Execution log'!$B$7:$B$306,A114,'Execution log'!$L$7:$L$306,"Valid",'Execution log'!$P$7:$P$306,"&lt;&gt;Valid input")&gt;0,"To check",IF(COUNTIFS('Execution log'!$B$7:$B$306,A114,'Execution log'!$P$7:$P$306,"Valid input")=0,"",SUMIFS('Execution log'!$J$7:$J$306,'Execution log'!$B$7:$B$306,A114,'Execution log'!$P$7:$P$306,"Valid input")))))</x:f>
      </x:c>
      <x:c r="O114" s="24" t="str">
        <x:f>IF(A114="","",IF(NOT(ISNUMBER(K114)),"Budget TBD",IF(NOT(ISNUMBER(M114)),"No valid entries yet",K114-M114)))</x:f>
      </x:c>
      <x:c r="P114" s="24" t="str">
        <x:f>IF(A114="","",IF(NOT(ISNUMBER(L114)),"Budget TBD",IF(NOT(ISNUMBER(N114)),"No valid entries yet",L114-N114)))</x:f>
      </x:c>
      <x:c r="Q114" s="19" t="str">
        <x:f>IF(A114="","",IF(D114="Closed","Closed",IF(NOT(ISNUMBER(I114)),"Review date TBD",IF(NOT(ISNUMBER($B$3)),"Evaluation date TBD",IF(I114&lt;=$B$3,"Review due","Not due")))))</x:f>
      </x:c>
      <x:c r="R114" s="19" t="str">
        <x:f>IF(A114="","",IF(COUNTIFS($A$7:$A$306,A114)&lt;&gt;1,"Duplicate case ID",IF(OR(B114="",C114="",D114="",G114="",S114=""),"Basic info missing",IF(AND(F114&lt;&gt;"",COUNTIFS('Plan versions'!$A$7:$A$306,F114,'Plan versions'!$B$7:$B$306,A114,'Plan versions'!$L$7:$L$306,"Frozen")&lt;&gt;1),"Invalid current plan ref",IF(AND(D114="Executing",F114=""),"Execution lacks plan",IF(AND(D114="Closed",OR(T114="",COUNTIFS('Reviews'!$B$7:$B$306,A114)=0,COUNTIFS('Update log'!$B$7:$B$306,A114)=0)),"Closure docs missing","Basic records complete"))))))</x:f>
      </x:c>
      <x:c r="S114" s="3"/>
      <x:c r="T114" s="3"/>
    </x:row>
    <x:row r="115" ht="25" customHeight="1">
      <x:c r="A115" s="3"/>
      <x:c r="B115" s="3"/>
      <x:c r="C115" s="3"/>
      <x:c r="D115" s="3"/>
      <x:c r="E115" s="3"/>
      <x:c r="F115" s="3"/>
      <x:c r="G115" s="3"/>
      <x:c r="H115" s="3"/>
      <x:c r="I115" s="20"/>
      <x:c r="J115" s="3"/>
      <x:c r="K115" s="22"/>
      <x:c r="L115" s="22"/>
      <x:c r="M115" s="24" t="str">
        <x:f>IF(A115="","",IF(COUNTIFS('Execution log'!$B$7:$B$306,A115)=0,"",IF(COUNTIFS('Execution log'!$B$7:$B$306,A115,'Execution log'!$L$7:$L$306,"Valid",'Execution log'!$P$7:$P$306,"&lt;&gt;Valid input")&gt;0,"To check",IF(COUNTIFS('Execution log'!$B$7:$B$306,A115,'Execution log'!$P$7:$P$306,"Valid input")=0,"",SUMIFS('Execution log'!$H$7:$H$306,'Execution log'!$B$7:$B$306,A115,'Execution log'!$P$7:$P$306,"Valid input")))))</x:f>
      </x:c>
      <x:c r="N115" s="24" t="str">
        <x:f>IF(A115="","",IF(COUNTIFS('Execution log'!$B$7:$B$306,A115)=0,"",IF(COUNTIFS('Execution log'!$B$7:$B$306,A115,'Execution log'!$L$7:$L$306,"Valid",'Execution log'!$P$7:$P$306,"&lt;&gt;Valid input")&gt;0,"To check",IF(COUNTIFS('Execution log'!$B$7:$B$306,A115,'Execution log'!$P$7:$P$306,"Valid input")=0,"",SUMIFS('Execution log'!$J$7:$J$306,'Execution log'!$B$7:$B$306,A115,'Execution log'!$P$7:$P$306,"Valid input")))))</x:f>
      </x:c>
      <x:c r="O115" s="24" t="str">
        <x:f>IF(A115="","",IF(NOT(ISNUMBER(K115)),"Budget TBD",IF(NOT(ISNUMBER(M115)),"No valid entries yet",K115-M115)))</x:f>
      </x:c>
      <x:c r="P115" s="24" t="str">
        <x:f>IF(A115="","",IF(NOT(ISNUMBER(L115)),"Budget TBD",IF(NOT(ISNUMBER(N115)),"No valid entries yet",L115-N115)))</x:f>
      </x:c>
      <x:c r="Q115" s="19" t="str">
        <x:f>IF(A115="","",IF(D115="Closed","Closed",IF(NOT(ISNUMBER(I115)),"Review date TBD",IF(NOT(ISNUMBER($B$3)),"Evaluation date TBD",IF(I115&lt;=$B$3,"Review due","Not due")))))</x:f>
      </x:c>
      <x:c r="R115" s="19" t="str">
        <x:f>IF(A115="","",IF(COUNTIFS($A$7:$A$306,A115)&lt;&gt;1,"Duplicate case ID",IF(OR(B115="",C115="",D115="",G115="",S115=""),"Basic info missing",IF(AND(F115&lt;&gt;"",COUNTIFS('Plan versions'!$A$7:$A$306,F115,'Plan versions'!$B$7:$B$306,A115,'Plan versions'!$L$7:$L$306,"Frozen")&lt;&gt;1),"Invalid current plan ref",IF(AND(D115="Executing",F115=""),"Execution lacks plan",IF(AND(D115="Closed",OR(T115="",COUNTIFS('Reviews'!$B$7:$B$306,A115)=0,COUNTIFS('Update log'!$B$7:$B$306,A115)=0)),"Closure docs missing","Basic records complete"))))))</x:f>
      </x:c>
      <x:c r="S115" s="3"/>
      <x:c r="T115" s="3"/>
    </x:row>
    <x:row r="116" ht="25" customHeight="1">
      <x:c r="A116" s="3"/>
      <x:c r="B116" s="3"/>
      <x:c r="C116" s="3"/>
      <x:c r="D116" s="3"/>
      <x:c r="E116" s="3"/>
      <x:c r="F116" s="3"/>
      <x:c r="G116" s="3"/>
      <x:c r="H116" s="3"/>
      <x:c r="I116" s="20"/>
      <x:c r="J116" s="3"/>
      <x:c r="K116" s="22"/>
      <x:c r="L116" s="22"/>
      <x:c r="M116" s="24" t="str">
        <x:f>IF(A116="","",IF(COUNTIFS('Execution log'!$B$7:$B$306,A116)=0,"",IF(COUNTIFS('Execution log'!$B$7:$B$306,A116,'Execution log'!$L$7:$L$306,"Valid",'Execution log'!$P$7:$P$306,"&lt;&gt;Valid input")&gt;0,"To check",IF(COUNTIFS('Execution log'!$B$7:$B$306,A116,'Execution log'!$P$7:$P$306,"Valid input")=0,"",SUMIFS('Execution log'!$H$7:$H$306,'Execution log'!$B$7:$B$306,A116,'Execution log'!$P$7:$P$306,"Valid input")))))</x:f>
      </x:c>
      <x:c r="N116" s="24" t="str">
        <x:f>IF(A116="","",IF(COUNTIFS('Execution log'!$B$7:$B$306,A116)=0,"",IF(COUNTIFS('Execution log'!$B$7:$B$306,A116,'Execution log'!$L$7:$L$306,"Valid",'Execution log'!$P$7:$P$306,"&lt;&gt;Valid input")&gt;0,"To check",IF(COUNTIFS('Execution log'!$B$7:$B$306,A116,'Execution log'!$P$7:$P$306,"Valid input")=0,"",SUMIFS('Execution log'!$J$7:$J$306,'Execution log'!$B$7:$B$306,A116,'Execution log'!$P$7:$P$306,"Valid input")))))</x:f>
      </x:c>
      <x:c r="O116" s="24" t="str">
        <x:f>IF(A116="","",IF(NOT(ISNUMBER(K116)),"Budget TBD",IF(NOT(ISNUMBER(M116)),"No valid entries yet",K116-M116)))</x:f>
      </x:c>
      <x:c r="P116" s="24" t="str">
        <x:f>IF(A116="","",IF(NOT(ISNUMBER(L116)),"Budget TBD",IF(NOT(ISNUMBER(N116)),"No valid entries yet",L116-N116)))</x:f>
      </x:c>
      <x:c r="Q116" s="19" t="str">
        <x:f>IF(A116="","",IF(D116="Closed","Closed",IF(NOT(ISNUMBER(I116)),"Review date TBD",IF(NOT(ISNUMBER($B$3)),"Evaluation date TBD",IF(I116&lt;=$B$3,"Review due","Not due")))))</x:f>
      </x:c>
      <x:c r="R116" s="19" t="str">
        <x:f>IF(A116="","",IF(COUNTIFS($A$7:$A$306,A116)&lt;&gt;1,"Duplicate case ID",IF(OR(B116="",C116="",D116="",G116="",S116=""),"Basic info missing",IF(AND(F116&lt;&gt;"",COUNTIFS('Plan versions'!$A$7:$A$306,F116,'Plan versions'!$B$7:$B$306,A116,'Plan versions'!$L$7:$L$306,"Frozen")&lt;&gt;1),"Invalid current plan ref",IF(AND(D116="Executing",F116=""),"Execution lacks plan",IF(AND(D116="Closed",OR(T116="",COUNTIFS('Reviews'!$B$7:$B$306,A116)=0,COUNTIFS('Update log'!$B$7:$B$306,A116)=0)),"Closure docs missing","Basic records complete"))))))</x:f>
      </x:c>
      <x:c r="S116" s="3"/>
      <x:c r="T116" s="3"/>
    </x:row>
    <x:row r="117" ht="25" customHeight="1">
      <x:c r="A117" s="3"/>
      <x:c r="B117" s="3"/>
      <x:c r="C117" s="3"/>
      <x:c r="D117" s="3"/>
      <x:c r="E117" s="3"/>
      <x:c r="F117" s="3"/>
      <x:c r="G117" s="3"/>
      <x:c r="H117" s="3"/>
      <x:c r="I117" s="20"/>
      <x:c r="J117" s="3"/>
      <x:c r="K117" s="22"/>
      <x:c r="L117" s="22"/>
      <x:c r="M117" s="24" t="str">
        <x:f>IF(A117="","",IF(COUNTIFS('Execution log'!$B$7:$B$306,A117)=0,"",IF(COUNTIFS('Execution log'!$B$7:$B$306,A117,'Execution log'!$L$7:$L$306,"Valid",'Execution log'!$P$7:$P$306,"&lt;&gt;Valid input")&gt;0,"To check",IF(COUNTIFS('Execution log'!$B$7:$B$306,A117,'Execution log'!$P$7:$P$306,"Valid input")=0,"",SUMIFS('Execution log'!$H$7:$H$306,'Execution log'!$B$7:$B$306,A117,'Execution log'!$P$7:$P$306,"Valid input")))))</x:f>
      </x:c>
      <x:c r="N117" s="24" t="str">
        <x:f>IF(A117="","",IF(COUNTIFS('Execution log'!$B$7:$B$306,A117)=0,"",IF(COUNTIFS('Execution log'!$B$7:$B$306,A117,'Execution log'!$L$7:$L$306,"Valid",'Execution log'!$P$7:$P$306,"&lt;&gt;Valid input")&gt;0,"To check",IF(COUNTIFS('Execution log'!$B$7:$B$306,A117,'Execution log'!$P$7:$P$306,"Valid input")=0,"",SUMIFS('Execution log'!$J$7:$J$306,'Execution log'!$B$7:$B$306,A117,'Execution log'!$P$7:$P$306,"Valid input")))))</x:f>
      </x:c>
      <x:c r="O117" s="24" t="str">
        <x:f>IF(A117="","",IF(NOT(ISNUMBER(K117)),"Budget TBD",IF(NOT(ISNUMBER(M117)),"No valid entries yet",K117-M117)))</x:f>
      </x:c>
      <x:c r="P117" s="24" t="str">
        <x:f>IF(A117="","",IF(NOT(ISNUMBER(L117)),"Budget TBD",IF(NOT(ISNUMBER(N117)),"No valid entries yet",L117-N117)))</x:f>
      </x:c>
      <x:c r="Q117" s="19" t="str">
        <x:f>IF(A117="","",IF(D117="Closed","Closed",IF(NOT(ISNUMBER(I117)),"Review date TBD",IF(NOT(ISNUMBER($B$3)),"Evaluation date TBD",IF(I117&lt;=$B$3,"Review due","Not due")))))</x:f>
      </x:c>
      <x:c r="R117" s="19" t="str">
        <x:f>IF(A117="","",IF(COUNTIFS($A$7:$A$306,A117)&lt;&gt;1,"Duplicate case ID",IF(OR(B117="",C117="",D117="",G117="",S117=""),"Basic info missing",IF(AND(F117&lt;&gt;"",COUNTIFS('Plan versions'!$A$7:$A$306,F117,'Plan versions'!$B$7:$B$306,A117,'Plan versions'!$L$7:$L$306,"Frozen")&lt;&gt;1),"Invalid current plan ref",IF(AND(D117="Executing",F117=""),"Execution lacks plan",IF(AND(D117="Closed",OR(T117="",COUNTIFS('Reviews'!$B$7:$B$306,A117)=0,COUNTIFS('Update log'!$B$7:$B$306,A117)=0)),"Closure docs missing","Basic records complete"))))))</x:f>
      </x:c>
      <x:c r="S117" s="3"/>
      <x:c r="T117" s="3"/>
    </x:row>
    <x:row r="118" ht="25" customHeight="1">
      <x:c r="A118" s="3"/>
      <x:c r="B118" s="3"/>
      <x:c r="C118" s="3"/>
      <x:c r="D118" s="3"/>
      <x:c r="E118" s="3"/>
      <x:c r="F118" s="3"/>
      <x:c r="G118" s="3"/>
      <x:c r="H118" s="3"/>
      <x:c r="I118" s="20"/>
      <x:c r="J118" s="3"/>
      <x:c r="K118" s="22"/>
      <x:c r="L118" s="22"/>
      <x:c r="M118" s="24" t="str">
        <x:f>IF(A118="","",IF(COUNTIFS('Execution log'!$B$7:$B$306,A118)=0,"",IF(COUNTIFS('Execution log'!$B$7:$B$306,A118,'Execution log'!$L$7:$L$306,"Valid",'Execution log'!$P$7:$P$306,"&lt;&gt;Valid input")&gt;0,"To check",IF(COUNTIFS('Execution log'!$B$7:$B$306,A118,'Execution log'!$P$7:$P$306,"Valid input")=0,"",SUMIFS('Execution log'!$H$7:$H$306,'Execution log'!$B$7:$B$306,A118,'Execution log'!$P$7:$P$306,"Valid input")))))</x:f>
      </x:c>
      <x:c r="N118" s="24" t="str">
        <x:f>IF(A118="","",IF(COUNTIFS('Execution log'!$B$7:$B$306,A118)=0,"",IF(COUNTIFS('Execution log'!$B$7:$B$306,A118,'Execution log'!$L$7:$L$306,"Valid",'Execution log'!$P$7:$P$306,"&lt;&gt;Valid input")&gt;0,"To check",IF(COUNTIFS('Execution log'!$B$7:$B$306,A118,'Execution log'!$P$7:$P$306,"Valid input")=0,"",SUMIFS('Execution log'!$J$7:$J$306,'Execution log'!$B$7:$B$306,A118,'Execution log'!$P$7:$P$306,"Valid input")))))</x:f>
      </x:c>
      <x:c r="O118" s="24" t="str">
        <x:f>IF(A118="","",IF(NOT(ISNUMBER(K118)),"Budget TBD",IF(NOT(ISNUMBER(M118)),"No valid entries yet",K118-M118)))</x:f>
      </x:c>
      <x:c r="P118" s="24" t="str">
        <x:f>IF(A118="","",IF(NOT(ISNUMBER(L118)),"Budget TBD",IF(NOT(ISNUMBER(N118)),"No valid entries yet",L118-N118)))</x:f>
      </x:c>
      <x:c r="Q118" s="19" t="str">
        <x:f>IF(A118="","",IF(D118="Closed","Closed",IF(NOT(ISNUMBER(I118)),"Review date TBD",IF(NOT(ISNUMBER($B$3)),"Evaluation date TBD",IF(I118&lt;=$B$3,"Review due","Not due")))))</x:f>
      </x:c>
      <x:c r="R118" s="19" t="str">
        <x:f>IF(A118="","",IF(COUNTIFS($A$7:$A$306,A118)&lt;&gt;1,"Duplicate case ID",IF(OR(B118="",C118="",D118="",G118="",S118=""),"Basic info missing",IF(AND(F118&lt;&gt;"",COUNTIFS('Plan versions'!$A$7:$A$306,F118,'Plan versions'!$B$7:$B$306,A118,'Plan versions'!$L$7:$L$306,"Frozen")&lt;&gt;1),"Invalid current plan ref",IF(AND(D118="Executing",F118=""),"Execution lacks plan",IF(AND(D118="Closed",OR(T118="",COUNTIFS('Reviews'!$B$7:$B$306,A118)=0,COUNTIFS('Update log'!$B$7:$B$306,A118)=0)),"Closure docs missing","Basic records complete"))))))</x:f>
      </x:c>
      <x:c r="S118" s="3"/>
      <x:c r="T118" s="3"/>
    </x:row>
    <x:row r="119" ht="25" customHeight="1">
      <x:c r="A119" s="3"/>
      <x:c r="B119" s="3"/>
      <x:c r="C119" s="3"/>
      <x:c r="D119" s="3"/>
      <x:c r="E119" s="3"/>
      <x:c r="F119" s="3"/>
      <x:c r="G119" s="3"/>
      <x:c r="H119" s="3"/>
      <x:c r="I119" s="20"/>
      <x:c r="J119" s="3"/>
      <x:c r="K119" s="22"/>
      <x:c r="L119" s="22"/>
      <x:c r="M119" s="24" t="str">
        <x:f>IF(A119="","",IF(COUNTIFS('Execution log'!$B$7:$B$306,A119)=0,"",IF(COUNTIFS('Execution log'!$B$7:$B$306,A119,'Execution log'!$L$7:$L$306,"Valid",'Execution log'!$P$7:$P$306,"&lt;&gt;Valid input")&gt;0,"To check",IF(COUNTIFS('Execution log'!$B$7:$B$306,A119,'Execution log'!$P$7:$P$306,"Valid input")=0,"",SUMIFS('Execution log'!$H$7:$H$306,'Execution log'!$B$7:$B$306,A119,'Execution log'!$P$7:$P$306,"Valid input")))))</x:f>
      </x:c>
      <x:c r="N119" s="24" t="str">
        <x:f>IF(A119="","",IF(COUNTIFS('Execution log'!$B$7:$B$306,A119)=0,"",IF(COUNTIFS('Execution log'!$B$7:$B$306,A119,'Execution log'!$L$7:$L$306,"Valid",'Execution log'!$P$7:$P$306,"&lt;&gt;Valid input")&gt;0,"To check",IF(COUNTIFS('Execution log'!$B$7:$B$306,A119,'Execution log'!$P$7:$P$306,"Valid input")=0,"",SUMIFS('Execution log'!$J$7:$J$306,'Execution log'!$B$7:$B$306,A119,'Execution log'!$P$7:$P$306,"Valid input")))))</x:f>
      </x:c>
      <x:c r="O119" s="24" t="str">
        <x:f>IF(A119="","",IF(NOT(ISNUMBER(K119)),"Budget TBD",IF(NOT(ISNUMBER(M119)),"No valid entries yet",K119-M119)))</x:f>
      </x:c>
      <x:c r="P119" s="24" t="str">
        <x:f>IF(A119="","",IF(NOT(ISNUMBER(L119)),"Budget TBD",IF(NOT(ISNUMBER(N119)),"No valid entries yet",L119-N119)))</x:f>
      </x:c>
      <x:c r="Q119" s="19" t="str">
        <x:f>IF(A119="","",IF(D119="Closed","Closed",IF(NOT(ISNUMBER(I119)),"Review date TBD",IF(NOT(ISNUMBER($B$3)),"Evaluation date TBD",IF(I119&lt;=$B$3,"Review due","Not due")))))</x:f>
      </x:c>
      <x:c r="R119" s="19" t="str">
        <x:f>IF(A119="","",IF(COUNTIFS($A$7:$A$306,A119)&lt;&gt;1,"Duplicate case ID",IF(OR(B119="",C119="",D119="",G119="",S119=""),"Basic info missing",IF(AND(F119&lt;&gt;"",COUNTIFS('Plan versions'!$A$7:$A$306,F119,'Plan versions'!$B$7:$B$306,A119,'Plan versions'!$L$7:$L$306,"Frozen")&lt;&gt;1),"Invalid current plan ref",IF(AND(D119="Executing",F119=""),"Execution lacks plan",IF(AND(D119="Closed",OR(T119="",COUNTIFS('Reviews'!$B$7:$B$306,A119)=0,COUNTIFS('Update log'!$B$7:$B$306,A119)=0)),"Closure docs missing","Basic records complete"))))))</x:f>
      </x:c>
      <x:c r="S119" s="3"/>
      <x:c r="T119" s="3"/>
    </x:row>
    <x:row r="120" ht="25" customHeight="1">
      <x:c r="A120" s="3"/>
      <x:c r="B120" s="3"/>
      <x:c r="C120" s="3"/>
      <x:c r="D120" s="3"/>
      <x:c r="E120" s="3"/>
      <x:c r="F120" s="3"/>
      <x:c r="G120" s="3"/>
      <x:c r="H120" s="3"/>
      <x:c r="I120" s="20"/>
      <x:c r="J120" s="3"/>
      <x:c r="K120" s="22"/>
      <x:c r="L120" s="22"/>
      <x:c r="M120" s="24" t="str">
        <x:f>IF(A120="","",IF(COUNTIFS('Execution log'!$B$7:$B$306,A120)=0,"",IF(COUNTIFS('Execution log'!$B$7:$B$306,A120,'Execution log'!$L$7:$L$306,"Valid",'Execution log'!$P$7:$P$306,"&lt;&gt;Valid input")&gt;0,"To check",IF(COUNTIFS('Execution log'!$B$7:$B$306,A120,'Execution log'!$P$7:$P$306,"Valid input")=0,"",SUMIFS('Execution log'!$H$7:$H$306,'Execution log'!$B$7:$B$306,A120,'Execution log'!$P$7:$P$306,"Valid input")))))</x:f>
      </x:c>
      <x:c r="N120" s="24" t="str">
        <x:f>IF(A120="","",IF(COUNTIFS('Execution log'!$B$7:$B$306,A120)=0,"",IF(COUNTIFS('Execution log'!$B$7:$B$306,A120,'Execution log'!$L$7:$L$306,"Valid",'Execution log'!$P$7:$P$306,"&lt;&gt;Valid input")&gt;0,"To check",IF(COUNTIFS('Execution log'!$B$7:$B$306,A120,'Execution log'!$P$7:$P$306,"Valid input")=0,"",SUMIFS('Execution log'!$J$7:$J$306,'Execution log'!$B$7:$B$306,A120,'Execution log'!$P$7:$P$306,"Valid input")))))</x:f>
      </x:c>
      <x:c r="O120" s="24" t="str">
        <x:f>IF(A120="","",IF(NOT(ISNUMBER(K120)),"Budget TBD",IF(NOT(ISNUMBER(M120)),"No valid entries yet",K120-M120)))</x:f>
      </x:c>
      <x:c r="P120" s="24" t="str">
        <x:f>IF(A120="","",IF(NOT(ISNUMBER(L120)),"Budget TBD",IF(NOT(ISNUMBER(N120)),"No valid entries yet",L120-N120)))</x:f>
      </x:c>
      <x:c r="Q120" s="19" t="str">
        <x:f>IF(A120="","",IF(D120="Closed","Closed",IF(NOT(ISNUMBER(I120)),"Review date TBD",IF(NOT(ISNUMBER($B$3)),"Evaluation date TBD",IF(I120&lt;=$B$3,"Review due","Not due")))))</x:f>
      </x:c>
      <x:c r="R120" s="19" t="str">
        <x:f>IF(A120="","",IF(COUNTIFS($A$7:$A$306,A120)&lt;&gt;1,"Duplicate case ID",IF(OR(B120="",C120="",D120="",G120="",S120=""),"Basic info missing",IF(AND(F120&lt;&gt;"",COUNTIFS('Plan versions'!$A$7:$A$306,F120,'Plan versions'!$B$7:$B$306,A120,'Plan versions'!$L$7:$L$306,"Frozen")&lt;&gt;1),"Invalid current plan ref",IF(AND(D120="Executing",F120=""),"Execution lacks plan",IF(AND(D120="Closed",OR(T120="",COUNTIFS('Reviews'!$B$7:$B$306,A120)=0,COUNTIFS('Update log'!$B$7:$B$306,A120)=0)),"Closure docs missing","Basic records complete"))))))</x:f>
      </x:c>
      <x:c r="S120" s="3"/>
      <x:c r="T120" s="3"/>
    </x:row>
    <x:row r="121" ht="25" customHeight="1">
      <x:c r="A121" s="3"/>
      <x:c r="B121" s="3"/>
      <x:c r="C121" s="3"/>
      <x:c r="D121" s="3"/>
      <x:c r="E121" s="3"/>
      <x:c r="F121" s="3"/>
      <x:c r="G121" s="3"/>
      <x:c r="H121" s="3"/>
      <x:c r="I121" s="20"/>
      <x:c r="J121" s="3"/>
      <x:c r="K121" s="22"/>
      <x:c r="L121" s="22"/>
      <x:c r="M121" s="24" t="str">
        <x:f>IF(A121="","",IF(COUNTIFS('Execution log'!$B$7:$B$306,A121)=0,"",IF(COUNTIFS('Execution log'!$B$7:$B$306,A121,'Execution log'!$L$7:$L$306,"Valid",'Execution log'!$P$7:$P$306,"&lt;&gt;Valid input")&gt;0,"To check",IF(COUNTIFS('Execution log'!$B$7:$B$306,A121,'Execution log'!$P$7:$P$306,"Valid input")=0,"",SUMIFS('Execution log'!$H$7:$H$306,'Execution log'!$B$7:$B$306,A121,'Execution log'!$P$7:$P$306,"Valid input")))))</x:f>
      </x:c>
      <x:c r="N121" s="24" t="str">
        <x:f>IF(A121="","",IF(COUNTIFS('Execution log'!$B$7:$B$306,A121)=0,"",IF(COUNTIFS('Execution log'!$B$7:$B$306,A121,'Execution log'!$L$7:$L$306,"Valid",'Execution log'!$P$7:$P$306,"&lt;&gt;Valid input")&gt;0,"To check",IF(COUNTIFS('Execution log'!$B$7:$B$306,A121,'Execution log'!$P$7:$P$306,"Valid input")=0,"",SUMIFS('Execution log'!$J$7:$J$306,'Execution log'!$B$7:$B$306,A121,'Execution log'!$P$7:$P$306,"Valid input")))))</x:f>
      </x:c>
      <x:c r="O121" s="24" t="str">
        <x:f>IF(A121="","",IF(NOT(ISNUMBER(K121)),"Budget TBD",IF(NOT(ISNUMBER(M121)),"No valid entries yet",K121-M121)))</x:f>
      </x:c>
      <x:c r="P121" s="24" t="str">
        <x:f>IF(A121="","",IF(NOT(ISNUMBER(L121)),"Budget TBD",IF(NOT(ISNUMBER(N121)),"No valid entries yet",L121-N121)))</x:f>
      </x:c>
      <x:c r="Q121" s="19" t="str">
        <x:f>IF(A121="","",IF(D121="Closed","Closed",IF(NOT(ISNUMBER(I121)),"Review date TBD",IF(NOT(ISNUMBER($B$3)),"Evaluation date TBD",IF(I121&lt;=$B$3,"Review due","Not due")))))</x:f>
      </x:c>
      <x:c r="R121" s="19" t="str">
        <x:f>IF(A121="","",IF(COUNTIFS($A$7:$A$306,A121)&lt;&gt;1,"Duplicate case ID",IF(OR(B121="",C121="",D121="",G121="",S121=""),"Basic info missing",IF(AND(F121&lt;&gt;"",COUNTIFS('Plan versions'!$A$7:$A$306,F121,'Plan versions'!$B$7:$B$306,A121,'Plan versions'!$L$7:$L$306,"Frozen")&lt;&gt;1),"Invalid current plan ref",IF(AND(D121="Executing",F121=""),"Execution lacks plan",IF(AND(D121="Closed",OR(T121="",COUNTIFS('Reviews'!$B$7:$B$306,A121)=0,COUNTIFS('Update log'!$B$7:$B$306,A121)=0)),"Closure docs missing","Basic records complete"))))))</x:f>
      </x:c>
      <x:c r="S121" s="3"/>
      <x:c r="T121" s="3"/>
    </x:row>
    <x:row r="122" ht="25" customHeight="1">
      <x:c r="A122" s="3"/>
      <x:c r="B122" s="3"/>
      <x:c r="C122" s="3"/>
      <x:c r="D122" s="3"/>
      <x:c r="E122" s="3"/>
      <x:c r="F122" s="3"/>
      <x:c r="G122" s="3"/>
      <x:c r="H122" s="3"/>
      <x:c r="I122" s="20"/>
      <x:c r="J122" s="3"/>
      <x:c r="K122" s="22"/>
      <x:c r="L122" s="22"/>
      <x:c r="M122" s="24" t="str">
        <x:f>IF(A122="","",IF(COUNTIFS('Execution log'!$B$7:$B$306,A122)=0,"",IF(COUNTIFS('Execution log'!$B$7:$B$306,A122,'Execution log'!$L$7:$L$306,"Valid",'Execution log'!$P$7:$P$306,"&lt;&gt;Valid input")&gt;0,"To check",IF(COUNTIFS('Execution log'!$B$7:$B$306,A122,'Execution log'!$P$7:$P$306,"Valid input")=0,"",SUMIFS('Execution log'!$H$7:$H$306,'Execution log'!$B$7:$B$306,A122,'Execution log'!$P$7:$P$306,"Valid input")))))</x:f>
      </x:c>
      <x:c r="N122" s="24" t="str">
        <x:f>IF(A122="","",IF(COUNTIFS('Execution log'!$B$7:$B$306,A122)=0,"",IF(COUNTIFS('Execution log'!$B$7:$B$306,A122,'Execution log'!$L$7:$L$306,"Valid",'Execution log'!$P$7:$P$306,"&lt;&gt;Valid input")&gt;0,"To check",IF(COUNTIFS('Execution log'!$B$7:$B$306,A122,'Execution log'!$P$7:$P$306,"Valid input")=0,"",SUMIFS('Execution log'!$J$7:$J$306,'Execution log'!$B$7:$B$306,A122,'Execution log'!$P$7:$P$306,"Valid input")))))</x:f>
      </x:c>
      <x:c r="O122" s="24" t="str">
        <x:f>IF(A122="","",IF(NOT(ISNUMBER(K122)),"Budget TBD",IF(NOT(ISNUMBER(M122)),"No valid entries yet",K122-M122)))</x:f>
      </x:c>
      <x:c r="P122" s="24" t="str">
        <x:f>IF(A122="","",IF(NOT(ISNUMBER(L122)),"Budget TBD",IF(NOT(ISNUMBER(N122)),"No valid entries yet",L122-N122)))</x:f>
      </x:c>
      <x:c r="Q122" s="19" t="str">
        <x:f>IF(A122="","",IF(D122="Closed","Closed",IF(NOT(ISNUMBER(I122)),"Review date TBD",IF(NOT(ISNUMBER($B$3)),"Evaluation date TBD",IF(I122&lt;=$B$3,"Review due","Not due")))))</x:f>
      </x:c>
      <x:c r="R122" s="19" t="str">
        <x:f>IF(A122="","",IF(COUNTIFS($A$7:$A$306,A122)&lt;&gt;1,"Duplicate case ID",IF(OR(B122="",C122="",D122="",G122="",S122=""),"Basic info missing",IF(AND(F122&lt;&gt;"",COUNTIFS('Plan versions'!$A$7:$A$306,F122,'Plan versions'!$B$7:$B$306,A122,'Plan versions'!$L$7:$L$306,"Frozen")&lt;&gt;1),"Invalid current plan ref",IF(AND(D122="Executing",F122=""),"Execution lacks plan",IF(AND(D122="Closed",OR(T122="",COUNTIFS('Reviews'!$B$7:$B$306,A122)=0,COUNTIFS('Update log'!$B$7:$B$306,A122)=0)),"Closure docs missing","Basic records complete"))))))</x:f>
      </x:c>
      <x:c r="S122" s="3"/>
      <x:c r="T122" s="3"/>
    </x:row>
    <x:row r="123" ht="25" customHeight="1">
      <x:c r="A123" s="3"/>
      <x:c r="B123" s="3"/>
      <x:c r="C123" s="3"/>
      <x:c r="D123" s="3"/>
      <x:c r="E123" s="3"/>
      <x:c r="F123" s="3"/>
      <x:c r="G123" s="3"/>
      <x:c r="H123" s="3"/>
      <x:c r="I123" s="20"/>
      <x:c r="J123" s="3"/>
      <x:c r="K123" s="22"/>
      <x:c r="L123" s="22"/>
      <x:c r="M123" s="24" t="str">
        <x:f>IF(A123="","",IF(COUNTIFS('Execution log'!$B$7:$B$306,A123)=0,"",IF(COUNTIFS('Execution log'!$B$7:$B$306,A123,'Execution log'!$L$7:$L$306,"Valid",'Execution log'!$P$7:$P$306,"&lt;&gt;Valid input")&gt;0,"To check",IF(COUNTIFS('Execution log'!$B$7:$B$306,A123,'Execution log'!$P$7:$P$306,"Valid input")=0,"",SUMIFS('Execution log'!$H$7:$H$306,'Execution log'!$B$7:$B$306,A123,'Execution log'!$P$7:$P$306,"Valid input")))))</x:f>
      </x:c>
      <x:c r="N123" s="24" t="str">
        <x:f>IF(A123="","",IF(COUNTIFS('Execution log'!$B$7:$B$306,A123)=0,"",IF(COUNTIFS('Execution log'!$B$7:$B$306,A123,'Execution log'!$L$7:$L$306,"Valid",'Execution log'!$P$7:$P$306,"&lt;&gt;Valid input")&gt;0,"To check",IF(COUNTIFS('Execution log'!$B$7:$B$306,A123,'Execution log'!$P$7:$P$306,"Valid input")=0,"",SUMIFS('Execution log'!$J$7:$J$306,'Execution log'!$B$7:$B$306,A123,'Execution log'!$P$7:$P$306,"Valid input")))))</x:f>
      </x:c>
      <x:c r="O123" s="24" t="str">
        <x:f>IF(A123="","",IF(NOT(ISNUMBER(K123)),"Budget TBD",IF(NOT(ISNUMBER(M123)),"No valid entries yet",K123-M123)))</x:f>
      </x:c>
      <x:c r="P123" s="24" t="str">
        <x:f>IF(A123="","",IF(NOT(ISNUMBER(L123)),"Budget TBD",IF(NOT(ISNUMBER(N123)),"No valid entries yet",L123-N123)))</x:f>
      </x:c>
      <x:c r="Q123" s="19" t="str">
        <x:f>IF(A123="","",IF(D123="Closed","Closed",IF(NOT(ISNUMBER(I123)),"Review date TBD",IF(NOT(ISNUMBER($B$3)),"Evaluation date TBD",IF(I123&lt;=$B$3,"Review due","Not due")))))</x:f>
      </x:c>
      <x:c r="R123" s="19" t="str">
        <x:f>IF(A123="","",IF(COUNTIFS($A$7:$A$306,A123)&lt;&gt;1,"Duplicate case ID",IF(OR(B123="",C123="",D123="",G123="",S123=""),"Basic info missing",IF(AND(F123&lt;&gt;"",COUNTIFS('Plan versions'!$A$7:$A$306,F123,'Plan versions'!$B$7:$B$306,A123,'Plan versions'!$L$7:$L$306,"Frozen")&lt;&gt;1),"Invalid current plan ref",IF(AND(D123="Executing",F123=""),"Execution lacks plan",IF(AND(D123="Closed",OR(T123="",COUNTIFS('Reviews'!$B$7:$B$306,A123)=0,COUNTIFS('Update log'!$B$7:$B$306,A123)=0)),"Closure docs missing","Basic records complete"))))))</x:f>
      </x:c>
      <x:c r="S123" s="3"/>
      <x:c r="T123" s="3"/>
    </x:row>
    <x:row r="124" ht="25" customHeight="1">
      <x:c r="A124" s="3"/>
      <x:c r="B124" s="3"/>
      <x:c r="C124" s="3"/>
      <x:c r="D124" s="3"/>
      <x:c r="E124" s="3"/>
      <x:c r="F124" s="3"/>
      <x:c r="G124" s="3"/>
      <x:c r="H124" s="3"/>
      <x:c r="I124" s="20"/>
      <x:c r="J124" s="3"/>
      <x:c r="K124" s="22"/>
      <x:c r="L124" s="22"/>
      <x:c r="M124" s="24" t="str">
        <x:f>IF(A124="","",IF(COUNTIFS('Execution log'!$B$7:$B$306,A124)=0,"",IF(COUNTIFS('Execution log'!$B$7:$B$306,A124,'Execution log'!$L$7:$L$306,"Valid",'Execution log'!$P$7:$P$306,"&lt;&gt;Valid input")&gt;0,"To check",IF(COUNTIFS('Execution log'!$B$7:$B$306,A124,'Execution log'!$P$7:$P$306,"Valid input")=0,"",SUMIFS('Execution log'!$H$7:$H$306,'Execution log'!$B$7:$B$306,A124,'Execution log'!$P$7:$P$306,"Valid input")))))</x:f>
      </x:c>
      <x:c r="N124" s="24" t="str">
        <x:f>IF(A124="","",IF(COUNTIFS('Execution log'!$B$7:$B$306,A124)=0,"",IF(COUNTIFS('Execution log'!$B$7:$B$306,A124,'Execution log'!$L$7:$L$306,"Valid",'Execution log'!$P$7:$P$306,"&lt;&gt;Valid input")&gt;0,"To check",IF(COUNTIFS('Execution log'!$B$7:$B$306,A124,'Execution log'!$P$7:$P$306,"Valid input")=0,"",SUMIFS('Execution log'!$J$7:$J$306,'Execution log'!$B$7:$B$306,A124,'Execution log'!$P$7:$P$306,"Valid input")))))</x:f>
      </x:c>
      <x:c r="O124" s="24" t="str">
        <x:f>IF(A124="","",IF(NOT(ISNUMBER(K124)),"Budget TBD",IF(NOT(ISNUMBER(M124)),"No valid entries yet",K124-M124)))</x:f>
      </x:c>
      <x:c r="P124" s="24" t="str">
        <x:f>IF(A124="","",IF(NOT(ISNUMBER(L124)),"Budget TBD",IF(NOT(ISNUMBER(N124)),"No valid entries yet",L124-N124)))</x:f>
      </x:c>
      <x:c r="Q124" s="19" t="str">
        <x:f>IF(A124="","",IF(D124="Closed","Closed",IF(NOT(ISNUMBER(I124)),"Review date TBD",IF(NOT(ISNUMBER($B$3)),"Evaluation date TBD",IF(I124&lt;=$B$3,"Review due","Not due")))))</x:f>
      </x:c>
      <x:c r="R124" s="19" t="str">
        <x:f>IF(A124="","",IF(COUNTIFS($A$7:$A$306,A124)&lt;&gt;1,"Duplicate case ID",IF(OR(B124="",C124="",D124="",G124="",S124=""),"Basic info missing",IF(AND(F124&lt;&gt;"",COUNTIFS('Plan versions'!$A$7:$A$306,F124,'Plan versions'!$B$7:$B$306,A124,'Plan versions'!$L$7:$L$306,"Frozen")&lt;&gt;1),"Invalid current plan ref",IF(AND(D124="Executing",F124=""),"Execution lacks plan",IF(AND(D124="Closed",OR(T124="",COUNTIFS('Reviews'!$B$7:$B$306,A124)=0,COUNTIFS('Update log'!$B$7:$B$306,A124)=0)),"Closure docs missing","Basic records complete"))))))</x:f>
      </x:c>
      <x:c r="S124" s="3"/>
      <x:c r="T124" s="3"/>
    </x:row>
    <x:row r="125" ht="25" customHeight="1">
      <x:c r="A125" s="3"/>
      <x:c r="B125" s="3"/>
      <x:c r="C125" s="3"/>
      <x:c r="D125" s="3"/>
      <x:c r="E125" s="3"/>
      <x:c r="F125" s="3"/>
      <x:c r="G125" s="3"/>
      <x:c r="H125" s="3"/>
      <x:c r="I125" s="20"/>
      <x:c r="J125" s="3"/>
      <x:c r="K125" s="22"/>
      <x:c r="L125" s="22"/>
      <x:c r="M125" s="24" t="str">
        <x:f>IF(A125="","",IF(COUNTIFS('Execution log'!$B$7:$B$306,A125)=0,"",IF(COUNTIFS('Execution log'!$B$7:$B$306,A125,'Execution log'!$L$7:$L$306,"Valid",'Execution log'!$P$7:$P$306,"&lt;&gt;Valid input")&gt;0,"To check",IF(COUNTIFS('Execution log'!$B$7:$B$306,A125,'Execution log'!$P$7:$P$306,"Valid input")=0,"",SUMIFS('Execution log'!$H$7:$H$306,'Execution log'!$B$7:$B$306,A125,'Execution log'!$P$7:$P$306,"Valid input")))))</x:f>
      </x:c>
      <x:c r="N125" s="24" t="str">
        <x:f>IF(A125="","",IF(COUNTIFS('Execution log'!$B$7:$B$306,A125)=0,"",IF(COUNTIFS('Execution log'!$B$7:$B$306,A125,'Execution log'!$L$7:$L$306,"Valid",'Execution log'!$P$7:$P$306,"&lt;&gt;Valid input")&gt;0,"To check",IF(COUNTIFS('Execution log'!$B$7:$B$306,A125,'Execution log'!$P$7:$P$306,"Valid input")=0,"",SUMIFS('Execution log'!$J$7:$J$306,'Execution log'!$B$7:$B$306,A125,'Execution log'!$P$7:$P$306,"Valid input")))))</x:f>
      </x:c>
      <x:c r="O125" s="24" t="str">
        <x:f>IF(A125="","",IF(NOT(ISNUMBER(K125)),"Budget TBD",IF(NOT(ISNUMBER(M125)),"No valid entries yet",K125-M125)))</x:f>
      </x:c>
      <x:c r="P125" s="24" t="str">
        <x:f>IF(A125="","",IF(NOT(ISNUMBER(L125)),"Budget TBD",IF(NOT(ISNUMBER(N125)),"No valid entries yet",L125-N125)))</x:f>
      </x:c>
      <x:c r="Q125" s="19" t="str">
        <x:f>IF(A125="","",IF(D125="Closed","Closed",IF(NOT(ISNUMBER(I125)),"Review date TBD",IF(NOT(ISNUMBER($B$3)),"Evaluation date TBD",IF(I125&lt;=$B$3,"Review due","Not due")))))</x:f>
      </x:c>
      <x:c r="R125" s="19" t="str">
        <x:f>IF(A125="","",IF(COUNTIFS($A$7:$A$306,A125)&lt;&gt;1,"Duplicate case ID",IF(OR(B125="",C125="",D125="",G125="",S125=""),"Basic info missing",IF(AND(F125&lt;&gt;"",COUNTIFS('Plan versions'!$A$7:$A$306,F125,'Plan versions'!$B$7:$B$306,A125,'Plan versions'!$L$7:$L$306,"Frozen")&lt;&gt;1),"Invalid current plan ref",IF(AND(D125="Executing",F125=""),"Execution lacks plan",IF(AND(D125="Closed",OR(T125="",COUNTIFS('Reviews'!$B$7:$B$306,A125)=0,COUNTIFS('Update log'!$B$7:$B$306,A125)=0)),"Closure docs missing","Basic records complete"))))))</x:f>
      </x:c>
      <x:c r="S125" s="3"/>
      <x:c r="T125" s="3"/>
    </x:row>
    <x:row r="126" ht="25" customHeight="1">
      <x:c r="A126" s="3"/>
      <x:c r="B126" s="3"/>
      <x:c r="C126" s="3"/>
      <x:c r="D126" s="3"/>
      <x:c r="E126" s="3"/>
      <x:c r="F126" s="3"/>
      <x:c r="G126" s="3"/>
      <x:c r="H126" s="3"/>
      <x:c r="I126" s="20"/>
      <x:c r="J126" s="3"/>
      <x:c r="K126" s="22"/>
      <x:c r="L126" s="22"/>
      <x:c r="M126" s="24" t="str">
        <x:f>IF(A126="","",IF(COUNTIFS('Execution log'!$B$7:$B$306,A126)=0,"",IF(COUNTIFS('Execution log'!$B$7:$B$306,A126,'Execution log'!$L$7:$L$306,"Valid",'Execution log'!$P$7:$P$306,"&lt;&gt;Valid input")&gt;0,"To check",IF(COUNTIFS('Execution log'!$B$7:$B$306,A126,'Execution log'!$P$7:$P$306,"Valid input")=0,"",SUMIFS('Execution log'!$H$7:$H$306,'Execution log'!$B$7:$B$306,A126,'Execution log'!$P$7:$P$306,"Valid input")))))</x:f>
      </x:c>
      <x:c r="N126" s="24" t="str">
        <x:f>IF(A126="","",IF(COUNTIFS('Execution log'!$B$7:$B$306,A126)=0,"",IF(COUNTIFS('Execution log'!$B$7:$B$306,A126,'Execution log'!$L$7:$L$306,"Valid",'Execution log'!$P$7:$P$306,"&lt;&gt;Valid input")&gt;0,"To check",IF(COUNTIFS('Execution log'!$B$7:$B$306,A126,'Execution log'!$P$7:$P$306,"Valid input")=0,"",SUMIFS('Execution log'!$J$7:$J$306,'Execution log'!$B$7:$B$306,A126,'Execution log'!$P$7:$P$306,"Valid input")))))</x:f>
      </x:c>
      <x:c r="O126" s="24" t="str">
        <x:f>IF(A126="","",IF(NOT(ISNUMBER(K126)),"Budget TBD",IF(NOT(ISNUMBER(M126)),"No valid entries yet",K126-M126)))</x:f>
      </x:c>
      <x:c r="P126" s="24" t="str">
        <x:f>IF(A126="","",IF(NOT(ISNUMBER(L126)),"Budget TBD",IF(NOT(ISNUMBER(N126)),"No valid entries yet",L126-N126)))</x:f>
      </x:c>
      <x:c r="Q126" s="19" t="str">
        <x:f>IF(A126="","",IF(D126="Closed","Closed",IF(NOT(ISNUMBER(I126)),"Review date TBD",IF(NOT(ISNUMBER($B$3)),"Evaluation date TBD",IF(I126&lt;=$B$3,"Review due","Not due")))))</x:f>
      </x:c>
      <x:c r="R126" s="19" t="str">
        <x:f>IF(A126="","",IF(COUNTIFS($A$7:$A$306,A126)&lt;&gt;1,"Duplicate case ID",IF(OR(B126="",C126="",D126="",G126="",S126=""),"Basic info missing",IF(AND(F126&lt;&gt;"",COUNTIFS('Plan versions'!$A$7:$A$306,F126,'Plan versions'!$B$7:$B$306,A126,'Plan versions'!$L$7:$L$306,"Frozen")&lt;&gt;1),"Invalid current plan ref",IF(AND(D126="Executing",F126=""),"Execution lacks plan",IF(AND(D126="Closed",OR(T126="",COUNTIFS('Reviews'!$B$7:$B$306,A126)=0,COUNTIFS('Update log'!$B$7:$B$306,A126)=0)),"Closure docs missing","Basic records complete"))))))</x:f>
      </x:c>
      <x:c r="S126" s="3"/>
      <x:c r="T126" s="3"/>
    </x:row>
    <x:row r="127" ht="25" customHeight="1">
      <x:c r="A127" s="3"/>
      <x:c r="B127" s="3"/>
      <x:c r="C127" s="3"/>
      <x:c r="D127" s="3"/>
      <x:c r="E127" s="3"/>
      <x:c r="F127" s="3"/>
      <x:c r="G127" s="3"/>
      <x:c r="H127" s="3"/>
      <x:c r="I127" s="20"/>
      <x:c r="J127" s="3"/>
      <x:c r="K127" s="22"/>
      <x:c r="L127" s="22"/>
      <x:c r="M127" s="24" t="str">
        <x:f>IF(A127="","",IF(COUNTIFS('Execution log'!$B$7:$B$306,A127)=0,"",IF(COUNTIFS('Execution log'!$B$7:$B$306,A127,'Execution log'!$L$7:$L$306,"Valid",'Execution log'!$P$7:$P$306,"&lt;&gt;Valid input")&gt;0,"To check",IF(COUNTIFS('Execution log'!$B$7:$B$306,A127,'Execution log'!$P$7:$P$306,"Valid input")=0,"",SUMIFS('Execution log'!$H$7:$H$306,'Execution log'!$B$7:$B$306,A127,'Execution log'!$P$7:$P$306,"Valid input")))))</x:f>
      </x:c>
      <x:c r="N127" s="24" t="str">
        <x:f>IF(A127="","",IF(COUNTIFS('Execution log'!$B$7:$B$306,A127)=0,"",IF(COUNTIFS('Execution log'!$B$7:$B$306,A127,'Execution log'!$L$7:$L$306,"Valid",'Execution log'!$P$7:$P$306,"&lt;&gt;Valid input")&gt;0,"To check",IF(COUNTIFS('Execution log'!$B$7:$B$306,A127,'Execution log'!$P$7:$P$306,"Valid input")=0,"",SUMIFS('Execution log'!$J$7:$J$306,'Execution log'!$B$7:$B$306,A127,'Execution log'!$P$7:$P$306,"Valid input")))))</x:f>
      </x:c>
      <x:c r="O127" s="24" t="str">
        <x:f>IF(A127="","",IF(NOT(ISNUMBER(K127)),"Budget TBD",IF(NOT(ISNUMBER(M127)),"No valid entries yet",K127-M127)))</x:f>
      </x:c>
      <x:c r="P127" s="24" t="str">
        <x:f>IF(A127="","",IF(NOT(ISNUMBER(L127)),"Budget TBD",IF(NOT(ISNUMBER(N127)),"No valid entries yet",L127-N127)))</x:f>
      </x:c>
      <x:c r="Q127" s="19" t="str">
        <x:f>IF(A127="","",IF(D127="Closed","Closed",IF(NOT(ISNUMBER(I127)),"Review date TBD",IF(NOT(ISNUMBER($B$3)),"Evaluation date TBD",IF(I127&lt;=$B$3,"Review due","Not due")))))</x:f>
      </x:c>
      <x:c r="R127" s="19" t="str">
        <x:f>IF(A127="","",IF(COUNTIFS($A$7:$A$306,A127)&lt;&gt;1,"Duplicate case ID",IF(OR(B127="",C127="",D127="",G127="",S127=""),"Basic info missing",IF(AND(F127&lt;&gt;"",COUNTIFS('Plan versions'!$A$7:$A$306,F127,'Plan versions'!$B$7:$B$306,A127,'Plan versions'!$L$7:$L$306,"Frozen")&lt;&gt;1),"Invalid current plan ref",IF(AND(D127="Executing",F127=""),"Execution lacks plan",IF(AND(D127="Closed",OR(T127="",COUNTIFS('Reviews'!$B$7:$B$306,A127)=0,COUNTIFS('Update log'!$B$7:$B$306,A127)=0)),"Closure docs missing","Basic records complete"))))))</x:f>
      </x:c>
      <x:c r="S127" s="3"/>
      <x:c r="T127" s="3"/>
    </x:row>
    <x:row r="128" ht="25" customHeight="1">
      <x:c r="A128" s="3"/>
      <x:c r="B128" s="3"/>
      <x:c r="C128" s="3"/>
      <x:c r="D128" s="3"/>
      <x:c r="E128" s="3"/>
      <x:c r="F128" s="3"/>
      <x:c r="G128" s="3"/>
      <x:c r="H128" s="3"/>
      <x:c r="I128" s="20"/>
      <x:c r="J128" s="3"/>
      <x:c r="K128" s="22"/>
      <x:c r="L128" s="22"/>
      <x:c r="M128" s="24" t="str">
        <x:f>IF(A128="","",IF(COUNTIFS('Execution log'!$B$7:$B$306,A128)=0,"",IF(COUNTIFS('Execution log'!$B$7:$B$306,A128,'Execution log'!$L$7:$L$306,"Valid",'Execution log'!$P$7:$P$306,"&lt;&gt;Valid input")&gt;0,"To check",IF(COUNTIFS('Execution log'!$B$7:$B$306,A128,'Execution log'!$P$7:$P$306,"Valid input")=0,"",SUMIFS('Execution log'!$H$7:$H$306,'Execution log'!$B$7:$B$306,A128,'Execution log'!$P$7:$P$306,"Valid input")))))</x:f>
      </x:c>
      <x:c r="N128" s="24" t="str">
        <x:f>IF(A128="","",IF(COUNTIFS('Execution log'!$B$7:$B$306,A128)=0,"",IF(COUNTIFS('Execution log'!$B$7:$B$306,A128,'Execution log'!$L$7:$L$306,"Valid",'Execution log'!$P$7:$P$306,"&lt;&gt;Valid input")&gt;0,"To check",IF(COUNTIFS('Execution log'!$B$7:$B$306,A128,'Execution log'!$P$7:$P$306,"Valid input")=0,"",SUMIFS('Execution log'!$J$7:$J$306,'Execution log'!$B$7:$B$306,A128,'Execution log'!$P$7:$P$306,"Valid input")))))</x:f>
      </x:c>
      <x:c r="O128" s="24" t="str">
        <x:f>IF(A128="","",IF(NOT(ISNUMBER(K128)),"Budget TBD",IF(NOT(ISNUMBER(M128)),"No valid entries yet",K128-M128)))</x:f>
      </x:c>
      <x:c r="P128" s="24" t="str">
        <x:f>IF(A128="","",IF(NOT(ISNUMBER(L128)),"Budget TBD",IF(NOT(ISNUMBER(N128)),"No valid entries yet",L128-N128)))</x:f>
      </x:c>
      <x:c r="Q128" s="19" t="str">
        <x:f>IF(A128="","",IF(D128="Closed","Closed",IF(NOT(ISNUMBER(I128)),"Review date TBD",IF(NOT(ISNUMBER($B$3)),"Evaluation date TBD",IF(I128&lt;=$B$3,"Review due","Not due")))))</x:f>
      </x:c>
      <x:c r="R128" s="19" t="str">
        <x:f>IF(A128="","",IF(COUNTIFS($A$7:$A$306,A128)&lt;&gt;1,"Duplicate case ID",IF(OR(B128="",C128="",D128="",G128="",S128=""),"Basic info missing",IF(AND(F128&lt;&gt;"",COUNTIFS('Plan versions'!$A$7:$A$306,F128,'Plan versions'!$B$7:$B$306,A128,'Plan versions'!$L$7:$L$306,"Frozen")&lt;&gt;1),"Invalid current plan ref",IF(AND(D128="Executing",F128=""),"Execution lacks plan",IF(AND(D128="Closed",OR(T128="",COUNTIFS('Reviews'!$B$7:$B$306,A128)=0,COUNTIFS('Update log'!$B$7:$B$306,A128)=0)),"Closure docs missing","Basic records complete"))))))</x:f>
      </x:c>
      <x:c r="S128" s="3"/>
      <x:c r="T128" s="3"/>
    </x:row>
    <x:row r="129" ht="25" customHeight="1">
      <x:c r="A129" s="3"/>
      <x:c r="B129" s="3"/>
      <x:c r="C129" s="3"/>
      <x:c r="D129" s="3"/>
      <x:c r="E129" s="3"/>
      <x:c r="F129" s="3"/>
      <x:c r="G129" s="3"/>
      <x:c r="H129" s="3"/>
      <x:c r="I129" s="20"/>
      <x:c r="J129" s="3"/>
      <x:c r="K129" s="22"/>
      <x:c r="L129" s="22"/>
      <x:c r="M129" s="24" t="str">
        <x:f>IF(A129="","",IF(COUNTIFS('Execution log'!$B$7:$B$306,A129)=0,"",IF(COUNTIFS('Execution log'!$B$7:$B$306,A129,'Execution log'!$L$7:$L$306,"Valid",'Execution log'!$P$7:$P$306,"&lt;&gt;Valid input")&gt;0,"To check",IF(COUNTIFS('Execution log'!$B$7:$B$306,A129,'Execution log'!$P$7:$P$306,"Valid input")=0,"",SUMIFS('Execution log'!$H$7:$H$306,'Execution log'!$B$7:$B$306,A129,'Execution log'!$P$7:$P$306,"Valid input")))))</x:f>
      </x:c>
      <x:c r="N129" s="24" t="str">
        <x:f>IF(A129="","",IF(COUNTIFS('Execution log'!$B$7:$B$306,A129)=0,"",IF(COUNTIFS('Execution log'!$B$7:$B$306,A129,'Execution log'!$L$7:$L$306,"Valid",'Execution log'!$P$7:$P$306,"&lt;&gt;Valid input")&gt;0,"To check",IF(COUNTIFS('Execution log'!$B$7:$B$306,A129,'Execution log'!$P$7:$P$306,"Valid input")=0,"",SUMIFS('Execution log'!$J$7:$J$306,'Execution log'!$B$7:$B$306,A129,'Execution log'!$P$7:$P$306,"Valid input")))))</x:f>
      </x:c>
      <x:c r="O129" s="24" t="str">
        <x:f>IF(A129="","",IF(NOT(ISNUMBER(K129)),"Budget TBD",IF(NOT(ISNUMBER(M129)),"No valid entries yet",K129-M129)))</x:f>
      </x:c>
      <x:c r="P129" s="24" t="str">
        <x:f>IF(A129="","",IF(NOT(ISNUMBER(L129)),"Budget TBD",IF(NOT(ISNUMBER(N129)),"No valid entries yet",L129-N129)))</x:f>
      </x:c>
      <x:c r="Q129" s="19" t="str">
        <x:f>IF(A129="","",IF(D129="Closed","Closed",IF(NOT(ISNUMBER(I129)),"Review date TBD",IF(NOT(ISNUMBER($B$3)),"Evaluation date TBD",IF(I129&lt;=$B$3,"Review due","Not due")))))</x:f>
      </x:c>
      <x:c r="R129" s="19" t="str">
        <x:f>IF(A129="","",IF(COUNTIFS($A$7:$A$306,A129)&lt;&gt;1,"Duplicate case ID",IF(OR(B129="",C129="",D129="",G129="",S129=""),"Basic info missing",IF(AND(F129&lt;&gt;"",COUNTIFS('Plan versions'!$A$7:$A$306,F129,'Plan versions'!$B$7:$B$306,A129,'Plan versions'!$L$7:$L$306,"Frozen")&lt;&gt;1),"Invalid current plan ref",IF(AND(D129="Executing",F129=""),"Execution lacks plan",IF(AND(D129="Closed",OR(T129="",COUNTIFS('Reviews'!$B$7:$B$306,A129)=0,COUNTIFS('Update log'!$B$7:$B$306,A129)=0)),"Closure docs missing","Basic records complete"))))))</x:f>
      </x:c>
      <x:c r="S129" s="3"/>
      <x:c r="T129" s="3"/>
    </x:row>
    <x:row r="130" ht="25" customHeight="1">
      <x:c r="A130" s="3"/>
      <x:c r="B130" s="3"/>
      <x:c r="C130" s="3"/>
      <x:c r="D130" s="3"/>
      <x:c r="E130" s="3"/>
      <x:c r="F130" s="3"/>
      <x:c r="G130" s="3"/>
      <x:c r="H130" s="3"/>
      <x:c r="I130" s="20"/>
      <x:c r="J130" s="3"/>
      <x:c r="K130" s="22"/>
      <x:c r="L130" s="22"/>
      <x:c r="M130" s="24" t="str">
        <x:f>IF(A130="","",IF(COUNTIFS('Execution log'!$B$7:$B$306,A130)=0,"",IF(COUNTIFS('Execution log'!$B$7:$B$306,A130,'Execution log'!$L$7:$L$306,"Valid",'Execution log'!$P$7:$P$306,"&lt;&gt;Valid input")&gt;0,"To check",IF(COUNTIFS('Execution log'!$B$7:$B$306,A130,'Execution log'!$P$7:$P$306,"Valid input")=0,"",SUMIFS('Execution log'!$H$7:$H$306,'Execution log'!$B$7:$B$306,A130,'Execution log'!$P$7:$P$306,"Valid input")))))</x:f>
      </x:c>
      <x:c r="N130" s="24" t="str">
        <x:f>IF(A130="","",IF(COUNTIFS('Execution log'!$B$7:$B$306,A130)=0,"",IF(COUNTIFS('Execution log'!$B$7:$B$306,A130,'Execution log'!$L$7:$L$306,"Valid",'Execution log'!$P$7:$P$306,"&lt;&gt;Valid input")&gt;0,"To check",IF(COUNTIFS('Execution log'!$B$7:$B$306,A130,'Execution log'!$P$7:$P$306,"Valid input")=0,"",SUMIFS('Execution log'!$J$7:$J$306,'Execution log'!$B$7:$B$306,A130,'Execution log'!$P$7:$P$306,"Valid input")))))</x:f>
      </x:c>
      <x:c r="O130" s="24" t="str">
        <x:f>IF(A130="","",IF(NOT(ISNUMBER(K130)),"Budget TBD",IF(NOT(ISNUMBER(M130)),"No valid entries yet",K130-M130)))</x:f>
      </x:c>
      <x:c r="P130" s="24" t="str">
        <x:f>IF(A130="","",IF(NOT(ISNUMBER(L130)),"Budget TBD",IF(NOT(ISNUMBER(N130)),"No valid entries yet",L130-N130)))</x:f>
      </x:c>
      <x:c r="Q130" s="19" t="str">
        <x:f>IF(A130="","",IF(D130="Closed","Closed",IF(NOT(ISNUMBER(I130)),"Review date TBD",IF(NOT(ISNUMBER($B$3)),"Evaluation date TBD",IF(I130&lt;=$B$3,"Review due","Not due")))))</x:f>
      </x:c>
      <x:c r="R130" s="19" t="str">
        <x:f>IF(A130="","",IF(COUNTIFS($A$7:$A$306,A130)&lt;&gt;1,"Duplicate case ID",IF(OR(B130="",C130="",D130="",G130="",S130=""),"Basic info missing",IF(AND(F130&lt;&gt;"",COUNTIFS('Plan versions'!$A$7:$A$306,F130,'Plan versions'!$B$7:$B$306,A130,'Plan versions'!$L$7:$L$306,"Frozen")&lt;&gt;1),"Invalid current plan ref",IF(AND(D130="Executing",F130=""),"Execution lacks plan",IF(AND(D130="Closed",OR(T130="",COUNTIFS('Reviews'!$B$7:$B$306,A130)=0,COUNTIFS('Update log'!$B$7:$B$306,A130)=0)),"Closure docs missing","Basic records complete"))))))</x:f>
      </x:c>
      <x:c r="S130" s="3"/>
      <x:c r="T130" s="3"/>
    </x:row>
    <x:row r="131" ht="25" customHeight="1">
      <x:c r="A131" s="3"/>
      <x:c r="B131" s="3"/>
      <x:c r="C131" s="3"/>
      <x:c r="D131" s="3"/>
      <x:c r="E131" s="3"/>
      <x:c r="F131" s="3"/>
      <x:c r="G131" s="3"/>
      <x:c r="H131" s="3"/>
      <x:c r="I131" s="20"/>
      <x:c r="J131" s="3"/>
      <x:c r="K131" s="22"/>
      <x:c r="L131" s="22"/>
      <x:c r="M131" s="24" t="str">
        <x:f>IF(A131="","",IF(COUNTIFS('Execution log'!$B$7:$B$306,A131)=0,"",IF(COUNTIFS('Execution log'!$B$7:$B$306,A131,'Execution log'!$L$7:$L$306,"Valid",'Execution log'!$P$7:$P$306,"&lt;&gt;Valid input")&gt;0,"To check",IF(COUNTIFS('Execution log'!$B$7:$B$306,A131,'Execution log'!$P$7:$P$306,"Valid input")=0,"",SUMIFS('Execution log'!$H$7:$H$306,'Execution log'!$B$7:$B$306,A131,'Execution log'!$P$7:$P$306,"Valid input")))))</x:f>
      </x:c>
      <x:c r="N131" s="24" t="str">
        <x:f>IF(A131="","",IF(COUNTIFS('Execution log'!$B$7:$B$306,A131)=0,"",IF(COUNTIFS('Execution log'!$B$7:$B$306,A131,'Execution log'!$L$7:$L$306,"Valid",'Execution log'!$P$7:$P$306,"&lt;&gt;Valid input")&gt;0,"To check",IF(COUNTIFS('Execution log'!$B$7:$B$306,A131,'Execution log'!$P$7:$P$306,"Valid input")=0,"",SUMIFS('Execution log'!$J$7:$J$306,'Execution log'!$B$7:$B$306,A131,'Execution log'!$P$7:$P$306,"Valid input")))))</x:f>
      </x:c>
      <x:c r="O131" s="24" t="str">
        <x:f>IF(A131="","",IF(NOT(ISNUMBER(K131)),"Budget TBD",IF(NOT(ISNUMBER(M131)),"No valid entries yet",K131-M131)))</x:f>
      </x:c>
      <x:c r="P131" s="24" t="str">
        <x:f>IF(A131="","",IF(NOT(ISNUMBER(L131)),"Budget TBD",IF(NOT(ISNUMBER(N131)),"No valid entries yet",L131-N131)))</x:f>
      </x:c>
      <x:c r="Q131" s="19" t="str">
        <x:f>IF(A131="","",IF(D131="Closed","Closed",IF(NOT(ISNUMBER(I131)),"Review date TBD",IF(NOT(ISNUMBER($B$3)),"Evaluation date TBD",IF(I131&lt;=$B$3,"Review due","Not due")))))</x:f>
      </x:c>
      <x:c r="R131" s="19" t="str">
        <x:f>IF(A131="","",IF(COUNTIFS($A$7:$A$306,A131)&lt;&gt;1,"Duplicate case ID",IF(OR(B131="",C131="",D131="",G131="",S131=""),"Basic info missing",IF(AND(F131&lt;&gt;"",COUNTIFS('Plan versions'!$A$7:$A$306,F131,'Plan versions'!$B$7:$B$306,A131,'Plan versions'!$L$7:$L$306,"Frozen")&lt;&gt;1),"Invalid current plan ref",IF(AND(D131="Executing",F131=""),"Execution lacks plan",IF(AND(D131="Closed",OR(T131="",COUNTIFS('Reviews'!$B$7:$B$306,A131)=0,COUNTIFS('Update log'!$B$7:$B$306,A131)=0)),"Closure docs missing","Basic records complete"))))))</x:f>
      </x:c>
      <x:c r="S131" s="3"/>
      <x:c r="T131" s="3"/>
    </x:row>
    <x:row r="132" ht="25" customHeight="1">
      <x:c r="A132" s="3"/>
      <x:c r="B132" s="3"/>
      <x:c r="C132" s="3"/>
      <x:c r="D132" s="3"/>
      <x:c r="E132" s="3"/>
      <x:c r="F132" s="3"/>
      <x:c r="G132" s="3"/>
      <x:c r="H132" s="3"/>
      <x:c r="I132" s="20"/>
      <x:c r="J132" s="3"/>
      <x:c r="K132" s="22"/>
      <x:c r="L132" s="22"/>
      <x:c r="M132" s="24" t="str">
        <x:f>IF(A132="","",IF(COUNTIFS('Execution log'!$B$7:$B$306,A132)=0,"",IF(COUNTIFS('Execution log'!$B$7:$B$306,A132,'Execution log'!$L$7:$L$306,"Valid",'Execution log'!$P$7:$P$306,"&lt;&gt;Valid input")&gt;0,"To check",IF(COUNTIFS('Execution log'!$B$7:$B$306,A132,'Execution log'!$P$7:$P$306,"Valid input")=0,"",SUMIFS('Execution log'!$H$7:$H$306,'Execution log'!$B$7:$B$306,A132,'Execution log'!$P$7:$P$306,"Valid input")))))</x:f>
      </x:c>
      <x:c r="N132" s="24" t="str">
        <x:f>IF(A132="","",IF(COUNTIFS('Execution log'!$B$7:$B$306,A132)=0,"",IF(COUNTIFS('Execution log'!$B$7:$B$306,A132,'Execution log'!$L$7:$L$306,"Valid",'Execution log'!$P$7:$P$306,"&lt;&gt;Valid input")&gt;0,"To check",IF(COUNTIFS('Execution log'!$B$7:$B$306,A132,'Execution log'!$P$7:$P$306,"Valid input")=0,"",SUMIFS('Execution log'!$J$7:$J$306,'Execution log'!$B$7:$B$306,A132,'Execution log'!$P$7:$P$306,"Valid input")))))</x:f>
      </x:c>
      <x:c r="O132" s="24" t="str">
        <x:f>IF(A132="","",IF(NOT(ISNUMBER(K132)),"Budget TBD",IF(NOT(ISNUMBER(M132)),"No valid entries yet",K132-M132)))</x:f>
      </x:c>
      <x:c r="P132" s="24" t="str">
        <x:f>IF(A132="","",IF(NOT(ISNUMBER(L132)),"Budget TBD",IF(NOT(ISNUMBER(N132)),"No valid entries yet",L132-N132)))</x:f>
      </x:c>
      <x:c r="Q132" s="19" t="str">
        <x:f>IF(A132="","",IF(D132="Closed","Closed",IF(NOT(ISNUMBER(I132)),"Review date TBD",IF(NOT(ISNUMBER($B$3)),"Evaluation date TBD",IF(I132&lt;=$B$3,"Review due","Not due")))))</x:f>
      </x:c>
      <x:c r="R132" s="19" t="str">
        <x:f>IF(A132="","",IF(COUNTIFS($A$7:$A$306,A132)&lt;&gt;1,"Duplicate case ID",IF(OR(B132="",C132="",D132="",G132="",S132=""),"Basic info missing",IF(AND(F132&lt;&gt;"",COUNTIFS('Plan versions'!$A$7:$A$306,F132,'Plan versions'!$B$7:$B$306,A132,'Plan versions'!$L$7:$L$306,"Frozen")&lt;&gt;1),"Invalid current plan ref",IF(AND(D132="Executing",F132=""),"Execution lacks plan",IF(AND(D132="Closed",OR(T132="",COUNTIFS('Reviews'!$B$7:$B$306,A132)=0,COUNTIFS('Update log'!$B$7:$B$306,A132)=0)),"Closure docs missing","Basic records complete"))))))</x:f>
      </x:c>
      <x:c r="S132" s="3"/>
      <x:c r="T132" s="3"/>
    </x:row>
    <x:row r="133" ht="25" customHeight="1">
      <x:c r="A133" s="3"/>
      <x:c r="B133" s="3"/>
      <x:c r="C133" s="3"/>
      <x:c r="D133" s="3"/>
      <x:c r="E133" s="3"/>
      <x:c r="F133" s="3"/>
      <x:c r="G133" s="3"/>
      <x:c r="H133" s="3"/>
      <x:c r="I133" s="20"/>
      <x:c r="J133" s="3"/>
      <x:c r="K133" s="22"/>
      <x:c r="L133" s="22"/>
      <x:c r="M133" s="24" t="str">
        <x:f>IF(A133="","",IF(COUNTIFS('Execution log'!$B$7:$B$306,A133)=0,"",IF(COUNTIFS('Execution log'!$B$7:$B$306,A133,'Execution log'!$L$7:$L$306,"Valid",'Execution log'!$P$7:$P$306,"&lt;&gt;Valid input")&gt;0,"To check",IF(COUNTIFS('Execution log'!$B$7:$B$306,A133,'Execution log'!$P$7:$P$306,"Valid input")=0,"",SUMIFS('Execution log'!$H$7:$H$306,'Execution log'!$B$7:$B$306,A133,'Execution log'!$P$7:$P$306,"Valid input")))))</x:f>
      </x:c>
      <x:c r="N133" s="24" t="str">
        <x:f>IF(A133="","",IF(COUNTIFS('Execution log'!$B$7:$B$306,A133)=0,"",IF(COUNTIFS('Execution log'!$B$7:$B$306,A133,'Execution log'!$L$7:$L$306,"Valid",'Execution log'!$P$7:$P$306,"&lt;&gt;Valid input")&gt;0,"To check",IF(COUNTIFS('Execution log'!$B$7:$B$306,A133,'Execution log'!$P$7:$P$306,"Valid input")=0,"",SUMIFS('Execution log'!$J$7:$J$306,'Execution log'!$B$7:$B$306,A133,'Execution log'!$P$7:$P$306,"Valid input")))))</x:f>
      </x:c>
      <x:c r="O133" s="24" t="str">
        <x:f>IF(A133="","",IF(NOT(ISNUMBER(K133)),"Budget TBD",IF(NOT(ISNUMBER(M133)),"No valid entries yet",K133-M133)))</x:f>
      </x:c>
      <x:c r="P133" s="24" t="str">
        <x:f>IF(A133="","",IF(NOT(ISNUMBER(L133)),"Budget TBD",IF(NOT(ISNUMBER(N133)),"No valid entries yet",L133-N133)))</x:f>
      </x:c>
      <x:c r="Q133" s="19" t="str">
        <x:f>IF(A133="","",IF(D133="Closed","Closed",IF(NOT(ISNUMBER(I133)),"Review date TBD",IF(NOT(ISNUMBER($B$3)),"Evaluation date TBD",IF(I133&lt;=$B$3,"Review due","Not due")))))</x:f>
      </x:c>
      <x:c r="R133" s="19" t="str">
        <x:f>IF(A133="","",IF(COUNTIFS($A$7:$A$306,A133)&lt;&gt;1,"Duplicate case ID",IF(OR(B133="",C133="",D133="",G133="",S133=""),"Basic info missing",IF(AND(F133&lt;&gt;"",COUNTIFS('Plan versions'!$A$7:$A$306,F133,'Plan versions'!$B$7:$B$306,A133,'Plan versions'!$L$7:$L$306,"Frozen")&lt;&gt;1),"Invalid current plan ref",IF(AND(D133="Executing",F133=""),"Execution lacks plan",IF(AND(D133="Closed",OR(T133="",COUNTIFS('Reviews'!$B$7:$B$306,A133)=0,COUNTIFS('Update log'!$B$7:$B$306,A133)=0)),"Closure docs missing","Basic records complete"))))))</x:f>
      </x:c>
      <x:c r="S133" s="3"/>
      <x:c r="T133" s="3"/>
    </x:row>
    <x:row r="134" ht="25" customHeight="1">
      <x:c r="A134" s="3"/>
      <x:c r="B134" s="3"/>
      <x:c r="C134" s="3"/>
      <x:c r="D134" s="3"/>
      <x:c r="E134" s="3"/>
      <x:c r="F134" s="3"/>
      <x:c r="G134" s="3"/>
      <x:c r="H134" s="3"/>
      <x:c r="I134" s="20"/>
      <x:c r="J134" s="3"/>
      <x:c r="K134" s="22"/>
      <x:c r="L134" s="22"/>
      <x:c r="M134" s="24" t="str">
        <x:f>IF(A134="","",IF(COUNTIFS('Execution log'!$B$7:$B$306,A134)=0,"",IF(COUNTIFS('Execution log'!$B$7:$B$306,A134,'Execution log'!$L$7:$L$306,"Valid",'Execution log'!$P$7:$P$306,"&lt;&gt;Valid input")&gt;0,"To check",IF(COUNTIFS('Execution log'!$B$7:$B$306,A134,'Execution log'!$P$7:$P$306,"Valid input")=0,"",SUMIFS('Execution log'!$H$7:$H$306,'Execution log'!$B$7:$B$306,A134,'Execution log'!$P$7:$P$306,"Valid input")))))</x:f>
      </x:c>
      <x:c r="N134" s="24" t="str">
        <x:f>IF(A134="","",IF(COUNTIFS('Execution log'!$B$7:$B$306,A134)=0,"",IF(COUNTIFS('Execution log'!$B$7:$B$306,A134,'Execution log'!$L$7:$L$306,"Valid",'Execution log'!$P$7:$P$306,"&lt;&gt;Valid input")&gt;0,"To check",IF(COUNTIFS('Execution log'!$B$7:$B$306,A134,'Execution log'!$P$7:$P$306,"Valid input")=0,"",SUMIFS('Execution log'!$J$7:$J$306,'Execution log'!$B$7:$B$306,A134,'Execution log'!$P$7:$P$306,"Valid input")))))</x:f>
      </x:c>
      <x:c r="O134" s="24" t="str">
        <x:f>IF(A134="","",IF(NOT(ISNUMBER(K134)),"Budget TBD",IF(NOT(ISNUMBER(M134)),"No valid entries yet",K134-M134)))</x:f>
      </x:c>
      <x:c r="P134" s="24" t="str">
        <x:f>IF(A134="","",IF(NOT(ISNUMBER(L134)),"Budget TBD",IF(NOT(ISNUMBER(N134)),"No valid entries yet",L134-N134)))</x:f>
      </x:c>
      <x:c r="Q134" s="19" t="str">
        <x:f>IF(A134="","",IF(D134="Closed","Closed",IF(NOT(ISNUMBER(I134)),"Review date TBD",IF(NOT(ISNUMBER($B$3)),"Evaluation date TBD",IF(I134&lt;=$B$3,"Review due","Not due")))))</x:f>
      </x:c>
      <x:c r="R134" s="19" t="str">
        <x:f>IF(A134="","",IF(COUNTIFS($A$7:$A$306,A134)&lt;&gt;1,"Duplicate case ID",IF(OR(B134="",C134="",D134="",G134="",S134=""),"Basic info missing",IF(AND(F134&lt;&gt;"",COUNTIFS('Plan versions'!$A$7:$A$306,F134,'Plan versions'!$B$7:$B$306,A134,'Plan versions'!$L$7:$L$306,"Frozen")&lt;&gt;1),"Invalid current plan ref",IF(AND(D134="Executing",F134=""),"Execution lacks plan",IF(AND(D134="Closed",OR(T134="",COUNTIFS('Reviews'!$B$7:$B$306,A134)=0,COUNTIFS('Update log'!$B$7:$B$306,A134)=0)),"Closure docs missing","Basic records complete"))))))</x:f>
      </x:c>
      <x:c r="S134" s="3"/>
      <x:c r="T134" s="3"/>
    </x:row>
    <x:row r="135" ht="25" customHeight="1">
      <x:c r="A135" s="3"/>
      <x:c r="B135" s="3"/>
      <x:c r="C135" s="3"/>
      <x:c r="D135" s="3"/>
      <x:c r="E135" s="3"/>
      <x:c r="F135" s="3"/>
      <x:c r="G135" s="3"/>
      <x:c r="H135" s="3"/>
      <x:c r="I135" s="20"/>
      <x:c r="J135" s="3"/>
      <x:c r="K135" s="22"/>
      <x:c r="L135" s="22"/>
      <x:c r="M135" s="24" t="str">
        <x:f>IF(A135="","",IF(COUNTIFS('Execution log'!$B$7:$B$306,A135)=0,"",IF(COUNTIFS('Execution log'!$B$7:$B$306,A135,'Execution log'!$L$7:$L$306,"Valid",'Execution log'!$P$7:$P$306,"&lt;&gt;Valid input")&gt;0,"To check",IF(COUNTIFS('Execution log'!$B$7:$B$306,A135,'Execution log'!$P$7:$P$306,"Valid input")=0,"",SUMIFS('Execution log'!$H$7:$H$306,'Execution log'!$B$7:$B$306,A135,'Execution log'!$P$7:$P$306,"Valid input")))))</x:f>
      </x:c>
      <x:c r="N135" s="24" t="str">
        <x:f>IF(A135="","",IF(COUNTIFS('Execution log'!$B$7:$B$306,A135)=0,"",IF(COUNTIFS('Execution log'!$B$7:$B$306,A135,'Execution log'!$L$7:$L$306,"Valid",'Execution log'!$P$7:$P$306,"&lt;&gt;Valid input")&gt;0,"To check",IF(COUNTIFS('Execution log'!$B$7:$B$306,A135,'Execution log'!$P$7:$P$306,"Valid input")=0,"",SUMIFS('Execution log'!$J$7:$J$306,'Execution log'!$B$7:$B$306,A135,'Execution log'!$P$7:$P$306,"Valid input")))))</x:f>
      </x:c>
      <x:c r="O135" s="24" t="str">
        <x:f>IF(A135="","",IF(NOT(ISNUMBER(K135)),"Budget TBD",IF(NOT(ISNUMBER(M135)),"No valid entries yet",K135-M135)))</x:f>
      </x:c>
      <x:c r="P135" s="24" t="str">
        <x:f>IF(A135="","",IF(NOT(ISNUMBER(L135)),"Budget TBD",IF(NOT(ISNUMBER(N135)),"No valid entries yet",L135-N135)))</x:f>
      </x:c>
      <x:c r="Q135" s="19" t="str">
        <x:f>IF(A135="","",IF(D135="Closed","Closed",IF(NOT(ISNUMBER(I135)),"Review date TBD",IF(NOT(ISNUMBER($B$3)),"Evaluation date TBD",IF(I135&lt;=$B$3,"Review due","Not due")))))</x:f>
      </x:c>
      <x:c r="R135" s="19" t="str">
        <x:f>IF(A135="","",IF(COUNTIFS($A$7:$A$306,A135)&lt;&gt;1,"Duplicate case ID",IF(OR(B135="",C135="",D135="",G135="",S135=""),"Basic info missing",IF(AND(F135&lt;&gt;"",COUNTIFS('Plan versions'!$A$7:$A$306,F135,'Plan versions'!$B$7:$B$306,A135,'Plan versions'!$L$7:$L$306,"Frozen")&lt;&gt;1),"Invalid current plan ref",IF(AND(D135="Executing",F135=""),"Execution lacks plan",IF(AND(D135="Closed",OR(T135="",COUNTIFS('Reviews'!$B$7:$B$306,A135)=0,COUNTIFS('Update log'!$B$7:$B$306,A135)=0)),"Closure docs missing","Basic records complete"))))))</x:f>
      </x:c>
      <x:c r="S135" s="3"/>
      <x:c r="T135" s="3"/>
    </x:row>
    <x:row r="136" ht="25" customHeight="1">
      <x:c r="A136" s="3"/>
      <x:c r="B136" s="3"/>
      <x:c r="C136" s="3"/>
      <x:c r="D136" s="3"/>
      <x:c r="E136" s="3"/>
      <x:c r="F136" s="3"/>
      <x:c r="G136" s="3"/>
      <x:c r="H136" s="3"/>
      <x:c r="I136" s="20"/>
      <x:c r="J136" s="3"/>
      <x:c r="K136" s="22"/>
      <x:c r="L136" s="22"/>
      <x:c r="M136" s="24" t="str">
        <x:f>IF(A136="","",IF(COUNTIFS('Execution log'!$B$7:$B$306,A136)=0,"",IF(COUNTIFS('Execution log'!$B$7:$B$306,A136,'Execution log'!$L$7:$L$306,"Valid",'Execution log'!$P$7:$P$306,"&lt;&gt;Valid input")&gt;0,"To check",IF(COUNTIFS('Execution log'!$B$7:$B$306,A136,'Execution log'!$P$7:$P$306,"Valid input")=0,"",SUMIFS('Execution log'!$H$7:$H$306,'Execution log'!$B$7:$B$306,A136,'Execution log'!$P$7:$P$306,"Valid input")))))</x:f>
      </x:c>
      <x:c r="N136" s="24" t="str">
        <x:f>IF(A136="","",IF(COUNTIFS('Execution log'!$B$7:$B$306,A136)=0,"",IF(COUNTIFS('Execution log'!$B$7:$B$306,A136,'Execution log'!$L$7:$L$306,"Valid",'Execution log'!$P$7:$P$306,"&lt;&gt;Valid input")&gt;0,"To check",IF(COUNTIFS('Execution log'!$B$7:$B$306,A136,'Execution log'!$P$7:$P$306,"Valid input")=0,"",SUMIFS('Execution log'!$J$7:$J$306,'Execution log'!$B$7:$B$306,A136,'Execution log'!$P$7:$P$306,"Valid input")))))</x:f>
      </x:c>
      <x:c r="O136" s="24" t="str">
        <x:f>IF(A136="","",IF(NOT(ISNUMBER(K136)),"Budget TBD",IF(NOT(ISNUMBER(M136)),"No valid entries yet",K136-M136)))</x:f>
      </x:c>
      <x:c r="P136" s="24" t="str">
        <x:f>IF(A136="","",IF(NOT(ISNUMBER(L136)),"Budget TBD",IF(NOT(ISNUMBER(N136)),"No valid entries yet",L136-N136)))</x:f>
      </x:c>
      <x:c r="Q136" s="19" t="str">
        <x:f>IF(A136="","",IF(D136="Closed","Closed",IF(NOT(ISNUMBER(I136)),"Review date TBD",IF(NOT(ISNUMBER($B$3)),"Evaluation date TBD",IF(I136&lt;=$B$3,"Review due","Not due")))))</x:f>
      </x:c>
      <x:c r="R136" s="19" t="str">
        <x:f>IF(A136="","",IF(COUNTIFS($A$7:$A$306,A136)&lt;&gt;1,"Duplicate case ID",IF(OR(B136="",C136="",D136="",G136="",S136=""),"Basic info missing",IF(AND(F136&lt;&gt;"",COUNTIFS('Plan versions'!$A$7:$A$306,F136,'Plan versions'!$B$7:$B$306,A136,'Plan versions'!$L$7:$L$306,"Frozen")&lt;&gt;1),"Invalid current plan ref",IF(AND(D136="Executing",F136=""),"Execution lacks plan",IF(AND(D136="Closed",OR(T136="",COUNTIFS('Reviews'!$B$7:$B$306,A136)=0,COUNTIFS('Update log'!$B$7:$B$306,A136)=0)),"Closure docs missing","Basic records complete"))))))</x:f>
      </x:c>
      <x:c r="S136" s="3"/>
      <x:c r="T136" s="3"/>
    </x:row>
    <x:row r="137" ht="25" customHeight="1">
      <x:c r="A137" s="3"/>
      <x:c r="B137" s="3"/>
      <x:c r="C137" s="3"/>
      <x:c r="D137" s="3"/>
      <x:c r="E137" s="3"/>
      <x:c r="F137" s="3"/>
      <x:c r="G137" s="3"/>
      <x:c r="H137" s="3"/>
      <x:c r="I137" s="20"/>
      <x:c r="J137" s="3"/>
      <x:c r="K137" s="22"/>
      <x:c r="L137" s="22"/>
      <x:c r="M137" s="24" t="str">
        <x:f>IF(A137="","",IF(COUNTIFS('Execution log'!$B$7:$B$306,A137)=0,"",IF(COUNTIFS('Execution log'!$B$7:$B$306,A137,'Execution log'!$L$7:$L$306,"Valid",'Execution log'!$P$7:$P$306,"&lt;&gt;Valid input")&gt;0,"To check",IF(COUNTIFS('Execution log'!$B$7:$B$306,A137,'Execution log'!$P$7:$P$306,"Valid input")=0,"",SUMIFS('Execution log'!$H$7:$H$306,'Execution log'!$B$7:$B$306,A137,'Execution log'!$P$7:$P$306,"Valid input")))))</x:f>
      </x:c>
      <x:c r="N137" s="24" t="str">
        <x:f>IF(A137="","",IF(COUNTIFS('Execution log'!$B$7:$B$306,A137)=0,"",IF(COUNTIFS('Execution log'!$B$7:$B$306,A137,'Execution log'!$L$7:$L$306,"Valid",'Execution log'!$P$7:$P$306,"&lt;&gt;Valid input")&gt;0,"To check",IF(COUNTIFS('Execution log'!$B$7:$B$306,A137,'Execution log'!$P$7:$P$306,"Valid input")=0,"",SUMIFS('Execution log'!$J$7:$J$306,'Execution log'!$B$7:$B$306,A137,'Execution log'!$P$7:$P$306,"Valid input")))))</x:f>
      </x:c>
      <x:c r="O137" s="24" t="str">
        <x:f>IF(A137="","",IF(NOT(ISNUMBER(K137)),"Budget TBD",IF(NOT(ISNUMBER(M137)),"No valid entries yet",K137-M137)))</x:f>
      </x:c>
      <x:c r="P137" s="24" t="str">
        <x:f>IF(A137="","",IF(NOT(ISNUMBER(L137)),"Budget TBD",IF(NOT(ISNUMBER(N137)),"No valid entries yet",L137-N137)))</x:f>
      </x:c>
      <x:c r="Q137" s="19" t="str">
        <x:f>IF(A137="","",IF(D137="Closed","Closed",IF(NOT(ISNUMBER(I137)),"Review date TBD",IF(NOT(ISNUMBER($B$3)),"Evaluation date TBD",IF(I137&lt;=$B$3,"Review due","Not due")))))</x:f>
      </x:c>
      <x:c r="R137" s="19" t="str">
        <x:f>IF(A137="","",IF(COUNTIFS($A$7:$A$306,A137)&lt;&gt;1,"Duplicate case ID",IF(OR(B137="",C137="",D137="",G137="",S137=""),"Basic info missing",IF(AND(F137&lt;&gt;"",COUNTIFS('Plan versions'!$A$7:$A$306,F137,'Plan versions'!$B$7:$B$306,A137,'Plan versions'!$L$7:$L$306,"Frozen")&lt;&gt;1),"Invalid current plan ref",IF(AND(D137="Executing",F137=""),"Execution lacks plan",IF(AND(D137="Closed",OR(T137="",COUNTIFS('Reviews'!$B$7:$B$306,A137)=0,COUNTIFS('Update log'!$B$7:$B$306,A137)=0)),"Closure docs missing","Basic records complete"))))))</x:f>
      </x:c>
      <x:c r="S137" s="3"/>
      <x:c r="T137" s="3"/>
    </x:row>
    <x:row r="138" ht="25" customHeight="1">
      <x:c r="A138" s="3"/>
      <x:c r="B138" s="3"/>
      <x:c r="C138" s="3"/>
      <x:c r="D138" s="3"/>
      <x:c r="E138" s="3"/>
      <x:c r="F138" s="3"/>
      <x:c r="G138" s="3"/>
      <x:c r="H138" s="3"/>
      <x:c r="I138" s="20"/>
      <x:c r="J138" s="3"/>
      <x:c r="K138" s="22"/>
      <x:c r="L138" s="22"/>
      <x:c r="M138" s="24" t="str">
        <x:f>IF(A138="","",IF(COUNTIFS('Execution log'!$B$7:$B$306,A138)=0,"",IF(COUNTIFS('Execution log'!$B$7:$B$306,A138,'Execution log'!$L$7:$L$306,"Valid",'Execution log'!$P$7:$P$306,"&lt;&gt;Valid input")&gt;0,"To check",IF(COUNTIFS('Execution log'!$B$7:$B$306,A138,'Execution log'!$P$7:$P$306,"Valid input")=0,"",SUMIFS('Execution log'!$H$7:$H$306,'Execution log'!$B$7:$B$306,A138,'Execution log'!$P$7:$P$306,"Valid input")))))</x:f>
      </x:c>
      <x:c r="N138" s="24" t="str">
        <x:f>IF(A138="","",IF(COUNTIFS('Execution log'!$B$7:$B$306,A138)=0,"",IF(COUNTIFS('Execution log'!$B$7:$B$306,A138,'Execution log'!$L$7:$L$306,"Valid",'Execution log'!$P$7:$P$306,"&lt;&gt;Valid input")&gt;0,"To check",IF(COUNTIFS('Execution log'!$B$7:$B$306,A138,'Execution log'!$P$7:$P$306,"Valid input")=0,"",SUMIFS('Execution log'!$J$7:$J$306,'Execution log'!$B$7:$B$306,A138,'Execution log'!$P$7:$P$306,"Valid input")))))</x:f>
      </x:c>
      <x:c r="O138" s="24" t="str">
        <x:f>IF(A138="","",IF(NOT(ISNUMBER(K138)),"Budget TBD",IF(NOT(ISNUMBER(M138)),"No valid entries yet",K138-M138)))</x:f>
      </x:c>
      <x:c r="P138" s="24" t="str">
        <x:f>IF(A138="","",IF(NOT(ISNUMBER(L138)),"Budget TBD",IF(NOT(ISNUMBER(N138)),"No valid entries yet",L138-N138)))</x:f>
      </x:c>
      <x:c r="Q138" s="19" t="str">
        <x:f>IF(A138="","",IF(D138="Closed","Closed",IF(NOT(ISNUMBER(I138)),"Review date TBD",IF(NOT(ISNUMBER($B$3)),"Evaluation date TBD",IF(I138&lt;=$B$3,"Review due","Not due")))))</x:f>
      </x:c>
      <x:c r="R138" s="19" t="str">
        <x:f>IF(A138="","",IF(COUNTIFS($A$7:$A$306,A138)&lt;&gt;1,"Duplicate case ID",IF(OR(B138="",C138="",D138="",G138="",S138=""),"Basic info missing",IF(AND(F138&lt;&gt;"",COUNTIFS('Plan versions'!$A$7:$A$306,F138,'Plan versions'!$B$7:$B$306,A138,'Plan versions'!$L$7:$L$306,"Frozen")&lt;&gt;1),"Invalid current plan ref",IF(AND(D138="Executing",F138=""),"Execution lacks plan",IF(AND(D138="Closed",OR(T138="",COUNTIFS('Reviews'!$B$7:$B$306,A138)=0,COUNTIFS('Update log'!$B$7:$B$306,A138)=0)),"Closure docs missing","Basic records complete"))))))</x:f>
      </x:c>
      <x:c r="S138" s="3"/>
      <x:c r="T138" s="3"/>
    </x:row>
    <x:row r="139" ht="25" customHeight="1">
      <x:c r="A139" s="3"/>
      <x:c r="B139" s="3"/>
      <x:c r="C139" s="3"/>
      <x:c r="D139" s="3"/>
      <x:c r="E139" s="3"/>
      <x:c r="F139" s="3"/>
      <x:c r="G139" s="3"/>
      <x:c r="H139" s="3"/>
      <x:c r="I139" s="20"/>
      <x:c r="J139" s="3"/>
      <x:c r="K139" s="22"/>
      <x:c r="L139" s="22"/>
      <x:c r="M139" s="24" t="str">
        <x:f>IF(A139="","",IF(COUNTIFS('Execution log'!$B$7:$B$306,A139)=0,"",IF(COUNTIFS('Execution log'!$B$7:$B$306,A139,'Execution log'!$L$7:$L$306,"Valid",'Execution log'!$P$7:$P$306,"&lt;&gt;Valid input")&gt;0,"To check",IF(COUNTIFS('Execution log'!$B$7:$B$306,A139,'Execution log'!$P$7:$P$306,"Valid input")=0,"",SUMIFS('Execution log'!$H$7:$H$306,'Execution log'!$B$7:$B$306,A139,'Execution log'!$P$7:$P$306,"Valid input")))))</x:f>
      </x:c>
      <x:c r="N139" s="24" t="str">
        <x:f>IF(A139="","",IF(COUNTIFS('Execution log'!$B$7:$B$306,A139)=0,"",IF(COUNTIFS('Execution log'!$B$7:$B$306,A139,'Execution log'!$L$7:$L$306,"Valid",'Execution log'!$P$7:$P$306,"&lt;&gt;Valid input")&gt;0,"To check",IF(COUNTIFS('Execution log'!$B$7:$B$306,A139,'Execution log'!$P$7:$P$306,"Valid input")=0,"",SUMIFS('Execution log'!$J$7:$J$306,'Execution log'!$B$7:$B$306,A139,'Execution log'!$P$7:$P$306,"Valid input")))))</x:f>
      </x:c>
      <x:c r="O139" s="24" t="str">
        <x:f>IF(A139="","",IF(NOT(ISNUMBER(K139)),"Budget TBD",IF(NOT(ISNUMBER(M139)),"No valid entries yet",K139-M139)))</x:f>
      </x:c>
      <x:c r="P139" s="24" t="str">
        <x:f>IF(A139="","",IF(NOT(ISNUMBER(L139)),"Budget TBD",IF(NOT(ISNUMBER(N139)),"No valid entries yet",L139-N139)))</x:f>
      </x:c>
      <x:c r="Q139" s="19" t="str">
        <x:f>IF(A139="","",IF(D139="Closed","Closed",IF(NOT(ISNUMBER(I139)),"Review date TBD",IF(NOT(ISNUMBER($B$3)),"Evaluation date TBD",IF(I139&lt;=$B$3,"Review due","Not due")))))</x:f>
      </x:c>
      <x:c r="R139" s="19" t="str">
        <x:f>IF(A139="","",IF(COUNTIFS($A$7:$A$306,A139)&lt;&gt;1,"Duplicate case ID",IF(OR(B139="",C139="",D139="",G139="",S139=""),"Basic info missing",IF(AND(F139&lt;&gt;"",COUNTIFS('Plan versions'!$A$7:$A$306,F139,'Plan versions'!$B$7:$B$306,A139,'Plan versions'!$L$7:$L$306,"Frozen")&lt;&gt;1),"Invalid current plan ref",IF(AND(D139="Executing",F139=""),"Execution lacks plan",IF(AND(D139="Closed",OR(T139="",COUNTIFS('Reviews'!$B$7:$B$306,A139)=0,COUNTIFS('Update log'!$B$7:$B$306,A139)=0)),"Closure docs missing","Basic records complete"))))))</x:f>
      </x:c>
      <x:c r="S139" s="3"/>
      <x:c r="T139" s="3"/>
    </x:row>
    <x:row r="140" ht="25" customHeight="1">
      <x:c r="A140" s="3"/>
      <x:c r="B140" s="3"/>
      <x:c r="C140" s="3"/>
      <x:c r="D140" s="3"/>
      <x:c r="E140" s="3"/>
      <x:c r="F140" s="3"/>
      <x:c r="G140" s="3"/>
      <x:c r="H140" s="3"/>
      <x:c r="I140" s="20"/>
      <x:c r="J140" s="3"/>
      <x:c r="K140" s="22"/>
      <x:c r="L140" s="22"/>
      <x:c r="M140" s="24" t="str">
        <x:f>IF(A140="","",IF(COUNTIFS('Execution log'!$B$7:$B$306,A140)=0,"",IF(COUNTIFS('Execution log'!$B$7:$B$306,A140,'Execution log'!$L$7:$L$306,"Valid",'Execution log'!$P$7:$P$306,"&lt;&gt;Valid input")&gt;0,"To check",IF(COUNTIFS('Execution log'!$B$7:$B$306,A140,'Execution log'!$P$7:$P$306,"Valid input")=0,"",SUMIFS('Execution log'!$H$7:$H$306,'Execution log'!$B$7:$B$306,A140,'Execution log'!$P$7:$P$306,"Valid input")))))</x:f>
      </x:c>
      <x:c r="N140" s="24" t="str">
        <x:f>IF(A140="","",IF(COUNTIFS('Execution log'!$B$7:$B$306,A140)=0,"",IF(COUNTIFS('Execution log'!$B$7:$B$306,A140,'Execution log'!$L$7:$L$306,"Valid",'Execution log'!$P$7:$P$306,"&lt;&gt;Valid input")&gt;0,"To check",IF(COUNTIFS('Execution log'!$B$7:$B$306,A140,'Execution log'!$P$7:$P$306,"Valid input")=0,"",SUMIFS('Execution log'!$J$7:$J$306,'Execution log'!$B$7:$B$306,A140,'Execution log'!$P$7:$P$306,"Valid input")))))</x:f>
      </x:c>
      <x:c r="O140" s="24" t="str">
        <x:f>IF(A140="","",IF(NOT(ISNUMBER(K140)),"Budget TBD",IF(NOT(ISNUMBER(M140)),"No valid entries yet",K140-M140)))</x:f>
      </x:c>
      <x:c r="P140" s="24" t="str">
        <x:f>IF(A140="","",IF(NOT(ISNUMBER(L140)),"Budget TBD",IF(NOT(ISNUMBER(N140)),"No valid entries yet",L140-N140)))</x:f>
      </x:c>
      <x:c r="Q140" s="19" t="str">
        <x:f>IF(A140="","",IF(D140="Closed","Closed",IF(NOT(ISNUMBER(I140)),"Review date TBD",IF(NOT(ISNUMBER($B$3)),"Evaluation date TBD",IF(I140&lt;=$B$3,"Review due","Not due")))))</x:f>
      </x:c>
      <x:c r="R140" s="19" t="str">
        <x:f>IF(A140="","",IF(COUNTIFS($A$7:$A$306,A140)&lt;&gt;1,"Duplicate case ID",IF(OR(B140="",C140="",D140="",G140="",S140=""),"Basic info missing",IF(AND(F140&lt;&gt;"",COUNTIFS('Plan versions'!$A$7:$A$306,F140,'Plan versions'!$B$7:$B$306,A140,'Plan versions'!$L$7:$L$306,"Frozen")&lt;&gt;1),"Invalid current plan ref",IF(AND(D140="Executing",F140=""),"Execution lacks plan",IF(AND(D140="Closed",OR(T140="",COUNTIFS('Reviews'!$B$7:$B$306,A140)=0,COUNTIFS('Update log'!$B$7:$B$306,A140)=0)),"Closure docs missing","Basic records complete"))))))</x:f>
      </x:c>
      <x:c r="S140" s="3"/>
      <x:c r="T140" s="3"/>
    </x:row>
    <x:row r="141" ht="25" customHeight="1">
      <x:c r="A141" s="3"/>
      <x:c r="B141" s="3"/>
      <x:c r="C141" s="3"/>
      <x:c r="D141" s="3"/>
      <x:c r="E141" s="3"/>
      <x:c r="F141" s="3"/>
      <x:c r="G141" s="3"/>
      <x:c r="H141" s="3"/>
      <x:c r="I141" s="20"/>
      <x:c r="J141" s="3"/>
      <x:c r="K141" s="22"/>
      <x:c r="L141" s="22"/>
      <x:c r="M141" s="24" t="str">
        <x:f>IF(A141="","",IF(COUNTIFS('Execution log'!$B$7:$B$306,A141)=0,"",IF(COUNTIFS('Execution log'!$B$7:$B$306,A141,'Execution log'!$L$7:$L$306,"Valid",'Execution log'!$P$7:$P$306,"&lt;&gt;Valid input")&gt;0,"To check",IF(COUNTIFS('Execution log'!$B$7:$B$306,A141,'Execution log'!$P$7:$P$306,"Valid input")=0,"",SUMIFS('Execution log'!$H$7:$H$306,'Execution log'!$B$7:$B$306,A141,'Execution log'!$P$7:$P$306,"Valid input")))))</x:f>
      </x:c>
      <x:c r="N141" s="24" t="str">
        <x:f>IF(A141="","",IF(COUNTIFS('Execution log'!$B$7:$B$306,A141)=0,"",IF(COUNTIFS('Execution log'!$B$7:$B$306,A141,'Execution log'!$L$7:$L$306,"Valid",'Execution log'!$P$7:$P$306,"&lt;&gt;Valid input")&gt;0,"To check",IF(COUNTIFS('Execution log'!$B$7:$B$306,A141,'Execution log'!$P$7:$P$306,"Valid input")=0,"",SUMIFS('Execution log'!$J$7:$J$306,'Execution log'!$B$7:$B$306,A141,'Execution log'!$P$7:$P$306,"Valid input")))))</x:f>
      </x:c>
      <x:c r="O141" s="24" t="str">
        <x:f>IF(A141="","",IF(NOT(ISNUMBER(K141)),"Budget TBD",IF(NOT(ISNUMBER(M141)),"No valid entries yet",K141-M141)))</x:f>
      </x:c>
      <x:c r="P141" s="24" t="str">
        <x:f>IF(A141="","",IF(NOT(ISNUMBER(L141)),"Budget TBD",IF(NOT(ISNUMBER(N141)),"No valid entries yet",L141-N141)))</x:f>
      </x:c>
      <x:c r="Q141" s="19" t="str">
        <x:f>IF(A141="","",IF(D141="Closed","Closed",IF(NOT(ISNUMBER(I141)),"Review date TBD",IF(NOT(ISNUMBER($B$3)),"Evaluation date TBD",IF(I141&lt;=$B$3,"Review due","Not due")))))</x:f>
      </x:c>
      <x:c r="R141" s="19" t="str">
        <x:f>IF(A141="","",IF(COUNTIFS($A$7:$A$306,A141)&lt;&gt;1,"Duplicate case ID",IF(OR(B141="",C141="",D141="",G141="",S141=""),"Basic info missing",IF(AND(F141&lt;&gt;"",COUNTIFS('Plan versions'!$A$7:$A$306,F141,'Plan versions'!$B$7:$B$306,A141,'Plan versions'!$L$7:$L$306,"Frozen")&lt;&gt;1),"Invalid current plan ref",IF(AND(D141="Executing",F141=""),"Execution lacks plan",IF(AND(D141="Closed",OR(T141="",COUNTIFS('Reviews'!$B$7:$B$306,A141)=0,COUNTIFS('Update log'!$B$7:$B$306,A141)=0)),"Closure docs missing","Basic records complete"))))))</x:f>
      </x:c>
      <x:c r="S141" s="3"/>
      <x:c r="T141" s="3"/>
    </x:row>
    <x:row r="142" ht="25" customHeight="1">
      <x:c r="A142" s="3"/>
      <x:c r="B142" s="3"/>
      <x:c r="C142" s="3"/>
      <x:c r="D142" s="3"/>
      <x:c r="E142" s="3"/>
      <x:c r="F142" s="3"/>
      <x:c r="G142" s="3"/>
      <x:c r="H142" s="3"/>
      <x:c r="I142" s="20"/>
      <x:c r="J142" s="3"/>
      <x:c r="K142" s="22"/>
      <x:c r="L142" s="22"/>
      <x:c r="M142" s="24" t="str">
        <x:f>IF(A142="","",IF(COUNTIFS('Execution log'!$B$7:$B$306,A142)=0,"",IF(COUNTIFS('Execution log'!$B$7:$B$306,A142,'Execution log'!$L$7:$L$306,"Valid",'Execution log'!$P$7:$P$306,"&lt;&gt;Valid input")&gt;0,"To check",IF(COUNTIFS('Execution log'!$B$7:$B$306,A142,'Execution log'!$P$7:$P$306,"Valid input")=0,"",SUMIFS('Execution log'!$H$7:$H$306,'Execution log'!$B$7:$B$306,A142,'Execution log'!$P$7:$P$306,"Valid input")))))</x:f>
      </x:c>
      <x:c r="N142" s="24" t="str">
        <x:f>IF(A142="","",IF(COUNTIFS('Execution log'!$B$7:$B$306,A142)=0,"",IF(COUNTIFS('Execution log'!$B$7:$B$306,A142,'Execution log'!$L$7:$L$306,"Valid",'Execution log'!$P$7:$P$306,"&lt;&gt;Valid input")&gt;0,"To check",IF(COUNTIFS('Execution log'!$B$7:$B$306,A142,'Execution log'!$P$7:$P$306,"Valid input")=0,"",SUMIFS('Execution log'!$J$7:$J$306,'Execution log'!$B$7:$B$306,A142,'Execution log'!$P$7:$P$306,"Valid input")))))</x:f>
      </x:c>
      <x:c r="O142" s="24" t="str">
        <x:f>IF(A142="","",IF(NOT(ISNUMBER(K142)),"Budget TBD",IF(NOT(ISNUMBER(M142)),"No valid entries yet",K142-M142)))</x:f>
      </x:c>
      <x:c r="P142" s="24" t="str">
        <x:f>IF(A142="","",IF(NOT(ISNUMBER(L142)),"Budget TBD",IF(NOT(ISNUMBER(N142)),"No valid entries yet",L142-N142)))</x:f>
      </x:c>
      <x:c r="Q142" s="19" t="str">
        <x:f>IF(A142="","",IF(D142="Closed","Closed",IF(NOT(ISNUMBER(I142)),"Review date TBD",IF(NOT(ISNUMBER($B$3)),"Evaluation date TBD",IF(I142&lt;=$B$3,"Review due","Not due")))))</x:f>
      </x:c>
      <x:c r="R142" s="19" t="str">
        <x:f>IF(A142="","",IF(COUNTIFS($A$7:$A$306,A142)&lt;&gt;1,"Duplicate case ID",IF(OR(B142="",C142="",D142="",G142="",S142=""),"Basic info missing",IF(AND(F142&lt;&gt;"",COUNTIFS('Plan versions'!$A$7:$A$306,F142,'Plan versions'!$B$7:$B$306,A142,'Plan versions'!$L$7:$L$306,"Frozen")&lt;&gt;1),"Invalid current plan ref",IF(AND(D142="Executing",F142=""),"Execution lacks plan",IF(AND(D142="Closed",OR(T142="",COUNTIFS('Reviews'!$B$7:$B$306,A142)=0,COUNTIFS('Update log'!$B$7:$B$306,A142)=0)),"Closure docs missing","Basic records complete"))))))</x:f>
      </x:c>
      <x:c r="S142" s="3"/>
      <x:c r="T142" s="3"/>
    </x:row>
    <x:row r="143" ht="25" customHeight="1">
      <x:c r="A143" s="3"/>
      <x:c r="B143" s="3"/>
      <x:c r="C143" s="3"/>
      <x:c r="D143" s="3"/>
      <x:c r="E143" s="3"/>
      <x:c r="F143" s="3"/>
      <x:c r="G143" s="3"/>
      <x:c r="H143" s="3"/>
      <x:c r="I143" s="20"/>
      <x:c r="J143" s="3"/>
      <x:c r="K143" s="22"/>
      <x:c r="L143" s="22"/>
      <x:c r="M143" s="24" t="str">
        <x:f>IF(A143="","",IF(COUNTIFS('Execution log'!$B$7:$B$306,A143)=0,"",IF(COUNTIFS('Execution log'!$B$7:$B$306,A143,'Execution log'!$L$7:$L$306,"Valid",'Execution log'!$P$7:$P$306,"&lt;&gt;Valid input")&gt;0,"To check",IF(COUNTIFS('Execution log'!$B$7:$B$306,A143,'Execution log'!$P$7:$P$306,"Valid input")=0,"",SUMIFS('Execution log'!$H$7:$H$306,'Execution log'!$B$7:$B$306,A143,'Execution log'!$P$7:$P$306,"Valid input")))))</x:f>
      </x:c>
      <x:c r="N143" s="24" t="str">
        <x:f>IF(A143="","",IF(COUNTIFS('Execution log'!$B$7:$B$306,A143)=0,"",IF(COUNTIFS('Execution log'!$B$7:$B$306,A143,'Execution log'!$L$7:$L$306,"Valid",'Execution log'!$P$7:$P$306,"&lt;&gt;Valid input")&gt;0,"To check",IF(COUNTIFS('Execution log'!$B$7:$B$306,A143,'Execution log'!$P$7:$P$306,"Valid input")=0,"",SUMIFS('Execution log'!$J$7:$J$306,'Execution log'!$B$7:$B$306,A143,'Execution log'!$P$7:$P$306,"Valid input")))))</x:f>
      </x:c>
      <x:c r="O143" s="24" t="str">
        <x:f>IF(A143="","",IF(NOT(ISNUMBER(K143)),"Budget TBD",IF(NOT(ISNUMBER(M143)),"No valid entries yet",K143-M143)))</x:f>
      </x:c>
      <x:c r="P143" s="24" t="str">
        <x:f>IF(A143="","",IF(NOT(ISNUMBER(L143)),"Budget TBD",IF(NOT(ISNUMBER(N143)),"No valid entries yet",L143-N143)))</x:f>
      </x:c>
      <x:c r="Q143" s="19" t="str">
        <x:f>IF(A143="","",IF(D143="Closed","Closed",IF(NOT(ISNUMBER(I143)),"Review date TBD",IF(NOT(ISNUMBER($B$3)),"Evaluation date TBD",IF(I143&lt;=$B$3,"Review due","Not due")))))</x:f>
      </x:c>
      <x:c r="R143" s="19" t="str">
        <x:f>IF(A143="","",IF(COUNTIFS($A$7:$A$306,A143)&lt;&gt;1,"Duplicate case ID",IF(OR(B143="",C143="",D143="",G143="",S143=""),"Basic info missing",IF(AND(F143&lt;&gt;"",COUNTIFS('Plan versions'!$A$7:$A$306,F143,'Plan versions'!$B$7:$B$306,A143,'Plan versions'!$L$7:$L$306,"Frozen")&lt;&gt;1),"Invalid current plan ref",IF(AND(D143="Executing",F143=""),"Execution lacks plan",IF(AND(D143="Closed",OR(T143="",COUNTIFS('Reviews'!$B$7:$B$306,A143)=0,COUNTIFS('Update log'!$B$7:$B$306,A143)=0)),"Closure docs missing","Basic records complete"))))))</x:f>
      </x:c>
      <x:c r="S143" s="3"/>
      <x:c r="T143" s="3"/>
    </x:row>
    <x:row r="144" ht="25" customHeight="1">
      <x:c r="A144" s="3"/>
      <x:c r="B144" s="3"/>
      <x:c r="C144" s="3"/>
      <x:c r="D144" s="3"/>
      <x:c r="E144" s="3"/>
      <x:c r="F144" s="3"/>
      <x:c r="G144" s="3"/>
      <x:c r="H144" s="3"/>
      <x:c r="I144" s="20"/>
      <x:c r="J144" s="3"/>
      <x:c r="K144" s="22"/>
      <x:c r="L144" s="22"/>
      <x:c r="M144" s="24" t="str">
        <x:f>IF(A144="","",IF(COUNTIFS('Execution log'!$B$7:$B$306,A144)=0,"",IF(COUNTIFS('Execution log'!$B$7:$B$306,A144,'Execution log'!$L$7:$L$306,"Valid",'Execution log'!$P$7:$P$306,"&lt;&gt;Valid input")&gt;0,"To check",IF(COUNTIFS('Execution log'!$B$7:$B$306,A144,'Execution log'!$P$7:$P$306,"Valid input")=0,"",SUMIFS('Execution log'!$H$7:$H$306,'Execution log'!$B$7:$B$306,A144,'Execution log'!$P$7:$P$306,"Valid input")))))</x:f>
      </x:c>
      <x:c r="N144" s="24" t="str">
        <x:f>IF(A144="","",IF(COUNTIFS('Execution log'!$B$7:$B$306,A144)=0,"",IF(COUNTIFS('Execution log'!$B$7:$B$306,A144,'Execution log'!$L$7:$L$306,"Valid",'Execution log'!$P$7:$P$306,"&lt;&gt;Valid input")&gt;0,"To check",IF(COUNTIFS('Execution log'!$B$7:$B$306,A144,'Execution log'!$P$7:$P$306,"Valid input")=0,"",SUMIFS('Execution log'!$J$7:$J$306,'Execution log'!$B$7:$B$306,A144,'Execution log'!$P$7:$P$306,"Valid input")))))</x:f>
      </x:c>
      <x:c r="O144" s="24" t="str">
        <x:f>IF(A144="","",IF(NOT(ISNUMBER(K144)),"Budget TBD",IF(NOT(ISNUMBER(M144)),"No valid entries yet",K144-M144)))</x:f>
      </x:c>
      <x:c r="P144" s="24" t="str">
        <x:f>IF(A144="","",IF(NOT(ISNUMBER(L144)),"Budget TBD",IF(NOT(ISNUMBER(N144)),"No valid entries yet",L144-N144)))</x:f>
      </x:c>
      <x:c r="Q144" s="19" t="str">
        <x:f>IF(A144="","",IF(D144="Closed","Closed",IF(NOT(ISNUMBER(I144)),"Review date TBD",IF(NOT(ISNUMBER($B$3)),"Evaluation date TBD",IF(I144&lt;=$B$3,"Review due","Not due")))))</x:f>
      </x:c>
      <x:c r="R144" s="19" t="str">
        <x:f>IF(A144="","",IF(COUNTIFS($A$7:$A$306,A144)&lt;&gt;1,"Duplicate case ID",IF(OR(B144="",C144="",D144="",G144="",S144=""),"Basic info missing",IF(AND(F144&lt;&gt;"",COUNTIFS('Plan versions'!$A$7:$A$306,F144,'Plan versions'!$B$7:$B$306,A144,'Plan versions'!$L$7:$L$306,"Frozen")&lt;&gt;1),"Invalid current plan ref",IF(AND(D144="Executing",F144=""),"Execution lacks plan",IF(AND(D144="Closed",OR(T144="",COUNTIFS('Reviews'!$B$7:$B$306,A144)=0,COUNTIFS('Update log'!$B$7:$B$306,A144)=0)),"Closure docs missing","Basic records complete"))))))</x:f>
      </x:c>
      <x:c r="S144" s="3"/>
      <x:c r="T144" s="3"/>
    </x:row>
    <x:row r="145" ht="25" customHeight="1">
      <x:c r="A145" s="3"/>
      <x:c r="B145" s="3"/>
      <x:c r="C145" s="3"/>
      <x:c r="D145" s="3"/>
      <x:c r="E145" s="3"/>
      <x:c r="F145" s="3"/>
      <x:c r="G145" s="3"/>
      <x:c r="H145" s="3"/>
      <x:c r="I145" s="20"/>
      <x:c r="J145" s="3"/>
      <x:c r="K145" s="22"/>
      <x:c r="L145" s="22"/>
      <x:c r="M145" s="24" t="str">
        <x:f>IF(A145="","",IF(COUNTIFS('Execution log'!$B$7:$B$306,A145)=0,"",IF(COUNTIFS('Execution log'!$B$7:$B$306,A145,'Execution log'!$L$7:$L$306,"Valid",'Execution log'!$P$7:$P$306,"&lt;&gt;Valid input")&gt;0,"To check",IF(COUNTIFS('Execution log'!$B$7:$B$306,A145,'Execution log'!$P$7:$P$306,"Valid input")=0,"",SUMIFS('Execution log'!$H$7:$H$306,'Execution log'!$B$7:$B$306,A145,'Execution log'!$P$7:$P$306,"Valid input")))))</x:f>
      </x:c>
      <x:c r="N145" s="24" t="str">
        <x:f>IF(A145="","",IF(COUNTIFS('Execution log'!$B$7:$B$306,A145)=0,"",IF(COUNTIFS('Execution log'!$B$7:$B$306,A145,'Execution log'!$L$7:$L$306,"Valid",'Execution log'!$P$7:$P$306,"&lt;&gt;Valid input")&gt;0,"To check",IF(COUNTIFS('Execution log'!$B$7:$B$306,A145,'Execution log'!$P$7:$P$306,"Valid input")=0,"",SUMIFS('Execution log'!$J$7:$J$306,'Execution log'!$B$7:$B$306,A145,'Execution log'!$P$7:$P$306,"Valid input")))))</x:f>
      </x:c>
      <x:c r="O145" s="24" t="str">
        <x:f>IF(A145="","",IF(NOT(ISNUMBER(K145)),"Budget TBD",IF(NOT(ISNUMBER(M145)),"No valid entries yet",K145-M145)))</x:f>
      </x:c>
      <x:c r="P145" s="24" t="str">
        <x:f>IF(A145="","",IF(NOT(ISNUMBER(L145)),"Budget TBD",IF(NOT(ISNUMBER(N145)),"No valid entries yet",L145-N145)))</x:f>
      </x:c>
      <x:c r="Q145" s="19" t="str">
        <x:f>IF(A145="","",IF(D145="Closed","Closed",IF(NOT(ISNUMBER(I145)),"Review date TBD",IF(NOT(ISNUMBER($B$3)),"Evaluation date TBD",IF(I145&lt;=$B$3,"Review due","Not due")))))</x:f>
      </x:c>
      <x:c r="R145" s="19" t="str">
        <x:f>IF(A145="","",IF(COUNTIFS($A$7:$A$306,A145)&lt;&gt;1,"Duplicate case ID",IF(OR(B145="",C145="",D145="",G145="",S145=""),"Basic info missing",IF(AND(F145&lt;&gt;"",COUNTIFS('Plan versions'!$A$7:$A$306,F145,'Plan versions'!$B$7:$B$306,A145,'Plan versions'!$L$7:$L$306,"Frozen")&lt;&gt;1),"Invalid current plan ref",IF(AND(D145="Executing",F145=""),"Execution lacks plan",IF(AND(D145="Closed",OR(T145="",COUNTIFS('Reviews'!$B$7:$B$306,A145)=0,COUNTIFS('Update log'!$B$7:$B$306,A145)=0)),"Closure docs missing","Basic records complete"))))))</x:f>
      </x:c>
      <x:c r="S145" s="3"/>
      <x:c r="T145" s="3"/>
    </x:row>
    <x:row r="146" ht="25" customHeight="1">
      <x:c r="A146" s="3"/>
      <x:c r="B146" s="3"/>
      <x:c r="C146" s="3"/>
      <x:c r="D146" s="3"/>
      <x:c r="E146" s="3"/>
      <x:c r="F146" s="3"/>
      <x:c r="G146" s="3"/>
      <x:c r="H146" s="3"/>
      <x:c r="I146" s="20"/>
      <x:c r="J146" s="3"/>
      <x:c r="K146" s="22"/>
      <x:c r="L146" s="22"/>
      <x:c r="M146" s="24" t="str">
        <x:f>IF(A146="","",IF(COUNTIFS('Execution log'!$B$7:$B$306,A146)=0,"",IF(COUNTIFS('Execution log'!$B$7:$B$306,A146,'Execution log'!$L$7:$L$306,"Valid",'Execution log'!$P$7:$P$306,"&lt;&gt;Valid input")&gt;0,"To check",IF(COUNTIFS('Execution log'!$B$7:$B$306,A146,'Execution log'!$P$7:$P$306,"Valid input")=0,"",SUMIFS('Execution log'!$H$7:$H$306,'Execution log'!$B$7:$B$306,A146,'Execution log'!$P$7:$P$306,"Valid input")))))</x:f>
      </x:c>
      <x:c r="N146" s="24" t="str">
        <x:f>IF(A146="","",IF(COUNTIFS('Execution log'!$B$7:$B$306,A146)=0,"",IF(COUNTIFS('Execution log'!$B$7:$B$306,A146,'Execution log'!$L$7:$L$306,"Valid",'Execution log'!$P$7:$P$306,"&lt;&gt;Valid input")&gt;0,"To check",IF(COUNTIFS('Execution log'!$B$7:$B$306,A146,'Execution log'!$P$7:$P$306,"Valid input")=0,"",SUMIFS('Execution log'!$J$7:$J$306,'Execution log'!$B$7:$B$306,A146,'Execution log'!$P$7:$P$306,"Valid input")))))</x:f>
      </x:c>
      <x:c r="O146" s="24" t="str">
        <x:f>IF(A146="","",IF(NOT(ISNUMBER(K146)),"Budget TBD",IF(NOT(ISNUMBER(M146)),"No valid entries yet",K146-M146)))</x:f>
      </x:c>
      <x:c r="P146" s="24" t="str">
        <x:f>IF(A146="","",IF(NOT(ISNUMBER(L146)),"Budget TBD",IF(NOT(ISNUMBER(N146)),"No valid entries yet",L146-N146)))</x:f>
      </x:c>
      <x:c r="Q146" s="19" t="str">
        <x:f>IF(A146="","",IF(D146="Closed","Closed",IF(NOT(ISNUMBER(I146)),"Review date TBD",IF(NOT(ISNUMBER($B$3)),"Evaluation date TBD",IF(I146&lt;=$B$3,"Review due","Not due")))))</x:f>
      </x:c>
      <x:c r="R146" s="19" t="str">
        <x:f>IF(A146="","",IF(COUNTIFS($A$7:$A$306,A146)&lt;&gt;1,"Duplicate case ID",IF(OR(B146="",C146="",D146="",G146="",S146=""),"Basic info missing",IF(AND(F146&lt;&gt;"",COUNTIFS('Plan versions'!$A$7:$A$306,F146,'Plan versions'!$B$7:$B$306,A146,'Plan versions'!$L$7:$L$306,"Frozen")&lt;&gt;1),"Invalid current plan ref",IF(AND(D146="Executing",F146=""),"Execution lacks plan",IF(AND(D146="Closed",OR(T146="",COUNTIFS('Reviews'!$B$7:$B$306,A146)=0,COUNTIFS('Update log'!$B$7:$B$306,A146)=0)),"Closure docs missing","Basic records complete"))))))</x:f>
      </x:c>
      <x:c r="S146" s="3"/>
      <x:c r="T146" s="3"/>
    </x:row>
    <x:row r="147" ht="25" customHeight="1">
      <x:c r="A147" s="3"/>
      <x:c r="B147" s="3"/>
      <x:c r="C147" s="3"/>
      <x:c r="D147" s="3"/>
      <x:c r="E147" s="3"/>
      <x:c r="F147" s="3"/>
      <x:c r="G147" s="3"/>
      <x:c r="H147" s="3"/>
      <x:c r="I147" s="20"/>
      <x:c r="J147" s="3"/>
      <x:c r="K147" s="22"/>
      <x:c r="L147" s="22"/>
      <x:c r="M147" s="24" t="str">
        <x:f>IF(A147="","",IF(COUNTIFS('Execution log'!$B$7:$B$306,A147)=0,"",IF(COUNTIFS('Execution log'!$B$7:$B$306,A147,'Execution log'!$L$7:$L$306,"Valid",'Execution log'!$P$7:$P$306,"&lt;&gt;Valid input")&gt;0,"To check",IF(COUNTIFS('Execution log'!$B$7:$B$306,A147,'Execution log'!$P$7:$P$306,"Valid input")=0,"",SUMIFS('Execution log'!$H$7:$H$306,'Execution log'!$B$7:$B$306,A147,'Execution log'!$P$7:$P$306,"Valid input")))))</x:f>
      </x:c>
      <x:c r="N147" s="24" t="str">
        <x:f>IF(A147="","",IF(COUNTIFS('Execution log'!$B$7:$B$306,A147)=0,"",IF(COUNTIFS('Execution log'!$B$7:$B$306,A147,'Execution log'!$L$7:$L$306,"Valid",'Execution log'!$P$7:$P$306,"&lt;&gt;Valid input")&gt;0,"To check",IF(COUNTIFS('Execution log'!$B$7:$B$306,A147,'Execution log'!$P$7:$P$306,"Valid input")=0,"",SUMIFS('Execution log'!$J$7:$J$306,'Execution log'!$B$7:$B$306,A147,'Execution log'!$P$7:$P$306,"Valid input")))))</x:f>
      </x:c>
      <x:c r="O147" s="24" t="str">
        <x:f>IF(A147="","",IF(NOT(ISNUMBER(K147)),"Budget TBD",IF(NOT(ISNUMBER(M147)),"No valid entries yet",K147-M147)))</x:f>
      </x:c>
      <x:c r="P147" s="24" t="str">
        <x:f>IF(A147="","",IF(NOT(ISNUMBER(L147)),"Budget TBD",IF(NOT(ISNUMBER(N147)),"No valid entries yet",L147-N147)))</x:f>
      </x:c>
      <x:c r="Q147" s="19" t="str">
        <x:f>IF(A147="","",IF(D147="Closed","Closed",IF(NOT(ISNUMBER(I147)),"Review date TBD",IF(NOT(ISNUMBER($B$3)),"Evaluation date TBD",IF(I147&lt;=$B$3,"Review due","Not due")))))</x:f>
      </x:c>
      <x:c r="R147" s="19" t="str">
        <x:f>IF(A147="","",IF(COUNTIFS($A$7:$A$306,A147)&lt;&gt;1,"Duplicate case ID",IF(OR(B147="",C147="",D147="",G147="",S147=""),"Basic info missing",IF(AND(F147&lt;&gt;"",COUNTIFS('Plan versions'!$A$7:$A$306,F147,'Plan versions'!$B$7:$B$306,A147,'Plan versions'!$L$7:$L$306,"Frozen")&lt;&gt;1),"Invalid current plan ref",IF(AND(D147="Executing",F147=""),"Execution lacks plan",IF(AND(D147="Closed",OR(T147="",COUNTIFS('Reviews'!$B$7:$B$306,A147)=0,COUNTIFS('Update log'!$B$7:$B$306,A147)=0)),"Closure docs missing","Basic records complete"))))))</x:f>
      </x:c>
      <x:c r="S147" s="3"/>
      <x:c r="T147" s="3"/>
    </x:row>
    <x:row r="148" ht="25" customHeight="1">
      <x:c r="A148" s="3"/>
      <x:c r="B148" s="3"/>
      <x:c r="C148" s="3"/>
      <x:c r="D148" s="3"/>
      <x:c r="E148" s="3"/>
      <x:c r="F148" s="3"/>
      <x:c r="G148" s="3"/>
      <x:c r="H148" s="3"/>
      <x:c r="I148" s="20"/>
      <x:c r="J148" s="3"/>
      <x:c r="K148" s="22"/>
      <x:c r="L148" s="22"/>
      <x:c r="M148" s="24" t="str">
        <x:f>IF(A148="","",IF(COUNTIFS('Execution log'!$B$7:$B$306,A148)=0,"",IF(COUNTIFS('Execution log'!$B$7:$B$306,A148,'Execution log'!$L$7:$L$306,"Valid",'Execution log'!$P$7:$P$306,"&lt;&gt;Valid input")&gt;0,"To check",IF(COUNTIFS('Execution log'!$B$7:$B$306,A148,'Execution log'!$P$7:$P$306,"Valid input")=0,"",SUMIFS('Execution log'!$H$7:$H$306,'Execution log'!$B$7:$B$306,A148,'Execution log'!$P$7:$P$306,"Valid input")))))</x:f>
      </x:c>
      <x:c r="N148" s="24" t="str">
        <x:f>IF(A148="","",IF(COUNTIFS('Execution log'!$B$7:$B$306,A148)=0,"",IF(COUNTIFS('Execution log'!$B$7:$B$306,A148,'Execution log'!$L$7:$L$306,"Valid",'Execution log'!$P$7:$P$306,"&lt;&gt;Valid input")&gt;0,"To check",IF(COUNTIFS('Execution log'!$B$7:$B$306,A148,'Execution log'!$P$7:$P$306,"Valid input")=0,"",SUMIFS('Execution log'!$J$7:$J$306,'Execution log'!$B$7:$B$306,A148,'Execution log'!$P$7:$P$306,"Valid input")))))</x:f>
      </x:c>
      <x:c r="O148" s="24" t="str">
        <x:f>IF(A148="","",IF(NOT(ISNUMBER(K148)),"Budget TBD",IF(NOT(ISNUMBER(M148)),"No valid entries yet",K148-M148)))</x:f>
      </x:c>
      <x:c r="P148" s="24" t="str">
        <x:f>IF(A148="","",IF(NOT(ISNUMBER(L148)),"Budget TBD",IF(NOT(ISNUMBER(N148)),"No valid entries yet",L148-N148)))</x:f>
      </x:c>
      <x:c r="Q148" s="19" t="str">
        <x:f>IF(A148="","",IF(D148="Closed","Closed",IF(NOT(ISNUMBER(I148)),"Review date TBD",IF(NOT(ISNUMBER($B$3)),"Evaluation date TBD",IF(I148&lt;=$B$3,"Review due","Not due")))))</x:f>
      </x:c>
      <x:c r="R148" s="19" t="str">
        <x:f>IF(A148="","",IF(COUNTIFS($A$7:$A$306,A148)&lt;&gt;1,"Duplicate case ID",IF(OR(B148="",C148="",D148="",G148="",S148=""),"Basic info missing",IF(AND(F148&lt;&gt;"",COUNTIFS('Plan versions'!$A$7:$A$306,F148,'Plan versions'!$B$7:$B$306,A148,'Plan versions'!$L$7:$L$306,"Frozen")&lt;&gt;1),"Invalid current plan ref",IF(AND(D148="Executing",F148=""),"Execution lacks plan",IF(AND(D148="Closed",OR(T148="",COUNTIFS('Reviews'!$B$7:$B$306,A148)=0,COUNTIFS('Update log'!$B$7:$B$306,A148)=0)),"Closure docs missing","Basic records complete"))))))</x:f>
      </x:c>
      <x:c r="S148" s="3"/>
      <x:c r="T148" s="3"/>
    </x:row>
    <x:row r="149" ht="25" customHeight="1">
      <x:c r="A149" s="3"/>
      <x:c r="B149" s="3"/>
      <x:c r="C149" s="3"/>
      <x:c r="D149" s="3"/>
      <x:c r="E149" s="3"/>
      <x:c r="F149" s="3"/>
      <x:c r="G149" s="3"/>
      <x:c r="H149" s="3"/>
      <x:c r="I149" s="20"/>
      <x:c r="J149" s="3"/>
      <x:c r="K149" s="22"/>
      <x:c r="L149" s="22"/>
      <x:c r="M149" s="24" t="str">
        <x:f>IF(A149="","",IF(COUNTIFS('Execution log'!$B$7:$B$306,A149)=0,"",IF(COUNTIFS('Execution log'!$B$7:$B$306,A149,'Execution log'!$L$7:$L$306,"Valid",'Execution log'!$P$7:$P$306,"&lt;&gt;Valid input")&gt;0,"To check",IF(COUNTIFS('Execution log'!$B$7:$B$306,A149,'Execution log'!$P$7:$P$306,"Valid input")=0,"",SUMIFS('Execution log'!$H$7:$H$306,'Execution log'!$B$7:$B$306,A149,'Execution log'!$P$7:$P$306,"Valid input")))))</x:f>
      </x:c>
      <x:c r="N149" s="24" t="str">
        <x:f>IF(A149="","",IF(COUNTIFS('Execution log'!$B$7:$B$306,A149)=0,"",IF(COUNTIFS('Execution log'!$B$7:$B$306,A149,'Execution log'!$L$7:$L$306,"Valid",'Execution log'!$P$7:$P$306,"&lt;&gt;Valid input")&gt;0,"To check",IF(COUNTIFS('Execution log'!$B$7:$B$306,A149,'Execution log'!$P$7:$P$306,"Valid input")=0,"",SUMIFS('Execution log'!$J$7:$J$306,'Execution log'!$B$7:$B$306,A149,'Execution log'!$P$7:$P$306,"Valid input")))))</x:f>
      </x:c>
      <x:c r="O149" s="24" t="str">
        <x:f>IF(A149="","",IF(NOT(ISNUMBER(K149)),"Budget TBD",IF(NOT(ISNUMBER(M149)),"No valid entries yet",K149-M149)))</x:f>
      </x:c>
      <x:c r="P149" s="24" t="str">
        <x:f>IF(A149="","",IF(NOT(ISNUMBER(L149)),"Budget TBD",IF(NOT(ISNUMBER(N149)),"No valid entries yet",L149-N149)))</x:f>
      </x:c>
      <x:c r="Q149" s="19" t="str">
        <x:f>IF(A149="","",IF(D149="Closed","Closed",IF(NOT(ISNUMBER(I149)),"Review date TBD",IF(NOT(ISNUMBER($B$3)),"Evaluation date TBD",IF(I149&lt;=$B$3,"Review due","Not due")))))</x:f>
      </x:c>
      <x:c r="R149" s="19" t="str">
        <x:f>IF(A149="","",IF(COUNTIFS($A$7:$A$306,A149)&lt;&gt;1,"Duplicate case ID",IF(OR(B149="",C149="",D149="",G149="",S149=""),"Basic info missing",IF(AND(F149&lt;&gt;"",COUNTIFS('Plan versions'!$A$7:$A$306,F149,'Plan versions'!$B$7:$B$306,A149,'Plan versions'!$L$7:$L$306,"Frozen")&lt;&gt;1),"Invalid current plan ref",IF(AND(D149="Executing",F149=""),"Execution lacks plan",IF(AND(D149="Closed",OR(T149="",COUNTIFS('Reviews'!$B$7:$B$306,A149)=0,COUNTIFS('Update log'!$B$7:$B$306,A149)=0)),"Closure docs missing","Basic records complete"))))))</x:f>
      </x:c>
      <x:c r="S149" s="3"/>
      <x:c r="T149" s="3"/>
    </x:row>
    <x:row r="150" ht="25" customHeight="1">
      <x:c r="A150" s="3"/>
      <x:c r="B150" s="3"/>
      <x:c r="C150" s="3"/>
      <x:c r="D150" s="3"/>
      <x:c r="E150" s="3"/>
      <x:c r="F150" s="3"/>
      <x:c r="G150" s="3"/>
      <x:c r="H150" s="3"/>
      <x:c r="I150" s="20"/>
      <x:c r="J150" s="3"/>
      <x:c r="K150" s="22"/>
      <x:c r="L150" s="22"/>
      <x:c r="M150" s="24" t="str">
        <x:f>IF(A150="","",IF(COUNTIFS('Execution log'!$B$7:$B$306,A150)=0,"",IF(COUNTIFS('Execution log'!$B$7:$B$306,A150,'Execution log'!$L$7:$L$306,"Valid",'Execution log'!$P$7:$P$306,"&lt;&gt;Valid input")&gt;0,"To check",IF(COUNTIFS('Execution log'!$B$7:$B$306,A150,'Execution log'!$P$7:$P$306,"Valid input")=0,"",SUMIFS('Execution log'!$H$7:$H$306,'Execution log'!$B$7:$B$306,A150,'Execution log'!$P$7:$P$306,"Valid input")))))</x:f>
      </x:c>
      <x:c r="N150" s="24" t="str">
        <x:f>IF(A150="","",IF(COUNTIFS('Execution log'!$B$7:$B$306,A150)=0,"",IF(COUNTIFS('Execution log'!$B$7:$B$306,A150,'Execution log'!$L$7:$L$306,"Valid",'Execution log'!$P$7:$P$306,"&lt;&gt;Valid input")&gt;0,"To check",IF(COUNTIFS('Execution log'!$B$7:$B$306,A150,'Execution log'!$P$7:$P$306,"Valid input")=0,"",SUMIFS('Execution log'!$J$7:$J$306,'Execution log'!$B$7:$B$306,A150,'Execution log'!$P$7:$P$306,"Valid input")))))</x:f>
      </x:c>
      <x:c r="O150" s="24" t="str">
        <x:f>IF(A150="","",IF(NOT(ISNUMBER(K150)),"Budget TBD",IF(NOT(ISNUMBER(M150)),"No valid entries yet",K150-M150)))</x:f>
      </x:c>
      <x:c r="P150" s="24" t="str">
        <x:f>IF(A150="","",IF(NOT(ISNUMBER(L150)),"Budget TBD",IF(NOT(ISNUMBER(N150)),"No valid entries yet",L150-N150)))</x:f>
      </x:c>
      <x:c r="Q150" s="19" t="str">
        <x:f>IF(A150="","",IF(D150="Closed","Closed",IF(NOT(ISNUMBER(I150)),"Review date TBD",IF(NOT(ISNUMBER($B$3)),"Evaluation date TBD",IF(I150&lt;=$B$3,"Review due","Not due")))))</x:f>
      </x:c>
      <x:c r="R150" s="19" t="str">
        <x:f>IF(A150="","",IF(COUNTIFS($A$7:$A$306,A150)&lt;&gt;1,"Duplicate case ID",IF(OR(B150="",C150="",D150="",G150="",S150=""),"Basic info missing",IF(AND(F150&lt;&gt;"",COUNTIFS('Plan versions'!$A$7:$A$306,F150,'Plan versions'!$B$7:$B$306,A150,'Plan versions'!$L$7:$L$306,"Frozen")&lt;&gt;1),"Invalid current plan ref",IF(AND(D150="Executing",F150=""),"Execution lacks plan",IF(AND(D150="Closed",OR(T150="",COUNTIFS('Reviews'!$B$7:$B$306,A150)=0,COUNTIFS('Update log'!$B$7:$B$306,A150)=0)),"Closure docs missing","Basic records complete"))))))</x:f>
      </x:c>
      <x:c r="S150" s="3"/>
      <x:c r="T150" s="3"/>
    </x:row>
    <x:row r="151" ht="25" customHeight="1">
      <x:c r="A151" s="3"/>
      <x:c r="B151" s="3"/>
      <x:c r="C151" s="3"/>
      <x:c r="D151" s="3"/>
      <x:c r="E151" s="3"/>
      <x:c r="F151" s="3"/>
      <x:c r="G151" s="3"/>
      <x:c r="H151" s="3"/>
      <x:c r="I151" s="20"/>
      <x:c r="J151" s="3"/>
      <x:c r="K151" s="22"/>
      <x:c r="L151" s="22"/>
      <x:c r="M151" s="24" t="str">
        <x:f>IF(A151="","",IF(COUNTIFS('Execution log'!$B$7:$B$306,A151)=0,"",IF(COUNTIFS('Execution log'!$B$7:$B$306,A151,'Execution log'!$L$7:$L$306,"Valid",'Execution log'!$P$7:$P$306,"&lt;&gt;Valid input")&gt;0,"To check",IF(COUNTIFS('Execution log'!$B$7:$B$306,A151,'Execution log'!$P$7:$P$306,"Valid input")=0,"",SUMIFS('Execution log'!$H$7:$H$306,'Execution log'!$B$7:$B$306,A151,'Execution log'!$P$7:$P$306,"Valid input")))))</x:f>
      </x:c>
      <x:c r="N151" s="24" t="str">
        <x:f>IF(A151="","",IF(COUNTIFS('Execution log'!$B$7:$B$306,A151)=0,"",IF(COUNTIFS('Execution log'!$B$7:$B$306,A151,'Execution log'!$L$7:$L$306,"Valid",'Execution log'!$P$7:$P$306,"&lt;&gt;Valid input")&gt;0,"To check",IF(COUNTIFS('Execution log'!$B$7:$B$306,A151,'Execution log'!$P$7:$P$306,"Valid input")=0,"",SUMIFS('Execution log'!$J$7:$J$306,'Execution log'!$B$7:$B$306,A151,'Execution log'!$P$7:$P$306,"Valid input")))))</x:f>
      </x:c>
      <x:c r="O151" s="24" t="str">
        <x:f>IF(A151="","",IF(NOT(ISNUMBER(K151)),"Budget TBD",IF(NOT(ISNUMBER(M151)),"No valid entries yet",K151-M151)))</x:f>
      </x:c>
      <x:c r="P151" s="24" t="str">
        <x:f>IF(A151="","",IF(NOT(ISNUMBER(L151)),"Budget TBD",IF(NOT(ISNUMBER(N151)),"No valid entries yet",L151-N151)))</x:f>
      </x:c>
      <x:c r="Q151" s="19" t="str">
        <x:f>IF(A151="","",IF(D151="Closed","Closed",IF(NOT(ISNUMBER(I151)),"Review date TBD",IF(NOT(ISNUMBER($B$3)),"Evaluation date TBD",IF(I151&lt;=$B$3,"Review due","Not due")))))</x:f>
      </x:c>
      <x:c r="R151" s="19" t="str">
        <x:f>IF(A151="","",IF(COUNTIFS($A$7:$A$306,A151)&lt;&gt;1,"Duplicate case ID",IF(OR(B151="",C151="",D151="",G151="",S151=""),"Basic info missing",IF(AND(F151&lt;&gt;"",COUNTIFS('Plan versions'!$A$7:$A$306,F151,'Plan versions'!$B$7:$B$306,A151,'Plan versions'!$L$7:$L$306,"Frozen")&lt;&gt;1),"Invalid current plan ref",IF(AND(D151="Executing",F151=""),"Execution lacks plan",IF(AND(D151="Closed",OR(T151="",COUNTIFS('Reviews'!$B$7:$B$306,A151)=0,COUNTIFS('Update log'!$B$7:$B$306,A151)=0)),"Closure docs missing","Basic records complete"))))))</x:f>
      </x:c>
      <x:c r="S151" s="3"/>
      <x:c r="T151" s="3"/>
    </x:row>
    <x:row r="152" ht="25" customHeight="1">
      <x:c r="A152" s="3"/>
      <x:c r="B152" s="3"/>
      <x:c r="C152" s="3"/>
      <x:c r="D152" s="3"/>
      <x:c r="E152" s="3"/>
      <x:c r="F152" s="3"/>
      <x:c r="G152" s="3"/>
      <x:c r="H152" s="3"/>
      <x:c r="I152" s="20"/>
      <x:c r="J152" s="3"/>
      <x:c r="K152" s="22"/>
      <x:c r="L152" s="22"/>
      <x:c r="M152" s="24" t="str">
        <x:f>IF(A152="","",IF(COUNTIFS('Execution log'!$B$7:$B$306,A152)=0,"",IF(COUNTIFS('Execution log'!$B$7:$B$306,A152,'Execution log'!$L$7:$L$306,"Valid",'Execution log'!$P$7:$P$306,"&lt;&gt;Valid input")&gt;0,"To check",IF(COUNTIFS('Execution log'!$B$7:$B$306,A152,'Execution log'!$P$7:$P$306,"Valid input")=0,"",SUMIFS('Execution log'!$H$7:$H$306,'Execution log'!$B$7:$B$306,A152,'Execution log'!$P$7:$P$306,"Valid input")))))</x:f>
      </x:c>
      <x:c r="N152" s="24" t="str">
        <x:f>IF(A152="","",IF(COUNTIFS('Execution log'!$B$7:$B$306,A152)=0,"",IF(COUNTIFS('Execution log'!$B$7:$B$306,A152,'Execution log'!$L$7:$L$306,"Valid",'Execution log'!$P$7:$P$306,"&lt;&gt;Valid input")&gt;0,"To check",IF(COUNTIFS('Execution log'!$B$7:$B$306,A152,'Execution log'!$P$7:$P$306,"Valid input")=0,"",SUMIFS('Execution log'!$J$7:$J$306,'Execution log'!$B$7:$B$306,A152,'Execution log'!$P$7:$P$306,"Valid input")))))</x:f>
      </x:c>
      <x:c r="O152" s="24" t="str">
        <x:f>IF(A152="","",IF(NOT(ISNUMBER(K152)),"Budget TBD",IF(NOT(ISNUMBER(M152)),"No valid entries yet",K152-M152)))</x:f>
      </x:c>
      <x:c r="P152" s="24" t="str">
        <x:f>IF(A152="","",IF(NOT(ISNUMBER(L152)),"Budget TBD",IF(NOT(ISNUMBER(N152)),"No valid entries yet",L152-N152)))</x:f>
      </x:c>
      <x:c r="Q152" s="19" t="str">
        <x:f>IF(A152="","",IF(D152="Closed","Closed",IF(NOT(ISNUMBER(I152)),"Review date TBD",IF(NOT(ISNUMBER($B$3)),"Evaluation date TBD",IF(I152&lt;=$B$3,"Review due","Not due")))))</x:f>
      </x:c>
      <x:c r="R152" s="19" t="str">
        <x:f>IF(A152="","",IF(COUNTIFS($A$7:$A$306,A152)&lt;&gt;1,"Duplicate case ID",IF(OR(B152="",C152="",D152="",G152="",S152=""),"Basic info missing",IF(AND(F152&lt;&gt;"",COUNTIFS('Plan versions'!$A$7:$A$306,F152,'Plan versions'!$B$7:$B$306,A152,'Plan versions'!$L$7:$L$306,"Frozen")&lt;&gt;1),"Invalid current plan ref",IF(AND(D152="Executing",F152=""),"Execution lacks plan",IF(AND(D152="Closed",OR(T152="",COUNTIFS('Reviews'!$B$7:$B$306,A152)=0,COUNTIFS('Update log'!$B$7:$B$306,A152)=0)),"Closure docs missing","Basic records complete"))))))</x:f>
      </x:c>
      <x:c r="S152" s="3"/>
      <x:c r="T152" s="3"/>
    </x:row>
    <x:row r="153" ht="25" customHeight="1">
      <x:c r="A153" s="3"/>
      <x:c r="B153" s="3"/>
      <x:c r="C153" s="3"/>
      <x:c r="D153" s="3"/>
      <x:c r="E153" s="3"/>
      <x:c r="F153" s="3"/>
      <x:c r="G153" s="3"/>
      <x:c r="H153" s="3"/>
      <x:c r="I153" s="20"/>
      <x:c r="J153" s="3"/>
      <x:c r="K153" s="22"/>
      <x:c r="L153" s="22"/>
      <x:c r="M153" s="24" t="str">
        <x:f>IF(A153="","",IF(COUNTIFS('Execution log'!$B$7:$B$306,A153)=0,"",IF(COUNTIFS('Execution log'!$B$7:$B$306,A153,'Execution log'!$L$7:$L$306,"Valid",'Execution log'!$P$7:$P$306,"&lt;&gt;Valid input")&gt;0,"To check",IF(COUNTIFS('Execution log'!$B$7:$B$306,A153,'Execution log'!$P$7:$P$306,"Valid input")=0,"",SUMIFS('Execution log'!$H$7:$H$306,'Execution log'!$B$7:$B$306,A153,'Execution log'!$P$7:$P$306,"Valid input")))))</x:f>
      </x:c>
      <x:c r="N153" s="24" t="str">
        <x:f>IF(A153="","",IF(COUNTIFS('Execution log'!$B$7:$B$306,A153)=0,"",IF(COUNTIFS('Execution log'!$B$7:$B$306,A153,'Execution log'!$L$7:$L$306,"Valid",'Execution log'!$P$7:$P$306,"&lt;&gt;Valid input")&gt;0,"To check",IF(COUNTIFS('Execution log'!$B$7:$B$306,A153,'Execution log'!$P$7:$P$306,"Valid input")=0,"",SUMIFS('Execution log'!$J$7:$J$306,'Execution log'!$B$7:$B$306,A153,'Execution log'!$P$7:$P$306,"Valid input")))))</x:f>
      </x:c>
      <x:c r="O153" s="24" t="str">
        <x:f>IF(A153="","",IF(NOT(ISNUMBER(K153)),"Budget TBD",IF(NOT(ISNUMBER(M153)),"No valid entries yet",K153-M153)))</x:f>
      </x:c>
      <x:c r="P153" s="24" t="str">
        <x:f>IF(A153="","",IF(NOT(ISNUMBER(L153)),"Budget TBD",IF(NOT(ISNUMBER(N153)),"No valid entries yet",L153-N153)))</x:f>
      </x:c>
      <x:c r="Q153" s="19" t="str">
        <x:f>IF(A153="","",IF(D153="Closed","Closed",IF(NOT(ISNUMBER(I153)),"Review date TBD",IF(NOT(ISNUMBER($B$3)),"Evaluation date TBD",IF(I153&lt;=$B$3,"Review due","Not due")))))</x:f>
      </x:c>
      <x:c r="R153" s="19" t="str">
        <x:f>IF(A153="","",IF(COUNTIFS($A$7:$A$306,A153)&lt;&gt;1,"Duplicate case ID",IF(OR(B153="",C153="",D153="",G153="",S153=""),"Basic info missing",IF(AND(F153&lt;&gt;"",COUNTIFS('Plan versions'!$A$7:$A$306,F153,'Plan versions'!$B$7:$B$306,A153,'Plan versions'!$L$7:$L$306,"Frozen")&lt;&gt;1),"Invalid current plan ref",IF(AND(D153="Executing",F153=""),"Execution lacks plan",IF(AND(D153="Closed",OR(T153="",COUNTIFS('Reviews'!$B$7:$B$306,A153)=0,COUNTIFS('Update log'!$B$7:$B$306,A153)=0)),"Closure docs missing","Basic records complete"))))))</x:f>
      </x:c>
      <x:c r="S153" s="3"/>
      <x:c r="T153" s="3"/>
    </x:row>
    <x:row r="154" ht="25" customHeight="1">
      <x:c r="A154" s="3"/>
      <x:c r="B154" s="3"/>
      <x:c r="C154" s="3"/>
      <x:c r="D154" s="3"/>
      <x:c r="E154" s="3"/>
      <x:c r="F154" s="3"/>
      <x:c r="G154" s="3"/>
      <x:c r="H154" s="3"/>
      <x:c r="I154" s="20"/>
      <x:c r="J154" s="3"/>
      <x:c r="K154" s="22"/>
      <x:c r="L154" s="22"/>
      <x:c r="M154" s="24" t="str">
        <x:f>IF(A154="","",IF(COUNTIFS('Execution log'!$B$7:$B$306,A154)=0,"",IF(COUNTIFS('Execution log'!$B$7:$B$306,A154,'Execution log'!$L$7:$L$306,"Valid",'Execution log'!$P$7:$P$306,"&lt;&gt;Valid input")&gt;0,"To check",IF(COUNTIFS('Execution log'!$B$7:$B$306,A154,'Execution log'!$P$7:$P$306,"Valid input")=0,"",SUMIFS('Execution log'!$H$7:$H$306,'Execution log'!$B$7:$B$306,A154,'Execution log'!$P$7:$P$306,"Valid input")))))</x:f>
      </x:c>
      <x:c r="N154" s="24" t="str">
        <x:f>IF(A154="","",IF(COUNTIFS('Execution log'!$B$7:$B$306,A154)=0,"",IF(COUNTIFS('Execution log'!$B$7:$B$306,A154,'Execution log'!$L$7:$L$306,"Valid",'Execution log'!$P$7:$P$306,"&lt;&gt;Valid input")&gt;0,"To check",IF(COUNTIFS('Execution log'!$B$7:$B$306,A154,'Execution log'!$P$7:$P$306,"Valid input")=0,"",SUMIFS('Execution log'!$J$7:$J$306,'Execution log'!$B$7:$B$306,A154,'Execution log'!$P$7:$P$306,"Valid input")))))</x:f>
      </x:c>
      <x:c r="O154" s="24" t="str">
        <x:f>IF(A154="","",IF(NOT(ISNUMBER(K154)),"Budget TBD",IF(NOT(ISNUMBER(M154)),"No valid entries yet",K154-M154)))</x:f>
      </x:c>
      <x:c r="P154" s="24" t="str">
        <x:f>IF(A154="","",IF(NOT(ISNUMBER(L154)),"Budget TBD",IF(NOT(ISNUMBER(N154)),"No valid entries yet",L154-N154)))</x:f>
      </x:c>
      <x:c r="Q154" s="19" t="str">
        <x:f>IF(A154="","",IF(D154="Closed","Closed",IF(NOT(ISNUMBER(I154)),"Review date TBD",IF(NOT(ISNUMBER($B$3)),"Evaluation date TBD",IF(I154&lt;=$B$3,"Review due","Not due")))))</x:f>
      </x:c>
      <x:c r="R154" s="19" t="str">
        <x:f>IF(A154="","",IF(COUNTIFS($A$7:$A$306,A154)&lt;&gt;1,"Duplicate case ID",IF(OR(B154="",C154="",D154="",G154="",S154=""),"Basic info missing",IF(AND(F154&lt;&gt;"",COUNTIFS('Plan versions'!$A$7:$A$306,F154,'Plan versions'!$B$7:$B$306,A154,'Plan versions'!$L$7:$L$306,"Frozen")&lt;&gt;1),"Invalid current plan ref",IF(AND(D154="Executing",F154=""),"Execution lacks plan",IF(AND(D154="Closed",OR(T154="",COUNTIFS('Reviews'!$B$7:$B$306,A154)=0,COUNTIFS('Update log'!$B$7:$B$306,A154)=0)),"Closure docs missing","Basic records complete"))))))</x:f>
      </x:c>
      <x:c r="S154" s="3"/>
      <x:c r="T154" s="3"/>
    </x:row>
    <x:row r="155" ht="25" customHeight="1">
      <x:c r="A155" s="3"/>
      <x:c r="B155" s="3"/>
      <x:c r="C155" s="3"/>
      <x:c r="D155" s="3"/>
      <x:c r="E155" s="3"/>
      <x:c r="F155" s="3"/>
      <x:c r="G155" s="3"/>
      <x:c r="H155" s="3"/>
      <x:c r="I155" s="20"/>
      <x:c r="J155" s="3"/>
      <x:c r="K155" s="22"/>
      <x:c r="L155" s="22"/>
      <x:c r="M155" s="24" t="str">
        <x:f>IF(A155="","",IF(COUNTIFS('Execution log'!$B$7:$B$306,A155)=0,"",IF(COUNTIFS('Execution log'!$B$7:$B$306,A155,'Execution log'!$L$7:$L$306,"Valid",'Execution log'!$P$7:$P$306,"&lt;&gt;Valid input")&gt;0,"To check",IF(COUNTIFS('Execution log'!$B$7:$B$306,A155,'Execution log'!$P$7:$P$306,"Valid input")=0,"",SUMIFS('Execution log'!$H$7:$H$306,'Execution log'!$B$7:$B$306,A155,'Execution log'!$P$7:$P$306,"Valid input")))))</x:f>
      </x:c>
      <x:c r="N155" s="24" t="str">
        <x:f>IF(A155="","",IF(COUNTIFS('Execution log'!$B$7:$B$306,A155)=0,"",IF(COUNTIFS('Execution log'!$B$7:$B$306,A155,'Execution log'!$L$7:$L$306,"Valid",'Execution log'!$P$7:$P$306,"&lt;&gt;Valid input")&gt;0,"To check",IF(COUNTIFS('Execution log'!$B$7:$B$306,A155,'Execution log'!$P$7:$P$306,"Valid input")=0,"",SUMIFS('Execution log'!$J$7:$J$306,'Execution log'!$B$7:$B$306,A155,'Execution log'!$P$7:$P$306,"Valid input")))))</x:f>
      </x:c>
      <x:c r="O155" s="24" t="str">
        <x:f>IF(A155="","",IF(NOT(ISNUMBER(K155)),"Budget TBD",IF(NOT(ISNUMBER(M155)),"No valid entries yet",K155-M155)))</x:f>
      </x:c>
      <x:c r="P155" s="24" t="str">
        <x:f>IF(A155="","",IF(NOT(ISNUMBER(L155)),"Budget TBD",IF(NOT(ISNUMBER(N155)),"No valid entries yet",L155-N155)))</x:f>
      </x:c>
      <x:c r="Q155" s="19" t="str">
        <x:f>IF(A155="","",IF(D155="Closed","Closed",IF(NOT(ISNUMBER(I155)),"Review date TBD",IF(NOT(ISNUMBER($B$3)),"Evaluation date TBD",IF(I155&lt;=$B$3,"Review due","Not due")))))</x:f>
      </x:c>
      <x:c r="R155" s="19" t="str">
        <x:f>IF(A155="","",IF(COUNTIFS($A$7:$A$306,A155)&lt;&gt;1,"Duplicate case ID",IF(OR(B155="",C155="",D155="",G155="",S155=""),"Basic info missing",IF(AND(F155&lt;&gt;"",COUNTIFS('Plan versions'!$A$7:$A$306,F155,'Plan versions'!$B$7:$B$306,A155,'Plan versions'!$L$7:$L$306,"Frozen")&lt;&gt;1),"Invalid current plan ref",IF(AND(D155="Executing",F155=""),"Execution lacks plan",IF(AND(D155="Closed",OR(T155="",COUNTIFS('Reviews'!$B$7:$B$306,A155)=0,COUNTIFS('Update log'!$B$7:$B$306,A155)=0)),"Closure docs missing","Basic records complete"))))))</x:f>
      </x:c>
      <x:c r="S155" s="3"/>
      <x:c r="T155" s="3"/>
    </x:row>
    <x:row r="156" ht="25" customHeight="1">
      <x:c r="A156" s="3"/>
      <x:c r="B156" s="3"/>
      <x:c r="C156" s="3"/>
      <x:c r="D156" s="3"/>
      <x:c r="E156" s="3"/>
      <x:c r="F156" s="3"/>
      <x:c r="G156" s="3"/>
      <x:c r="H156" s="3"/>
      <x:c r="I156" s="20"/>
      <x:c r="J156" s="3"/>
      <x:c r="K156" s="22"/>
      <x:c r="L156" s="22"/>
      <x:c r="M156" s="24" t="str">
        <x:f>IF(A156="","",IF(COUNTIFS('Execution log'!$B$7:$B$306,A156)=0,"",IF(COUNTIFS('Execution log'!$B$7:$B$306,A156,'Execution log'!$L$7:$L$306,"Valid",'Execution log'!$P$7:$P$306,"&lt;&gt;Valid input")&gt;0,"To check",IF(COUNTIFS('Execution log'!$B$7:$B$306,A156,'Execution log'!$P$7:$P$306,"Valid input")=0,"",SUMIFS('Execution log'!$H$7:$H$306,'Execution log'!$B$7:$B$306,A156,'Execution log'!$P$7:$P$306,"Valid input")))))</x:f>
      </x:c>
      <x:c r="N156" s="24" t="str">
        <x:f>IF(A156="","",IF(COUNTIFS('Execution log'!$B$7:$B$306,A156)=0,"",IF(COUNTIFS('Execution log'!$B$7:$B$306,A156,'Execution log'!$L$7:$L$306,"Valid",'Execution log'!$P$7:$P$306,"&lt;&gt;Valid input")&gt;0,"To check",IF(COUNTIFS('Execution log'!$B$7:$B$306,A156,'Execution log'!$P$7:$P$306,"Valid input")=0,"",SUMIFS('Execution log'!$J$7:$J$306,'Execution log'!$B$7:$B$306,A156,'Execution log'!$P$7:$P$306,"Valid input")))))</x:f>
      </x:c>
      <x:c r="O156" s="24" t="str">
        <x:f>IF(A156="","",IF(NOT(ISNUMBER(K156)),"Budget TBD",IF(NOT(ISNUMBER(M156)),"No valid entries yet",K156-M156)))</x:f>
      </x:c>
      <x:c r="P156" s="24" t="str">
        <x:f>IF(A156="","",IF(NOT(ISNUMBER(L156)),"Budget TBD",IF(NOT(ISNUMBER(N156)),"No valid entries yet",L156-N156)))</x:f>
      </x:c>
      <x:c r="Q156" s="19" t="str">
        <x:f>IF(A156="","",IF(D156="Closed","Closed",IF(NOT(ISNUMBER(I156)),"Review date TBD",IF(NOT(ISNUMBER($B$3)),"Evaluation date TBD",IF(I156&lt;=$B$3,"Review due","Not due")))))</x:f>
      </x:c>
      <x:c r="R156" s="19" t="str">
        <x:f>IF(A156="","",IF(COUNTIFS($A$7:$A$306,A156)&lt;&gt;1,"Duplicate case ID",IF(OR(B156="",C156="",D156="",G156="",S156=""),"Basic info missing",IF(AND(F156&lt;&gt;"",COUNTIFS('Plan versions'!$A$7:$A$306,F156,'Plan versions'!$B$7:$B$306,A156,'Plan versions'!$L$7:$L$306,"Frozen")&lt;&gt;1),"Invalid current plan ref",IF(AND(D156="Executing",F156=""),"Execution lacks plan",IF(AND(D156="Closed",OR(T156="",COUNTIFS('Reviews'!$B$7:$B$306,A156)=0,COUNTIFS('Update log'!$B$7:$B$306,A156)=0)),"Closure docs missing","Basic records complete"))))))</x:f>
      </x:c>
      <x:c r="S156" s="3"/>
      <x:c r="T156" s="3"/>
    </x:row>
    <x:row r="157" ht="25" customHeight="1">
      <x:c r="A157" s="3"/>
      <x:c r="B157" s="3"/>
      <x:c r="C157" s="3"/>
      <x:c r="D157" s="3"/>
      <x:c r="E157" s="3"/>
      <x:c r="F157" s="3"/>
      <x:c r="G157" s="3"/>
      <x:c r="H157" s="3"/>
      <x:c r="I157" s="20"/>
      <x:c r="J157" s="3"/>
      <x:c r="K157" s="22"/>
      <x:c r="L157" s="22"/>
      <x:c r="M157" s="24" t="str">
        <x:f>IF(A157="","",IF(COUNTIFS('Execution log'!$B$7:$B$306,A157)=0,"",IF(COUNTIFS('Execution log'!$B$7:$B$306,A157,'Execution log'!$L$7:$L$306,"Valid",'Execution log'!$P$7:$P$306,"&lt;&gt;Valid input")&gt;0,"To check",IF(COUNTIFS('Execution log'!$B$7:$B$306,A157,'Execution log'!$P$7:$P$306,"Valid input")=0,"",SUMIFS('Execution log'!$H$7:$H$306,'Execution log'!$B$7:$B$306,A157,'Execution log'!$P$7:$P$306,"Valid input")))))</x:f>
      </x:c>
      <x:c r="N157" s="24" t="str">
        <x:f>IF(A157="","",IF(COUNTIFS('Execution log'!$B$7:$B$306,A157)=0,"",IF(COUNTIFS('Execution log'!$B$7:$B$306,A157,'Execution log'!$L$7:$L$306,"Valid",'Execution log'!$P$7:$P$306,"&lt;&gt;Valid input")&gt;0,"To check",IF(COUNTIFS('Execution log'!$B$7:$B$306,A157,'Execution log'!$P$7:$P$306,"Valid input")=0,"",SUMIFS('Execution log'!$J$7:$J$306,'Execution log'!$B$7:$B$306,A157,'Execution log'!$P$7:$P$306,"Valid input")))))</x:f>
      </x:c>
      <x:c r="O157" s="24" t="str">
        <x:f>IF(A157="","",IF(NOT(ISNUMBER(K157)),"Budget TBD",IF(NOT(ISNUMBER(M157)),"No valid entries yet",K157-M157)))</x:f>
      </x:c>
      <x:c r="P157" s="24" t="str">
        <x:f>IF(A157="","",IF(NOT(ISNUMBER(L157)),"Budget TBD",IF(NOT(ISNUMBER(N157)),"No valid entries yet",L157-N157)))</x:f>
      </x:c>
      <x:c r="Q157" s="19" t="str">
        <x:f>IF(A157="","",IF(D157="Closed","Closed",IF(NOT(ISNUMBER(I157)),"Review date TBD",IF(NOT(ISNUMBER($B$3)),"Evaluation date TBD",IF(I157&lt;=$B$3,"Review due","Not due")))))</x:f>
      </x:c>
      <x:c r="R157" s="19" t="str">
        <x:f>IF(A157="","",IF(COUNTIFS($A$7:$A$306,A157)&lt;&gt;1,"Duplicate case ID",IF(OR(B157="",C157="",D157="",G157="",S157=""),"Basic info missing",IF(AND(F157&lt;&gt;"",COUNTIFS('Plan versions'!$A$7:$A$306,F157,'Plan versions'!$B$7:$B$306,A157,'Plan versions'!$L$7:$L$306,"Frozen")&lt;&gt;1),"Invalid current plan ref",IF(AND(D157="Executing",F157=""),"Execution lacks plan",IF(AND(D157="Closed",OR(T157="",COUNTIFS('Reviews'!$B$7:$B$306,A157)=0,COUNTIFS('Update log'!$B$7:$B$306,A157)=0)),"Closure docs missing","Basic records complete"))))))</x:f>
      </x:c>
      <x:c r="S157" s="3"/>
      <x:c r="T157" s="3"/>
    </x:row>
    <x:row r="158" ht="25" customHeight="1">
      <x:c r="A158" s="3"/>
      <x:c r="B158" s="3"/>
      <x:c r="C158" s="3"/>
      <x:c r="D158" s="3"/>
      <x:c r="E158" s="3"/>
      <x:c r="F158" s="3"/>
      <x:c r="G158" s="3"/>
      <x:c r="H158" s="3"/>
      <x:c r="I158" s="20"/>
      <x:c r="J158" s="3"/>
      <x:c r="K158" s="22"/>
      <x:c r="L158" s="22"/>
      <x:c r="M158" s="24" t="str">
        <x:f>IF(A158="","",IF(COUNTIFS('Execution log'!$B$7:$B$306,A158)=0,"",IF(COUNTIFS('Execution log'!$B$7:$B$306,A158,'Execution log'!$L$7:$L$306,"Valid",'Execution log'!$P$7:$P$306,"&lt;&gt;Valid input")&gt;0,"To check",IF(COUNTIFS('Execution log'!$B$7:$B$306,A158,'Execution log'!$P$7:$P$306,"Valid input")=0,"",SUMIFS('Execution log'!$H$7:$H$306,'Execution log'!$B$7:$B$306,A158,'Execution log'!$P$7:$P$306,"Valid input")))))</x:f>
      </x:c>
      <x:c r="N158" s="24" t="str">
        <x:f>IF(A158="","",IF(COUNTIFS('Execution log'!$B$7:$B$306,A158)=0,"",IF(COUNTIFS('Execution log'!$B$7:$B$306,A158,'Execution log'!$L$7:$L$306,"Valid",'Execution log'!$P$7:$P$306,"&lt;&gt;Valid input")&gt;0,"To check",IF(COUNTIFS('Execution log'!$B$7:$B$306,A158,'Execution log'!$P$7:$P$306,"Valid input")=0,"",SUMIFS('Execution log'!$J$7:$J$306,'Execution log'!$B$7:$B$306,A158,'Execution log'!$P$7:$P$306,"Valid input")))))</x:f>
      </x:c>
      <x:c r="O158" s="24" t="str">
        <x:f>IF(A158="","",IF(NOT(ISNUMBER(K158)),"Budget TBD",IF(NOT(ISNUMBER(M158)),"No valid entries yet",K158-M158)))</x:f>
      </x:c>
      <x:c r="P158" s="24" t="str">
        <x:f>IF(A158="","",IF(NOT(ISNUMBER(L158)),"Budget TBD",IF(NOT(ISNUMBER(N158)),"No valid entries yet",L158-N158)))</x:f>
      </x:c>
      <x:c r="Q158" s="19" t="str">
        <x:f>IF(A158="","",IF(D158="Closed","Closed",IF(NOT(ISNUMBER(I158)),"Review date TBD",IF(NOT(ISNUMBER($B$3)),"Evaluation date TBD",IF(I158&lt;=$B$3,"Review due","Not due")))))</x:f>
      </x:c>
      <x:c r="R158" s="19" t="str">
        <x:f>IF(A158="","",IF(COUNTIFS($A$7:$A$306,A158)&lt;&gt;1,"Duplicate case ID",IF(OR(B158="",C158="",D158="",G158="",S158=""),"Basic info missing",IF(AND(F158&lt;&gt;"",COUNTIFS('Plan versions'!$A$7:$A$306,F158,'Plan versions'!$B$7:$B$306,A158,'Plan versions'!$L$7:$L$306,"Frozen")&lt;&gt;1),"Invalid current plan ref",IF(AND(D158="Executing",F158=""),"Execution lacks plan",IF(AND(D158="Closed",OR(T158="",COUNTIFS('Reviews'!$B$7:$B$306,A158)=0,COUNTIFS('Update log'!$B$7:$B$306,A158)=0)),"Closure docs missing","Basic records complete"))))))</x:f>
      </x:c>
      <x:c r="S158" s="3"/>
      <x:c r="T158" s="3"/>
    </x:row>
    <x:row r="159" ht="25" customHeight="1">
      <x:c r="A159" s="3"/>
      <x:c r="B159" s="3"/>
      <x:c r="C159" s="3"/>
      <x:c r="D159" s="3"/>
      <x:c r="E159" s="3"/>
      <x:c r="F159" s="3"/>
      <x:c r="G159" s="3"/>
      <x:c r="H159" s="3"/>
      <x:c r="I159" s="20"/>
      <x:c r="J159" s="3"/>
      <x:c r="K159" s="22"/>
      <x:c r="L159" s="22"/>
      <x:c r="M159" s="24" t="str">
        <x:f>IF(A159="","",IF(COUNTIFS('Execution log'!$B$7:$B$306,A159)=0,"",IF(COUNTIFS('Execution log'!$B$7:$B$306,A159,'Execution log'!$L$7:$L$306,"Valid",'Execution log'!$P$7:$P$306,"&lt;&gt;Valid input")&gt;0,"To check",IF(COUNTIFS('Execution log'!$B$7:$B$306,A159,'Execution log'!$P$7:$P$306,"Valid input")=0,"",SUMIFS('Execution log'!$H$7:$H$306,'Execution log'!$B$7:$B$306,A159,'Execution log'!$P$7:$P$306,"Valid input")))))</x:f>
      </x:c>
      <x:c r="N159" s="24" t="str">
        <x:f>IF(A159="","",IF(COUNTIFS('Execution log'!$B$7:$B$306,A159)=0,"",IF(COUNTIFS('Execution log'!$B$7:$B$306,A159,'Execution log'!$L$7:$L$306,"Valid",'Execution log'!$P$7:$P$306,"&lt;&gt;Valid input")&gt;0,"To check",IF(COUNTIFS('Execution log'!$B$7:$B$306,A159,'Execution log'!$P$7:$P$306,"Valid input")=0,"",SUMIFS('Execution log'!$J$7:$J$306,'Execution log'!$B$7:$B$306,A159,'Execution log'!$P$7:$P$306,"Valid input")))))</x:f>
      </x:c>
      <x:c r="O159" s="24" t="str">
        <x:f>IF(A159="","",IF(NOT(ISNUMBER(K159)),"Budget TBD",IF(NOT(ISNUMBER(M159)),"No valid entries yet",K159-M159)))</x:f>
      </x:c>
      <x:c r="P159" s="24" t="str">
        <x:f>IF(A159="","",IF(NOT(ISNUMBER(L159)),"Budget TBD",IF(NOT(ISNUMBER(N159)),"No valid entries yet",L159-N159)))</x:f>
      </x:c>
      <x:c r="Q159" s="19" t="str">
        <x:f>IF(A159="","",IF(D159="Closed","Closed",IF(NOT(ISNUMBER(I159)),"Review date TBD",IF(NOT(ISNUMBER($B$3)),"Evaluation date TBD",IF(I159&lt;=$B$3,"Review due","Not due")))))</x:f>
      </x:c>
      <x:c r="R159" s="19" t="str">
        <x:f>IF(A159="","",IF(COUNTIFS($A$7:$A$306,A159)&lt;&gt;1,"Duplicate case ID",IF(OR(B159="",C159="",D159="",G159="",S159=""),"Basic info missing",IF(AND(F159&lt;&gt;"",COUNTIFS('Plan versions'!$A$7:$A$306,F159,'Plan versions'!$B$7:$B$306,A159,'Plan versions'!$L$7:$L$306,"Frozen")&lt;&gt;1),"Invalid current plan ref",IF(AND(D159="Executing",F159=""),"Execution lacks plan",IF(AND(D159="Closed",OR(T159="",COUNTIFS('Reviews'!$B$7:$B$306,A159)=0,COUNTIFS('Update log'!$B$7:$B$306,A159)=0)),"Closure docs missing","Basic records complete"))))))</x:f>
      </x:c>
      <x:c r="S159" s="3"/>
      <x:c r="T159" s="3"/>
    </x:row>
    <x:row r="160" ht="25" customHeight="1">
      <x:c r="A160" s="3"/>
      <x:c r="B160" s="3"/>
      <x:c r="C160" s="3"/>
      <x:c r="D160" s="3"/>
      <x:c r="E160" s="3"/>
      <x:c r="F160" s="3"/>
      <x:c r="G160" s="3"/>
      <x:c r="H160" s="3"/>
      <x:c r="I160" s="20"/>
      <x:c r="J160" s="3"/>
      <x:c r="K160" s="22"/>
      <x:c r="L160" s="22"/>
      <x:c r="M160" s="24" t="str">
        <x:f>IF(A160="","",IF(COUNTIFS('Execution log'!$B$7:$B$306,A160)=0,"",IF(COUNTIFS('Execution log'!$B$7:$B$306,A160,'Execution log'!$L$7:$L$306,"Valid",'Execution log'!$P$7:$P$306,"&lt;&gt;Valid input")&gt;0,"To check",IF(COUNTIFS('Execution log'!$B$7:$B$306,A160,'Execution log'!$P$7:$P$306,"Valid input")=0,"",SUMIFS('Execution log'!$H$7:$H$306,'Execution log'!$B$7:$B$306,A160,'Execution log'!$P$7:$P$306,"Valid input")))))</x:f>
      </x:c>
      <x:c r="N160" s="24" t="str">
        <x:f>IF(A160="","",IF(COUNTIFS('Execution log'!$B$7:$B$306,A160)=0,"",IF(COUNTIFS('Execution log'!$B$7:$B$306,A160,'Execution log'!$L$7:$L$306,"Valid",'Execution log'!$P$7:$P$306,"&lt;&gt;Valid input")&gt;0,"To check",IF(COUNTIFS('Execution log'!$B$7:$B$306,A160,'Execution log'!$P$7:$P$306,"Valid input")=0,"",SUMIFS('Execution log'!$J$7:$J$306,'Execution log'!$B$7:$B$306,A160,'Execution log'!$P$7:$P$306,"Valid input")))))</x:f>
      </x:c>
      <x:c r="O160" s="24" t="str">
        <x:f>IF(A160="","",IF(NOT(ISNUMBER(K160)),"Budget TBD",IF(NOT(ISNUMBER(M160)),"No valid entries yet",K160-M160)))</x:f>
      </x:c>
      <x:c r="P160" s="24" t="str">
        <x:f>IF(A160="","",IF(NOT(ISNUMBER(L160)),"Budget TBD",IF(NOT(ISNUMBER(N160)),"No valid entries yet",L160-N160)))</x:f>
      </x:c>
      <x:c r="Q160" s="19" t="str">
        <x:f>IF(A160="","",IF(D160="Closed","Closed",IF(NOT(ISNUMBER(I160)),"Review date TBD",IF(NOT(ISNUMBER($B$3)),"Evaluation date TBD",IF(I160&lt;=$B$3,"Review due","Not due")))))</x:f>
      </x:c>
      <x:c r="R160" s="19" t="str">
        <x:f>IF(A160="","",IF(COUNTIFS($A$7:$A$306,A160)&lt;&gt;1,"Duplicate case ID",IF(OR(B160="",C160="",D160="",G160="",S160=""),"Basic info missing",IF(AND(F160&lt;&gt;"",COUNTIFS('Plan versions'!$A$7:$A$306,F160,'Plan versions'!$B$7:$B$306,A160,'Plan versions'!$L$7:$L$306,"Frozen")&lt;&gt;1),"Invalid current plan ref",IF(AND(D160="Executing",F160=""),"Execution lacks plan",IF(AND(D160="Closed",OR(T160="",COUNTIFS('Reviews'!$B$7:$B$306,A160)=0,COUNTIFS('Update log'!$B$7:$B$306,A160)=0)),"Closure docs missing","Basic records complete"))))))</x:f>
      </x:c>
      <x:c r="S160" s="3"/>
      <x:c r="T160" s="3"/>
    </x:row>
    <x:row r="161" ht="25" customHeight="1">
      <x:c r="A161" s="3"/>
      <x:c r="B161" s="3"/>
      <x:c r="C161" s="3"/>
      <x:c r="D161" s="3"/>
      <x:c r="E161" s="3"/>
      <x:c r="F161" s="3"/>
      <x:c r="G161" s="3"/>
      <x:c r="H161" s="3"/>
      <x:c r="I161" s="20"/>
      <x:c r="J161" s="3"/>
      <x:c r="K161" s="22"/>
      <x:c r="L161" s="22"/>
      <x:c r="M161" s="24" t="str">
        <x:f>IF(A161="","",IF(COUNTIFS('Execution log'!$B$7:$B$306,A161)=0,"",IF(COUNTIFS('Execution log'!$B$7:$B$306,A161,'Execution log'!$L$7:$L$306,"Valid",'Execution log'!$P$7:$P$306,"&lt;&gt;Valid input")&gt;0,"To check",IF(COUNTIFS('Execution log'!$B$7:$B$306,A161,'Execution log'!$P$7:$P$306,"Valid input")=0,"",SUMIFS('Execution log'!$H$7:$H$306,'Execution log'!$B$7:$B$306,A161,'Execution log'!$P$7:$P$306,"Valid input")))))</x:f>
      </x:c>
      <x:c r="N161" s="24" t="str">
        <x:f>IF(A161="","",IF(COUNTIFS('Execution log'!$B$7:$B$306,A161)=0,"",IF(COUNTIFS('Execution log'!$B$7:$B$306,A161,'Execution log'!$L$7:$L$306,"Valid",'Execution log'!$P$7:$P$306,"&lt;&gt;Valid input")&gt;0,"To check",IF(COUNTIFS('Execution log'!$B$7:$B$306,A161,'Execution log'!$P$7:$P$306,"Valid input")=0,"",SUMIFS('Execution log'!$J$7:$J$306,'Execution log'!$B$7:$B$306,A161,'Execution log'!$P$7:$P$306,"Valid input")))))</x:f>
      </x:c>
      <x:c r="O161" s="24" t="str">
        <x:f>IF(A161="","",IF(NOT(ISNUMBER(K161)),"Budget TBD",IF(NOT(ISNUMBER(M161)),"No valid entries yet",K161-M161)))</x:f>
      </x:c>
      <x:c r="P161" s="24" t="str">
        <x:f>IF(A161="","",IF(NOT(ISNUMBER(L161)),"Budget TBD",IF(NOT(ISNUMBER(N161)),"No valid entries yet",L161-N161)))</x:f>
      </x:c>
      <x:c r="Q161" s="19" t="str">
        <x:f>IF(A161="","",IF(D161="Closed","Closed",IF(NOT(ISNUMBER(I161)),"Review date TBD",IF(NOT(ISNUMBER($B$3)),"Evaluation date TBD",IF(I161&lt;=$B$3,"Review due","Not due")))))</x:f>
      </x:c>
      <x:c r="R161" s="19" t="str">
        <x:f>IF(A161="","",IF(COUNTIFS($A$7:$A$306,A161)&lt;&gt;1,"Duplicate case ID",IF(OR(B161="",C161="",D161="",G161="",S161=""),"Basic info missing",IF(AND(F161&lt;&gt;"",COUNTIFS('Plan versions'!$A$7:$A$306,F161,'Plan versions'!$B$7:$B$306,A161,'Plan versions'!$L$7:$L$306,"Frozen")&lt;&gt;1),"Invalid current plan ref",IF(AND(D161="Executing",F161=""),"Execution lacks plan",IF(AND(D161="Closed",OR(T161="",COUNTIFS('Reviews'!$B$7:$B$306,A161)=0,COUNTIFS('Update log'!$B$7:$B$306,A161)=0)),"Closure docs missing","Basic records complete"))))))</x:f>
      </x:c>
      <x:c r="S161" s="3"/>
      <x:c r="T161" s="3"/>
    </x:row>
    <x:row r="162" ht="25" customHeight="1">
      <x:c r="A162" s="3"/>
      <x:c r="B162" s="3"/>
      <x:c r="C162" s="3"/>
      <x:c r="D162" s="3"/>
      <x:c r="E162" s="3"/>
      <x:c r="F162" s="3"/>
      <x:c r="G162" s="3"/>
      <x:c r="H162" s="3"/>
      <x:c r="I162" s="20"/>
      <x:c r="J162" s="3"/>
      <x:c r="K162" s="22"/>
      <x:c r="L162" s="22"/>
      <x:c r="M162" s="24" t="str">
        <x:f>IF(A162="","",IF(COUNTIFS('Execution log'!$B$7:$B$306,A162)=0,"",IF(COUNTIFS('Execution log'!$B$7:$B$306,A162,'Execution log'!$L$7:$L$306,"Valid",'Execution log'!$P$7:$P$306,"&lt;&gt;Valid input")&gt;0,"To check",IF(COUNTIFS('Execution log'!$B$7:$B$306,A162,'Execution log'!$P$7:$P$306,"Valid input")=0,"",SUMIFS('Execution log'!$H$7:$H$306,'Execution log'!$B$7:$B$306,A162,'Execution log'!$P$7:$P$306,"Valid input")))))</x:f>
      </x:c>
      <x:c r="N162" s="24" t="str">
        <x:f>IF(A162="","",IF(COUNTIFS('Execution log'!$B$7:$B$306,A162)=0,"",IF(COUNTIFS('Execution log'!$B$7:$B$306,A162,'Execution log'!$L$7:$L$306,"Valid",'Execution log'!$P$7:$P$306,"&lt;&gt;Valid input")&gt;0,"To check",IF(COUNTIFS('Execution log'!$B$7:$B$306,A162,'Execution log'!$P$7:$P$306,"Valid input")=0,"",SUMIFS('Execution log'!$J$7:$J$306,'Execution log'!$B$7:$B$306,A162,'Execution log'!$P$7:$P$306,"Valid input")))))</x:f>
      </x:c>
      <x:c r="O162" s="24" t="str">
        <x:f>IF(A162="","",IF(NOT(ISNUMBER(K162)),"Budget TBD",IF(NOT(ISNUMBER(M162)),"No valid entries yet",K162-M162)))</x:f>
      </x:c>
      <x:c r="P162" s="24" t="str">
        <x:f>IF(A162="","",IF(NOT(ISNUMBER(L162)),"Budget TBD",IF(NOT(ISNUMBER(N162)),"No valid entries yet",L162-N162)))</x:f>
      </x:c>
      <x:c r="Q162" s="19" t="str">
        <x:f>IF(A162="","",IF(D162="Closed","Closed",IF(NOT(ISNUMBER(I162)),"Review date TBD",IF(NOT(ISNUMBER($B$3)),"Evaluation date TBD",IF(I162&lt;=$B$3,"Review due","Not due")))))</x:f>
      </x:c>
      <x:c r="R162" s="19" t="str">
        <x:f>IF(A162="","",IF(COUNTIFS($A$7:$A$306,A162)&lt;&gt;1,"Duplicate case ID",IF(OR(B162="",C162="",D162="",G162="",S162=""),"Basic info missing",IF(AND(F162&lt;&gt;"",COUNTIFS('Plan versions'!$A$7:$A$306,F162,'Plan versions'!$B$7:$B$306,A162,'Plan versions'!$L$7:$L$306,"Frozen")&lt;&gt;1),"Invalid current plan ref",IF(AND(D162="Executing",F162=""),"Execution lacks plan",IF(AND(D162="Closed",OR(T162="",COUNTIFS('Reviews'!$B$7:$B$306,A162)=0,COUNTIFS('Update log'!$B$7:$B$306,A162)=0)),"Closure docs missing","Basic records complete"))))))</x:f>
      </x:c>
      <x:c r="S162" s="3"/>
      <x:c r="T162" s="3"/>
    </x:row>
    <x:row r="163" ht="25" customHeight="1">
      <x:c r="A163" s="3"/>
      <x:c r="B163" s="3"/>
      <x:c r="C163" s="3"/>
      <x:c r="D163" s="3"/>
      <x:c r="E163" s="3"/>
      <x:c r="F163" s="3"/>
      <x:c r="G163" s="3"/>
      <x:c r="H163" s="3"/>
      <x:c r="I163" s="20"/>
      <x:c r="J163" s="3"/>
      <x:c r="K163" s="22"/>
      <x:c r="L163" s="22"/>
      <x:c r="M163" s="24" t="str">
        <x:f>IF(A163="","",IF(COUNTIFS('Execution log'!$B$7:$B$306,A163)=0,"",IF(COUNTIFS('Execution log'!$B$7:$B$306,A163,'Execution log'!$L$7:$L$306,"Valid",'Execution log'!$P$7:$P$306,"&lt;&gt;Valid input")&gt;0,"To check",IF(COUNTIFS('Execution log'!$B$7:$B$306,A163,'Execution log'!$P$7:$P$306,"Valid input")=0,"",SUMIFS('Execution log'!$H$7:$H$306,'Execution log'!$B$7:$B$306,A163,'Execution log'!$P$7:$P$306,"Valid input")))))</x:f>
      </x:c>
      <x:c r="N163" s="24" t="str">
        <x:f>IF(A163="","",IF(COUNTIFS('Execution log'!$B$7:$B$306,A163)=0,"",IF(COUNTIFS('Execution log'!$B$7:$B$306,A163,'Execution log'!$L$7:$L$306,"Valid",'Execution log'!$P$7:$P$306,"&lt;&gt;Valid input")&gt;0,"To check",IF(COUNTIFS('Execution log'!$B$7:$B$306,A163,'Execution log'!$P$7:$P$306,"Valid input")=0,"",SUMIFS('Execution log'!$J$7:$J$306,'Execution log'!$B$7:$B$306,A163,'Execution log'!$P$7:$P$306,"Valid input")))))</x:f>
      </x:c>
      <x:c r="O163" s="24" t="str">
        <x:f>IF(A163="","",IF(NOT(ISNUMBER(K163)),"Budget TBD",IF(NOT(ISNUMBER(M163)),"No valid entries yet",K163-M163)))</x:f>
      </x:c>
      <x:c r="P163" s="24" t="str">
        <x:f>IF(A163="","",IF(NOT(ISNUMBER(L163)),"Budget TBD",IF(NOT(ISNUMBER(N163)),"No valid entries yet",L163-N163)))</x:f>
      </x:c>
      <x:c r="Q163" s="19" t="str">
        <x:f>IF(A163="","",IF(D163="Closed","Closed",IF(NOT(ISNUMBER(I163)),"Review date TBD",IF(NOT(ISNUMBER($B$3)),"Evaluation date TBD",IF(I163&lt;=$B$3,"Review due","Not due")))))</x:f>
      </x:c>
      <x:c r="R163" s="19" t="str">
        <x:f>IF(A163="","",IF(COUNTIFS($A$7:$A$306,A163)&lt;&gt;1,"Duplicate case ID",IF(OR(B163="",C163="",D163="",G163="",S163=""),"Basic info missing",IF(AND(F163&lt;&gt;"",COUNTIFS('Plan versions'!$A$7:$A$306,F163,'Plan versions'!$B$7:$B$306,A163,'Plan versions'!$L$7:$L$306,"Frozen")&lt;&gt;1),"Invalid current plan ref",IF(AND(D163="Executing",F163=""),"Execution lacks plan",IF(AND(D163="Closed",OR(T163="",COUNTIFS('Reviews'!$B$7:$B$306,A163)=0,COUNTIFS('Update log'!$B$7:$B$306,A163)=0)),"Closure docs missing","Basic records complete"))))))</x:f>
      </x:c>
      <x:c r="S163" s="3"/>
      <x:c r="T163" s="3"/>
    </x:row>
    <x:row r="164" ht="25" customHeight="1">
      <x:c r="A164" s="3"/>
      <x:c r="B164" s="3"/>
      <x:c r="C164" s="3"/>
      <x:c r="D164" s="3"/>
      <x:c r="E164" s="3"/>
      <x:c r="F164" s="3"/>
      <x:c r="G164" s="3"/>
      <x:c r="H164" s="3"/>
      <x:c r="I164" s="20"/>
      <x:c r="J164" s="3"/>
      <x:c r="K164" s="22"/>
      <x:c r="L164" s="22"/>
      <x:c r="M164" s="24" t="str">
        <x:f>IF(A164="","",IF(COUNTIFS('Execution log'!$B$7:$B$306,A164)=0,"",IF(COUNTIFS('Execution log'!$B$7:$B$306,A164,'Execution log'!$L$7:$L$306,"Valid",'Execution log'!$P$7:$P$306,"&lt;&gt;Valid input")&gt;0,"To check",IF(COUNTIFS('Execution log'!$B$7:$B$306,A164,'Execution log'!$P$7:$P$306,"Valid input")=0,"",SUMIFS('Execution log'!$H$7:$H$306,'Execution log'!$B$7:$B$306,A164,'Execution log'!$P$7:$P$306,"Valid input")))))</x:f>
      </x:c>
      <x:c r="N164" s="24" t="str">
        <x:f>IF(A164="","",IF(COUNTIFS('Execution log'!$B$7:$B$306,A164)=0,"",IF(COUNTIFS('Execution log'!$B$7:$B$306,A164,'Execution log'!$L$7:$L$306,"Valid",'Execution log'!$P$7:$P$306,"&lt;&gt;Valid input")&gt;0,"To check",IF(COUNTIFS('Execution log'!$B$7:$B$306,A164,'Execution log'!$P$7:$P$306,"Valid input")=0,"",SUMIFS('Execution log'!$J$7:$J$306,'Execution log'!$B$7:$B$306,A164,'Execution log'!$P$7:$P$306,"Valid input")))))</x:f>
      </x:c>
      <x:c r="O164" s="24" t="str">
        <x:f>IF(A164="","",IF(NOT(ISNUMBER(K164)),"Budget TBD",IF(NOT(ISNUMBER(M164)),"No valid entries yet",K164-M164)))</x:f>
      </x:c>
      <x:c r="P164" s="24" t="str">
        <x:f>IF(A164="","",IF(NOT(ISNUMBER(L164)),"Budget TBD",IF(NOT(ISNUMBER(N164)),"No valid entries yet",L164-N164)))</x:f>
      </x:c>
      <x:c r="Q164" s="19" t="str">
        <x:f>IF(A164="","",IF(D164="Closed","Closed",IF(NOT(ISNUMBER(I164)),"Review date TBD",IF(NOT(ISNUMBER($B$3)),"Evaluation date TBD",IF(I164&lt;=$B$3,"Review due","Not due")))))</x:f>
      </x:c>
      <x:c r="R164" s="19" t="str">
        <x:f>IF(A164="","",IF(COUNTIFS($A$7:$A$306,A164)&lt;&gt;1,"Duplicate case ID",IF(OR(B164="",C164="",D164="",G164="",S164=""),"Basic info missing",IF(AND(F164&lt;&gt;"",COUNTIFS('Plan versions'!$A$7:$A$306,F164,'Plan versions'!$B$7:$B$306,A164,'Plan versions'!$L$7:$L$306,"Frozen")&lt;&gt;1),"Invalid current plan ref",IF(AND(D164="Executing",F164=""),"Execution lacks plan",IF(AND(D164="Closed",OR(T164="",COUNTIFS('Reviews'!$B$7:$B$306,A164)=0,COUNTIFS('Update log'!$B$7:$B$306,A164)=0)),"Closure docs missing","Basic records complete"))))))</x:f>
      </x:c>
      <x:c r="S164" s="3"/>
      <x:c r="T164" s="3"/>
    </x:row>
    <x:row r="165" ht="25" customHeight="1">
      <x:c r="A165" s="3"/>
      <x:c r="B165" s="3"/>
      <x:c r="C165" s="3"/>
      <x:c r="D165" s="3"/>
      <x:c r="E165" s="3"/>
      <x:c r="F165" s="3"/>
      <x:c r="G165" s="3"/>
      <x:c r="H165" s="3"/>
      <x:c r="I165" s="20"/>
      <x:c r="J165" s="3"/>
      <x:c r="K165" s="22"/>
      <x:c r="L165" s="22"/>
      <x:c r="M165" s="24" t="str">
        <x:f>IF(A165="","",IF(COUNTIFS('Execution log'!$B$7:$B$306,A165)=0,"",IF(COUNTIFS('Execution log'!$B$7:$B$306,A165,'Execution log'!$L$7:$L$306,"Valid",'Execution log'!$P$7:$P$306,"&lt;&gt;Valid input")&gt;0,"To check",IF(COUNTIFS('Execution log'!$B$7:$B$306,A165,'Execution log'!$P$7:$P$306,"Valid input")=0,"",SUMIFS('Execution log'!$H$7:$H$306,'Execution log'!$B$7:$B$306,A165,'Execution log'!$P$7:$P$306,"Valid input")))))</x:f>
      </x:c>
      <x:c r="N165" s="24" t="str">
        <x:f>IF(A165="","",IF(COUNTIFS('Execution log'!$B$7:$B$306,A165)=0,"",IF(COUNTIFS('Execution log'!$B$7:$B$306,A165,'Execution log'!$L$7:$L$306,"Valid",'Execution log'!$P$7:$P$306,"&lt;&gt;Valid input")&gt;0,"To check",IF(COUNTIFS('Execution log'!$B$7:$B$306,A165,'Execution log'!$P$7:$P$306,"Valid input")=0,"",SUMIFS('Execution log'!$J$7:$J$306,'Execution log'!$B$7:$B$306,A165,'Execution log'!$P$7:$P$306,"Valid input")))))</x:f>
      </x:c>
      <x:c r="O165" s="24" t="str">
        <x:f>IF(A165="","",IF(NOT(ISNUMBER(K165)),"Budget TBD",IF(NOT(ISNUMBER(M165)),"No valid entries yet",K165-M165)))</x:f>
      </x:c>
      <x:c r="P165" s="24" t="str">
        <x:f>IF(A165="","",IF(NOT(ISNUMBER(L165)),"Budget TBD",IF(NOT(ISNUMBER(N165)),"No valid entries yet",L165-N165)))</x:f>
      </x:c>
      <x:c r="Q165" s="19" t="str">
        <x:f>IF(A165="","",IF(D165="Closed","Closed",IF(NOT(ISNUMBER(I165)),"Review date TBD",IF(NOT(ISNUMBER($B$3)),"Evaluation date TBD",IF(I165&lt;=$B$3,"Review due","Not due")))))</x:f>
      </x:c>
      <x:c r="R165" s="19" t="str">
        <x:f>IF(A165="","",IF(COUNTIFS($A$7:$A$306,A165)&lt;&gt;1,"Duplicate case ID",IF(OR(B165="",C165="",D165="",G165="",S165=""),"Basic info missing",IF(AND(F165&lt;&gt;"",COUNTIFS('Plan versions'!$A$7:$A$306,F165,'Plan versions'!$B$7:$B$306,A165,'Plan versions'!$L$7:$L$306,"Frozen")&lt;&gt;1),"Invalid current plan ref",IF(AND(D165="Executing",F165=""),"Execution lacks plan",IF(AND(D165="Closed",OR(T165="",COUNTIFS('Reviews'!$B$7:$B$306,A165)=0,COUNTIFS('Update log'!$B$7:$B$306,A165)=0)),"Closure docs missing","Basic records complete"))))))</x:f>
      </x:c>
      <x:c r="S165" s="3"/>
      <x:c r="T165" s="3"/>
    </x:row>
    <x:row r="166" ht="25" customHeight="1">
      <x:c r="A166" s="3"/>
      <x:c r="B166" s="3"/>
      <x:c r="C166" s="3"/>
      <x:c r="D166" s="3"/>
      <x:c r="E166" s="3"/>
      <x:c r="F166" s="3"/>
      <x:c r="G166" s="3"/>
      <x:c r="H166" s="3"/>
      <x:c r="I166" s="20"/>
      <x:c r="J166" s="3"/>
      <x:c r="K166" s="22"/>
      <x:c r="L166" s="22"/>
      <x:c r="M166" s="24" t="str">
        <x:f>IF(A166="","",IF(COUNTIFS('Execution log'!$B$7:$B$306,A166)=0,"",IF(COUNTIFS('Execution log'!$B$7:$B$306,A166,'Execution log'!$L$7:$L$306,"Valid",'Execution log'!$P$7:$P$306,"&lt;&gt;Valid input")&gt;0,"To check",IF(COUNTIFS('Execution log'!$B$7:$B$306,A166,'Execution log'!$P$7:$P$306,"Valid input")=0,"",SUMIFS('Execution log'!$H$7:$H$306,'Execution log'!$B$7:$B$306,A166,'Execution log'!$P$7:$P$306,"Valid input")))))</x:f>
      </x:c>
      <x:c r="N166" s="24" t="str">
        <x:f>IF(A166="","",IF(COUNTIFS('Execution log'!$B$7:$B$306,A166)=0,"",IF(COUNTIFS('Execution log'!$B$7:$B$306,A166,'Execution log'!$L$7:$L$306,"Valid",'Execution log'!$P$7:$P$306,"&lt;&gt;Valid input")&gt;0,"To check",IF(COUNTIFS('Execution log'!$B$7:$B$306,A166,'Execution log'!$P$7:$P$306,"Valid input")=0,"",SUMIFS('Execution log'!$J$7:$J$306,'Execution log'!$B$7:$B$306,A166,'Execution log'!$P$7:$P$306,"Valid input")))))</x:f>
      </x:c>
      <x:c r="O166" s="24" t="str">
        <x:f>IF(A166="","",IF(NOT(ISNUMBER(K166)),"Budget TBD",IF(NOT(ISNUMBER(M166)),"No valid entries yet",K166-M166)))</x:f>
      </x:c>
      <x:c r="P166" s="24" t="str">
        <x:f>IF(A166="","",IF(NOT(ISNUMBER(L166)),"Budget TBD",IF(NOT(ISNUMBER(N166)),"No valid entries yet",L166-N166)))</x:f>
      </x:c>
      <x:c r="Q166" s="19" t="str">
        <x:f>IF(A166="","",IF(D166="Closed","Closed",IF(NOT(ISNUMBER(I166)),"Review date TBD",IF(NOT(ISNUMBER($B$3)),"Evaluation date TBD",IF(I166&lt;=$B$3,"Review due","Not due")))))</x:f>
      </x:c>
      <x:c r="R166" s="19" t="str">
        <x:f>IF(A166="","",IF(COUNTIFS($A$7:$A$306,A166)&lt;&gt;1,"Duplicate case ID",IF(OR(B166="",C166="",D166="",G166="",S166=""),"Basic info missing",IF(AND(F166&lt;&gt;"",COUNTIFS('Plan versions'!$A$7:$A$306,F166,'Plan versions'!$B$7:$B$306,A166,'Plan versions'!$L$7:$L$306,"Frozen")&lt;&gt;1),"Invalid current plan ref",IF(AND(D166="Executing",F166=""),"Execution lacks plan",IF(AND(D166="Closed",OR(T166="",COUNTIFS('Reviews'!$B$7:$B$306,A166)=0,COUNTIFS('Update log'!$B$7:$B$306,A166)=0)),"Closure docs missing","Basic records complete"))))))</x:f>
      </x:c>
      <x:c r="S166" s="3"/>
      <x:c r="T166" s="3"/>
    </x:row>
    <x:row r="167" ht="25" customHeight="1">
      <x:c r="A167" s="3"/>
      <x:c r="B167" s="3"/>
      <x:c r="C167" s="3"/>
      <x:c r="D167" s="3"/>
      <x:c r="E167" s="3"/>
      <x:c r="F167" s="3"/>
      <x:c r="G167" s="3"/>
      <x:c r="H167" s="3"/>
      <x:c r="I167" s="20"/>
      <x:c r="J167" s="3"/>
      <x:c r="K167" s="22"/>
      <x:c r="L167" s="22"/>
      <x:c r="M167" s="24" t="str">
        <x:f>IF(A167="","",IF(COUNTIFS('Execution log'!$B$7:$B$306,A167)=0,"",IF(COUNTIFS('Execution log'!$B$7:$B$306,A167,'Execution log'!$L$7:$L$306,"Valid",'Execution log'!$P$7:$P$306,"&lt;&gt;Valid input")&gt;0,"To check",IF(COUNTIFS('Execution log'!$B$7:$B$306,A167,'Execution log'!$P$7:$P$306,"Valid input")=0,"",SUMIFS('Execution log'!$H$7:$H$306,'Execution log'!$B$7:$B$306,A167,'Execution log'!$P$7:$P$306,"Valid input")))))</x:f>
      </x:c>
      <x:c r="N167" s="24" t="str">
        <x:f>IF(A167="","",IF(COUNTIFS('Execution log'!$B$7:$B$306,A167)=0,"",IF(COUNTIFS('Execution log'!$B$7:$B$306,A167,'Execution log'!$L$7:$L$306,"Valid",'Execution log'!$P$7:$P$306,"&lt;&gt;Valid input")&gt;0,"To check",IF(COUNTIFS('Execution log'!$B$7:$B$306,A167,'Execution log'!$P$7:$P$306,"Valid input")=0,"",SUMIFS('Execution log'!$J$7:$J$306,'Execution log'!$B$7:$B$306,A167,'Execution log'!$P$7:$P$306,"Valid input")))))</x:f>
      </x:c>
      <x:c r="O167" s="24" t="str">
        <x:f>IF(A167="","",IF(NOT(ISNUMBER(K167)),"Budget TBD",IF(NOT(ISNUMBER(M167)),"No valid entries yet",K167-M167)))</x:f>
      </x:c>
      <x:c r="P167" s="24" t="str">
        <x:f>IF(A167="","",IF(NOT(ISNUMBER(L167)),"Budget TBD",IF(NOT(ISNUMBER(N167)),"No valid entries yet",L167-N167)))</x:f>
      </x:c>
      <x:c r="Q167" s="19" t="str">
        <x:f>IF(A167="","",IF(D167="Closed","Closed",IF(NOT(ISNUMBER(I167)),"Review date TBD",IF(NOT(ISNUMBER($B$3)),"Evaluation date TBD",IF(I167&lt;=$B$3,"Review due","Not due")))))</x:f>
      </x:c>
      <x:c r="R167" s="19" t="str">
        <x:f>IF(A167="","",IF(COUNTIFS($A$7:$A$306,A167)&lt;&gt;1,"Duplicate case ID",IF(OR(B167="",C167="",D167="",G167="",S167=""),"Basic info missing",IF(AND(F167&lt;&gt;"",COUNTIFS('Plan versions'!$A$7:$A$306,F167,'Plan versions'!$B$7:$B$306,A167,'Plan versions'!$L$7:$L$306,"Frozen")&lt;&gt;1),"Invalid current plan ref",IF(AND(D167="Executing",F167=""),"Execution lacks plan",IF(AND(D167="Closed",OR(T167="",COUNTIFS('Reviews'!$B$7:$B$306,A167)=0,COUNTIFS('Update log'!$B$7:$B$306,A167)=0)),"Closure docs missing","Basic records complete"))))))</x:f>
      </x:c>
      <x:c r="S167" s="3"/>
      <x:c r="T167" s="3"/>
    </x:row>
    <x:row r="168" ht="25" customHeight="1">
      <x:c r="A168" s="3"/>
      <x:c r="B168" s="3"/>
      <x:c r="C168" s="3"/>
      <x:c r="D168" s="3"/>
      <x:c r="E168" s="3"/>
      <x:c r="F168" s="3"/>
      <x:c r="G168" s="3"/>
      <x:c r="H168" s="3"/>
      <x:c r="I168" s="20"/>
      <x:c r="J168" s="3"/>
      <x:c r="K168" s="22"/>
      <x:c r="L168" s="22"/>
      <x:c r="M168" s="24" t="str">
        <x:f>IF(A168="","",IF(COUNTIFS('Execution log'!$B$7:$B$306,A168)=0,"",IF(COUNTIFS('Execution log'!$B$7:$B$306,A168,'Execution log'!$L$7:$L$306,"Valid",'Execution log'!$P$7:$P$306,"&lt;&gt;Valid input")&gt;0,"To check",IF(COUNTIFS('Execution log'!$B$7:$B$306,A168,'Execution log'!$P$7:$P$306,"Valid input")=0,"",SUMIFS('Execution log'!$H$7:$H$306,'Execution log'!$B$7:$B$306,A168,'Execution log'!$P$7:$P$306,"Valid input")))))</x:f>
      </x:c>
      <x:c r="N168" s="24" t="str">
        <x:f>IF(A168="","",IF(COUNTIFS('Execution log'!$B$7:$B$306,A168)=0,"",IF(COUNTIFS('Execution log'!$B$7:$B$306,A168,'Execution log'!$L$7:$L$306,"Valid",'Execution log'!$P$7:$P$306,"&lt;&gt;Valid input")&gt;0,"To check",IF(COUNTIFS('Execution log'!$B$7:$B$306,A168,'Execution log'!$P$7:$P$306,"Valid input")=0,"",SUMIFS('Execution log'!$J$7:$J$306,'Execution log'!$B$7:$B$306,A168,'Execution log'!$P$7:$P$306,"Valid input")))))</x:f>
      </x:c>
      <x:c r="O168" s="24" t="str">
        <x:f>IF(A168="","",IF(NOT(ISNUMBER(K168)),"Budget TBD",IF(NOT(ISNUMBER(M168)),"No valid entries yet",K168-M168)))</x:f>
      </x:c>
      <x:c r="P168" s="24" t="str">
        <x:f>IF(A168="","",IF(NOT(ISNUMBER(L168)),"Budget TBD",IF(NOT(ISNUMBER(N168)),"No valid entries yet",L168-N168)))</x:f>
      </x:c>
      <x:c r="Q168" s="19" t="str">
        <x:f>IF(A168="","",IF(D168="Closed","Closed",IF(NOT(ISNUMBER(I168)),"Review date TBD",IF(NOT(ISNUMBER($B$3)),"Evaluation date TBD",IF(I168&lt;=$B$3,"Review due","Not due")))))</x:f>
      </x:c>
      <x:c r="R168" s="19" t="str">
        <x:f>IF(A168="","",IF(COUNTIFS($A$7:$A$306,A168)&lt;&gt;1,"Duplicate case ID",IF(OR(B168="",C168="",D168="",G168="",S168=""),"Basic info missing",IF(AND(F168&lt;&gt;"",COUNTIFS('Plan versions'!$A$7:$A$306,F168,'Plan versions'!$B$7:$B$306,A168,'Plan versions'!$L$7:$L$306,"Frozen")&lt;&gt;1),"Invalid current plan ref",IF(AND(D168="Executing",F168=""),"Execution lacks plan",IF(AND(D168="Closed",OR(T168="",COUNTIFS('Reviews'!$B$7:$B$306,A168)=0,COUNTIFS('Update log'!$B$7:$B$306,A168)=0)),"Closure docs missing","Basic records complete"))))))</x:f>
      </x:c>
      <x:c r="S168" s="3"/>
      <x:c r="T168" s="3"/>
    </x:row>
    <x:row r="169" ht="25" customHeight="1">
      <x:c r="A169" s="3"/>
      <x:c r="B169" s="3"/>
      <x:c r="C169" s="3"/>
      <x:c r="D169" s="3"/>
      <x:c r="E169" s="3"/>
      <x:c r="F169" s="3"/>
      <x:c r="G169" s="3"/>
      <x:c r="H169" s="3"/>
      <x:c r="I169" s="20"/>
      <x:c r="J169" s="3"/>
      <x:c r="K169" s="22"/>
      <x:c r="L169" s="22"/>
      <x:c r="M169" s="24" t="str">
        <x:f>IF(A169="","",IF(COUNTIFS('Execution log'!$B$7:$B$306,A169)=0,"",IF(COUNTIFS('Execution log'!$B$7:$B$306,A169,'Execution log'!$L$7:$L$306,"Valid",'Execution log'!$P$7:$P$306,"&lt;&gt;Valid input")&gt;0,"To check",IF(COUNTIFS('Execution log'!$B$7:$B$306,A169,'Execution log'!$P$7:$P$306,"Valid input")=0,"",SUMIFS('Execution log'!$H$7:$H$306,'Execution log'!$B$7:$B$306,A169,'Execution log'!$P$7:$P$306,"Valid input")))))</x:f>
      </x:c>
      <x:c r="N169" s="24" t="str">
        <x:f>IF(A169="","",IF(COUNTIFS('Execution log'!$B$7:$B$306,A169)=0,"",IF(COUNTIFS('Execution log'!$B$7:$B$306,A169,'Execution log'!$L$7:$L$306,"Valid",'Execution log'!$P$7:$P$306,"&lt;&gt;Valid input")&gt;0,"To check",IF(COUNTIFS('Execution log'!$B$7:$B$306,A169,'Execution log'!$P$7:$P$306,"Valid input")=0,"",SUMIFS('Execution log'!$J$7:$J$306,'Execution log'!$B$7:$B$306,A169,'Execution log'!$P$7:$P$306,"Valid input")))))</x:f>
      </x:c>
      <x:c r="O169" s="24" t="str">
        <x:f>IF(A169="","",IF(NOT(ISNUMBER(K169)),"Budget TBD",IF(NOT(ISNUMBER(M169)),"No valid entries yet",K169-M169)))</x:f>
      </x:c>
      <x:c r="P169" s="24" t="str">
        <x:f>IF(A169="","",IF(NOT(ISNUMBER(L169)),"Budget TBD",IF(NOT(ISNUMBER(N169)),"No valid entries yet",L169-N169)))</x:f>
      </x:c>
      <x:c r="Q169" s="19" t="str">
        <x:f>IF(A169="","",IF(D169="Closed","Closed",IF(NOT(ISNUMBER(I169)),"Review date TBD",IF(NOT(ISNUMBER($B$3)),"Evaluation date TBD",IF(I169&lt;=$B$3,"Review due","Not due")))))</x:f>
      </x:c>
      <x:c r="R169" s="19" t="str">
        <x:f>IF(A169="","",IF(COUNTIFS($A$7:$A$306,A169)&lt;&gt;1,"Duplicate case ID",IF(OR(B169="",C169="",D169="",G169="",S169=""),"Basic info missing",IF(AND(F169&lt;&gt;"",COUNTIFS('Plan versions'!$A$7:$A$306,F169,'Plan versions'!$B$7:$B$306,A169,'Plan versions'!$L$7:$L$306,"Frozen")&lt;&gt;1),"Invalid current plan ref",IF(AND(D169="Executing",F169=""),"Execution lacks plan",IF(AND(D169="Closed",OR(T169="",COUNTIFS('Reviews'!$B$7:$B$306,A169)=0,COUNTIFS('Update log'!$B$7:$B$306,A169)=0)),"Closure docs missing","Basic records complete"))))))</x:f>
      </x:c>
      <x:c r="S169" s="3"/>
      <x:c r="T169" s="3"/>
    </x:row>
    <x:row r="170" ht="25" customHeight="1">
      <x:c r="A170" s="3"/>
      <x:c r="B170" s="3"/>
      <x:c r="C170" s="3"/>
      <x:c r="D170" s="3"/>
      <x:c r="E170" s="3"/>
      <x:c r="F170" s="3"/>
      <x:c r="G170" s="3"/>
      <x:c r="H170" s="3"/>
      <x:c r="I170" s="20"/>
      <x:c r="J170" s="3"/>
      <x:c r="K170" s="22"/>
      <x:c r="L170" s="22"/>
      <x:c r="M170" s="24" t="str">
        <x:f>IF(A170="","",IF(COUNTIFS('Execution log'!$B$7:$B$306,A170)=0,"",IF(COUNTIFS('Execution log'!$B$7:$B$306,A170,'Execution log'!$L$7:$L$306,"Valid",'Execution log'!$P$7:$P$306,"&lt;&gt;Valid input")&gt;0,"To check",IF(COUNTIFS('Execution log'!$B$7:$B$306,A170,'Execution log'!$P$7:$P$306,"Valid input")=0,"",SUMIFS('Execution log'!$H$7:$H$306,'Execution log'!$B$7:$B$306,A170,'Execution log'!$P$7:$P$306,"Valid input")))))</x:f>
      </x:c>
      <x:c r="N170" s="24" t="str">
        <x:f>IF(A170="","",IF(COUNTIFS('Execution log'!$B$7:$B$306,A170)=0,"",IF(COUNTIFS('Execution log'!$B$7:$B$306,A170,'Execution log'!$L$7:$L$306,"Valid",'Execution log'!$P$7:$P$306,"&lt;&gt;Valid input")&gt;0,"To check",IF(COUNTIFS('Execution log'!$B$7:$B$306,A170,'Execution log'!$P$7:$P$306,"Valid input")=0,"",SUMIFS('Execution log'!$J$7:$J$306,'Execution log'!$B$7:$B$306,A170,'Execution log'!$P$7:$P$306,"Valid input")))))</x:f>
      </x:c>
      <x:c r="O170" s="24" t="str">
        <x:f>IF(A170="","",IF(NOT(ISNUMBER(K170)),"Budget TBD",IF(NOT(ISNUMBER(M170)),"No valid entries yet",K170-M170)))</x:f>
      </x:c>
      <x:c r="P170" s="24" t="str">
        <x:f>IF(A170="","",IF(NOT(ISNUMBER(L170)),"Budget TBD",IF(NOT(ISNUMBER(N170)),"No valid entries yet",L170-N170)))</x:f>
      </x:c>
      <x:c r="Q170" s="19" t="str">
        <x:f>IF(A170="","",IF(D170="Closed","Closed",IF(NOT(ISNUMBER(I170)),"Review date TBD",IF(NOT(ISNUMBER($B$3)),"Evaluation date TBD",IF(I170&lt;=$B$3,"Review due","Not due")))))</x:f>
      </x:c>
      <x:c r="R170" s="19" t="str">
        <x:f>IF(A170="","",IF(COUNTIFS($A$7:$A$306,A170)&lt;&gt;1,"Duplicate case ID",IF(OR(B170="",C170="",D170="",G170="",S170=""),"Basic info missing",IF(AND(F170&lt;&gt;"",COUNTIFS('Plan versions'!$A$7:$A$306,F170,'Plan versions'!$B$7:$B$306,A170,'Plan versions'!$L$7:$L$306,"Frozen")&lt;&gt;1),"Invalid current plan ref",IF(AND(D170="Executing",F170=""),"Execution lacks plan",IF(AND(D170="Closed",OR(T170="",COUNTIFS('Reviews'!$B$7:$B$306,A170)=0,COUNTIFS('Update log'!$B$7:$B$306,A170)=0)),"Closure docs missing","Basic records complete"))))))</x:f>
      </x:c>
      <x:c r="S170" s="3"/>
      <x:c r="T170" s="3"/>
    </x:row>
    <x:row r="171" ht="25" customHeight="1">
      <x:c r="A171" s="3"/>
      <x:c r="B171" s="3"/>
      <x:c r="C171" s="3"/>
      <x:c r="D171" s="3"/>
      <x:c r="E171" s="3"/>
      <x:c r="F171" s="3"/>
      <x:c r="G171" s="3"/>
      <x:c r="H171" s="3"/>
      <x:c r="I171" s="20"/>
      <x:c r="J171" s="3"/>
      <x:c r="K171" s="22"/>
      <x:c r="L171" s="22"/>
      <x:c r="M171" s="24" t="str">
        <x:f>IF(A171="","",IF(COUNTIFS('Execution log'!$B$7:$B$306,A171)=0,"",IF(COUNTIFS('Execution log'!$B$7:$B$306,A171,'Execution log'!$L$7:$L$306,"Valid",'Execution log'!$P$7:$P$306,"&lt;&gt;Valid input")&gt;0,"To check",IF(COUNTIFS('Execution log'!$B$7:$B$306,A171,'Execution log'!$P$7:$P$306,"Valid input")=0,"",SUMIFS('Execution log'!$H$7:$H$306,'Execution log'!$B$7:$B$306,A171,'Execution log'!$P$7:$P$306,"Valid input")))))</x:f>
      </x:c>
      <x:c r="N171" s="24" t="str">
        <x:f>IF(A171="","",IF(COUNTIFS('Execution log'!$B$7:$B$306,A171)=0,"",IF(COUNTIFS('Execution log'!$B$7:$B$306,A171,'Execution log'!$L$7:$L$306,"Valid",'Execution log'!$P$7:$P$306,"&lt;&gt;Valid input")&gt;0,"To check",IF(COUNTIFS('Execution log'!$B$7:$B$306,A171,'Execution log'!$P$7:$P$306,"Valid input")=0,"",SUMIFS('Execution log'!$J$7:$J$306,'Execution log'!$B$7:$B$306,A171,'Execution log'!$P$7:$P$306,"Valid input")))))</x:f>
      </x:c>
      <x:c r="O171" s="24" t="str">
        <x:f>IF(A171="","",IF(NOT(ISNUMBER(K171)),"Budget TBD",IF(NOT(ISNUMBER(M171)),"No valid entries yet",K171-M171)))</x:f>
      </x:c>
      <x:c r="P171" s="24" t="str">
        <x:f>IF(A171="","",IF(NOT(ISNUMBER(L171)),"Budget TBD",IF(NOT(ISNUMBER(N171)),"No valid entries yet",L171-N171)))</x:f>
      </x:c>
      <x:c r="Q171" s="19" t="str">
        <x:f>IF(A171="","",IF(D171="Closed","Closed",IF(NOT(ISNUMBER(I171)),"Review date TBD",IF(NOT(ISNUMBER($B$3)),"Evaluation date TBD",IF(I171&lt;=$B$3,"Review due","Not due")))))</x:f>
      </x:c>
      <x:c r="R171" s="19" t="str">
        <x:f>IF(A171="","",IF(COUNTIFS($A$7:$A$306,A171)&lt;&gt;1,"Duplicate case ID",IF(OR(B171="",C171="",D171="",G171="",S171=""),"Basic info missing",IF(AND(F171&lt;&gt;"",COUNTIFS('Plan versions'!$A$7:$A$306,F171,'Plan versions'!$B$7:$B$306,A171,'Plan versions'!$L$7:$L$306,"Frozen")&lt;&gt;1),"Invalid current plan ref",IF(AND(D171="Executing",F171=""),"Execution lacks plan",IF(AND(D171="Closed",OR(T171="",COUNTIFS('Reviews'!$B$7:$B$306,A171)=0,COUNTIFS('Update log'!$B$7:$B$306,A171)=0)),"Closure docs missing","Basic records complete"))))))</x:f>
      </x:c>
      <x:c r="S171" s="3"/>
      <x:c r="T171" s="3"/>
    </x:row>
    <x:row r="172" ht="25" customHeight="1">
      <x:c r="A172" s="3"/>
      <x:c r="B172" s="3"/>
      <x:c r="C172" s="3"/>
      <x:c r="D172" s="3"/>
      <x:c r="E172" s="3"/>
      <x:c r="F172" s="3"/>
      <x:c r="G172" s="3"/>
      <x:c r="H172" s="3"/>
      <x:c r="I172" s="20"/>
      <x:c r="J172" s="3"/>
      <x:c r="K172" s="22"/>
      <x:c r="L172" s="22"/>
      <x:c r="M172" s="24" t="str">
        <x:f>IF(A172="","",IF(COUNTIFS('Execution log'!$B$7:$B$306,A172)=0,"",IF(COUNTIFS('Execution log'!$B$7:$B$306,A172,'Execution log'!$L$7:$L$306,"Valid",'Execution log'!$P$7:$P$306,"&lt;&gt;Valid input")&gt;0,"To check",IF(COUNTIFS('Execution log'!$B$7:$B$306,A172,'Execution log'!$P$7:$P$306,"Valid input")=0,"",SUMIFS('Execution log'!$H$7:$H$306,'Execution log'!$B$7:$B$306,A172,'Execution log'!$P$7:$P$306,"Valid input")))))</x:f>
      </x:c>
      <x:c r="N172" s="24" t="str">
        <x:f>IF(A172="","",IF(COUNTIFS('Execution log'!$B$7:$B$306,A172)=0,"",IF(COUNTIFS('Execution log'!$B$7:$B$306,A172,'Execution log'!$L$7:$L$306,"Valid",'Execution log'!$P$7:$P$306,"&lt;&gt;Valid input")&gt;0,"To check",IF(COUNTIFS('Execution log'!$B$7:$B$306,A172,'Execution log'!$P$7:$P$306,"Valid input")=0,"",SUMIFS('Execution log'!$J$7:$J$306,'Execution log'!$B$7:$B$306,A172,'Execution log'!$P$7:$P$306,"Valid input")))))</x:f>
      </x:c>
      <x:c r="O172" s="24" t="str">
        <x:f>IF(A172="","",IF(NOT(ISNUMBER(K172)),"Budget TBD",IF(NOT(ISNUMBER(M172)),"No valid entries yet",K172-M172)))</x:f>
      </x:c>
      <x:c r="P172" s="24" t="str">
        <x:f>IF(A172="","",IF(NOT(ISNUMBER(L172)),"Budget TBD",IF(NOT(ISNUMBER(N172)),"No valid entries yet",L172-N172)))</x:f>
      </x:c>
      <x:c r="Q172" s="19" t="str">
        <x:f>IF(A172="","",IF(D172="Closed","Closed",IF(NOT(ISNUMBER(I172)),"Review date TBD",IF(NOT(ISNUMBER($B$3)),"Evaluation date TBD",IF(I172&lt;=$B$3,"Review due","Not due")))))</x:f>
      </x:c>
      <x:c r="R172" s="19" t="str">
        <x:f>IF(A172="","",IF(COUNTIFS($A$7:$A$306,A172)&lt;&gt;1,"Duplicate case ID",IF(OR(B172="",C172="",D172="",G172="",S172=""),"Basic info missing",IF(AND(F172&lt;&gt;"",COUNTIFS('Plan versions'!$A$7:$A$306,F172,'Plan versions'!$B$7:$B$306,A172,'Plan versions'!$L$7:$L$306,"Frozen")&lt;&gt;1),"Invalid current plan ref",IF(AND(D172="Executing",F172=""),"Execution lacks plan",IF(AND(D172="Closed",OR(T172="",COUNTIFS('Reviews'!$B$7:$B$306,A172)=0,COUNTIFS('Update log'!$B$7:$B$306,A172)=0)),"Closure docs missing","Basic records complete"))))))</x:f>
      </x:c>
      <x:c r="S172" s="3"/>
      <x:c r="T172" s="3"/>
    </x:row>
    <x:row r="173" ht="25" customHeight="1">
      <x:c r="A173" s="3"/>
      <x:c r="B173" s="3"/>
      <x:c r="C173" s="3"/>
      <x:c r="D173" s="3"/>
      <x:c r="E173" s="3"/>
      <x:c r="F173" s="3"/>
      <x:c r="G173" s="3"/>
      <x:c r="H173" s="3"/>
      <x:c r="I173" s="20"/>
      <x:c r="J173" s="3"/>
      <x:c r="K173" s="22"/>
      <x:c r="L173" s="22"/>
      <x:c r="M173" s="24" t="str">
        <x:f>IF(A173="","",IF(COUNTIFS('Execution log'!$B$7:$B$306,A173)=0,"",IF(COUNTIFS('Execution log'!$B$7:$B$306,A173,'Execution log'!$L$7:$L$306,"Valid",'Execution log'!$P$7:$P$306,"&lt;&gt;Valid input")&gt;0,"To check",IF(COUNTIFS('Execution log'!$B$7:$B$306,A173,'Execution log'!$P$7:$P$306,"Valid input")=0,"",SUMIFS('Execution log'!$H$7:$H$306,'Execution log'!$B$7:$B$306,A173,'Execution log'!$P$7:$P$306,"Valid input")))))</x:f>
      </x:c>
      <x:c r="N173" s="24" t="str">
        <x:f>IF(A173="","",IF(COUNTIFS('Execution log'!$B$7:$B$306,A173)=0,"",IF(COUNTIFS('Execution log'!$B$7:$B$306,A173,'Execution log'!$L$7:$L$306,"Valid",'Execution log'!$P$7:$P$306,"&lt;&gt;Valid input")&gt;0,"To check",IF(COUNTIFS('Execution log'!$B$7:$B$306,A173,'Execution log'!$P$7:$P$306,"Valid input")=0,"",SUMIFS('Execution log'!$J$7:$J$306,'Execution log'!$B$7:$B$306,A173,'Execution log'!$P$7:$P$306,"Valid input")))))</x:f>
      </x:c>
      <x:c r="O173" s="24" t="str">
        <x:f>IF(A173="","",IF(NOT(ISNUMBER(K173)),"Budget TBD",IF(NOT(ISNUMBER(M173)),"No valid entries yet",K173-M173)))</x:f>
      </x:c>
      <x:c r="P173" s="24" t="str">
        <x:f>IF(A173="","",IF(NOT(ISNUMBER(L173)),"Budget TBD",IF(NOT(ISNUMBER(N173)),"No valid entries yet",L173-N173)))</x:f>
      </x:c>
      <x:c r="Q173" s="19" t="str">
        <x:f>IF(A173="","",IF(D173="Closed","Closed",IF(NOT(ISNUMBER(I173)),"Review date TBD",IF(NOT(ISNUMBER($B$3)),"Evaluation date TBD",IF(I173&lt;=$B$3,"Review due","Not due")))))</x:f>
      </x:c>
      <x:c r="R173" s="19" t="str">
        <x:f>IF(A173="","",IF(COUNTIFS($A$7:$A$306,A173)&lt;&gt;1,"Duplicate case ID",IF(OR(B173="",C173="",D173="",G173="",S173=""),"Basic info missing",IF(AND(F173&lt;&gt;"",COUNTIFS('Plan versions'!$A$7:$A$306,F173,'Plan versions'!$B$7:$B$306,A173,'Plan versions'!$L$7:$L$306,"Frozen")&lt;&gt;1),"Invalid current plan ref",IF(AND(D173="Executing",F173=""),"Execution lacks plan",IF(AND(D173="Closed",OR(T173="",COUNTIFS('Reviews'!$B$7:$B$306,A173)=0,COUNTIFS('Update log'!$B$7:$B$306,A173)=0)),"Closure docs missing","Basic records complete"))))))</x:f>
      </x:c>
      <x:c r="S173" s="3"/>
      <x:c r="T173" s="3"/>
    </x:row>
    <x:row r="174" ht="25" customHeight="1">
      <x:c r="A174" s="3"/>
      <x:c r="B174" s="3"/>
      <x:c r="C174" s="3"/>
      <x:c r="D174" s="3"/>
      <x:c r="E174" s="3"/>
      <x:c r="F174" s="3"/>
      <x:c r="G174" s="3"/>
      <x:c r="H174" s="3"/>
      <x:c r="I174" s="20"/>
      <x:c r="J174" s="3"/>
      <x:c r="K174" s="22"/>
      <x:c r="L174" s="22"/>
      <x:c r="M174" s="24" t="str">
        <x:f>IF(A174="","",IF(COUNTIFS('Execution log'!$B$7:$B$306,A174)=0,"",IF(COUNTIFS('Execution log'!$B$7:$B$306,A174,'Execution log'!$L$7:$L$306,"Valid",'Execution log'!$P$7:$P$306,"&lt;&gt;Valid input")&gt;0,"To check",IF(COUNTIFS('Execution log'!$B$7:$B$306,A174,'Execution log'!$P$7:$P$306,"Valid input")=0,"",SUMIFS('Execution log'!$H$7:$H$306,'Execution log'!$B$7:$B$306,A174,'Execution log'!$P$7:$P$306,"Valid input")))))</x:f>
      </x:c>
      <x:c r="N174" s="24" t="str">
        <x:f>IF(A174="","",IF(COUNTIFS('Execution log'!$B$7:$B$306,A174)=0,"",IF(COUNTIFS('Execution log'!$B$7:$B$306,A174,'Execution log'!$L$7:$L$306,"Valid",'Execution log'!$P$7:$P$306,"&lt;&gt;Valid input")&gt;0,"To check",IF(COUNTIFS('Execution log'!$B$7:$B$306,A174,'Execution log'!$P$7:$P$306,"Valid input")=0,"",SUMIFS('Execution log'!$J$7:$J$306,'Execution log'!$B$7:$B$306,A174,'Execution log'!$P$7:$P$306,"Valid input")))))</x:f>
      </x:c>
      <x:c r="O174" s="24" t="str">
        <x:f>IF(A174="","",IF(NOT(ISNUMBER(K174)),"Budget TBD",IF(NOT(ISNUMBER(M174)),"No valid entries yet",K174-M174)))</x:f>
      </x:c>
      <x:c r="P174" s="24" t="str">
        <x:f>IF(A174="","",IF(NOT(ISNUMBER(L174)),"Budget TBD",IF(NOT(ISNUMBER(N174)),"No valid entries yet",L174-N174)))</x:f>
      </x:c>
      <x:c r="Q174" s="19" t="str">
        <x:f>IF(A174="","",IF(D174="Closed","Closed",IF(NOT(ISNUMBER(I174)),"Review date TBD",IF(NOT(ISNUMBER($B$3)),"Evaluation date TBD",IF(I174&lt;=$B$3,"Review due","Not due")))))</x:f>
      </x:c>
      <x:c r="R174" s="19" t="str">
        <x:f>IF(A174="","",IF(COUNTIFS($A$7:$A$306,A174)&lt;&gt;1,"Duplicate case ID",IF(OR(B174="",C174="",D174="",G174="",S174=""),"Basic info missing",IF(AND(F174&lt;&gt;"",COUNTIFS('Plan versions'!$A$7:$A$306,F174,'Plan versions'!$B$7:$B$306,A174,'Plan versions'!$L$7:$L$306,"Frozen")&lt;&gt;1),"Invalid current plan ref",IF(AND(D174="Executing",F174=""),"Execution lacks plan",IF(AND(D174="Closed",OR(T174="",COUNTIFS('Reviews'!$B$7:$B$306,A174)=0,COUNTIFS('Update log'!$B$7:$B$306,A174)=0)),"Closure docs missing","Basic records complete"))))))</x:f>
      </x:c>
      <x:c r="S174" s="3"/>
      <x:c r="T174" s="3"/>
    </x:row>
    <x:row r="175" ht="25" customHeight="1">
      <x:c r="A175" s="3"/>
      <x:c r="B175" s="3"/>
      <x:c r="C175" s="3"/>
      <x:c r="D175" s="3"/>
      <x:c r="E175" s="3"/>
      <x:c r="F175" s="3"/>
      <x:c r="G175" s="3"/>
      <x:c r="H175" s="3"/>
      <x:c r="I175" s="20"/>
      <x:c r="J175" s="3"/>
      <x:c r="K175" s="22"/>
      <x:c r="L175" s="22"/>
      <x:c r="M175" s="24" t="str">
        <x:f>IF(A175="","",IF(COUNTIFS('Execution log'!$B$7:$B$306,A175)=0,"",IF(COUNTIFS('Execution log'!$B$7:$B$306,A175,'Execution log'!$L$7:$L$306,"Valid",'Execution log'!$P$7:$P$306,"&lt;&gt;Valid input")&gt;0,"To check",IF(COUNTIFS('Execution log'!$B$7:$B$306,A175,'Execution log'!$P$7:$P$306,"Valid input")=0,"",SUMIFS('Execution log'!$H$7:$H$306,'Execution log'!$B$7:$B$306,A175,'Execution log'!$P$7:$P$306,"Valid input")))))</x:f>
      </x:c>
      <x:c r="N175" s="24" t="str">
        <x:f>IF(A175="","",IF(COUNTIFS('Execution log'!$B$7:$B$306,A175)=0,"",IF(COUNTIFS('Execution log'!$B$7:$B$306,A175,'Execution log'!$L$7:$L$306,"Valid",'Execution log'!$P$7:$P$306,"&lt;&gt;Valid input")&gt;0,"To check",IF(COUNTIFS('Execution log'!$B$7:$B$306,A175,'Execution log'!$P$7:$P$306,"Valid input")=0,"",SUMIFS('Execution log'!$J$7:$J$306,'Execution log'!$B$7:$B$306,A175,'Execution log'!$P$7:$P$306,"Valid input")))))</x:f>
      </x:c>
      <x:c r="O175" s="24" t="str">
        <x:f>IF(A175="","",IF(NOT(ISNUMBER(K175)),"Budget TBD",IF(NOT(ISNUMBER(M175)),"No valid entries yet",K175-M175)))</x:f>
      </x:c>
      <x:c r="P175" s="24" t="str">
        <x:f>IF(A175="","",IF(NOT(ISNUMBER(L175)),"Budget TBD",IF(NOT(ISNUMBER(N175)),"No valid entries yet",L175-N175)))</x:f>
      </x:c>
      <x:c r="Q175" s="19" t="str">
        <x:f>IF(A175="","",IF(D175="Closed","Closed",IF(NOT(ISNUMBER(I175)),"Review date TBD",IF(NOT(ISNUMBER($B$3)),"Evaluation date TBD",IF(I175&lt;=$B$3,"Review due","Not due")))))</x:f>
      </x:c>
      <x:c r="R175" s="19" t="str">
        <x:f>IF(A175="","",IF(COUNTIFS($A$7:$A$306,A175)&lt;&gt;1,"Duplicate case ID",IF(OR(B175="",C175="",D175="",G175="",S175=""),"Basic info missing",IF(AND(F175&lt;&gt;"",COUNTIFS('Plan versions'!$A$7:$A$306,F175,'Plan versions'!$B$7:$B$306,A175,'Plan versions'!$L$7:$L$306,"Frozen")&lt;&gt;1),"Invalid current plan ref",IF(AND(D175="Executing",F175=""),"Execution lacks plan",IF(AND(D175="Closed",OR(T175="",COUNTIFS('Reviews'!$B$7:$B$306,A175)=0,COUNTIFS('Update log'!$B$7:$B$306,A175)=0)),"Closure docs missing","Basic records complete"))))))</x:f>
      </x:c>
      <x:c r="S175" s="3"/>
      <x:c r="T175" s="3"/>
    </x:row>
    <x:row r="176" ht="25" customHeight="1">
      <x:c r="A176" s="3"/>
      <x:c r="B176" s="3"/>
      <x:c r="C176" s="3"/>
      <x:c r="D176" s="3"/>
      <x:c r="E176" s="3"/>
      <x:c r="F176" s="3"/>
      <x:c r="G176" s="3"/>
      <x:c r="H176" s="3"/>
      <x:c r="I176" s="20"/>
      <x:c r="J176" s="3"/>
      <x:c r="K176" s="22"/>
      <x:c r="L176" s="22"/>
      <x:c r="M176" s="24" t="str">
        <x:f>IF(A176="","",IF(COUNTIFS('Execution log'!$B$7:$B$306,A176)=0,"",IF(COUNTIFS('Execution log'!$B$7:$B$306,A176,'Execution log'!$L$7:$L$306,"Valid",'Execution log'!$P$7:$P$306,"&lt;&gt;Valid input")&gt;0,"To check",IF(COUNTIFS('Execution log'!$B$7:$B$306,A176,'Execution log'!$P$7:$P$306,"Valid input")=0,"",SUMIFS('Execution log'!$H$7:$H$306,'Execution log'!$B$7:$B$306,A176,'Execution log'!$P$7:$P$306,"Valid input")))))</x:f>
      </x:c>
      <x:c r="N176" s="24" t="str">
        <x:f>IF(A176="","",IF(COUNTIFS('Execution log'!$B$7:$B$306,A176)=0,"",IF(COUNTIFS('Execution log'!$B$7:$B$306,A176,'Execution log'!$L$7:$L$306,"Valid",'Execution log'!$P$7:$P$306,"&lt;&gt;Valid input")&gt;0,"To check",IF(COUNTIFS('Execution log'!$B$7:$B$306,A176,'Execution log'!$P$7:$P$306,"Valid input")=0,"",SUMIFS('Execution log'!$J$7:$J$306,'Execution log'!$B$7:$B$306,A176,'Execution log'!$P$7:$P$306,"Valid input")))))</x:f>
      </x:c>
      <x:c r="O176" s="24" t="str">
        <x:f>IF(A176="","",IF(NOT(ISNUMBER(K176)),"Budget TBD",IF(NOT(ISNUMBER(M176)),"No valid entries yet",K176-M176)))</x:f>
      </x:c>
      <x:c r="P176" s="24" t="str">
        <x:f>IF(A176="","",IF(NOT(ISNUMBER(L176)),"Budget TBD",IF(NOT(ISNUMBER(N176)),"No valid entries yet",L176-N176)))</x:f>
      </x:c>
      <x:c r="Q176" s="19" t="str">
        <x:f>IF(A176="","",IF(D176="Closed","Closed",IF(NOT(ISNUMBER(I176)),"Review date TBD",IF(NOT(ISNUMBER($B$3)),"Evaluation date TBD",IF(I176&lt;=$B$3,"Review due","Not due")))))</x:f>
      </x:c>
      <x:c r="R176" s="19" t="str">
        <x:f>IF(A176="","",IF(COUNTIFS($A$7:$A$306,A176)&lt;&gt;1,"Duplicate case ID",IF(OR(B176="",C176="",D176="",G176="",S176=""),"Basic info missing",IF(AND(F176&lt;&gt;"",COUNTIFS('Plan versions'!$A$7:$A$306,F176,'Plan versions'!$B$7:$B$306,A176,'Plan versions'!$L$7:$L$306,"Frozen")&lt;&gt;1),"Invalid current plan ref",IF(AND(D176="Executing",F176=""),"Execution lacks plan",IF(AND(D176="Closed",OR(T176="",COUNTIFS('Reviews'!$B$7:$B$306,A176)=0,COUNTIFS('Update log'!$B$7:$B$306,A176)=0)),"Closure docs missing","Basic records complete"))))))</x:f>
      </x:c>
      <x:c r="S176" s="3"/>
      <x:c r="T176" s="3"/>
    </x:row>
    <x:row r="177" ht="25" customHeight="1">
      <x:c r="A177" s="3"/>
      <x:c r="B177" s="3"/>
      <x:c r="C177" s="3"/>
      <x:c r="D177" s="3"/>
      <x:c r="E177" s="3"/>
      <x:c r="F177" s="3"/>
      <x:c r="G177" s="3"/>
      <x:c r="H177" s="3"/>
      <x:c r="I177" s="20"/>
      <x:c r="J177" s="3"/>
      <x:c r="K177" s="22"/>
      <x:c r="L177" s="22"/>
      <x:c r="M177" s="24" t="str">
        <x:f>IF(A177="","",IF(COUNTIFS('Execution log'!$B$7:$B$306,A177)=0,"",IF(COUNTIFS('Execution log'!$B$7:$B$306,A177,'Execution log'!$L$7:$L$306,"Valid",'Execution log'!$P$7:$P$306,"&lt;&gt;Valid input")&gt;0,"To check",IF(COUNTIFS('Execution log'!$B$7:$B$306,A177,'Execution log'!$P$7:$P$306,"Valid input")=0,"",SUMIFS('Execution log'!$H$7:$H$306,'Execution log'!$B$7:$B$306,A177,'Execution log'!$P$7:$P$306,"Valid input")))))</x:f>
      </x:c>
      <x:c r="N177" s="24" t="str">
        <x:f>IF(A177="","",IF(COUNTIFS('Execution log'!$B$7:$B$306,A177)=0,"",IF(COUNTIFS('Execution log'!$B$7:$B$306,A177,'Execution log'!$L$7:$L$306,"Valid",'Execution log'!$P$7:$P$306,"&lt;&gt;Valid input")&gt;0,"To check",IF(COUNTIFS('Execution log'!$B$7:$B$306,A177,'Execution log'!$P$7:$P$306,"Valid input")=0,"",SUMIFS('Execution log'!$J$7:$J$306,'Execution log'!$B$7:$B$306,A177,'Execution log'!$P$7:$P$306,"Valid input")))))</x:f>
      </x:c>
      <x:c r="O177" s="24" t="str">
        <x:f>IF(A177="","",IF(NOT(ISNUMBER(K177)),"Budget TBD",IF(NOT(ISNUMBER(M177)),"No valid entries yet",K177-M177)))</x:f>
      </x:c>
      <x:c r="P177" s="24" t="str">
        <x:f>IF(A177="","",IF(NOT(ISNUMBER(L177)),"Budget TBD",IF(NOT(ISNUMBER(N177)),"No valid entries yet",L177-N177)))</x:f>
      </x:c>
      <x:c r="Q177" s="19" t="str">
        <x:f>IF(A177="","",IF(D177="Closed","Closed",IF(NOT(ISNUMBER(I177)),"Review date TBD",IF(NOT(ISNUMBER($B$3)),"Evaluation date TBD",IF(I177&lt;=$B$3,"Review due","Not due")))))</x:f>
      </x:c>
      <x:c r="R177" s="19" t="str">
        <x:f>IF(A177="","",IF(COUNTIFS($A$7:$A$306,A177)&lt;&gt;1,"Duplicate case ID",IF(OR(B177="",C177="",D177="",G177="",S177=""),"Basic info missing",IF(AND(F177&lt;&gt;"",COUNTIFS('Plan versions'!$A$7:$A$306,F177,'Plan versions'!$B$7:$B$306,A177,'Plan versions'!$L$7:$L$306,"Frozen")&lt;&gt;1),"Invalid current plan ref",IF(AND(D177="Executing",F177=""),"Execution lacks plan",IF(AND(D177="Closed",OR(T177="",COUNTIFS('Reviews'!$B$7:$B$306,A177)=0,COUNTIFS('Update log'!$B$7:$B$306,A177)=0)),"Closure docs missing","Basic records complete"))))))</x:f>
      </x:c>
      <x:c r="S177" s="3"/>
      <x:c r="T177" s="3"/>
    </x:row>
    <x:row r="178" ht="25" customHeight="1">
      <x:c r="A178" s="3"/>
      <x:c r="B178" s="3"/>
      <x:c r="C178" s="3"/>
      <x:c r="D178" s="3"/>
      <x:c r="E178" s="3"/>
      <x:c r="F178" s="3"/>
      <x:c r="G178" s="3"/>
      <x:c r="H178" s="3"/>
      <x:c r="I178" s="20"/>
      <x:c r="J178" s="3"/>
      <x:c r="K178" s="22"/>
      <x:c r="L178" s="22"/>
      <x:c r="M178" s="24" t="str">
        <x:f>IF(A178="","",IF(COUNTIFS('Execution log'!$B$7:$B$306,A178)=0,"",IF(COUNTIFS('Execution log'!$B$7:$B$306,A178,'Execution log'!$L$7:$L$306,"Valid",'Execution log'!$P$7:$P$306,"&lt;&gt;Valid input")&gt;0,"To check",IF(COUNTIFS('Execution log'!$B$7:$B$306,A178,'Execution log'!$P$7:$P$306,"Valid input")=0,"",SUMIFS('Execution log'!$H$7:$H$306,'Execution log'!$B$7:$B$306,A178,'Execution log'!$P$7:$P$306,"Valid input")))))</x:f>
      </x:c>
      <x:c r="N178" s="24" t="str">
        <x:f>IF(A178="","",IF(COUNTIFS('Execution log'!$B$7:$B$306,A178)=0,"",IF(COUNTIFS('Execution log'!$B$7:$B$306,A178,'Execution log'!$L$7:$L$306,"Valid",'Execution log'!$P$7:$P$306,"&lt;&gt;Valid input")&gt;0,"To check",IF(COUNTIFS('Execution log'!$B$7:$B$306,A178,'Execution log'!$P$7:$P$306,"Valid input")=0,"",SUMIFS('Execution log'!$J$7:$J$306,'Execution log'!$B$7:$B$306,A178,'Execution log'!$P$7:$P$306,"Valid input")))))</x:f>
      </x:c>
      <x:c r="O178" s="24" t="str">
        <x:f>IF(A178="","",IF(NOT(ISNUMBER(K178)),"Budget TBD",IF(NOT(ISNUMBER(M178)),"No valid entries yet",K178-M178)))</x:f>
      </x:c>
      <x:c r="P178" s="24" t="str">
        <x:f>IF(A178="","",IF(NOT(ISNUMBER(L178)),"Budget TBD",IF(NOT(ISNUMBER(N178)),"No valid entries yet",L178-N178)))</x:f>
      </x:c>
      <x:c r="Q178" s="19" t="str">
        <x:f>IF(A178="","",IF(D178="Closed","Closed",IF(NOT(ISNUMBER(I178)),"Review date TBD",IF(NOT(ISNUMBER($B$3)),"Evaluation date TBD",IF(I178&lt;=$B$3,"Review due","Not due")))))</x:f>
      </x:c>
      <x:c r="R178" s="19" t="str">
        <x:f>IF(A178="","",IF(COUNTIFS($A$7:$A$306,A178)&lt;&gt;1,"Duplicate case ID",IF(OR(B178="",C178="",D178="",G178="",S178=""),"Basic info missing",IF(AND(F178&lt;&gt;"",COUNTIFS('Plan versions'!$A$7:$A$306,F178,'Plan versions'!$B$7:$B$306,A178,'Plan versions'!$L$7:$L$306,"Frozen")&lt;&gt;1),"Invalid current plan ref",IF(AND(D178="Executing",F178=""),"Execution lacks plan",IF(AND(D178="Closed",OR(T178="",COUNTIFS('Reviews'!$B$7:$B$306,A178)=0,COUNTIFS('Update log'!$B$7:$B$306,A178)=0)),"Closure docs missing","Basic records complete"))))))</x:f>
      </x:c>
      <x:c r="S178" s="3"/>
      <x:c r="T178" s="3"/>
    </x:row>
    <x:row r="179" ht="25" customHeight="1">
      <x:c r="A179" s="3"/>
      <x:c r="B179" s="3"/>
      <x:c r="C179" s="3"/>
      <x:c r="D179" s="3"/>
      <x:c r="E179" s="3"/>
      <x:c r="F179" s="3"/>
      <x:c r="G179" s="3"/>
      <x:c r="H179" s="3"/>
      <x:c r="I179" s="20"/>
      <x:c r="J179" s="3"/>
      <x:c r="K179" s="22"/>
      <x:c r="L179" s="22"/>
      <x:c r="M179" s="24" t="str">
        <x:f>IF(A179="","",IF(COUNTIFS('Execution log'!$B$7:$B$306,A179)=0,"",IF(COUNTIFS('Execution log'!$B$7:$B$306,A179,'Execution log'!$L$7:$L$306,"Valid",'Execution log'!$P$7:$P$306,"&lt;&gt;Valid input")&gt;0,"To check",IF(COUNTIFS('Execution log'!$B$7:$B$306,A179,'Execution log'!$P$7:$P$306,"Valid input")=0,"",SUMIFS('Execution log'!$H$7:$H$306,'Execution log'!$B$7:$B$306,A179,'Execution log'!$P$7:$P$306,"Valid input")))))</x:f>
      </x:c>
      <x:c r="N179" s="24" t="str">
        <x:f>IF(A179="","",IF(COUNTIFS('Execution log'!$B$7:$B$306,A179)=0,"",IF(COUNTIFS('Execution log'!$B$7:$B$306,A179,'Execution log'!$L$7:$L$306,"Valid",'Execution log'!$P$7:$P$306,"&lt;&gt;Valid input")&gt;0,"To check",IF(COUNTIFS('Execution log'!$B$7:$B$306,A179,'Execution log'!$P$7:$P$306,"Valid input")=0,"",SUMIFS('Execution log'!$J$7:$J$306,'Execution log'!$B$7:$B$306,A179,'Execution log'!$P$7:$P$306,"Valid input")))))</x:f>
      </x:c>
      <x:c r="O179" s="24" t="str">
        <x:f>IF(A179="","",IF(NOT(ISNUMBER(K179)),"Budget TBD",IF(NOT(ISNUMBER(M179)),"No valid entries yet",K179-M179)))</x:f>
      </x:c>
      <x:c r="P179" s="24" t="str">
        <x:f>IF(A179="","",IF(NOT(ISNUMBER(L179)),"Budget TBD",IF(NOT(ISNUMBER(N179)),"No valid entries yet",L179-N179)))</x:f>
      </x:c>
      <x:c r="Q179" s="19" t="str">
        <x:f>IF(A179="","",IF(D179="Closed","Closed",IF(NOT(ISNUMBER(I179)),"Review date TBD",IF(NOT(ISNUMBER($B$3)),"Evaluation date TBD",IF(I179&lt;=$B$3,"Review due","Not due")))))</x:f>
      </x:c>
      <x:c r="R179" s="19" t="str">
        <x:f>IF(A179="","",IF(COUNTIFS($A$7:$A$306,A179)&lt;&gt;1,"Duplicate case ID",IF(OR(B179="",C179="",D179="",G179="",S179=""),"Basic info missing",IF(AND(F179&lt;&gt;"",COUNTIFS('Plan versions'!$A$7:$A$306,F179,'Plan versions'!$B$7:$B$306,A179,'Plan versions'!$L$7:$L$306,"Frozen")&lt;&gt;1),"Invalid current plan ref",IF(AND(D179="Executing",F179=""),"Execution lacks plan",IF(AND(D179="Closed",OR(T179="",COUNTIFS('Reviews'!$B$7:$B$306,A179)=0,COUNTIFS('Update log'!$B$7:$B$306,A179)=0)),"Closure docs missing","Basic records complete"))))))</x:f>
      </x:c>
      <x:c r="S179" s="3"/>
      <x:c r="T179" s="3"/>
    </x:row>
    <x:row r="180" ht="25" customHeight="1">
      <x:c r="A180" s="3"/>
      <x:c r="B180" s="3"/>
      <x:c r="C180" s="3"/>
      <x:c r="D180" s="3"/>
      <x:c r="E180" s="3"/>
      <x:c r="F180" s="3"/>
      <x:c r="G180" s="3"/>
      <x:c r="H180" s="3"/>
      <x:c r="I180" s="20"/>
      <x:c r="J180" s="3"/>
      <x:c r="K180" s="22"/>
      <x:c r="L180" s="22"/>
      <x:c r="M180" s="24" t="str">
        <x:f>IF(A180="","",IF(COUNTIFS('Execution log'!$B$7:$B$306,A180)=0,"",IF(COUNTIFS('Execution log'!$B$7:$B$306,A180,'Execution log'!$L$7:$L$306,"Valid",'Execution log'!$P$7:$P$306,"&lt;&gt;Valid input")&gt;0,"To check",IF(COUNTIFS('Execution log'!$B$7:$B$306,A180,'Execution log'!$P$7:$P$306,"Valid input")=0,"",SUMIFS('Execution log'!$H$7:$H$306,'Execution log'!$B$7:$B$306,A180,'Execution log'!$P$7:$P$306,"Valid input")))))</x:f>
      </x:c>
      <x:c r="N180" s="24" t="str">
        <x:f>IF(A180="","",IF(COUNTIFS('Execution log'!$B$7:$B$306,A180)=0,"",IF(COUNTIFS('Execution log'!$B$7:$B$306,A180,'Execution log'!$L$7:$L$306,"Valid",'Execution log'!$P$7:$P$306,"&lt;&gt;Valid input")&gt;0,"To check",IF(COUNTIFS('Execution log'!$B$7:$B$306,A180,'Execution log'!$P$7:$P$306,"Valid input")=0,"",SUMIFS('Execution log'!$J$7:$J$306,'Execution log'!$B$7:$B$306,A180,'Execution log'!$P$7:$P$306,"Valid input")))))</x:f>
      </x:c>
      <x:c r="O180" s="24" t="str">
        <x:f>IF(A180="","",IF(NOT(ISNUMBER(K180)),"Budget TBD",IF(NOT(ISNUMBER(M180)),"No valid entries yet",K180-M180)))</x:f>
      </x:c>
      <x:c r="P180" s="24" t="str">
        <x:f>IF(A180="","",IF(NOT(ISNUMBER(L180)),"Budget TBD",IF(NOT(ISNUMBER(N180)),"No valid entries yet",L180-N180)))</x:f>
      </x:c>
      <x:c r="Q180" s="19" t="str">
        <x:f>IF(A180="","",IF(D180="Closed","Closed",IF(NOT(ISNUMBER(I180)),"Review date TBD",IF(NOT(ISNUMBER($B$3)),"Evaluation date TBD",IF(I180&lt;=$B$3,"Review due","Not due")))))</x:f>
      </x:c>
      <x:c r="R180" s="19" t="str">
        <x:f>IF(A180="","",IF(COUNTIFS($A$7:$A$306,A180)&lt;&gt;1,"Duplicate case ID",IF(OR(B180="",C180="",D180="",G180="",S180=""),"Basic info missing",IF(AND(F180&lt;&gt;"",COUNTIFS('Plan versions'!$A$7:$A$306,F180,'Plan versions'!$B$7:$B$306,A180,'Plan versions'!$L$7:$L$306,"Frozen")&lt;&gt;1),"Invalid current plan ref",IF(AND(D180="Executing",F180=""),"Execution lacks plan",IF(AND(D180="Closed",OR(T180="",COUNTIFS('Reviews'!$B$7:$B$306,A180)=0,COUNTIFS('Update log'!$B$7:$B$306,A180)=0)),"Closure docs missing","Basic records complete"))))))</x:f>
      </x:c>
      <x:c r="S180" s="3"/>
      <x:c r="T180" s="3"/>
    </x:row>
    <x:row r="181" ht="25" customHeight="1">
      <x:c r="A181" s="3"/>
      <x:c r="B181" s="3"/>
      <x:c r="C181" s="3"/>
      <x:c r="D181" s="3"/>
      <x:c r="E181" s="3"/>
      <x:c r="F181" s="3"/>
      <x:c r="G181" s="3"/>
      <x:c r="H181" s="3"/>
      <x:c r="I181" s="20"/>
      <x:c r="J181" s="3"/>
      <x:c r="K181" s="22"/>
      <x:c r="L181" s="22"/>
      <x:c r="M181" s="24" t="str">
        <x:f>IF(A181="","",IF(COUNTIFS('Execution log'!$B$7:$B$306,A181)=0,"",IF(COUNTIFS('Execution log'!$B$7:$B$306,A181,'Execution log'!$L$7:$L$306,"Valid",'Execution log'!$P$7:$P$306,"&lt;&gt;Valid input")&gt;0,"To check",IF(COUNTIFS('Execution log'!$B$7:$B$306,A181,'Execution log'!$P$7:$P$306,"Valid input")=0,"",SUMIFS('Execution log'!$H$7:$H$306,'Execution log'!$B$7:$B$306,A181,'Execution log'!$P$7:$P$306,"Valid input")))))</x:f>
      </x:c>
      <x:c r="N181" s="24" t="str">
        <x:f>IF(A181="","",IF(COUNTIFS('Execution log'!$B$7:$B$306,A181)=0,"",IF(COUNTIFS('Execution log'!$B$7:$B$306,A181,'Execution log'!$L$7:$L$306,"Valid",'Execution log'!$P$7:$P$306,"&lt;&gt;Valid input")&gt;0,"To check",IF(COUNTIFS('Execution log'!$B$7:$B$306,A181,'Execution log'!$P$7:$P$306,"Valid input")=0,"",SUMIFS('Execution log'!$J$7:$J$306,'Execution log'!$B$7:$B$306,A181,'Execution log'!$P$7:$P$306,"Valid input")))))</x:f>
      </x:c>
      <x:c r="O181" s="24" t="str">
        <x:f>IF(A181="","",IF(NOT(ISNUMBER(K181)),"Budget TBD",IF(NOT(ISNUMBER(M181)),"No valid entries yet",K181-M181)))</x:f>
      </x:c>
      <x:c r="P181" s="24" t="str">
        <x:f>IF(A181="","",IF(NOT(ISNUMBER(L181)),"Budget TBD",IF(NOT(ISNUMBER(N181)),"No valid entries yet",L181-N181)))</x:f>
      </x:c>
      <x:c r="Q181" s="19" t="str">
        <x:f>IF(A181="","",IF(D181="Closed","Closed",IF(NOT(ISNUMBER(I181)),"Review date TBD",IF(NOT(ISNUMBER($B$3)),"Evaluation date TBD",IF(I181&lt;=$B$3,"Review due","Not due")))))</x:f>
      </x:c>
      <x:c r="R181" s="19" t="str">
        <x:f>IF(A181="","",IF(COUNTIFS($A$7:$A$306,A181)&lt;&gt;1,"Duplicate case ID",IF(OR(B181="",C181="",D181="",G181="",S181=""),"Basic info missing",IF(AND(F181&lt;&gt;"",COUNTIFS('Plan versions'!$A$7:$A$306,F181,'Plan versions'!$B$7:$B$306,A181,'Plan versions'!$L$7:$L$306,"Frozen")&lt;&gt;1),"Invalid current plan ref",IF(AND(D181="Executing",F181=""),"Execution lacks plan",IF(AND(D181="Closed",OR(T181="",COUNTIFS('Reviews'!$B$7:$B$306,A181)=0,COUNTIFS('Update log'!$B$7:$B$306,A181)=0)),"Closure docs missing","Basic records complete"))))))</x:f>
      </x:c>
      <x:c r="S181" s="3"/>
      <x:c r="T181" s="3"/>
    </x:row>
    <x:row r="182" ht="25" customHeight="1">
      <x:c r="A182" s="3"/>
      <x:c r="B182" s="3"/>
      <x:c r="C182" s="3"/>
      <x:c r="D182" s="3"/>
      <x:c r="E182" s="3"/>
      <x:c r="F182" s="3"/>
      <x:c r="G182" s="3"/>
      <x:c r="H182" s="3"/>
      <x:c r="I182" s="20"/>
      <x:c r="J182" s="3"/>
      <x:c r="K182" s="22"/>
      <x:c r="L182" s="22"/>
      <x:c r="M182" s="24" t="str">
        <x:f>IF(A182="","",IF(COUNTIFS('Execution log'!$B$7:$B$306,A182)=0,"",IF(COUNTIFS('Execution log'!$B$7:$B$306,A182,'Execution log'!$L$7:$L$306,"Valid",'Execution log'!$P$7:$P$306,"&lt;&gt;Valid input")&gt;0,"To check",IF(COUNTIFS('Execution log'!$B$7:$B$306,A182,'Execution log'!$P$7:$P$306,"Valid input")=0,"",SUMIFS('Execution log'!$H$7:$H$306,'Execution log'!$B$7:$B$306,A182,'Execution log'!$P$7:$P$306,"Valid input")))))</x:f>
      </x:c>
      <x:c r="N182" s="24" t="str">
        <x:f>IF(A182="","",IF(COUNTIFS('Execution log'!$B$7:$B$306,A182)=0,"",IF(COUNTIFS('Execution log'!$B$7:$B$306,A182,'Execution log'!$L$7:$L$306,"Valid",'Execution log'!$P$7:$P$306,"&lt;&gt;Valid input")&gt;0,"To check",IF(COUNTIFS('Execution log'!$B$7:$B$306,A182,'Execution log'!$P$7:$P$306,"Valid input")=0,"",SUMIFS('Execution log'!$J$7:$J$306,'Execution log'!$B$7:$B$306,A182,'Execution log'!$P$7:$P$306,"Valid input")))))</x:f>
      </x:c>
      <x:c r="O182" s="24" t="str">
        <x:f>IF(A182="","",IF(NOT(ISNUMBER(K182)),"Budget TBD",IF(NOT(ISNUMBER(M182)),"No valid entries yet",K182-M182)))</x:f>
      </x:c>
      <x:c r="P182" s="24" t="str">
        <x:f>IF(A182="","",IF(NOT(ISNUMBER(L182)),"Budget TBD",IF(NOT(ISNUMBER(N182)),"No valid entries yet",L182-N182)))</x:f>
      </x:c>
      <x:c r="Q182" s="19" t="str">
        <x:f>IF(A182="","",IF(D182="Closed","Closed",IF(NOT(ISNUMBER(I182)),"Review date TBD",IF(NOT(ISNUMBER($B$3)),"Evaluation date TBD",IF(I182&lt;=$B$3,"Review due","Not due")))))</x:f>
      </x:c>
      <x:c r="R182" s="19" t="str">
        <x:f>IF(A182="","",IF(COUNTIFS($A$7:$A$306,A182)&lt;&gt;1,"Duplicate case ID",IF(OR(B182="",C182="",D182="",G182="",S182=""),"Basic info missing",IF(AND(F182&lt;&gt;"",COUNTIFS('Plan versions'!$A$7:$A$306,F182,'Plan versions'!$B$7:$B$306,A182,'Plan versions'!$L$7:$L$306,"Frozen")&lt;&gt;1),"Invalid current plan ref",IF(AND(D182="Executing",F182=""),"Execution lacks plan",IF(AND(D182="Closed",OR(T182="",COUNTIFS('Reviews'!$B$7:$B$306,A182)=0,COUNTIFS('Update log'!$B$7:$B$306,A182)=0)),"Closure docs missing","Basic records complete"))))))</x:f>
      </x:c>
      <x:c r="S182" s="3"/>
      <x:c r="T182" s="3"/>
    </x:row>
    <x:row r="183" ht="25" customHeight="1">
      <x:c r="A183" s="3"/>
      <x:c r="B183" s="3"/>
      <x:c r="C183" s="3"/>
      <x:c r="D183" s="3"/>
      <x:c r="E183" s="3"/>
      <x:c r="F183" s="3"/>
      <x:c r="G183" s="3"/>
      <x:c r="H183" s="3"/>
      <x:c r="I183" s="20"/>
      <x:c r="J183" s="3"/>
      <x:c r="K183" s="22"/>
      <x:c r="L183" s="22"/>
      <x:c r="M183" s="24" t="str">
        <x:f>IF(A183="","",IF(COUNTIFS('Execution log'!$B$7:$B$306,A183)=0,"",IF(COUNTIFS('Execution log'!$B$7:$B$306,A183,'Execution log'!$L$7:$L$306,"Valid",'Execution log'!$P$7:$P$306,"&lt;&gt;Valid input")&gt;0,"To check",IF(COUNTIFS('Execution log'!$B$7:$B$306,A183,'Execution log'!$P$7:$P$306,"Valid input")=0,"",SUMIFS('Execution log'!$H$7:$H$306,'Execution log'!$B$7:$B$306,A183,'Execution log'!$P$7:$P$306,"Valid input")))))</x:f>
      </x:c>
      <x:c r="N183" s="24" t="str">
        <x:f>IF(A183="","",IF(COUNTIFS('Execution log'!$B$7:$B$306,A183)=0,"",IF(COUNTIFS('Execution log'!$B$7:$B$306,A183,'Execution log'!$L$7:$L$306,"Valid",'Execution log'!$P$7:$P$306,"&lt;&gt;Valid input")&gt;0,"To check",IF(COUNTIFS('Execution log'!$B$7:$B$306,A183,'Execution log'!$P$7:$P$306,"Valid input")=0,"",SUMIFS('Execution log'!$J$7:$J$306,'Execution log'!$B$7:$B$306,A183,'Execution log'!$P$7:$P$306,"Valid input")))))</x:f>
      </x:c>
      <x:c r="O183" s="24" t="str">
        <x:f>IF(A183="","",IF(NOT(ISNUMBER(K183)),"Budget TBD",IF(NOT(ISNUMBER(M183)),"No valid entries yet",K183-M183)))</x:f>
      </x:c>
      <x:c r="P183" s="24" t="str">
        <x:f>IF(A183="","",IF(NOT(ISNUMBER(L183)),"Budget TBD",IF(NOT(ISNUMBER(N183)),"No valid entries yet",L183-N183)))</x:f>
      </x:c>
      <x:c r="Q183" s="19" t="str">
        <x:f>IF(A183="","",IF(D183="Closed","Closed",IF(NOT(ISNUMBER(I183)),"Review date TBD",IF(NOT(ISNUMBER($B$3)),"Evaluation date TBD",IF(I183&lt;=$B$3,"Review due","Not due")))))</x:f>
      </x:c>
      <x:c r="R183" s="19" t="str">
        <x:f>IF(A183="","",IF(COUNTIFS($A$7:$A$306,A183)&lt;&gt;1,"Duplicate case ID",IF(OR(B183="",C183="",D183="",G183="",S183=""),"Basic info missing",IF(AND(F183&lt;&gt;"",COUNTIFS('Plan versions'!$A$7:$A$306,F183,'Plan versions'!$B$7:$B$306,A183,'Plan versions'!$L$7:$L$306,"Frozen")&lt;&gt;1),"Invalid current plan ref",IF(AND(D183="Executing",F183=""),"Execution lacks plan",IF(AND(D183="Closed",OR(T183="",COUNTIFS('Reviews'!$B$7:$B$306,A183)=0,COUNTIFS('Update log'!$B$7:$B$306,A183)=0)),"Closure docs missing","Basic records complete"))))))</x:f>
      </x:c>
      <x:c r="S183" s="3"/>
      <x:c r="T183" s="3"/>
    </x:row>
    <x:row r="184" ht="25" customHeight="1">
      <x:c r="A184" s="3"/>
      <x:c r="B184" s="3"/>
      <x:c r="C184" s="3"/>
      <x:c r="D184" s="3"/>
      <x:c r="E184" s="3"/>
      <x:c r="F184" s="3"/>
      <x:c r="G184" s="3"/>
      <x:c r="H184" s="3"/>
      <x:c r="I184" s="20"/>
      <x:c r="J184" s="3"/>
      <x:c r="K184" s="22"/>
      <x:c r="L184" s="22"/>
      <x:c r="M184" s="24" t="str">
        <x:f>IF(A184="","",IF(COUNTIFS('Execution log'!$B$7:$B$306,A184)=0,"",IF(COUNTIFS('Execution log'!$B$7:$B$306,A184,'Execution log'!$L$7:$L$306,"Valid",'Execution log'!$P$7:$P$306,"&lt;&gt;Valid input")&gt;0,"To check",IF(COUNTIFS('Execution log'!$B$7:$B$306,A184,'Execution log'!$P$7:$P$306,"Valid input")=0,"",SUMIFS('Execution log'!$H$7:$H$306,'Execution log'!$B$7:$B$306,A184,'Execution log'!$P$7:$P$306,"Valid input")))))</x:f>
      </x:c>
      <x:c r="N184" s="24" t="str">
        <x:f>IF(A184="","",IF(COUNTIFS('Execution log'!$B$7:$B$306,A184)=0,"",IF(COUNTIFS('Execution log'!$B$7:$B$306,A184,'Execution log'!$L$7:$L$306,"Valid",'Execution log'!$P$7:$P$306,"&lt;&gt;Valid input")&gt;0,"To check",IF(COUNTIFS('Execution log'!$B$7:$B$306,A184,'Execution log'!$P$7:$P$306,"Valid input")=0,"",SUMIFS('Execution log'!$J$7:$J$306,'Execution log'!$B$7:$B$306,A184,'Execution log'!$P$7:$P$306,"Valid input")))))</x:f>
      </x:c>
      <x:c r="O184" s="24" t="str">
        <x:f>IF(A184="","",IF(NOT(ISNUMBER(K184)),"Budget TBD",IF(NOT(ISNUMBER(M184)),"No valid entries yet",K184-M184)))</x:f>
      </x:c>
      <x:c r="P184" s="24" t="str">
        <x:f>IF(A184="","",IF(NOT(ISNUMBER(L184)),"Budget TBD",IF(NOT(ISNUMBER(N184)),"No valid entries yet",L184-N184)))</x:f>
      </x:c>
      <x:c r="Q184" s="19" t="str">
        <x:f>IF(A184="","",IF(D184="Closed","Closed",IF(NOT(ISNUMBER(I184)),"Review date TBD",IF(NOT(ISNUMBER($B$3)),"Evaluation date TBD",IF(I184&lt;=$B$3,"Review due","Not due")))))</x:f>
      </x:c>
      <x:c r="R184" s="19" t="str">
        <x:f>IF(A184="","",IF(COUNTIFS($A$7:$A$306,A184)&lt;&gt;1,"Duplicate case ID",IF(OR(B184="",C184="",D184="",G184="",S184=""),"Basic info missing",IF(AND(F184&lt;&gt;"",COUNTIFS('Plan versions'!$A$7:$A$306,F184,'Plan versions'!$B$7:$B$306,A184,'Plan versions'!$L$7:$L$306,"Frozen")&lt;&gt;1),"Invalid current plan ref",IF(AND(D184="Executing",F184=""),"Execution lacks plan",IF(AND(D184="Closed",OR(T184="",COUNTIFS('Reviews'!$B$7:$B$306,A184)=0,COUNTIFS('Update log'!$B$7:$B$306,A184)=0)),"Closure docs missing","Basic records complete"))))))</x:f>
      </x:c>
      <x:c r="S184" s="3"/>
      <x:c r="T184" s="3"/>
    </x:row>
    <x:row r="185" ht="25" customHeight="1">
      <x:c r="A185" s="3"/>
      <x:c r="B185" s="3"/>
      <x:c r="C185" s="3"/>
      <x:c r="D185" s="3"/>
      <x:c r="E185" s="3"/>
      <x:c r="F185" s="3"/>
      <x:c r="G185" s="3"/>
      <x:c r="H185" s="3"/>
      <x:c r="I185" s="20"/>
      <x:c r="J185" s="3"/>
      <x:c r="K185" s="22"/>
      <x:c r="L185" s="22"/>
      <x:c r="M185" s="24" t="str">
        <x:f>IF(A185="","",IF(COUNTIFS('Execution log'!$B$7:$B$306,A185)=0,"",IF(COUNTIFS('Execution log'!$B$7:$B$306,A185,'Execution log'!$L$7:$L$306,"Valid",'Execution log'!$P$7:$P$306,"&lt;&gt;Valid input")&gt;0,"To check",IF(COUNTIFS('Execution log'!$B$7:$B$306,A185,'Execution log'!$P$7:$P$306,"Valid input")=0,"",SUMIFS('Execution log'!$H$7:$H$306,'Execution log'!$B$7:$B$306,A185,'Execution log'!$P$7:$P$306,"Valid input")))))</x:f>
      </x:c>
      <x:c r="N185" s="24" t="str">
        <x:f>IF(A185="","",IF(COUNTIFS('Execution log'!$B$7:$B$306,A185)=0,"",IF(COUNTIFS('Execution log'!$B$7:$B$306,A185,'Execution log'!$L$7:$L$306,"Valid",'Execution log'!$P$7:$P$306,"&lt;&gt;Valid input")&gt;0,"To check",IF(COUNTIFS('Execution log'!$B$7:$B$306,A185,'Execution log'!$P$7:$P$306,"Valid input")=0,"",SUMIFS('Execution log'!$J$7:$J$306,'Execution log'!$B$7:$B$306,A185,'Execution log'!$P$7:$P$306,"Valid input")))))</x:f>
      </x:c>
      <x:c r="O185" s="24" t="str">
        <x:f>IF(A185="","",IF(NOT(ISNUMBER(K185)),"Budget TBD",IF(NOT(ISNUMBER(M185)),"No valid entries yet",K185-M185)))</x:f>
      </x:c>
      <x:c r="P185" s="24" t="str">
        <x:f>IF(A185="","",IF(NOT(ISNUMBER(L185)),"Budget TBD",IF(NOT(ISNUMBER(N185)),"No valid entries yet",L185-N185)))</x:f>
      </x:c>
      <x:c r="Q185" s="19" t="str">
        <x:f>IF(A185="","",IF(D185="Closed","Closed",IF(NOT(ISNUMBER(I185)),"Review date TBD",IF(NOT(ISNUMBER($B$3)),"Evaluation date TBD",IF(I185&lt;=$B$3,"Review due","Not due")))))</x:f>
      </x:c>
      <x:c r="R185" s="19" t="str">
        <x:f>IF(A185="","",IF(COUNTIFS($A$7:$A$306,A185)&lt;&gt;1,"Duplicate case ID",IF(OR(B185="",C185="",D185="",G185="",S185=""),"Basic info missing",IF(AND(F185&lt;&gt;"",COUNTIFS('Plan versions'!$A$7:$A$306,F185,'Plan versions'!$B$7:$B$306,A185,'Plan versions'!$L$7:$L$306,"Frozen")&lt;&gt;1),"Invalid current plan ref",IF(AND(D185="Executing",F185=""),"Execution lacks plan",IF(AND(D185="Closed",OR(T185="",COUNTIFS('Reviews'!$B$7:$B$306,A185)=0,COUNTIFS('Update log'!$B$7:$B$306,A185)=0)),"Closure docs missing","Basic records complete"))))))</x:f>
      </x:c>
      <x:c r="S185" s="3"/>
      <x:c r="T185" s="3"/>
    </x:row>
    <x:row r="186" ht="25" customHeight="1">
      <x:c r="A186" s="3"/>
      <x:c r="B186" s="3"/>
      <x:c r="C186" s="3"/>
      <x:c r="D186" s="3"/>
      <x:c r="E186" s="3"/>
      <x:c r="F186" s="3"/>
      <x:c r="G186" s="3"/>
      <x:c r="H186" s="3"/>
      <x:c r="I186" s="20"/>
      <x:c r="J186" s="3"/>
      <x:c r="K186" s="22"/>
      <x:c r="L186" s="22"/>
      <x:c r="M186" s="24" t="str">
        <x:f>IF(A186="","",IF(COUNTIFS('Execution log'!$B$7:$B$306,A186)=0,"",IF(COUNTIFS('Execution log'!$B$7:$B$306,A186,'Execution log'!$L$7:$L$306,"Valid",'Execution log'!$P$7:$P$306,"&lt;&gt;Valid input")&gt;0,"To check",IF(COUNTIFS('Execution log'!$B$7:$B$306,A186,'Execution log'!$P$7:$P$306,"Valid input")=0,"",SUMIFS('Execution log'!$H$7:$H$306,'Execution log'!$B$7:$B$306,A186,'Execution log'!$P$7:$P$306,"Valid input")))))</x:f>
      </x:c>
      <x:c r="N186" s="24" t="str">
        <x:f>IF(A186="","",IF(COUNTIFS('Execution log'!$B$7:$B$306,A186)=0,"",IF(COUNTIFS('Execution log'!$B$7:$B$306,A186,'Execution log'!$L$7:$L$306,"Valid",'Execution log'!$P$7:$P$306,"&lt;&gt;Valid input")&gt;0,"To check",IF(COUNTIFS('Execution log'!$B$7:$B$306,A186,'Execution log'!$P$7:$P$306,"Valid input")=0,"",SUMIFS('Execution log'!$J$7:$J$306,'Execution log'!$B$7:$B$306,A186,'Execution log'!$P$7:$P$306,"Valid input")))))</x:f>
      </x:c>
      <x:c r="O186" s="24" t="str">
        <x:f>IF(A186="","",IF(NOT(ISNUMBER(K186)),"Budget TBD",IF(NOT(ISNUMBER(M186)),"No valid entries yet",K186-M186)))</x:f>
      </x:c>
      <x:c r="P186" s="24" t="str">
        <x:f>IF(A186="","",IF(NOT(ISNUMBER(L186)),"Budget TBD",IF(NOT(ISNUMBER(N186)),"No valid entries yet",L186-N186)))</x:f>
      </x:c>
      <x:c r="Q186" s="19" t="str">
        <x:f>IF(A186="","",IF(D186="Closed","Closed",IF(NOT(ISNUMBER(I186)),"Review date TBD",IF(NOT(ISNUMBER($B$3)),"Evaluation date TBD",IF(I186&lt;=$B$3,"Review due","Not due")))))</x:f>
      </x:c>
      <x:c r="R186" s="19" t="str">
        <x:f>IF(A186="","",IF(COUNTIFS($A$7:$A$306,A186)&lt;&gt;1,"Duplicate case ID",IF(OR(B186="",C186="",D186="",G186="",S186=""),"Basic info missing",IF(AND(F186&lt;&gt;"",COUNTIFS('Plan versions'!$A$7:$A$306,F186,'Plan versions'!$B$7:$B$306,A186,'Plan versions'!$L$7:$L$306,"Frozen")&lt;&gt;1),"Invalid current plan ref",IF(AND(D186="Executing",F186=""),"Execution lacks plan",IF(AND(D186="Closed",OR(T186="",COUNTIFS('Reviews'!$B$7:$B$306,A186)=0,COUNTIFS('Update log'!$B$7:$B$306,A186)=0)),"Closure docs missing","Basic records complete"))))))</x:f>
      </x:c>
      <x:c r="S186" s="3"/>
      <x:c r="T186" s="3"/>
    </x:row>
    <x:row r="187" ht="25" customHeight="1">
      <x:c r="A187" s="3"/>
      <x:c r="B187" s="3"/>
      <x:c r="C187" s="3"/>
      <x:c r="D187" s="3"/>
      <x:c r="E187" s="3"/>
      <x:c r="F187" s="3"/>
      <x:c r="G187" s="3"/>
      <x:c r="H187" s="3"/>
      <x:c r="I187" s="20"/>
      <x:c r="J187" s="3"/>
      <x:c r="K187" s="22"/>
      <x:c r="L187" s="22"/>
      <x:c r="M187" s="24" t="str">
        <x:f>IF(A187="","",IF(COUNTIFS('Execution log'!$B$7:$B$306,A187)=0,"",IF(COUNTIFS('Execution log'!$B$7:$B$306,A187,'Execution log'!$L$7:$L$306,"Valid",'Execution log'!$P$7:$P$306,"&lt;&gt;Valid input")&gt;0,"To check",IF(COUNTIFS('Execution log'!$B$7:$B$306,A187,'Execution log'!$P$7:$P$306,"Valid input")=0,"",SUMIFS('Execution log'!$H$7:$H$306,'Execution log'!$B$7:$B$306,A187,'Execution log'!$P$7:$P$306,"Valid input")))))</x:f>
      </x:c>
      <x:c r="N187" s="24" t="str">
        <x:f>IF(A187="","",IF(COUNTIFS('Execution log'!$B$7:$B$306,A187)=0,"",IF(COUNTIFS('Execution log'!$B$7:$B$306,A187,'Execution log'!$L$7:$L$306,"Valid",'Execution log'!$P$7:$P$306,"&lt;&gt;Valid input")&gt;0,"To check",IF(COUNTIFS('Execution log'!$B$7:$B$306,A187,'Execution log'!$P$7:$P$306,"Valid input")=0,"",SUMIFS('Execution log'!$J$7:$J$306,'Execution log'!$B$7:$B$306,A187,'Execution log'!$P$7:$P$306,"Valid input")))))</x:f>
      </x:c>
      <x:c r="O187" s="24" t="str">
        <x:f>IF(A187="","",IF(NOT(ISNUMBER(K187)),"Budget TBD",IF(NOT(ISNUMBER(M187)),"No valid entries yet",K187-M187)))</x:f>
      </x:c>
      <x:c r="P187" s="24" t="str">
        <x:f>IF(A187="","",IF(NOT(ISNUMBER(L187)),"Budget TBD",IF(NOT(ISNUMBER(N187)),"No valid entries yet",L187-N187)))</x:f>
      </x:c>
      <x:c r="Q187" s="19" t="str">
        <x:f>IF(A187="","",IF(D187="Closed","Closed",IF(NOT(ISNUMBER(I187)),"Review date TBD",IF(NOT(ISNUMBER($B$3)),"Evaluation date TBD",IF(I187&lt;=$B$3,"Review due","Not due")))))</x:f>
      </x:c>
      <x:c r="R187" s="19" t="str">
        <x:f>IF(A187="","",IF(COUNTIFS($A$7:$A$306,A187)&lt;&gt;1,"Duplicate case ID",IF(OR(B187="",C187="",D187="",G187="",S187=""),"Basic info missing",IF(AND(F187&lt;&gt;"",COUNTIFS('Plan versions'!$A$7:$A$306,F187,'Plan versions'!$B$7:$B$306,A187,'Plan versions'!$L$7:$L$306,"Frozen")&lt;&gt;1),"Invalid current plan ref",IF(AND(D187="Executing",F187=""),"Execution lacks plan",IF(AND(D187="Closed",OR(T187="",COUNTIFS('Reviews'!$B$7:$B$306,A187)=0,COUNTIFS('Update log'!$B$7:$B$306,A187)=0)),"Closure docs missing","Basic records complete"))))))</x:f>
      </x:c>
      <x:c r="S187" s="3"/>
      <x:c r="T187" s="3"/>
    </x:row>
    <x:row r="188" ht="25" customHeight="1">
      <x:c r="A188" s="3"/>
      <x:c r="B188" s="3"/>
      <x:c r="C188" s="3"/>
      <x:c r="D188" s="3"/>
      <x:c r="E188" s="3"/>
      <x:c r="F188" s="3"/>
      <x:c r="G188" s="3"/>
      <x:c r="H188" s="3"/>
      <x:c r="I188" s="20"/>
      <x:c r="J188" s="3"/>
      <x:c r="K188" s="22"/>
      <x:c r="L188" s="22"/>
      <x:c r="M188" s="24" t="str">
        <x:f>IF(A188="","",IF(COUNTIFS('Execution log'!$B$7:$B$306,A188)=0,"",IF(COUNTIFS('Execution log'!$B$7:$B$306,A188,'Execution log'!$L$7:$L$306,"Valid",'Execution log'!$P$7:$P$306,"&lt;&gt;Valid input")&gt;0,"To check",IF(COUNTIFS('Execution log'!$B$7:$B$306,A188,'Execution log'!$P$7:$P$306,"Valid input")=0,"",SUMIFS('Execution log'!$H$7:$H$306,'Execution log'!$B$7:$B$306,A188,'Execution log'!$P$7:$P$306,"Valid input")))))</x:f>
      </x:c>
      <x:c r="N188" s="24" t="str">
        <x:f>IF(A188="","",IF(COUNTIFS('Execution log'!$B$7:$B$306,A188)=0,"",IF(COUNTIFS('Execution log'!$B$7:$B$306,A188,'Execution log'!$L$7:$L$306,"Valid",'Execution log'!$P$7:$P$306,"&lt;&gt;Valid input")&gt;0,"To check",IF(COUNTIFS('Execution log'!$B$7:$B$306,A188,'Execution log'!$P$7:$P$306,"Valid input")=0,"",SUMIFS('Execution log'!$J$7:$J$306,'Execution log'!$B$7:$B$306,A188,'Execution log'!$P$7:$P$306,"Valid input")))))</x:f>
      </x:c>
      <x:c r="O188" s="24" t="str">
        <x:f>IF(A188="","",IF(NOT(ISNUMBER(K188)),"Budget TBD",IF(NOT(ISNUMBER(M188)),"No valid entries yet",K188-M188)))</x:f>
      </x:c>
      <x:c r="P188" s="24" t="str">
        <x:f>IF(A188="","",IF(NOT(ISNUMBER(L188)),"Budget TBD",IF(NOT(ISNUMBER(N188)),"No valid entries yet",L188-N188)))</x:f>
      </x:c>
      <x:c r="Q188" s="19" t="str">
        <x:f>IF(A188="","",IF(D188="Closed","Closed",IF(NOT(ISNUMBER(I188)),"Review date TBD",IF(NOT(ISNUMBER($B$3)),"Evaluation date TBD",IF(I188&lt;=$B$3,"Review due","Not due")))))</x:f>
      </x:c>
      <x:c r="R188" s="19" t="str">
        <x:f>IF(A188="","",IF(COUNTIFS($A$7:$A$306,A188)&lt;&gt;1,"Duplicate case ID",IF(OR(B188="",C188="",D188="",G188="",S188=""),"Basic info missing",IF(AND(F188&lt;&gt;"",COUNTIFS('Plan versions'!$A$7:$A$306,F188,'Plan versions'!$B$7:$B$306,A188,'Plan versions'!$L$7:$L$306,"Frozen")&lt;&gt;1),"Invalid current plan ref",IF(AND(D188="Executing",F188=""),"Execution lacks plan",IF(AND(D188="Closed",OR(T188="",COUNTIFS('Reviews'!$B$7:$B$306,A188)=0,COUNTIFS('Update log'!$B$7:$B$306,A188)=0)),"Closure docs missing","Basic records complete"))))))</x:f>
      </x:c>
      <x:c r="S188" s="3"/>
      <x:c r="T188" s="3"/>
    </x:row>
    <x:row r="189" ht="25" customHeight="1">
      <x:c r="A189" s="3"/>
      <x:c r="B189" s="3"/>
      <x:c r="C189" s="3"/>
      <x:c r="D189" s="3"/>
      <x:c r="E189" s="3"/>
      <x:c r="F189" s="3"/>
      <x:c r="G189" s="3"/>
      <x:c r="H189" s="3"/>
      <x:c r="I189" s="20"/>
      <x:c r="J189" s="3"/>
      <x:c r="K189" s="22"/>
      <x:c r="L189" s="22"/>
      <x:c r="M189" s="24" t="str">
        <x:f>IF(A189="","",IF(COUNTIFS('Execution log'!$B$7:$B$306,A189)=0,"",IF(COUNTIFS('Execution log'!$B$7:$B$306,A189,'Execution log'!$L$7:$L$306,"Valid",'Execution log'!$P$7:$P$306,"&lt;&gt;Valid input")&gt;0,"To check",IF(COUNTIFS('Execution log'!$B$7:$B$306,A189,'Execution log'!$P$7:$P$306,"Valid input")=0,"",SUMIFS('Execution log'!$H$7:$H$306,'Execution log'!$B$7:$B$306,A189,'Execution log'!$P$7:$P$306,"Valid input")))))</x:f>
      </x:c>
      <x:c r="N189" s="24" t="str">
        <x:f>IF(A189="","",IF(COUNTIFS('Execution log'!$B$7:$B$306,A189)=0,"",IF(COUNTIFS('Execution log'!$B$7:$B$306,A189,'Execution log'!$L$7:$L$306,"Valid",'Execution log'!$P$7:$P$306,"&lt;&gt;Valid input")&gt;0,"To check",IF(COUNTIFS('Execution log'!$B$7:$B$306,A189,'Execution log'!$P$7:$P$306,"Valid input")=0,"",SUMIFS('Execution log'!$J$7:$J$306,'Execution log'!$B$7:$B$306,A189,'Execution log'!$P$7:$P$306,"Valid input")))))</x:f>
      </x:c>
      <x:c r="O189" s="24" t="str">
        <x:f>IF(A189="","",IF(NOT(ISNUMBER(K189)),"Budget TBD",IF(NOT(ISNUMBER(M189)),"No valid entries yet",K189-M189)))</x:f>
      </x:c>
      <x:c r="P189" s="24" t="str">
        <x:f>IF(A189="","",IF(NOT(ISNUMBER(L189)),"Budget TBD",IF(NOT(ISNUMBER(N189)),"No valid entries yet",L189-N189)))</x:f>
      </x:c>
      <x:c r="Q189" s="19" t="str">
        <x:f>IF(A189="","",IF(D189="Closed","Closed",IF(NOT(ISNUMBER(I189)),"Review date TBD",IF(NOT(ISNUMBER($B$3)),"Evaluation date TBD",IF(I189&lt;=$B$3,"Review due","Not due")))))</x:f>
      </x:c>
      <x:c r="R189" s="19" t="str">
        <x:f>IF(A189="","",IF(COUNTIFS($A$7:$A$306,A189)&lt;&gt;1,"Duplicate case ID",IF(OR(B189="",C189="",D189="",G189="",S189=""),"Basic info missing",IF(AND(F189&lt;&gt;"",COUNTIFS('Plan versions'!$A$7:$A$306,F189,'Plan versions'!$B$7:$B$306,A189,'Plan versions'!$L$7:$L$306,"Frozen")&lt;&gt;1),"Invalid current plan ref",IF(AND(D189="Executing",F189=""),"Execution lacks plan",IF(AND(D189="Closed",OR(T189="",COUNTIFS('Reviews'!$B$7:$B$306,A189)=0,COUNTIFS('Update log'!$B$7:$B$306,A189)=0)),"Closure docs missing","Basic records complete"))))))</x:f>
      </x:c>
      <x:c r="S189" s="3"/>
      <x:c r="T189" s="3"/>
    </x:row>
    <x:row r="190" ht="25" customHeight="1">
      <x:c r="A190" s="3"/>
      <x:c r="B190" s="3"/>
      <x:c r="C190" s="3"/>
      <x:c r="D190" s="3"/>
      <x:c r="E190" s="3"/>
      <x:c r="F190" s="3"/>
      <x:c r="G190" s="3"/>
      <x:c r="H190" s="3"/>
      <x:c r="I190" s="20"/>
      <x:c r="J190" s="3"/>
      <x:c r="K190" s="22"/>
      <x:c r="L190" s="22"/>
      <x:c r="M190" s="24" t="str">
        <x:f>IF(A190="","",IF(COUNTIFS('Execution log'!$B$7:$B$306,A190)=0,"",IF(COUNTIFS('Execution log'!$B$7:$B$306,A190,'Execution log'!$L$7:$L$306,"Valid",'Execution log'!$P$7:$P$306,"&lt;&gt;Valid input")&gt;0,"To check",IF(COUNTIFS('Execution log'!$B$7:$B$306,A190,'Execution log'!$P$7:$P$306,"Valid input")=0,"",SUMIFS('Execution log'!$H$7:$H$306,'Execution log'!$B$7:$B$306,A190,'Execution log'!$P$7:$P$306,"Valid input")))))</x:f>
      </x:c>
      <x:c r="N190" s="24" t="str">
        <x:f>IF(A190="","",IF(COUNTIFS('Execution log'!$B$7:$B$306,A190)=0,"",IF(COUNTIFS('Execution log'!$B$7:$B$306,A190,'Execution log'!$L$7:$L$306,"Valid",'Execution log'!$P$7:$P$306,"&lt;&gt;Valid input")&gt;0,"To check",IF(COUNTIFS('Execution log'!$B$7:$B$306,A190,'Execution log'!$P$7:$P$306,"Valid input")=0,"",SUMIFS('Execution log'!$J$7:$J$306,'Execution log'!$B$7:$B$306,A190,'Execution log'!$P$7:$P$306,"Valid input")))))</x:f>
      </x:c>
      <x:c r="O190" s="24" t="str">
        <x:f>IF(A190="","",IF(NOT(ISNUMBER(K190)),"Budget TBD",IF(NOT(ISNUMBER(M190)),"No valid entries yet",K190-M190)))</x:f>
      </x:c>
      <x:c r="P190" s="24" t="str">
        <x:f>IF(A190="","",IF(NOT(ISNUMBER(L190)),"Budget TBD",IF(NOT(ISNUMBER(N190)),"No valid entries yet",L190-N190)))</x:f>
      </x:c>
      <x:c r="Q190" s="19" t="str">
        <x:f>IF(A190="","",IF(D190="Closed","Closed",IF(NOT(ISNUMBER(I190)),"Review date TBD",IF(NOT(ISNUMBER($B$3)),"Evaluation date TBD",IF(I190&lt;=$B$3,"Review due","Not due")))))</x:f>
      </x:c>
      <x:c r="R190" s="19" t="str">
        <x:f>IF(A190="","",IF(COUNTIFS($A$7:$A$306,A190)&lt;&gt;1,"Duplicate case ID",IF(OR(B190="",C190="",D190="",G190="",S190=""),"Basic info missing",IF(AND(F190&lt;&gt;"",COUNTIFS('Plan versions'!$A$7:$A$306,F190,'Plan versions'!$B$7:$B$306,A190,'Plan versions'!$L$7:$L$306,"Frozen")&lt;&gt;1),"Invalid current plan ref",IF(AND(D190="Executing",F190=""),"Execution lacks plan",IF(AND(D190="Closed",OR(T190="",COUNTIFS('Reviews'!$B$7:$B$306,A190)=0,COUNTIFS('Update log'!$B$7:$B$306,A190)=0)),"Closure docs missing","Basic records complete"))))))</x:f>
      </x:c>
      <x:c r="S190" s="3"/>
      <x:c r="T190" s="3"/>
    </x:row>
    <x:row r="191" ht="25" customHeight="1">
      <x:c r="A191" s="3"/>
      <x:c r="B191" s="3"/>
      <x:c r="C191" s="3"/>
      <x:c r="D191" s="3"/>
      <x:c r="E191" s="3"/>
      <x:c r="F191" s="3"/>
      <x:c r="G191" s="3"/>
      <x:c r="H191" s="3"/>
      <x:c r="I191" s="20"/>
      <x:c r="J191" s="3"/>
      <x:c r="K191" s="22"/>
      <x:c r="L191" s="22"/>
      <x:c r="M191" s="24" t="str">
        <x:f>IF(A191="","",IF(COUNTIFS('Execution log'!$B$7:$B$306,A191)=0,"",IF(COUNTIFS('Execution log'!$B$7:$B$306,A191,'Execution log'!$L$7:$L$306,"Valid",'Execution log'!$P$7:$P$306,"&lt;&gt;Valid input")&gt;0,"To check",IF(COUNTIFS('Execution log'!$B$7:$B$306,A191,'Execution log'!$P$7:$P$306,"Valid input")=0,"",SUMIFS('Execution log'!$H$7:$H$306,'Execution log'!$B$7:$B$306,A191,'Execution log'!$P$7:$P$306,"Valid input")))))</x:f>
      </x:c>
      <x:c r="N191" s="24" t="str">
        <x:f>IF(A191="","",IF(COUNTIFS('Execution log'!$B$7:$B$306,A191)=0,"",IF(COUNTIFS('Execution log'!$B$7:$B$306,A191,'Execution log'!$L$7:$L$306,"Valid",'Execution log'!$P$7:$P$306,"&lt;&gt;Valid input")&gt;0,"To check",IF(COUNTIFS('Execution log'!$B$7:$B$306,A191,'Execution log'!$P$7:$P$306,"Valid input")=0,"",SUMIFS('Execution log'!$J$7:$J$306,'Execution log'!$B$7:$B$306,A191,'Execution log'!$P$7:$P$306,"Valid input")))))</x:f>
      </x:c>
      <x:c r="O191" s="24" t="str">
        <x:f>IF(A191="","",IF(NOT(ISNUMBER(K191)),"Budget TBD",IF(NOT(ISNUMBER(M191)),"No valid entries yet",K191-M191)))</x:f>
      </x:c>
      <x:c r="P191" s="24" t="str">
        <x:f>IF(A191="","",IF(NOT(ISNUMBER(L191)),"Budget TBD",IF(NOT(ISNUMBER(N191)),"No valid entries yet",L191-N191)))</x:f>
      </x:c>
      <x:c r="Q191" s="19" t="str">
        <x:f>IF(A191="","",IF(D191="Closed","Closed",IF(NOT(ISNUMBER(I191)),"Review date TBD",IF(NOT(ISNUMBER($B$3)),"Evaluation date TBD",IF(I191&lt;=$B$3,"Review due","Not due")))))</x:f>
      </x:c>
      <x:c r="R191" s="19" t="str">
        <x:f>IF(A191="","",IF(COUNTIFS($A$7:$A$306,A191)&lt;&gt;1,"Duplicate case ID",IF(OR(B191="",C191="",D191="",G191="",S191=""),"Basic info missing",IF(AND(F191&lt;&gt;"",COUNTIFS('Plan versions'!$A$7:$A$306,F191,'Plan versions'!$B$7:$B$306,A191,'Plan versions'!$L$7:$L$306,"Frozen")&lt;&gt;1),"Invalid current plan ref",IF(AND(D191="Executing",F191=""),"Execution lacks plan",IF(AND(D191="Closed",OR(T191="",COUNTIFS('Reviews'!$B$7:$B$306,A191)=0,COUNTIFS('Update log'!$B$7:$B$306,A191)=0)),"Closure docs missing","Basic records complete"))))))</x:f>
      </x:c>
      <x:c r="S191" s="3"/>
      <x:c r="T191" s="3"/>
    </x:row>
    <x:row r="192" ht="25" customHeight="1">
      <x:c r="A192" s="3"/>
      <x:c r="B192" s="3"/>
      <x:c r="C192" s="3"/>
      <x:c r="D192" s="3"/>
      <x:c r="E192" s="3"/>
      <x:c r="F192" s="3"/>
      <x:c r="G192" s="3"/>
      <x:c r="H192" s="3"/>
      <x:c r="I192" s="20"/>
      <x:c r="J192" s="3"/>
      <x:c r="K192" s="22"/>
      <x:c r="L192" s="22"/>
      <x:c r="M192" s="24" t="str">
        <x:f>IF(A192="","",IF(COUNTIFS('Execution log'!$B$7:$B$306,A192)=0,"",IF(COUNTIFS('Execution log'!$B$7:$B$306,A192,'Execution log'!$L$7:$L$306,"Valid",'Execution log'!$P$7:$P$306,"&lt;&gt;Valid input")&gt;0,"To check",IF(COUNTIFS('Execution log'!$B$7:$B$306,A192,'Execution log'!$P$7:$P$306,"Valid input")=0,"",SUMIFS('Execution log'!$H$7:$H$306,'Execution log'!$B$7:$B$306,A192,'Execution log'!$P$7:$P$306,"Valid input")))))</x:f>
      </x:c>
      <x:c r="N192" s="24" t="str">
        <x:f>IF(A192="","",IF(COUNTIFS('Execution log'!$B$7:$B$306,A192)=0,"",IF(COUNTIFS('Execution log'!$B$7:$B$306,A192,'Execution log'!$L$7:$L$306,"Valid",'Execution log'!$P$7:$P$306,"&lt;&gt;Valid input")&gt;0,"To check",IF(COUNTIFS('Execution log'!$B$7:$B$306,A192,'Execution log'!$P$7:$P$306,"Valid input")=0,"",SUMIFS('Execution log'!$J$7:$J$306,'Execution log'!$B$7:$B$306,A192,'Execution log'!$P$7:$P$306,"Valid input")))))</x:f>
      </x:c>
      <x:c r="O192" s="24" t="str">
        <x:f>IF(A192="","",IF(NOT(ISNUMBER(K192)),"Budget TBD",IF(NOT(ISNUMBER(M192)),"No valid entries yet",K192-M192)))</x:f>
      </x:c>
      <x:c r="P192" s="24" t="str">
        <x:f>IF(A192="","",IF(NOT(ISNUMBER(L192)),"Budget TBD",IF(NOT(ISNUMBER(N192)),"No valid entries yet",L192-N192)))</x:f>
      </x:c>
      <x:c r="Q192" s="19" t="str">
        <x:f>IF(A192="","",IF(D192="Closed","Closed",IF(NOT(ISNUMBER(I192)),"Review date TBD",IF(NOT(ISNUMBER($B$3)),"Evaluation date TBD",IF(I192&lt;=$B$3,"Review due","Not due")))))</x:f>
      </x:c>
      <x:c r="R192" s="19" t="str">
        <x:f>IF(A192="","",IF(COUNTIFS($A$7:$A$306,A192)&lt;&gt;1,"Duplicate case ID",IF(OR(B192="",C192="",D192="",G192="",S192=""),"Basic info missing",IF(AND(F192&lt;&gt;"",COUNTIFS('Plan versions'!$A$7:$A$306,F192,'Plan versions'!$B$7:$B$306,A192,'Plan versions'!$L$7:$L$306,"Frozen")&lt;&gt;1),"Invalid current plan ref",IF(AND(D192="Executing",F192=""),"Execution lacks plan",IF(AND(D192="Closed",OR(T192="",COUNTIFS('Reviews'!$B$7:$B$306,A192)=0,COUNTIFS('Update log'!$B$7:$B$306,A192)=0)),"Closure docs missing","Basic records complete"))))))</x:f>
      </x:c>
      <x:c r="S192" s="3"/>
      <x:c r="T192" s="3"/>
    </x:row>
    <x:row r="193" ht="25" customHeight="1">
      <x:c r="A193" s="3"/>
      <x:c r="B193" s="3"/>
      <x:c r="C193" s="3"/>
      <x:c r="D193" s="3"/>
      <x:c r="E193" s="3"/>
      <x:c r="F193" s="3"/>
      <x:c r="G193" s="3"/>
      <x:c r="H193" s="3"/>
      <x:c r="I193" s="20"/>
      <x:c r="J193" s="3"/>
      <x:c r="K193" s="22"/>
      <x:c r="L193" s="22"/>
      <x:c r="M193" s="24" t="str">
        <x:f>IF(A193="","",IF(COUNTIFS('Execution log'!$B$7:$B$306,A193)=0,"",IF(COUNTIFS('Execution log'!$B$7:$B$306,A193,'Execution log'!$L$7:$L$306,"Valid",'Execution log'!$P$7:$P$306,"&lt;&gt;Valid input")&gt;0,"To check",IF(COUNTIFS('Execution log'!$B$7:$B$306,A193,'Execution log'!$P$7:$P$306,"Valid input")=0,"",SUMIFS('Execution log'!$H$7:$H$306,'Execution log'!$B$7:$B$306,A193,'Execution log'!$P$7:$P$306,"Valid input")))))</x:f>
      </x:c>
      <x:c r="N193" s="24" t="str">
        <x:f>IF(A193="","",IF(COUNTIFS('Execution log'!$B$7:$B$306,A193)=0,"",IF(COUNTIFS('Execution log'!$B$7:$B$306,A193,'Execution log'!$L$7:$L$306,"Valid",'Execution log'!$P$7:$P$306,"&lt;&gt;Valid input")&gt;0,"To check",IF(COUNTIFS('Execution log'!$B$7:$B$306,A193,'Execution log'!$P$7:$P$306,"Valid input")=0,"",SUMIFS('Execution log'!$J$7:$J$306,'Execution log'!$B$7:$B$306,A193,'Execution log'!$P$7:$P$306,"Valid input")))))</x:f>
      </x:c>
      <x:c r="O193" s="24" t="str">
        <x:f>IF(A193="","",IF(NOT(ISNUMBER(K193)),"Budget TBD",IF(NOT(ISNUMBER(M193)),"No valid entries yet",K193-M193)))</x:f>
      </x:c>
      <x:c r="P193" s="24" t="str">
        <x:f>IF(A193="","",IF(NOT(ISNUMBER(L193)),"Budget TBD",IF(NOT(ISNUMBER(N193)),"No valid entries yet",L193-N193)))</x:f>
      </x:c>
      <x:c r="Q193" s="19" t="str">
        <x:f>IF(A193="","",IF(D193="Closed","Closed",IF(NOT(ISNUMBER(I193)),"Review date TBD",IF(NOT(ISNUMBER($B$3)),"Evaluation date TBD",IF(I193&lt;=$B$3,"Review due","Not due")))))</x:f>
      </x:c>
      <x:c r="R193" s="19" t="str">
        <x:f>IF(A193="","",IF(COUNTIFS($A$7:$A$306,A193)&lt;&gt;1,"Duplicate case ID",IF(OR(B193="",C193="",D193="",G193="",S193=""),"Basic info missing",IF(AND(F193&lt;&gt;"",COUNTIFS('Plan versions'!$A$7:$A$306,F193,'Plan versions'!$B$7:$B$306,A193,'Plan versions'!$L$7:$L$306,"Frozen")&lt;&gt;1),"Invalid current plan ref",IF(AND(D193="Executing",F193=""),"Execution lacks plan",IF(AND(D193="Closed",OR(T193="",COUNTIFS('Reviews'!$B$7:$B$306,A193)=0,COUNTIFS('Update log'!$B$7:$B$306,A193)=0)),"Closure docs missing","Basic records complete"))))))</x:f>
      </x:c>
      <x:c r="S193" s="3"/>
      <x:c r="T193" s="3"/>
    </x:row>
    <x:row r="194" ht="25" customHeight="1">
      <x:c r="A194" s="3"/>
      <x:c r="B194" s="3"/>
      <x:c r="C194" s="3"/>
      <x:c r="D194" s="3"/>
      <x:c r="E194" s="3"/>
      <x:c r="F194" s="3"/>
      <x:c r="G194" s="3"/>
      <x:c r="H194" s="3"/>
      <x:c r="I194" s="20"/>
      <x:c r="J194" s="3"/>
      <x:c r="K194" s="22"/>
      <x:c r="L194" s="22"/>
      <x:c r="M194" s="24" t="str">
        <x:f>IF(A194="","",IF(COUNTIFS('Execution log'!$B$7:$B$306,A194)=0,"",IF(COUNTIFS('Execution log'!$B$7:$B$306,A194,'Execution log'!$L$7:$L$306,"Valid",'Execution log'!$P$7:$P$306,"&lt;&gt;Valid input")&gt;0,"To check",IF(COUNTIFS('Execution log'!$B$7:$B$306,A194,'Execution log'!$P$7:$P$306,"Valid input")=0,"",SUMIFS('Execution log'!$H$7:$H$306,'Execution log'!$B$7:$B$306,A194,'Execution log'!$P$7:$P$306,"Valid input")))))</x:f>
      </x:c>
      <x:c r="N194" s="24" t="str">
        <x:f>IF(A194="","",IF(COUNTIFS('Execution log'!$B$7:$B$306,A194)=0,"",IF(COUNTIFS('Execution log'!$B$7:$B$306,A194,'Execution log'!$L$7:$L$306,"Valid",'Execution log'!$P$7:$P$306,"&lt;&gt;Valid input")&gt;0,"To check",IF(COUNTIFS('Execution log'!$B$7:$B$306,A194,'Execution log'!$P$7:$P$306,"Valid input")=0,"",SUMIFS('Execution log'!$J$7:$J$306,'Execution log'!$B$7:$B$306,A194,'Execution log'!$P$7:$P$306,"Valid input")))))</x:f>
      </x:c>
      <x:c r="O194" s="24" t="str">
        <x:f>IF(A194="","",IF(NOT(ISNUMBER(K194)),"Budget TBD",IF(NOT(ISNUMBER(M194)),"No valid entries yet",K194-M194)))</x:f>
      </x:c>
      <x:c r="P194" s="24" t="str">
        <x:f>IF(A194="","",IF(NOT(ISNUMBER(L194)),"Budget TBD",IF(NOT(ISNUMBER(N194)),"No valid entries yet",L194-N194)))</x:f>
      </x:c>
      <x:c r="Q194" s="19" t="str">
        <x:f>IF(A194="","",IF(D194="Closed","Closed",IF(NOT(ISNUMBER(I194)),"Review date TBD",IF(NOT(ISNUMBER($B$3)),"Evaluation date TBD",IF(I194&lt;=$B$3,"Review due","Not due")))))</x:f>
      </x:c>
      <x:c r="R194" s="19" t="str">
        <x:f>IF(A194="","",IF(COUNTIFS($A$7:$A$306,A194)&lt;&gt;1,"Duplicate case ID",IF(OR(B194="",C194="",D194="",G194="",S194=""),"Basic info missing",IF(AND(F194&lt;&gt;"",COUNTIFS('Plan versions'!$A$7:$A$306,F194,'Plan versions'!$B$7:$B$306,A194,'Plan versions'!$L$7:$L$306,"Frozen")&lt;&gt;1),"Invalid current plan ref",IF(AND(D194="Executing",F194=""),"Execution lacks plan",IF(AND(D194="Closed",OR(T194="",COUNTIFS('Reviews'!$B$7:$B$306,A194)=0,COUNTIFS('Update log'!$B$7:$B$306,A194)=0)),"Closure docs missing","Basic records complete"))))))</x:f>
      </x:c>
      <x:c r="S194" s="3"/>
      <x:c r="T194" s="3"/>
    </x:row>
    <x:row r="195" ht="25" customHeight="1">
      <x:c r="A195" s="3"/>
      <x:c r="B195" s="3"/>
      <x:c r="C195" s="3"/>
      <x:c r="D195" s="3"/>
      <x:c r="E195" s="3"/>
      <x:c r="F195" s="3"/>
      <x:c r="G195" s="3"/>
      <x:c r="H195" s="3"/>
      <x:c r="I195" s="20"/>
      <x:c r="J195" s="3"/>
      <x:c r="K195" s="22"/>
      <x:c r="L195" s="22"/>
      <x:c r="M195" s="24" t="str">
        <x:f>IF(A195="","",IF(COUNTIFS('Execution log'!$B$7:$B$306,A195)=0,"",IF(COUNTIFS('Execution log'!$B$7:$B$306,A195,'Execution log'!$L$7:$L$306,"Valid",'Execution log'!$P$7:$P$306,"&lt;&gt;Valid input")&gt;0,"To check",IF(COUNTIFS('Execution log'!$B$7:$B$306,A195,'Execution log'!$P$7:$P$306,"Valid input")=0,"",SUMIFS('Execution log'!$H$7:$H$306,'Execution log'!$B$7:$B$306,A195,'Execution log'!$P$7:$P$306,"Valid input")))))</x:f>
      </x:c>
      <x:c r="N195" s="24" t="str">
        <x:f>IF(A195="","",IF(COUNTIFS('Execution log'!$B$7:$B$306,A195)=0,"",IF(COUNTIFS('Execution log'!$B$7:$B$306,A195,'Execution log'!$L$7:$L$306,"Valid",'Execution log'!$P$7:$P$306,"&lt;&gt;Valid input")&gt;0,"To check",IF(COUNTIFS('Execution log'!$B$7:$B$306,A195,'Execution log'!$P$7:$P$306,"Valid input")=0,"",SUMIFS('Execution log'!$J$7:$J$306,'Execution log'!$B$7:$B$306,A195,'Execution log'!$P$7:$P$306,"Valid input")))))</x:f>
      </x:c>
      <x:c r="O195" s="24" t="str">
        <x:f>IF(A195="","",IF(NOT(ISNUMBER(K195)),"Budget TBD",IF(NOT(ISNUMBER(M195)),"No valid entries yet",K195-M195)))</x:f>
      </x:c>
      <x:c r="P195" s="24" t="str">
        <x:f>IF(A195="","",IF(NOT(ISNUMBER(L195)),"Budget TBD",IF(NOT(ISNUMBER(N195)),"No valid entries yet",L195-N195)))</x:f>
      </x:c>
      <x:c r="Q195" s="19" t="str">
        <x:f>IF(A195="","",IF(D195="Closed","Closed",IF(NOT(ISNUMBER(I195)),"Review date TBD",IF(NOT(ISNUMBER($B$3)),"Evaluation date TBD",IF(I195&lt;=$B$3,"Review due","Not due")))))</x:f>
      </x:c>
      <x:c r="R195" s="19" t="str">
        <x:f>IF(A195="","",IF(COUNTIFS($A$7:$A$306,A195)&lt;&gt;1,"Duplicate case ID",IF(OR(B195="",C195="",D195="",G195="",S195=""),"Basic info missing",IF(AND(F195&lt;&gt;"",COUNTIFS('Plan versions'!$A$7:$A$306,F195,'Plan versions'!$B$7:$B$306,A195,'Plan versions'!$L$7:$L$306,"Frozen")&lt;&gt;1),"Invalid current plan ref",IF(AND(D195="Executing",F195=""),"Execution lacks plan",IF(AND(D195="Closed",OR(T195="",COUNTIFS('Reviews'!$B$7:$B$306,A195)=0,COUNTIFS('Update log'!$B$7:$B$306,A195)=0)),"Closure docs missing","Basic records complete"))))))</x:f>
      </x:c>
      <x:c r="S195" s="3"/>
      <x:c r="T195" s="3"/>
    </x:row>
    <x:row r="196" ht="25" customHeight="1">
      <x:c r="A196" s="3"/>
      <x:c r="B196" s="3"/>
      <x:c r="C196" s="3"/>
      <x:c r="D196" s="3"/>
      <x:c r="E196" s="3"/>
      <x:c r="F196" s="3"/>
      <x:c r="G196" s="3"/>
      <x:c r="H196" s="3"/>
      <x:c r="I196" s="20"/>
      <x:c r="J196" s="3"/>
      <x:c r="K196" s="22"/>
      <x:c r="L196" s="22"/>
      <x:c r="M196" s="24" t="str">
        <x:f>IF(A196="","",IF(COUNTIFS('Execution log'!$B$7:$B$306,A196)=0,"",IF(COUNTIFS('Execution log'!$B$7:$B$306,A196,'Execution log'!$L$7:$L$306,"Valid",'Execution log'!$P$7:$P$306,"&lt;&gt;Valid input")&gt;0,"To check",IF(COUNTIFS('Execution log'!$B$7:$B$306,A196,'Execution log'!$P$7:$P$306,"Valid input")=0,"",SUMIFS('Execution log'!$H$7:$H$306,'Execution log'!$B$7:$B$306,A196,'Execution log'!$P$7:$P$306,"Valid input")))))</x:f>
      </x:c>
      <x:c r="N196" s="24" t="str">
        <x:f>IF(A196="","",IF(COUNTIFS('Execution log'!$B$7:$B$306,A196)=0,"",IF(COUNTIFS('Execution log'!$B$7:$B$306,A196,'Execution log'!$L$7:$L$306,"Valid",'Execution log'!$P$7:$P$306,"&lt;&gt;Valid input")&gt;0,"To check",IF(COUNTIFS('Execution log'!$B$7:$B$306,A196,'Execution log'!$P$7:$P$306,"Valid input")=0,"",SUMIFS('Execution log'!$J$7:$J$306,'Execution log'!$B$7:$B$306,A196,'Execution log'!$P$7:$P$306,"Valid input")))))</x:f>
      </x:c>
      <x:c r="O196" s="24" t="str">
        <x:f>IF(A196="","",IF(NOT(ISNUMBER(K196)),"Budget TBD",IF(NOT(ISNUMBER(M196)),"No valid entries yet",K196-M196)))</x:f>
      </x:c>
      <x:c r="P196" s="24" t="str">
        <x:f>IF(A196="","",IF(NOT(ISNUMBER(L196)),"Budget TBD",IF(NOT(ISNUMBER(N196)),"No valid entries yet",L196-N196)))</x:f>
      </x:c>
      <x:c r="Q196" s="19" t="str">
        <x:f>IF(A196="","",IF(D196="Closed","Closed",IF(NOT(ISNUMBER(I196)),"Review date TBD",IF(NOT(ISNUMBER($B$3)),"Evaluation date TBD",IF(I196&lt;=$B$3,"Review due","Not due")))))</x:f>
      </x:c>
      <x:c r="R196" s="19" t="str">
        <x:f>IF(A196="","",IF(COUNTIFS($A$7:$A$306,A196)&lt;&gt;1,"Duplicate case ID",IF(OR(B196="",C196="",D196="",G196="",S196=""),"Basic info missing",IF(AND(F196&lt;&gt;"",COUNTIFS('Plan versions'!$A$7:$A$306,F196,'Plan versions'!$B$7:$B$306,A196,'Plan versions'!$L$7:$L$306,"Frozen")&lt;&gt;1),"Invalid current plan ref",IF(AND(D196="Executing",F196=""),"Execution lacks plan",IF(AND(D196="Closed",OR(T196="",COUNTIFS('Reviews'!$B$7:$B$306,A196)=0,COUNTIFS('Update log'!$B$7:$B$306,A196)=0)),"Closure docs missing","Basic records complete"))))))</x:f>
      </x:c>
      <x:c r="S196" s="3"/>
      <x:c r="T196" s="3"/>
    </x:row>
    <x:row r="197" ht="25" customHeight="1">
      <x:c r="A197" s="3"/>
      <x:c r="B197" s="3"/>
      <x:c r="C197" s="3"/>
      <x:c r="D197" s="3"/>
      <x:c r="E197" s="3"/>
      <x:c r="F197" s="3"/>
      <x:c r="G197" s="3"/>
      <x:c r="H197" s="3"/>
      <x:c r="I197" s="20"/>
      <x:c r="J197" s="3"/>
      <x:c r="K197" s="22"/>
      <x:c r="L197" s="22"/>
      <x:c r="M197" s="24" t="str">
        <x:f>IF(A197="","",IF(COUNTIFS('Execution log'!$B$7:$B$306,A197)=0,"",IF(COUNTIFS('Execution log'!$B$7:$B$306,A197,'Execution log'!$L$7:$L$306,"Valid",'Execution log'!$P$7:$P$306,"&lt;&gt;Valid input")&gt;0,"To check",IF(COUNTIFS('Execution log'!$B$7:$B$306,A197,'Execution log'!$P$7:$P$306,"Valid input")=0,"",SUMIFS('Execution log'!$H$7:$H$306,'Execution log'!$B$7:$B$306,A197,'Execution log'!$P$7:$P$306,"Valid input")))))</x:f>
      </x:c>
      <x:c r="N197" s="24" t="str">
        <x:f>IF(A197="","",IF(COUNTIFS('Execution log'!$B$7:$B$306,A197)=0,"",IF(COUNTIFS('Execution log'!$B$7:$B$306,A197,'Execution log'!$L$7:$L$306,"Valid",'Execution log'!$P$7:$P$306,"&lt;&gt;Valid input")&gt;0,"To check",IF(COUNTIFS('Execution log'!$B$7:$B$306,A197,'Execution log'!$P$7:$P$306,"Valid input")=0,"",SUMIFS('Execution log'!$J$7:$J$306,'Execution log'!$B$7:$B$306,A197,'Execution log'!$P$7:$P$306,"Valid input")))))</x:f>
      </x:c>
      <x:c r="O197" s="24" t="str">
        <x:f>IF(A197="","",IF(NOT(ISNUMBER(K197)),"Budget TBD",IF(NOT(ISNUMBER(M197)),"No valid entries yet",K197-M197)))</x:f>
      </x:c>
      <x:c r="P197" s="24" t="str">
        <x:f>IF(A197="","",IF(NOT(ISNUMBER(L197)),"Budget TBD",IF(NOT(ISNUMBER(N197)),"No valid entries yet",L197-N197)))</x:f>
      </x:c>
      <x:c r="Q197" s="19" t="str">
        <x:f>IF(A197="","",IF(D197="Closed","Closed",IF(NOT(ISNUMBER(I197)),"Review date TBD",IF(NOT(ISNUMBER($B$3)),"Evaluation date TBD",IF(I197&lt;=$B$3,"Review due","Not due")))))</x:f>
      </x:c>
      <x:c r="R197" s="19" t="str">
        <x:f>IF(A197="","",IF(COUNTIFS($A$7:$A$306,A197)&lt;&gt;1,"Duplicate case ID",IF(OR(B197="",C197="",D197="",G197="",S197=""),"Basic info missing",IF(AND(F197&lt;&gt;"",COUNTIFS('Plan versions'!$A$7:$A$306,F197,'Plan versions'!$B$7:$B$306,A197,'Plan versions'!$L$7:$L$306,"Frozen")&lt;&gt;1),"Invalid current plan ref",IF(AND(D197="Executing",F197=""),"Execution lacks plan",IF(AND(D197="Closed",OR(T197="",COUNTIFS('Reviews'!$B$7:$B$306,A197)=0,COUNTIFS('Update log'!$B$7:$B$306,A197)=0)),"Closure docs missing","Basic records complete"))))))</x:f>
      </x:c>
      <x:c r="S197" s="3"/>
      <x:c r="T197" s="3"/>
    </x:row>
    <x:row r="198" ht="25" customHeight="1">
      <x:c r="A198" s="3"/>
      <x:c r="B198" s="3"/>
      <x:c r="C198" s="3"/>
      <x:c r="D198" s="3"/>
      <x:c r="E198" s="3"/>
      <x:c r="F198" s="3"/>
      <x:c r="G198" s="3"/>
      <x:c r="H198" s="3"/>
      <x:c r="I198" s="20"/>
      <x:c r="J198" s="3"/>
      <x:c r="K198" s="22"/>
      <x:c r="L198" s="22"/>
      <x:c r="M198" s="24" t="str">
        <x:f>IF(A198="","",IF(COUNTIFS('Execution log'!$B$7:$B$306,A198)=0,"",IF(COUNTIFS('Execution log'!$B$7:$B$306,A198,'Execution log'!$L$7:$L$306,"Valid",'Execution log'!$P$7:$P$306,"&lt;&gt;Valid input")&gt;0,"To check",IF(COUNTIFS('Execution log'!$B$7:$B$306,A198,'Execution log'!$P$7:$P$306,"Valid input")=0,"",SUMIFS('Execution log'!$H$7:$H$306,'Execution log'!$B$7:$B$306,A198,'Execution log'!$P$7:$P$306,"Valid input")))))</x:f>
      </x:c>
      <x:c r="N198" s="24" t="str">
        <x:f>IF(A198="","",IF(COUNTIFS('Execution log'!$B$7:$B$306,A198)=0,"",IF(COUNTIFS('Execution log'!$B$7:$B$306,A198,'Execution log'!$L$7:$L$306,"Valid",'Execution log'!$P$7:$P$306,"&lt;&gt;Valid input")&gt;0,"To check",IF(COUNTIFS('Execution log'!$B$7:$B$306,A198,'Execution log'!$P$7:$P$306,"Valid input")=0,"",SUMIFS('Execution log'!$J$7:$J$306,'Execution log'!$B$7:$B$306,A198,'Execution log'!$P$7:$P$306,"Valid input")))))</x:f>
      </x:c>
      <x:c r="O198" s="24" t="str">
        <x:f>IF(A198="","",IF(NOT(ISNUMBER(K198)),"Budget TBD",IF(NOT(ISNUMBER(M198)),"No valid entries yet",K198-M198)))</x:f>
      </x:c>
      <x:c r="P198" s="24" t="str">
        <x:f>IF(A198="","",IF(NOT(ISNUMBER(L198)),"Budget TBD",IF(NOT(ISNUMBER(N198)),"No valid entries yet",L198-N198)))</x:f>
      </x:c>
      <x:c r="Q198" s="19" t="str">
        <x:f>IF(A198="","",IF(D198="Closed","Closed",IF(NOT(ISNUMBER(I198)),"Review date TBD",IF(NOT(ISNUMBER($B$3)),"Evaluation date TBD",IF(I198&lt;=$B$3,"Review due","Not due")))))</x:f>
      </x:c>
      <x:c r="R198" s="19" t="str">
        <x:f>IF(A198="","",IF(COUNTIFS($A$7:$A$306,A198)&lt;&gt;1,"Duplicate case ID",IF(OR(B198="",C198="",D198="",G198="",S198=""),"Basic info missing",IF(AND(F198&lt;&gt;"",COUNTIFS('Plan versions'!$A$7:$A$306,F198,'Plan versions'!$B$7:$B$306,A198,'Plan versions'!$L$7:$L$306,"Frozen")&lt;&gt;1),"Invalid current plan ref",IF(AND(D198="Executing",F198=""),"Execution lacks plan",IF(AND(D198="Closed",OR(T198="",COUNTIFS('Reviews'!$B$7:$B$306,A198)=0,COUNTIFS('Update log'!$B$7:$B$306,A198)=0)),"Closure docs missing","Basic records complete"))))))</x:f>
      </x:c>
      <x:c r="S198" s="3"/>
      <x:c r="T198" s="3"/>
    </x:row>
    <x:row r="199" ht="25" customHeight="1">
      <x:c r="A199" s="3"/>
      <x:c r="B199" s="3"/>
      <x:c r="C199" s="3"/>
      <x:c r="D199" s="3"/>
      <x:c r="E199" s="3"/>
      <x:c r="F199" s="3"/>
      <x:c r="G199" s="3"/>
      <x:c r="H199" s="3"/>
      <x:c r="I199" s="20"/>
      <x:c r="J199" s="3"/>
      <x:c r="K199" s="22"/>
      <x:c r="L199" s="22"/>
      <x:c r="M199" s="24" t="str">
        <x:f>IF(A199="","",IF(COUNTIFS('Execution log'!$B$7:$B$306,A199)=0,"",IF(COUNTIFS('Execution log'!$B$7:$B$306,A199,'Execution log'!$L$7:$L$306,"Valid",'Execution log'!$P$7:$P$306,"&lt;&gt;Valid input")&gt;0,"To check",IF(COUNTIFS('Execution log'!$B$7:$B$306,A199,'Execution log'!$P$7:$P$306,"Valid input")=0,"",SUMIFS('Execution log'!$H$7:$H$306,'Execution log'!$B$7:$B$306,A199,'Execution log'!$P$7:$P$306,"Valid input")))))</x:f>
      </x:c>
      <x:c r="N199" s="24" t="str">
        <x:f>IF(A199="","",IF(COUNTIFS('Execution log'!$B$7:$B$306,A199)=0,"",IF(COUNTIFS('Execution log'!$B$7:$B$306,A199,'Execution log'!$L$7:$L$306,"Valid",'Execution log'!$P$7:$P$306,"&lt;&gt;Valid input")&gt;0,"To check",IF(COUNTIFS('Execution log'!$B$7:$B$306,A199,'Execution log'!$P$7:$P$306,"Valid input")=0,"",SUMIFS('Execution log'!$J$7:$J$306,'Execution log'!$B$7:$B$306,A199,'Execution log'!$P$7:$P$306,"Valid input")))))</x:f>
      </x:c>
      <x:c r="O199" s="24" t="str">
        <x:f>IF(A199="","",IF(NOT(ISNUMBER(K199)),"Budget TBD",IF(NOT(ISNUMBER(M199)),"No valid entries yet",K199-M199)))</x:f>
      </x:c>
      <x:c r="P199" s="24" t="str">
        <x:f>IF(A199="","",IF(NOT(ISNUMBER(L199)),"Budget TBD",IF(NOT(ISNUMBER(N199)),"No valid entries yet",L199-N199)))</x:f>
      </x:c>
      <x:c r="Q199" s="19" t="str">
        <x:f>IF(A199="","",IF(D199="Closed","Closed",IF(NOT(ISNUMBER(I199)),"Review date TBD",IF(NOT(ISNUMBER($B$3)),"Evaluation date TBD",IF(I199&lt;=$B$3,"Review due","Not due")))))</x:f>
      </x:c>
      <x:c r="R199" s="19" t="str">
        <x:f>IF(A199="","",IF(COUNTIFS($A$7:$A$306,A199)&lt;&gt;1,"Duplicate case ID",IF(OR(B199="",C199="",D199="",G199="",S199=""),"Basic info missing",IF(AND(F199&lt;&gt;"",COUNTIFS('Plan versions'!$A$7:$A$306,F199,'Plan versions'!$B$7:$B$306,A199,'Plan versions'!$L$7:$L$306,"Frozen")&lt;&gt;1),"Invalid current plan ref",IF(AND(D199="Executing",F199=""),"Execution lacks plan",IF(AND(D199="Closed",OR(T199="",COUNTIFS('Reviews'!$B$7:$B$306,A199)=0,COUNTIFS('Update log'!$B$7:$B$306,A199)=0)),"Closure docs missing","Basic records complete"))))))</x:f>
      </x:c>
      <x:c r="S199" s="3"/>
      <x:c r="T199" s="3"/>
    </x:row>
    <x:row r="200" ht="25" customHeight="1">
      <x:c r="A200" s="3"/>
      <x:c r="B200" s="3"/>
      <x:c r="C200" s="3"/>
      <x:c r="D200" s="3"/>
      <x:c r="E200" s="3"/>
      <x:c r="F200" s="3"/>
      <x:c r="G200" s="3"/>
      <x:c r="H200" s="3"/>
      <x:c r="I200" s="20"/>
      <x:c r="J200" s="3"/>
      <x:c r="K200" s="22"/>
      <x:c r="L200" s="22"/>
      <x:c r="M200" s="24" t="str">
        <x:f>IF(A200="","",IF(COUNTIFS('Execution log'!$B$7:$B$306,A200)=0,"",IF(COUNTIFS('Execution log'!$B$7:$B$306,A200,'Execution log'!$L$7:$L$306,"Valid",'Execution log'!$P$7:$P$306,"&lt;&gt;Valid input")&gt;0,"To check",IF(COUNTIFS('Execution log'!$B$7:$B$306,A200,'Execution log'!$P$7:$P$306,"Valid input")=0,"",SUMIFS('Execution log'!$H$7:$H$306,'Execution log'!$B$7:$B$306,A200,'Execution log'!$P$7:$P$306,"Valid input")))))</x:f>
      </x:c>
      <x:c r="N200" s="24" t="str">
        <x:f>IF(A200="","",IF(COUNTIFS('Execution log'!$B$7:$B$306,A200)=0,"",IF(COUNTIFS('Execution log'!$B$7:$B$306,A200,'Execution log'!$L$7:$L$306,"Valid",'Execution log'!$P$7:$P$306,"&lt;&gt;Valid input")&gt;0,"To check",IF(COUNTIFS('Execution log'!$B$7:$B$306,A200,'Execution log'!$P$7:$P$306,"Valid input")=0,"",SUMIFS('Execution log'!$J$7:$J$306,'Execution log'!$B$7:$B$306,A200,'Execution log'!$P$7:$P$306,"Valid input")))))</x:f>
      </x:c>
      <x:c r="O200" s="24" t="str">
        <x:f>IF(A200="","",IF(NOT(ISNUMBER(K200)),"Budget TBD",IF(NOT(ISNUMBER(M200)),"No valid entries yet",K200-M200)))</x:f>
      </x:c>
      <x:c r="P200" s="24" t="str">
        <x:f>IF(A200="","",IF(NOT(ISNUMBER(L200)),"Budget TBD",IF(NOT(ISNUMBER(N200)),"No valid entries yet",L200-N200)))</x:f>
      </x:c>
      <x:c r="Q200" s="19" t="str">
        <x:f>IF(A200="","",IF(D200="Closed","Closed",IF(NOT(ISNUMBER(I200)),"Review date TBD",IF(NOT(ISNUMBER($B$3)),"Evaluation date TBD",IF(I200&lt;=$B$3,"Review due","Not due")))))</x:f>
      </x:c>
      <x:c r="R200" s="19" t="str">
        <x:f>IF(A200="","",IF(COUNTIFS($A$7:$A$306,A200)&lt;&gt;1,"Duplicate case ID",IF(OR(B200="",C200="",D200="",G200="",S200=""),"Basic info missing",IF(AND(F200&lt;&gt;"",COUNTIFS('Plan versions'!$A$7:$A$306,F200,'Plan versions'!$B$7:$B$306,A200,'Plan versions'!$L$7:$L$306,"Frozen")&lt;&gt;1),"Invalid current plan ref",IF(AND(D200="Executing",F200=""),"Execution lacks plan",IF(AND(D200="Closed",OR(T200="",COUNTIFS('Reviews'!$B$7:$B$306,A200)=0,COUNTIFS('Update log'!$B$7:$B$306,A200)=0)),"Closure docs missing","Basic records complete"))))))</x:f>
      </x:c>
      <x:c r="S200" s="3"/>
      <x:c r="T200" s="3"/>
    </x:row>
    <x:row r="201" ht="25" customHeight="1">
      <x:c r="A201" s="3"/>
      <x:c r="B201" s="3"/>
      <x:c r="C201" s="3"/>
      <x:c r="D201" s="3"/>
      <x:c r="E201" s="3"/>
      <x:c r="F201" s="3"/>
      <x:c r="G201" s="3"/>
      <x:c r="H201" s="3"/>
      <x:c r="I201" s="20"/>
      <x:c r="J201" s="3"/>
      <x:c r="K201" s="22"/>
      <x:c r="L201" s="22"/>
      <x:c r="M201" s="24" t="str">
        <x:f>IF(A201="","",IF(COUNTIFS('Execution log'!$B$7:$B$306,A201)=0,"",IF(COUNTIFS('Execution log'!$B$7:$B$306,A201,'Execution log'!$L$7:$L$306,"Valid",'Execution log'!$P$7:$P$306,"&lt;&gt;Valid input")&gt;0,"To check",IF(COUNTIFS('Execution log'!$B$7:$B$306,A201,'Execution log'!$P$7:$P$306,"Valid input")=0,"",SUMIFS('Execution log'!$H$7:$H$306,'Execution log'!$B$7:$B$306,A201,'Execution log'!$P$7:$P$306,"Valid input")))))</x:f>
      </x:c>
      <x:c r="N201" s="24" t="str">
        <x:f>IF(A201="","",IF(COUNTIFS('Execution log'!$B$7:$B$306,A201)=0,"",IF(COUNTIFS('Execution log'!$B$7:$B$306,A201,'Execution log'!$L$7:$L$306,"Valid",'Execution log'!$P$7:$P$306,"&lt;&gt;Valid input")&gt;0,"To check",IF(COUNTIFS('Execution log'!$B$7:$B$306,A201,'Execution log'!$P$7:$P$306,"Valid input")=0,"",SUMIFS('Execution log'!$J$7:$J$306,'Execution log'!$B$7:$B$306,A201,'Execution log'!$P$7:$P$306,"Valid input")))))</x:f>
      </x:c>
      <x:c r="O201" s="24" t="str">
        <x:f>IF(A201="","",IF(NOT(ISNUMBER(K201)),"Budget TBD",IF(NOT(ISNUMBER(M201)),"No valid entries yet",K201-M201)))</x:f>
      </x:c>
      <x:c r="P201" s="24" t="str">
        <x:f>IF(A201="","",IF(NOT(ISNUMBER(L201)),"Budget TBD",IF(NOT(ISNUMBER(N201)),"No valid entries yet",L201-N201)))</x:f>
      </x:c>
      <x:c r="Q201" s="19" t="str">
        <x:f>IF(A201="","",IF(D201="Closed","Closed",IF(NOT(ISNUMBER(I201)),"Review date TBD",IF(NOT(ISNUMBER($B$3)),"Evaluation date TBD",IF(I201&lt;=$B$3,"Review due","Not due")))))</x:f>
      </x:c>
      <x:c r="R201" s="19" t="str">
        <x:f>IF(A201="","",IF(COUNTIFS($A$7:$A$306,A201)&lt;&gt;1,"Duplicate case ID",IF(OR(B201="",C201="",D201="",G201="",S201=""),"Basic info missing",IF(AND(F201&lt;&gt;"",COUNTIFS('Plan versions'!$A$7:$A$306,F201,'Plan versions'!$B$7:$B$306,A201,'Plan versions'!$L$7:$L$306,"Frozen")&lt;&gt;1),"Invalid current plan ref",IF(AND(D201="Executing",F201=""),"Execution lacks plan",IF(AND(D201="Closed",OR(T201="",COUNTIFS('Reviews'!$B$7:$B$306,A201)=0,COUNTIFS('Update log'!$B$7:$B$306,A201)=0)),"Closure docs missing","Basic records complete"))))))</x:f>
      </x:c>
      <x:c r="S201" s="3"/>
      <x:c r="T201" s="3"/>
    </x:row>
    <x:row r="202" ht="25" customHeight="1">
      <x:c r="A202" s="3"/>
      <x:c r="B202" s="3"/>
      <x:c r="C202" s="3"/>
      <x:c r="D202" s="3"/>
      <x:c r="E202" s="3"/>
      <x:c r="F202" s="3"/>
      <x:c r="G202" s="3"/>
      <x:c r="H202" s="3"/>
      <x:c r="I202" s="20"/>
      <x:c r="J202" s="3"/>
      <x:c r="K202" s="22"/>
      <x:c r="L202" s="22"/>
      <x:c r="M202" s="24" t="str">
        <x:f>IF(A202="","",IF(COUNTIFS('Execution log'!$B$7:$B$306,A202)=0,"",IF(COUNTIFS('Execution log'!$B$7:$B$306,A202,'Execution log'!$L$7:$L$306,"Valid",'Execution log'!$P$7:$P$306,"&lt;&gt;Valid input")&gt;0,"To check",IF(COUNTIFS('Execution log'!$B$7:$B$306,A202,'Execution log'!$P$7:$P$306,"Valid input")=0,"",SUMIFS('Execution log'!$H$7:$H$306,'Execution log'!$B$7:$B$306,A202,'Execution log'!$P$7:$P$306,"Valid input")))))</x:f>
      </x:c>
      <x:c r="N202" s="24" t="str">
        <x:f>IF(A202="","",IF(COUNTIFS('Execution log'!$B$7:$B$306,A202)=0,"",IF(COUNTIFS('Execution log'!$B$7:$B$306,A202,'Execution log'!$L$7:$L$306,"Valid",'Execution log'!$P$7:$P$306,"&lt;&gt;Valid input")&gt;0,"To check",IF(COUNTIFS('Execution log'!$B$7:$B$306,A202,'Execution log'!$P$7:$P$306,"Valid input")=0,"",SUMIFS('Execution log'!$J$7:$J$306,'Execution log'!$B$7:$B$306,A202,'Execution log'!$P$7:$P$306,"Valid input")))))</x:f>
      </x:c>
      <x:c r="O202" s="24" t="str">
        <x:f>IF(A202="","",IF(NOT(ISNUMBER(K202)),"Budget TBD",IF(NOT(ISNUMBER(M202)),"No valid entries yet",K202-M202)))</x:f>
      </x:c>
      <x:c r="P202" s="24" t="str">
        <x:f>IF(A202="","",IF(NOT(ISNUMBER(L202)),"Budget TBD",IF(NOT(ISNUMBER(N202)),"No valid entries yet",L202-N202)))</x:f>
      </x:c>
      <x:c r="Q202" s="19" t="str">
        <x:f>IF(A202="","",IF(D202="Closed","Closed",IF(NOT(ISNUMBER(I202)),"Review date TBD",IF(NOT(ISNUMBER($B$3)),"Evaluation date TBD",IF(I202&lt;=$B$3,"Review due","Not due")))))</x:f>
      </x:c>
      <x:c r="R202" s="19" t="str">
        <x:f>IF(A202="","",IF(COUNTIFS($A$7:$A$306,A202)&lt;&gt;1,"Duplicate case ID",IF(OR(B202="",C202="",D202="",G202="",S202=""),"Basic info missing",IF(AND(F202&lt;&gt;"",COUNTIFS('Plan versions'!$A$7:$A$306,F202,'Plan versions'!$B$7:$B$306,A202,'Plan versions'!$L$7:$L$306,"Frozen")&lt;&gt;1),"Invalid current plan ref",IF(AND(D202="Executing",F202=""),"Execution lacks plan",IF(AND(D202="Closed",OR(T202="",COUNTIFS('Reviews'!$B$7:$B$306,A202)=0,COUNTIFS('Update log'!$B$7:$B$306,A202)=0)),"Closure docs missing","Basic records complete"))))))</x:f>
      </x:c>
      <x:c r="S202" s="3"/>
      <x:c r="T202" s="3"/>
    </x:row>
    <x:row r="203" ht="25" customHeight="1">
      <x:c r="A203" s="3"/>
      <x:c r="B203" s="3"/>
      <x:c r="C203" s="3"/>
      <x:c r="D203" s="3"/>
      <x:c r="E203" s="3"/>
      <x:c r="F203" s="3"/>
      <x:c r="G203" s="3"/>
      <x:c r="H203" s="3"/>
      <x:c r="I203" s="20"/>
      <x:c r="J203" s="3"/>
      <x:c r="K203" s="22"/>
      <x:c r="L203" s="22"/>
      <x:c r="M203" s="24" t="str">
        <x:f>IF(A203="","",IF(COUNTIFS('Execution log'!$B$7:$B$306,A203)=0,"",IF(COUNTIFS('Execution log'!$B$7:$B$306,A203,'Execution log'!$L$7:$L$306,"Valid",'Execution log'!$P$7:$P$306,"&lt;&gt;Valid input")&gt;0,"To check",IF(COUNTIFS('Execution log'!$B$7:$B$306,A203,'Execution log'!$P$7:$P$306,"Valid input")=0,"",SUMIFS('Execution log'!$H$7:$H$306,'Execution log'!$B$7:$B$306,A203,'Execution log'!$P$7:$P$306,"Valid input")))))</x:f>
      </x:c>
      <x:c r="N203" s="24" t="str">
        <x:f>IF(A203="","",IF(COUNTIFS('Execution log'!$B$7:$B$306,A203)=0,"",IF(COUNTIFS('Execution log'!$B$7:$B$306,A203,'Execution log'!$L$7:$L$306,"Valid",'Execution log'!$P$7:$P$306,"&lt;&gt;Valid input")&gt;0,"To check",IF(COUNTIFS('Execution log'!$B$7:$B$306,A203,'Execution log'!$P$7:$P$306,"Valid input")=0,"",SUMIFS('Execution log'!$J$7:$J$306,'Execution log'!$B$7:$B$306,A203,'Execution log'!$P$7:$P$306,"Valid input")))))</x:f>
      </x:c>
      <x:c r="O203" s="24" t="str">
        <x:f>IF(A203="","",IF(NOT(ISNUMBER(K203)),"Budget TBD",IF(NOT(ISNUMBER(M203)),"No valid entries yet",K203-M203)))</x:f>
      </x:c>
      <x:c r="P203" s="24" t="str">
        <x:f>IF(A203="","",IF(NOT(ISNUMBER(L203)),"Budget TBD",IF(NOT(ISNUMBER(N203)),"No valid entries yet",L203-N203)))</x:f>
      </x:c>
      <x:c r="Q203" s="19" t="str">
        <x:f>IF(A203="","",IF(D203="Closed","Closed",IF(NOT(ISNUMBER(I203)),"Review date TBD",IF(NOT(ISNUMBER($B$3)),"Evaluation date TBD",IF(I203&lt;=$B$3,"Review due","Not due")))))</x:f>
      </x:c>
      <x:c r="R203" s="19" t="str">
        <x:f>IF(A203="","",IF(COUNTIFS($A$7:$A$306,A203)&lt;&gt;1,"Duplicate case ID",IF(OR(B203="",C203="",D203="",G203="",S203=""),"Basic info missing",IF(AND(F203&lt;&gt;"",COUNTIFS('Plan versions'!$A$7:$A$306,F203,'Plan versions'!$B$7:$B$306,A203,'Plan versions'!$L$7:$L$306,"Frozen")&lt;&gt;1),"Invalid current plan ref",IF(AND(D203="Executing",F203=""),"Execution lacks plan",IF(AND(D203="Closed",OR(T203="",COUNTIFS('Reviews'!$B$7:$B$306,A203)=0,COUNTIFS('Update log'!$B$7:$B$306,A203)=0)),"Closure docs missing","Basic records complete"))))))</x:f>
      </x:c>
      <x:c r="S203" s="3"/>
      <x:c r="T203" s="3"/>
    </x:row>
    <x:row r="204" ht="25" customHeight="1">
      <x:c r="A204" s="3"/>
      <x:c r="B204" s="3"/>
      <x:c r="C204" s="3"/>
      <x:c r="D204" s="3"/>
      <x:c r="E204" s="3"/>
      <x:c r="F204" s="3"/>
      <x:c r="G204" s="3"/>
      <x:c r="H204" s="3"/>
      <x:c r="I204" s="20"/>
      <x:c r="J204" s="3"/>
      <x:c r="K204" s="22"/>
      <x:c r="L204" s="22"/>
      <x:c r="M204" s="24" t="str">
        <x:f>IF(A204="","",IF(COUNTIFS('Execution log'!$B$7:$B$306,A204)=0,"",IF(COUNTIFS('Execution log'!$B$7:$B$306,A204,'Execution log'!$L$7:$L$306,"Valid",'Execution log'!$P$7:$P$306,"&lt;&gt;Valid input")&gt;0,"To check",IF(COUNTIFS('Execution log'!$B$7:$B$306,A204,'Execution log'!$P$7:$P$306,"Valid input")=0,"",SUMIFS('Execution log'!$H$7:$H$306,'Execution log'!$B$7:$B$306,A204,'Execution log'!$P$7:$P$306,"Valid input")))))</x:f>
      </x:c>
      <x:c r="N204" s="24" t="str">
        <x:f>IF(A204="","",IF(COUNTIFS('Execution log'!$B$7:$B$306,A204)=0,"",IF(COUNTIFS('Execution log'!$B$7:$B$306,A204,'Execution log'!$L$7:$L$306,"Valid",'Execution log'!$P$7:$P$306,"&lt;&gt;Valid input")&gt;0,"To check",IF(COUNTIFS('Execution log'!$B$7:$B$306,A204,'Execution log'!$P$7:$P$306,"Valid input")=0,"",SUMIFS('Execution log'!$J$7:$J$306,'Execution log'!$B$7:$B$306,A204,'Execution log'!$P$7:$P$306,"Valid input")))))</x:f>
      </x:c>
      <x:c r="O204" s="24" t="str">
        <x:f>IF(A204="","",IF(NOT(ISNUMBER(K204)),"Budget TBD",IF(NOT(ISNUMBER(M204)),"No valid entries yet",K204-M204)))</x:f>
      </x:c>
      <x:c r="P204" s="24" t="str">
        <x:f>IF(A204="","",IF(NOT(ISNUMBER(L204)),"Budget TBD",IF(NOT(ISNUMBER(N204)),"No valid entries yet",L204-N204)))</x:f>
      </x:c>
      <x:c r="Q204" s="19" t="str">
        <x:f>IF(A204="","",IF(D204="Closed","Closed",IF(NOT(ISNUMBER(I204)),"Review date TBD",IF(NOT(ISNUMBER($B$3)),"Evaluation date TBD",IF(I204&lt;=$B$3,"Review due","Not due")))))</x:f>
      </x:c>
      <x:c r="R204" s="19" t="str">
        <x:f>IF(A204="","",IF(COUNTIFS($A$7:$A$306,A204)&lt;&gt;1,"Duplicate case ID",IF(OR(B204="",C204="",D204="",G204="",S204=""),"Basic info missing",IF(AND(F204&lt;&gt;"",COUNTIFS('Plan versions'!$A$7:$A$306,F204,'Plan versions'!$B$7:$B$306,A204,'Plan versions'!$L$7:$L$306,"Frozen")&lt;&gt;1),"Invalid current plan ref",IF(AND(D204="Executing",F204=""),"Execution lacks plan",IF(AND(D204="Closed",OR(T204="",COUNTIFS('Reviews'!$B$7:$B$306,A204)=0,COUNTIFS('Update log'!$B$7:$B$306,A204)=0)),"Closure docs missing","Basic records complete"))))))</x:f>
      </x:c>
      <x:c r="S204" s="3"/>
      <x:c r="T204" s="3"/>
    </x:row>
    <x:row r="205" ht="25" customHeight="1">
      <x:c r="A205" s="3"/>
      <x:c r="B205" s="3"/>
      <x:c r="C205" s="3"/>
      <x:c r="D205" s="3"/>
      <x:c r="E205" s="3"/>
      <x:c r="F205" s="3"/>
      <x:c r="G205" s="3"/>
      <x:c r="H205" s="3"/>
      <x:c r="I205" s="20"/>
      <x:c r="J205" s="3"/>
      <x:c r="K205" s="22"/>
      <x:c r="L205" s="22"/>
      <x:c r="M205" s="24" t="str">
        <x:f>IF(A205="","",IF(COUNTIFS('Execution log'!$B$7:$B$306,A205)=0,"",IF(COUNTIFS('Execution log'!$B$7:$B$306,A205,'Execution log'!$L$7:$L$306,"Valid",'Execution log'!$P$7:$P$306,"&lt;&gt;Valid input")&gt;0,"To check",IF(COUNTIFS('Execution log'!$B$7:$B$306,A205,'Execution log'!$P$7:$P$306,"Valid input")=0,"",SUMIFS('Execution log'!$H$7:$H$306,'Execution log'!$B$7:$B$306,A205,'Execution log'!$P$7:$P$306,"Valid input")))))</x:f>
      </x:c>
      <x:c r="N205" s="24" t="str">
        <x:f>IF(A205="","",IF(COUNTIFS('Execution log'!$B$7:$B$306,A205)=0,"",IF(COUNTIFS('Execution log'!$B$7:$B$306,A205,'Execution log'!$L$7:$L$306,"Valid",'Execution log'!$P$7:$P$306,"&lt;&gt;Valid input")&gt;0,"To check",IF(COUNTIFS('Execution log'!$B$7:$B$306,A205,'Execution log'!$P$7:$P$306,"Valid input")=0,"",SUMIFS('Execution log'!$J$7:$J$306,'Execution log'!$B$7:$B$306,A205,'Execution log'!$P$7:$P$306,"Valid input")))))</x:f>
      </x:c>
      <x:c r="O205" s="24" t="str">
        <x:f>IF(A205="","",IF(NOT(ISNUMBER(K205)),"Budget TBD",IF(NOT(ISNUMBER(M205)),"No valid entries yet",K205-M205)))</x:f>
      </x:c>
      <x:c r="P205" s="24" t="str">
        <x:f>IF(A205="","",IF(NOT(ISNUMBER(L205)),"Budget TBD",IF(NOT(ISNUMBER(N205)),"No valid entries yet",L205-N205)))</x:f>
      </x:c>
      <x:c r="Q205" s="19" t="str">
        <x:f>IF(A205="","",IF(D205="Closed","Closed",IF(NOT(ISNUMBER(I205)),"Review date TBD",IF(NOT(ISNUMBER($B$3)),"Evaluation date TBD",IF(I205&lt;=$B$3,"Review due","Not due")))))</x:f>
      </x:c>
      <x:c r="R205" s="19" t="str">
        <x:f>IF(A205="","",IF(COUNTIFS($A$7:$A$306,A205)&lt;&gt;1,"Duplicate case ID",IF(OR(B205="",C205="",D205="",G205="",S205=""),"Basic info missing",IF(AND(F205&lt;&gt;"",COUNTIFS('Plan versions'!$A$7:$A$306,F205,'Plan versions'!$B$7:$B$306,A205,'Plan versions'!$L$7:$L$306,"Frozen")&lt;&gt;1),"Invalid current plan ref",IF(AND(D205="Executing",F205=""),"Execution lacks plan",IF(AND(D205="Closed",OR(T205="",COUNTIFS('Reviews'!$B$7:$B$306,A205)=0,COUNTIFS('Update log'!$B$7:$B$306,A205)=0)),"Closure docs missing","Basic records complete"))))))</x:f>
      </x:c>
      <x:c r="S205" s="3"/>
      <x:c r="T205" s="3"/>
    </x:row>
    <x:row r="206" ht="25" customHeight="1">
      <x:c r="A206" s="3"/>
      <x:c r="B206" s="3"/>
      <x:c r="C206" s="3"/>
      <x:c r="D206" s="3"/>
      <x:c r="E206" s="3"/>
      <x:c r="F206" s="3"/>
      <x:c r="G206" s="3"/>
      <x:c r="H206" s="3"/>
      <x:c r="I206" s="20"/>
      <x:c r="J206" s="3"/>
      <x:c r="K206" s="22"/>
      <x:c r="L206" s="22"/>
      <x:c r="M206" s="24" t="str">
        <x:f>IF(A206="","",IF(COUNTIFS('Execution log'!$B$7:$B$306,A206)=0,"",IF(COUNTIFS('Execution log'!$B$7:$B$306,A206,'Execution log'!$L$7:$L$306,"Valid",'Execution log'!$P$7:$P$306,"&lt;&gt;Valid input")&gt;0,"To check",IF(COUNTIFS('Execution log'!$B$7:$B$306,A206,'Execution log'!$P$7:$P$306,"Valid input")=0,"",SUMIFS('Execution log'!$H$7:$H$306,'Execution log'!$B$7:$B$306,A206,'Execution log'!$P$7:$P$306,"Valid input")))))</x:f>
      </x:c>
      <x:c r="N206" s="24" t="str">
        <x:f>IF(A206="","",IF(COUNTIFS('Execution log'!$B$7:$B$306,A206)=0,"",IF(COUNTIFS('Execution log'!$B$7:$B$306,A206,'Execution log'!$L$7:$L$306,"Valid",'Execution log'!$P$7:$P$306,"&lt;&gt;Valid input")&gt;0,"To check",IF(COUNTIFS('Execution log'!$B$7:$B$306,A206,'Execution log'!$P$7:$P$306,"Valid input")=0,"",SUMIFS('Execution log'!$J$7:$J$306,'Execution log'!$B$7:$B$306,A206,'Execution log'!$P$7:$P$306,"Valid input")))))</x:f>
      </x:c>
      <x:c r="O206" s="24" t="str">
        <x:f>IF(A206="","",IF(NOT(ISNUMBER(K206)),"Budget TBD",IF(NOT(ISNUMBER(M206)),"No valid entries yet",K206-M206)))</x:f>
      </x:c>
      <x:c r="P206" s="24" t="str">
        <x:f>IF(A206="","",IF(NOT(ISNUMBER(L206)),"Budget TBD",IF(NOT(ISNUMBER(N206)),"No valid entries yet",L206-N206)))</x:f>
      </x:c>
      <x:c r="Q206" s="19" t="str">
        <x:f>IF(A206="","",IF(D206="Closed","Closed",IF(NOT(ISNUMBER(I206)),"Review date TBD",IF(NOT(ISNUMBER($B$3)),"Evaluation date TBD",IF(I206&lt;=$B$3,"Review due","Not due")))))</x:f>
      </x:c>
      <x:c r="R206" s="19" t="str">
        <x:f>IF(A206="","",IF(COUNTIFS($A$7:$A$306,A206)&lt;&gt;1,"Duplicate case ID",IF(OR(B206="",C206="",D206="",G206="",S206=""),"Basic info missing",IF(AND(F206&lt;&gt;"",COUNTIFS('Plan versions'!$A$7:$A$306,F206,'Plan versions'!$B$7:$B$306,A206,'Plan versions'!$L$7:$L$306,"Frozen")&lt;&gt;1),"Invalid current plan ref",IF(AND(D206="Executing",F206=""),"Execution lacks plan",IF(AND(D206="Closed",OR(T206="",COUNTIFS('Reviews'!$B$7:$B$306,A206)=0,COUNTIFS('Update log'!$B$7:$B$306,A206)=0)),"Closure docs missing","Basic records complete"))))))</x:f>
      </x:c>
      <x:c r="S206" s="3"/>
      <x:c r="T206" s="3"/>
    </x:row>
    <x:row r="207" ht="25" customHeight="1">
      <x:c r="A207" s="3"/>
      <x:c r="B207" s="3"/>
      <x:c r="C207" s="3"/>
      <x:c r="D207" s="3"/>
      <x:c r="E207" s="3"/>
      <x:c r="F207" s="3"/>
      <x:c r="G207" s="3"/>
      <x:c r="H207" s="3"/>
      <x:c r="I207" s="20"/>
      <x:c r="J207" s="3"/>
      <x:c r="K207" s="22"/>
      <x:c r="L207" s="22"/>
      <x:c r="M207" s="24" t="str">
        <x:f>IF(A207="","",IF(COUNTIFS('Execution log'!$B$7:$B$306,A207)=0,"",IF(COUNTIFS('Execution log'!$B$7:$B$306,A207,'Execution log'!$L$7:$L$306,"Valid",'Execution log'!$P$7:$P$306,"&lt;&gt;Valid input")&gt;0,"To check",IF(COUNTIFS('Execution log'!$B$7:$B$306,A207,'Execution log'!$P$7:$P$306,"Valid input")=0,"",SUMIFS('Execution log'!$H$7:$H$306,'Execution log'!$B$7:$B$306,A207,'Execution log'!$P$7:$P$306,"Valid input")))))</x:f>
      </x:c>
      <x:c r="N207" s="24" t="str">
        <x:f>IF(A207="","",IF(COUNTIFS('Execution log'!$B$7:$B$306,A207)=0,"",IF(COUNTIFS('Execution log'!$B$7:$B$306,A207,'Execution log'!$L$7:$L$306,"Valid",'Execution log'!$P$7:$P$306,"&lt;&gt;Valid input")&gt;0,"To check",IF(COUNTIFS('Execution log'!$B$7:$B$306,A207,'Execution log'!$P$7:$P$306,"Valid input")=0,"",SUMIFS('Execution log'!$J$7:$J$306,'Execution log'!$B$7:$B$306,A207,'Execution log'!$P$7:$P$306,"Valid input")))))</x:f>
      </x:c>
      <x:c r="O207" s="24" t="str">
        <x:f>IF(A207="","",IF(NOT(ISNUMBER(K207)),"Budget TBD",IF(NOT(ISNUMBER(M207)),"No valid entries yet",K207-M207)))</x:f>
      </x:c>
      <x:c r="P207" s="24" t="str">
        <x:f>IF(A207="","",IF(NOT(ISNUMBER(L207)),"Budget TBD",IF(NOT(ISNUMBER(N207)),"No valid entries yet",L207-N207)))</x:f>
      </x:c>
      <x:c r="Q207" s="19" t="str">
        <x:f>IF(A207="","",IF(D207="Closed","Closed",IF(NOT(ISNUMBER(I207)),"Review date TBD",IF(NOT(ISNUMBER($B$3)),"Evaluation date TBD",IF(I207&lt;=$B$3,"Review due","Not due")))))</x:f>
      </x:c>
      <x:c r="R207" s="19" t="str">
        <x:f>IF(A207="","",IF(COUNTIFS($A$7:$A$306,A207)&lt;&gt;1,"Duplicate case ID",IF(OR(B207="",C207="",D207="",G207="",S207=""),"Basic info missing",IF(AND(F207&lt;&gt;"",COUNTIFS('Plan versions'!$A$7:$A$306,F207,'Plan versions'!$B$7:$B$306,A207,'Plan versions'!$L$7:$L$306,"Frozen")&lt;&gt;1),"Invalid current plan ref",IF(AND(D207="Executing",F207=""),"Execution lacks plan",IF(AND(D207="Closed",OR(T207="",COUNTIFS('Reviews'!$B$7:$B$306,A207)=0,COUNTIFS('Update log'!$B$7:$B$306,A207)=0)),"Closure docs missing","Basic records complete"))))))</x:f>
      </x:c>
      <x:c r="S207" s="3"/>
      <x:c r="T207" s="3"/>
    </x:row>
    <x:row r="208" ht="25" customHeight="1">
      <x:c r="A208" s="3"/>
      <x:c r="B208" s="3"/>
      <x:c r="C208" s="3"/>
      <x:c r="D208" s="3"/>
      <x:c r="E208" s="3"/>
      <x:c r="F208" s="3"/>
      <x:c r="G208" s="3"/>
      <x:c r="H208" s="3"/>
      <x:c r="I208" s="20"/>
      <x:c r="J208" s="3"/>
      <x:c r="K208" s="22"/>
      <x:c r="L208" s="22"/>
      <x:c r="M208" s="24" t="str">
        <x:f>IF(A208="","",IF(COUNTIFS('Execution log'!$B$7:$B$306,A208)=0,"",IF(COUNTIFS('Execution log'!$B$7:$B$306,A208,'Execution log'!$L$7:$L$306,"Valid",'Execution log'!$P$7:$P$306,"&lt;&gt;Valid input")&gt;0,"To check",IF(COUNTIFS('Execution log'!$B$7:$B$306,A208,'Execution log'!$P$7:$P$306,"Valid input")=0,"",SUMIFS('Execution log'!$H$7:$H$306,'Execution log'!$B$7:$B$306,A208,'Execution log'!$P$7:$P$306,"Valid input")))))</x:f>
      </x:c>
      <x:c r="N208" s="24" t="str">
        <x:f>IF(A208="","",IF(COUNTIFS('Execution log'!$B$7:$B$306,A208)=0,"",IF(COUNTIFS('Execution log'!$B$7:$B$306,A208,'Execution log'!$L$7:$L$306,"Valid",'Execution log'!$P$7:$P$306,"&lt;&gt;Valid input")&gt;0,"To check",IF(COUNTIFS('Execution log'!$B$7:$B$306,A208,'Execution log'!$P$7:$P$306,"Valid input")=0,"",SUMIFS('Execution log'!$J$7:$J$306,'Execution log'!$B$7:$B$306,A208,'Execution log'!$P$7:$P$306,"Valid input")))))</x:f>
      </x:c>
      <x:c r="O208" s="24" t="str">
        <x:f>IF(A208="","",IF(NOT(ISNUMBER(K208)),"Budget TBD",IF(NOT(ISNUMBER(M208)),"No valid entries yet",K208-M208)))</x:f>
      </x:c>
      <x:c r="P208" s="24" t="str">
        <x:f>IF(A208="","",IF(NOT(ISNUMBER(L208)),"Budget TBD",IF(NOT(ISNUMBER(N208)),"No valid entries yet",L208-N208)))</x:f>
      </x:c>
      <x:c r="Q208" s="19" t="str">
        <x:f>IF(A208="","",IF(D208="Closed","Closed",IF(NOT(ISNUMBER(I208)),"Review date TBD",IF(NOT(ISNUMBER($B$3)),"Evaluation date TBD",IF(I208&lt;=$B$3,"Review due","Not due")))))</x:f>
      </x:c>
      <x:c r="R208" s="19" t="str">
        <x:f>IF(A208="","",IF(COUNTIFS($A$7:$A$306,A208)&lt;&gt;1,"Duplicate case ID",IF(OR(B208="",C208="",D208="",G208="",S208=""),"Basic info missing",IF(AND(F208&lt;&gt;"",COUNTIFS('Plan versions'!$A$7:$A$306,F208,'Plan versions'!$B$7:$B$306,A208,'Plan versions'!$L$7:$L$306,"Frozen")&lt;&gt;1),"Invalid current plan ref",IF(AND(D208="Executing",F208=""),"Execution lacks plan",IF(AND(D208="Closed",OR(T208="",COUNTIFS('Reviews'!$B$7:$B$306,A208)=0,COUNTIFS('Update log'!$B$7:$B$306,A208)=0)),"Closure docs missing","Basic records complete"))))))</x:f>
      </x:c>
      <x:c r="S208" s="3"/>
      <x:c r="T208" s="3"/>
    </x:row>
    <x:row r="209" ht="25" customHeight="1">
      <x:c r="A209" s="3"/>
      <x:c r="B209" s="3"/>
      <x:c r="C209" s="3"/>
      <x:c r="D209" s="3"/>
      <x:c r="E209" s="3"/>
      <x:c r="F209" s="3"/>
      <x:c r="G209" s="3"/>
      <x:c r="H209" s="3"/>
      <x:c r="I209" s="20"/>
      <x:c r="J209" s="3"/>
      <x:c r="K209" s="22"/>
      <x:c r="L209" s="22"/>
      <x:c r="M209" s="24" t="str">
        <x:f>IF(A209="","",IF(COUNTIFS('Execution log'!$B$7:$B$306,A209)=0,"",IF(COUNTIFS('Execution log'!$B$7:$B$306,A209,'Execution log'!$L$7:$L$306,"Valid",'Execution log'!$P$7:$P$306,"&lt;&gt;Valid input")&gt;0,"To check",IF(COUNTIFS('Execution log'!$B$7:$B$306,A209,'Execution log'!$P$7:$P$306,"Valid input")=0,"",SUMIFS('Execution log'!$H$7:$H$306,'Execution log'!$B$7:$B$306,A209,'Execution log'!$P$7:$P$306,"Valid input")))))</x:f>
      </x:c>
      <x:c r="N209" s="24" t="str">
        <x:f>IF(A209="","",IF(COUNTIFS('Execution log'!$B$7:$B$306,A209)=0,"",IF(COUNTIFS('Execution log'!$B$7:$B$306,A209,'Execution log'!$L$7:$L$306,"Valid",'Execution log'!$P$7:$P$306,"&lt;&gt;Valid input")&gt;0,"To check",IF(COUNTIFS('Execution log'!$B$7:$B$306,A209,'Execution log'!$P$7:$P$306,"Valid input")=0,"",SUMIFS('Execution log'!$J$7:$J$306,'Execution log'!$B$7:$B$306,A209,'Execution log'!$P$7:$P$306,"Valid input")))))</x:f>
      </x:c>
      <x:c r="O209" s="24" t="str">
        <x:f>IF(A209="","",IF(NOT(ISNUMBER(K209)),"Budget TBD",IF(NOT(ISNUMBER(M209)),"No valid entries yet",K209-M209)))</x:f>
      </x:c>
      <x:c r="P209" s="24" t="str">
        <x:f>IF(A209="","",IF(NOT(ISNUMBER(L209)),"Budget TBD",IF(NOT(ISNUMBER(N209)),"No valid entries yet",L209-N209)))</x:f>
      </x:c>
      <x:c r="Q209" s="19" t="str">
        <x:f>IF(A209="","",IF(D209="Closed","Closed",IF(NOT(ISNUMBER(I209)),"Review date TBD",IF(NOT(ISNUMBER($B$3)),"Evaluation date TBD",IF(I209&lt;=$B$3,"Review due","Not due")))))</x:f>
      </x:c>
      <x:c r="R209" s="19" t="str">
        <x:f>IF(A209="","",IF(COUNTIFS($A$7:$A$306,A209)&lt;&gt;1,"Duplicate case ID",IF(OR(B209="",C209="",D209="",G209="",S209=""),"Basic info missing",IF(AND(F209&lt;&gt;"",COUNTIFS('Plan versions'!$A$7:$A$306,F209,'Plan versions'!$B$7:$B$306,A209,'Plan versions'!$L$7:$L$306,"Frozen")&lt;&gt;1),"Invalid current plan ref",IF(AND(D209="Executing",F209=""),"Execution lacks plan",IF(AND(D209="Closed",OR(T209="",COUNTIFS('Reviews'!$B$7:$B$306,A209)=0,COUNTIFS('Update log'!$B$7:$B$306,A209)=0)),"Closure docs missing","Basic records complete"))))))</x:f>
      </x:c>
      <x:c r="S209" s="3"/>
      <x:c r="T209" s="3"/>
    </x:row>
    <x:row r="210" ht="25" customHeight="1">
      <x:c r="A210" s="3"/>
      <x:c r="B210" s="3"/>
      <x:c r="C210" s="3"/>
      <x:c r="D210" s="3"/>
      <x:c r="E210" s="3"/>
      <x:c r="F210" s="3"/>
      <x:c r="G210" s="3"/>
      <x:c r="H210" s="3"/>
      <x:c r="I210" s="20"/>
      <x:c r="J210" s="3"/>
      <x:c r="K210" s="22"/>
      <x:c r="L210" s="22"/>
      <x:c r="M210" s="24" t="str">
        <x:f>IF(A210="","",IF(COUNTIFS('Execution log'!$B$7:$B$306,A210)=0,"",IF(COUNTIFS('Execution log'!$B$7:$B$306,A210,'Execution log'!$L$7:$L$306,"Valid",'Execution log'!$P$7:$P$306,"&lt;&gt;Valid input")&gt;0,"To check",IF(COUNTIFS('Execution log'!$B$7:$B$306,A210,'Execution log'!$P$7:$P$306,"Valid input")=0,"",SUMIFS('Execution log'!$H$7:$H$306,'Execution log'!$B$7:$B$306,A210,'Execution log'!$P$7:$P$306,"Valid input")))))</x:f>
      </x:c>
      <x:c r="N210" s="24" t="str">
        <x:f>IF(A210="","",IF(COUNTIFS('Execution log'!$B$7:$B$306,A210)=0,"",IF(COUNTIFS('Execution log'!$B$7:$B$306,A210,'Execution log'!$L$7:$L$306,"Valid",'Execution log'!$P$7:$P$306,"&lt;&gt;Valid input")&gt;0,"To check",IF(COUNTIFS('Execution log'!$B$7:$B$306,A210,'Execution log'!$P$7:$P$306,"Valid input")=0,"",SUMIFS('Execution log'!$J$7:$J$306,'Execution log'!$B$7:$B$306,A210,'Execution log'!$P$7:$P$306,"Valid input")))))</x:f>
      </x:c>
      <x:c r="O210" s="24" t="str">
        <x:f>IF(A210="","",IF(NOT(ISNUMBER(K210)),"Budget TBD",IF(NOT(ISNUMBER(M210)),"No valid entries yet",K210-M210)))</x:f>
      </x:c>
      <x:c r="P210" s="24" t="str">
        <x:f>IF(A210="","",IF(NOT(ISNUMBER(L210)),"Budget TBD",IF(NOT(ISNUMBER(N210)),"No valid entries yet",L210-N210)))</x:f>
      </x:c>
      <x:c r="Q210" s="19" t="str">
        <x:f>IF(A210="","",IF(D210="Closed","Closed",IF(NOT(ISNUMBER(I210)),"Review date TBD",IF(NOT(ISNUMBER($B$3)),"Evaluation date TBD",IF(I210&lt;=$B$3,"Review due","Not due")))))</x:f>
      </x:c>
      <x:c r="R210" s="19" t="str">
        <x:f>IF(A210="","",IF(COUNTIFS($A$7:$A$306,A210)&lt;&gt;1,"Duplicate case ID",IF(OR(B210="",C210="",D210="",G210="",S210=""),"Basic info missing",IF(AND(F210&lt;&gt;"",COUNTIFS('Plan versions'!$A$7:$A$306,F210,'Plan versions'!$B$7:$B$306,A210,'Plan versions'!$L$7:$L$306,"Frozen")&lt;&gt;1),"Invalid current plan ref",IF(AND(D210="Executing",F210=""),"Execution lacks plan",IF(AND(D210="Closed",OR(T210="",COUNTIFS('Reviews'!$B$7:$B$306,A210)=0,COUNTIFS('Update log'!$B$7:$B$306,A210)=0)),"Closure docs missing","Basic records complete"))))))</x:f>
      </x:c>
      <x:c r="S210" s="3"/>
      <x:c r="T210" s="3"/>
    </x:row>
    <x:row r="211" ht="25" customHeight="1">
      <x:c r="A211" s="3"/>
      <x:c r="B211" s="3"/>
      <x:c r="C211" s="3"/>
      <x:c r="D211" s="3"/>
      <x:c r="E211" s="3"/>
      <x:c r="F211" s="3"/>
      <x:c r="G211" s="3"/>
      <x:c r="H211" s="3"/>
      <x:c r="I211" s="20"/>
      <x:c r="J211" s="3"/>
      <x:c r="K211" s="22"/>
      <x:c r="L211" s="22"/>
      <x:c r="M211" s="24" t="str">
        <x:f>IF(A211="","",IF(COUNTIFS('Execution log'!$B$7:$B$306,A211)=0,"",IF(COUNTIFS('Execution log'!$B$7:$B$306,A211,'Execution log'!$L$7:$L$306,"Valid",'Execution log'!$P$7:$P$306,"&lt;&gt;Valid input")&gt;0,"To check",IF(COUNTIFS('Execution log'!$B$7:$B$306,A211,'Execution log'!$P$7:$P$306,"Valid input")=0,"",SUMIFS('Execution log'!$H$7:$H$306,'Execution log'!$B$7:$B$306,A211,'Execution log'!$P$7:$P$306,"Valid input")))))</x:f>
      </x:c>
      <x:c r="N211" s="24" t="str">
        <x:f>IF(A211="","",IF(COUNTIFS('Execution log'!$B$7:$B$306,A211)=0,"",IF(COUNTIFS('Execution log'!$B$7:$B$306,A211,'Execution log'!$L$7:$L$306,"Valid",'Execution log'!$P$7:$P$306,"&lt;&gt;Valid input")&gt;0,"To check",IF(COUNTIFS('Execution log'!$B$7:$B$306,A211,'Execution log'!$P$7:$P$306,"Valid input")=0,"",SUMIFS('Execution log'!$J$7:$J$306,'Execution log'!$B$7:$B$306,A211,'Execution log'!$P$7:$P$306,"Valid input")))))</x:f>
      </x:c>
      <x:c r="O211" s="24" t="str">
        <x:f>IF(A211="","",IF(NOT(ISNUMBER(K211)),"Budget TBD",IF(NOT(ISNUMBER(M211)),"No valid entries yet",K211-M211)))</x:f>
      </x:c>
      <x:c r="P211" s="24" t="str">
        <x:f>IF(A211="","",IF(NOT(ISNUMBER(L211)),"Budget TBD",IF(NOT(ISNUMBER(N211)),"No valid entries yet",L211-N211)))</x:f>
      </x:c>
      <x:c r="Q211" s="19" t="str">
        <x:f>IF(A211="","",IF(D211="Closed","Closed",IF(NOT(ISNUMBER(I211)),"Review date TBD",IF(NOT(ISNUMBER($B$3)),"Evaluation date TBD",IF(I211&lt;=$B$3,"Review due","Not due")))))</x:f>
      </x:c>
      <x:c r="R211" s="19" t="str">
        <x:f>IF(A211="","",IF(COUNTIFS($A$7:$A$306,A211)&lt;&gt;1,"Duplicate case ID",IF(OR(B211="",C211="",D211="",G211="",S211=""),"Basic info missing",IF(AND(F211&lt;&gt;"",COUNTIFS('Plan versions'!$A$7:$A$306,F211,'Plan versions'!$B$7:$B$306,A211,'Plan versions'!$L$7:$L$306,"Frozen")&lt;&gt;1),"Invalid current plan ref",IF(AND(D211="Executing",F211=""),"Execution lacks plan",IF(AND(D211="Closed",OR(T211="",COUNTIFS('Reviews'!$B$7:$B$306,A211)=0,COUNTIFS('Update log'!$B$7:$B$306,A211)=0)),"Closure docs missing","Basic records complete"))))))</x:f>
      </x:c>
      <x:c r="S211" s="3"/>
      <x:c r="T211" s="3"/>
    </x:row>
    <x:row r="212" ht="25" customHeight="1">
      <x:c r="A212" s="3"/>
      <x:c r="B212" s="3"/>
      <x:c r="C212" s="3"/>
      <x:c r="D212" s="3"/>
      <x:c r="E212" s="3"/>
      <x:c r="F212" s="3"/>
      <x:c r="G212" s="3"/>
      <x:c r="H212" s="3"/>
      <x:c r="I212" s="20"/>
      <x:c r="J212" s="3"/>
      <x:c r="K212" s="22"/>
      <x:c r="L212" s="22"/>
      <x:c r="M212" s="24" t="str">
        <x:f>IF(A212="","",IF(COUNTIFS('Execution log'!$B$7:$B$306,A212)=0,"",IF(COUNTIFS('Execution log'!$B$7:$B$306,A212,'Execution log'!$L$7:$L$306,"Valid",'Execution log'!$P$7:$P$306,"&lt;&gt;Valid input")&gt;0,"To check",IF(COUNTIFS('Execution log'!$B$7:$B$306,A212,'Execution log'!$P$7:$P$306,"Valid input")=0,"",SUMIFS('Execution log'!$H$7:$H$306,'Execution log'!$B$7:$B$306,A212,'Execution log'!$P$7:$P$306,"Valid input")))))</x:f>
      </x:c>
      <x:c r="N212" s="24" t="str">
        <x:f>IF(A212="","",IF(COUNTIFS('Execution log'!$B$7:$B$306,A212)=0,"",IF(COUNTIFS('Execution log'!$B$7:$B$306,A212,'Execution log'!$L$7:$L$306,"Valid",'Execution log'!$P$7:$P$306,"&lt;&gt;Valid input")&gt;0,"To check",IF(COUNTIFS('Execution log'!$B$7:$B$306,A212,'Execution log'!$P$7:$P$306,"Valid input")=0,"",SUMIFS('Execution log'!$J$7:$J$306,'Execution log'!$B$7:$B$306,A212,'Execution log'!$P$7:$P$306,"Valid input")))))</x:f>
      </x:c>
      <x:c r="O212" s="24" t="str">
        <x:f>IF(A212="","",IF(NOT(ISNUMBER(K212)),"Budget TBD",IF(NOT(ISNUMBER(M212)),"No valid entries yet",K212-M212)))</x:f>
      </x:c>
      <x:c r="P212" s="24" t="str">
        <x:f>IF(A212="","",IF(NOT(ISNUMBER(L212)),"Budget TBD",IF(NOT(ISNUMBER(N212)),"No valid entries yet",L212-N212)))</x:f>
      </x:c>
      <x:c r="Q212" s="19" t="str">
        <x:f>IF(A212="","",IF(D212="Closed","Closed",IF(NOT(ISNUMBER(I212)),"Review date TBD",IF(NOT(ISNUMBER($B$3)),"Evaluation date TBD",IF(I212&lt;=$B$3,"Review due","Not due")))))</x:f>
      </x:c>
      <x:c r="R212" s="19" t="str">
        <x:f>IF(A212="","",IF(COUNTIFS($A$7:$A$306,A212)&lt;&gt;1,"Duplicate case ID",IF(OR(B212="",C212="",D212="",G212="",S212=""),"Basic info missing",IF(AND(F212&lt;&gt;"",COUNTIFS('Plan versions'!$A$7:$A$306,F212,'Plan versions'!$B$7:$B$306,A212,'Plan versions'!$L$7:$L$306,"Frozen")&lt;&gt;1),"Invalid current plan ref",IF(AND(D212="Executing",F212=""),"Execution lacks plan",IF(AND(D212="Closed",OR(T212="",COUNTIFS('Reviews'!$B$7:$B$306,A212)=0,COUNTIFS('Update log'!$B$7:$B$306,A212)=0)),"Closure docs missing","Basic records complete"))))))</x:f>
      </x:c>
      <x:c r="S212" s="3"/>
      <x:c r="T212" s="3"/>
    </x:row>
    <x:row r="213" ht="25" customHeight="1">
      <x:c r="A213" s="3"/>
      <x:c r="B213" s="3"/>
      <x:c r="C213" s="3"/>
      <x:c r="D213" s="3"/>
      <x:c r="E213" s="3"/>
      <x:c r="F213" s="3"/>
      <x:c r="G213" s="3"/>
      <x:c r="H213" s="3"/>
      <x:c r="I213" s="20"/>
      <x:c r="J213" s="3"/>
      <x:c r="K213" s="22"/>
      <x:c r="L213" s="22"/>
      <x:c r="M213" s="24" t="str">
        <x:f>IF(A213="","",IF(COUNTIFS('Execution log'!$B$7:$B$306,A213)=0,"",IF(COUNTIFS('Execution log'!$B$7:$B$306,A213,'Execution log'!$L$7:$L$306,"Valid",'Execution log'!$P$7:$P$306,"&lt;&gt;Valid input")&gt;0,"To check",IF(COUNTIFS('Execution log'!$B$7:$B$306,A213,'Execution log'!$P$7:$P$306,"Valid input")=0,"",SUMIFS('Execution log'!$H$7:$H$306,'Execution log'!$B$7:$B$306,A213,'Execution log'!$P$7:$P$306,"Valid input")))))</x:f>
      </x:c>
      <x:c r="N213" s="24" t="str">
        <x:f>IF(A213="","",IF(COUNTIFS('Execution log'!$B$7:$B$306,A213)=0,"",IF(COUNTIFS('Execution log'!$B$7:$B$306,A213,'Execution log'!$L$7:$L$306,"Valid",'Execution log'!$P$7:$P$306,"&lt;&gt;Valid input")&gt;0,"To check",IF(COUNTIFS('Execution log'!$B$7:$B$306,A213,'Execution log'!$P$7:$P$306,"Valid input")=0,"",SUMIFS('Execution log'!$J$7:$J$306,'Execution log'!$B$7:$B$306,A213,'Execution log'!$P$7:$P$306,"Valid input")))))</x:f>
      </x:c>
      <x:c r="O213" s="24" t="str">
        <x:f>IF(A213="","",IF(NOT(ISNUMBER(K213)),"Budget TBD",IF(NOT(ISNUMBER(M213)),"No valid entries yet",K213-M213)))</x:f>
      </x:c>
      <x:c r="P213" s="24" t="str">
        <x:f>IF(A213="","",IF(NOT(ISNUMBER(L213)),"Budget TBD",IF(NOT(ISNUMBER(N213)),"No valid entries yet",L213-N213)))</x:f>
      </x:c>
      <x:c r="Q213" s="19" t="str">
        <x:f>IF(A213="","",IF(D213="Closed","Closed",IF(NOT(ISNUMBER(I213)),"Review date TBD",IF(NOT(ISNUMBER($B$3)),"Evaluation date TBD",IF(I213&lt;=$B$3,"Review due","Not due")))))</x:f>
      </x:c>
      <x:c r="R213" s="19" t="str">
        <x:f>IF(A213="","",IF(COUNTIFS($A$7:$A$306,A213)&lt;&gt;1,"Duplicate case ID",IF(OR(B213="",C213="",D213="",G213="",S213=""),"Basic info missing",IF(AND(F213&lt;&gt;"",COUNTIFS('Plan versions'!$A$7:$A$306,F213,'Plan versions'!$B$7:$B$306,A213,'Plan versions'!$L$7:$L$306,"Frozen")&lt;&gt;1),"Invalid current plan ref",IF(AND(D213="Executing",F213=""),"Execution lacks plan",IF(AND(D213="Closed",OR(T213="",COUNTIFS('Reviews'!$B$7:$B$306,A213)=0,COUNTIFS('Update log'!$B$7:$B$306,A213)=0)),"Closure docs missing","Basic records complete"))))))</x:f>
      </x:c>
      <x:c r="S213" s="3"/>
      <x:c r="T213" s="3"/>
    </x:row>
    <x:row r="214" ht="25" customHeight="1">
      <x:c r="A214" s="3"/>
      <x:c r="B214" s="3"/>
      <x:c r="C214" s="3"/>
      <x:c r="D214" s="3"/>
      <x:c r="E214" s="3"/>
      <x:c r="F214" s="3"/>
      <x:c r="G214" s="3"/>
      <x:c r="H214" s="3"/>
      <x:c r="I214" s="20"/>
      <x:c r="J214" s="3"/>
      <x:c r="K214" s="22"/>
      <x:c r="L214" s="22"/>
      <x:c r="M214" s="24" t="str">
        <x:f>IF(A214="","",IF(COUNTIFS('Execution log'!$B$7:$B$306,A214)=0,"",IF(COUNTIFS('Execution log'!$B$7:$B$306,A214,'Execution log'!$L$7:$L$306,"Valid",'Execution log'!$P$7:$P$306,"&lt;&gt;Valid input")&gt;0,"To check",IF(COUNTIFS('Execution log'!$B$7:$B$306,A214,'Execution log'!$P$7:$P$306,"Valid input")=0,"",SUMIFS('Execution log'!$H$7:$H$306,'Execution log'!$B$7:$B$306,A214,'Execution log'!$P$7:$P$306,"Valid input")))))</x:f>
      </x:c>
      <x:c r="N214" s="24" t="str">
        <x:f>IF(A214="","",IF(COUNTIFS('Execution log'!$B$7:$B$306,A214)=0,"",IF(COUNTIFS('Execution log'!$B$7:$B$306,A214,'Execution log'!$L$7:$L$306,"Valid",'Execution log'!$P$7:$P$306,"&lt;&gt;Valid input")&gt;0,"To check",IF(COUNTIFS('Execution log'!$B$7:$B$306,A214,'Execution log'!$P$7:$P$306,"Valid input")=0,"",SUMIFS('Execution log'!$J$7:$J$306,'Execution log'!$B$7:$B$306,A214,'Execution log'!$P$7:$P$306,"Valid input")))))</x:f>
      </x:c>
      <x:c r="O214" s="24" t="str">
        <x:f>IF(A214="","",IF(NOT(ISNUMBER(K214)),"Budget TBD",IF(NOT(ISNUMBER(M214)),"No valid entries yet",K214-M214)))</x:f>
      </x:c>
      <x:c r="P214" s="24" t="str">
        <x:f>IF(A214="","",IF(NOT(ISNUMBER(L214)),"Budget TBD",IF(NOT(ISNUMBER(N214)),"No valid entries yet",L214-N214)))</x:f>
      </x:c>
      <x:c r="Q214" s="19" t="str">
        <x:f>IF(A214="","",IF(D214="Closed","Closed",IF(NOT(ISNUMBER(I214)),"Review date TBD",IF(NOT(ISNUMBER($B$3)),"Evaluation date TBD",IF(I214&lt;=$B$3,"Review due","Not due")))))</x:f>
      </x:c>
      <x:c r="R214" s="19" t="str">
        <x:f>IF(A214="","",IF(COUNTIFS($A$7:$A$306,A214)&lt;&gt;1,"Duplicate case ID",IF(OR(B214="",C214="",D214="",G214="",S214=""),"Basic info missing",IF(AND(F214&lt;&gt;"",COUNTIFS('Plan versions'!$A$7:$A$306,F214,'Plan versions'!$B$7:$B$306,A214,'Plan versions'!$L$7:$L$306,"Frozen")&lt;&gt;1),"Invalid current plan ref",IF(AND(D214="Executing",F214=""),"Execution lacks plan",IF(AND(D214="Closed",OR(T214="",COUNTIFS('Reviews'!$B$7:$B$306,A214)=0,COUNTIFS('Update log'!$B$7:$B$306,A214)=0)),"Closure docs missing","Basic records complete"))))))</x:f>
      </x:c>
      <x:c r="S214" s="3"/>
      <x:c r="T214" s="3"/>
    </x:row>
    <x:row r="215" ht="25" customHeight="1">
      <x:c r="A215" s="3"/>
      <x:c r="B215" s="3"/>
      <x:c r="C215" s="3"/>
      <x:c r="D215" s="3"/>
      <x:c r="E215" s="3"/>
      <x:c r="F215" s="3"/>
      <x:c r="G215" s="3"/>
      <x:c r="H215" s="3"/>
      <x:c r="I215" s="20"/>
      <x:c r="J215" s="3"/>
      <x:c r="K215" s="22"/>
      <x:c r="L215" s="22"/>
      <x:c r="M215" s="24" t="str">
        <x:f>IF(A215="","",IF(COUNTIFS('Execution log'!$B$7:$B$306,A215)=0,"",IF(COUNTIFS('Execution log'!$B$7:$B$306,A215,'Execution log'!$L$7:$L$306,"Valid",'Execution log'!$P$7:$P$306,"&lt;&gt;Valid input")&gt;0,"To check",IF(COUNTIFS('Execution log'!$B$7:$B$306,A215,'Execution log'!$P$7:$P$306,"Valid input")=0,"",SUMIFS('Execution log'!$H$7:$H$306,'Execution log'!$B$7:$B$306,A215,'Execution log'!$P$7:$P$306,"Valid input")))))</x:f>
      </x:c>
      <x:c r="N215" s="24" t="str">
        <x:f>IF(A215="","",IF(COUNTIFS('Execution log'!$B$7:$B$306,A215)=0,"",IF(COUNTIFS('Execution log'!$B$7:$B$306,A215,'Execution log'!$L$7:$L$306,"Valid",'Execution log'!$P$7:$P$306,"&lt;&gt;Valid input")&gt;0,"To check",IF(COUNTIFS('Execution log'!$B$7:$B$306,A215,'Execution log'!$P$7:$P$306,"Valid input")=0,"",SUMIFS('Execution log'!$J$7:$J$306,'Execution log'!$B$7:$B$306,A215,'Execution log'!$P$7:$P$306,"Valid input")))))</x:f>
      </x:c>
      <x:c r="O215" s="24" t="str">
        <x:f>IF(A215="","",IF(NOT(ISNUMBER(K215)),"Budget TBD",IF(NOT(ISNUMBER(M215)),"No valid entries yet",K215-M215)))</x:f>
      </x:c>
      <x:c r="P215" s="24" t="str">
        <x:f>IF(A215="","",IF(NOT(ISNUMBER(L215)),"Budget TBD",IF(NOT(ISNUMBER(N215)),"No valid entries yet",L215-N215)))</x:f>
      </x:c>
      <x:c r="Q215" s="19" t="str">
        <x:f>IF(A215="","",IF(D215="Closed","Closed",IF(NOT(ISNUMBER(I215)),"Review date TBD",IF(NOT(ISNUMBER($B$3)),"Evaluation date TBD",IF(I215&lt;=$B$3,"Review due","Not due")))))</x:f>
      </x:c>
      <x:c r="R215" s="19" t="str">
        <x:f>IF(A215="","",IF(COUNTIFS($A$7:$A$306,A215)&lt;&gt;1,"Duplicate case ID",IF(OR(B215="",C215="",D215="",G215="",S215=""),"Basic info missing",IF(AND(F215&lt;&gt;"",COUNTIFS('Plan versions'!$A$7:$A$306,F215,'Plan versions'!$B$7:$B$306,A215,'Plan versions'!$L$7:$L$306,"Frozen")&lt;&gt;1),"Invalid current plan ref",IF(AND(D215="Executing",F215=""),"Execution lacks plan",IF(AND(D215="Closed",OR(T215="",COUNTIFS('Reviews'!$B$7:$B$306,A215)=0,COUNTIFS('Update log'!$B$7:$B$306,A215)=0)),"Closure docs missing","Basic records complete"))))))</x:f>
      </x:c>
      <x:c r="S215" s="3"/>
      <x:c r="T215" s="3"/>
    </x:row>
    <x:row r="216" ht="25" customHeight="1">
      <x:c r="A216" s="3"/>
      <x:c r="B216" s="3"/>
      <x:c r="C216" s="3"/>
      <x:c r="D216" s="3"/>
      <x:c r="E216" s="3"/>
      <x:c r="F216" s="3"/>
      <x:c r="G216" s="3"/>
      <x:c r="H216" s="3"/>
      <x:c r="I216" s="20"/>
      <x:c r="J216" s="3"/>
      <x:c r="K216" s="22"/>
      <x:c r="L216" s="22"/>
      <x:c r="M216" s="24" t="str">
        <x:f>IF(A216="","",IF(COUNTIFS('Execution log'!$B$7:$B$306,A216)=0,"",IF(COUNTIFS('Execution log'!$B$7:$B$306,A216,'Execution log'!$L$7:$L$306,"Valid",'Execution log'!$P$7:$P$306,"&lt;&gt;Valid input")&gt;0,"To check",IF(COUNTIFS('Execution log'!$B$7:$B$306,A216,'Execution log'!$P$7:$P$306,"Valid input")=0,"",SUMIFS('Execution log'!$H$7:$H$306,'Execution log'!$B$7:$B$306,A216,'Execution log'!$P$7:$P$306,"Valid input")))))</x:f>
      </x:c>
      <x:c r="N216" s="24" t="str">
        <x:f>IF(A216="","",IF(COUNTIFS('Execution log'!$B$7:$B$306,A216)=0,"",IF(COUNTIFS('Execution log'!$B$7:$B$306,A216,'Execution log'!$L$7:$L$306,"Valid",'Execution log'!$P$7:$P$306,"&lt;&gt;Valid input")&gt;0,"To check",IF(COUNTIFS('Execution log'!$B$7:$B$306,A216,'Execution log'!$P$7:$P$306,"Valid input")=0,"",SUMIFS('Execution log'!$J$7:$J$306,'Execution log'!$B$7:$B$306,A216,'Execution log'!$P$7:$P$306,"Valid input")))))</x:f>
      </x:c>
      <x:c r="O216" s="24" t="str">
        <x:f>IF(A216="","",IF(NOT(ISNUMBER(K216)),"Budget TBD",IF(NOT(ISNUMBER(M216)),"No valid entries yet",K216-M216)))</x:f>
      </x:c>
      <x:c r="P216" s="24" t="str">
        <x:f>IF(A216="","",IF(NOT(ISNUMBER(L216)),"Budget TBD",IF(NOT(ISNUMBER(N216)),"No valid entries yet",L216-N216)))</x:f>
      </x:c>
      <x:c r="Q216" s="19" t="str">
        <x:f>IF(A216="","",IF(D216="Closed","Closed",IF(NOT(ISNUMBER(I216)),"Review date TBD",IF(NOT(ISNUMBER($B$3)),"Evaluation date TBD",IF(I216&lt;=$B$3,"Review due","Not due")))))</x:f>
      </x:c>
      <x:c r="R216" s="19" t="str">
        <x:f>IF(A216="","",IF(COUNTIFS($A$7:$A$306,A216)&lt;&gt;1,"Duplicate case ID",IF(OR(B216="",C216="",D216="",G216="",S216=""),"Basic info missing",IF(AND(F216&lt;&gt;"",COUNTIFS('Plan versions'!$A$7:$A$306,F216,'Plan versions'!$B$7:$B$306,A216,'Plan versions'!$L$7:$L$306,"Frozen")&lt;&gt;1),"Invalid current plan ref",IF(AND(D216="Executing",F216=""),"Execution lacks plan",IF(AND(D216="Closed",OR(T216="",COUNTIFS('Reviews'!$B$7:$B$306,A216)=0,COUNTIFS('Update log'!$B$7:$B$306,A216)=0)),"Closure docs missing","Basic records complete"))))))</x:f>
      </x:c>
      <x:c r="S216" s="3"/>
      <x:c r="T216" s="3"/>
    </x:row>
    <x:row r="217" ht="25" customHeight="1">
      <x:c r="A217" s="3"/>
      <x:c r="B217" s="3"/>
      <x:c r="C217" s="3"/>
      <x:c r="D217" s="3"/>
      <x:c r="E217" s="3"/>
      <x:c r="F217" s="3"/>
      <x:c r="G217" s="3"/>
      <x:c r="H217" s="3"/>
      <x:c r="I217" s="20"/>
      <x:c r="J217" s="3"/>
      <x:c r="K217" s="22"/>
      <x:c r="L217" s="22"/>
      <x:c r="M217" s="24" t="str">
        <x:f>IF(A217="","",IF(COUNTIFS('Execution log'!$B$7:$B$306,A217)=0,"",IF(COUNTIFS('Execution log'!$B$7:$B$306,A217,'Execution log'!$L$7:$L$306,"Valid",'Execution log'!$P$7:$P$306,"&lt;&gt;Valid input")&gt;0,"To check",IF(COUNTIFS('Execution log'!$B$7:$B$306,A217,'Execution log'!$P$7:$P$306,"Valid input")=0,"",SUMIFS('Execution log'!$H$7:$H$306,'Execution log'!$B$7:$B$306,A217,'Execution log'!$P$7:$P$306,"Valid input")))))</x:f>
      </x:c>
      <x:c r="N217" s="24" t="str">
        <x:f>IF(A217="","",IF(COUNTIFS('Execution log'!$B$7:$B$306,A217)=0,"",IF(COUNTIFS('Execution log'!$B$7:$B$306,A217,'Execution log'!$L$7:$L$306,"Valid",'Execution log'!$P$7:$P$306,"&lt;&gt;Valid input")&gt;0,"To check",IF(COUNTIFS('Execution log'!$B$7:$B$306,A217,'Execution log'!$P$7:$P$306,"Valid input")=0,"",SUMIFS('Execution log'!$J$7:$J$306,'Execution log'!$B$7:$B$306,A217,'Execution log'!$P$7:$P$306,"Valid input")))))</x:f>
      </x:c>
      <x:c r="O217" s="24" t="str">
        <x:f>IF(A217="","",IF(NOT(ISNUMBER(K217)),"Budget TBD",IF(NOT(ISNUMBER(M217)),"No valid entries yet",K217-M217)))</x:f>
      </x:c>
      <x:c r="P217" s="24" t="str">
        <x:f>IF(A217="","",IF(NOT(ISNUMBER(L217)),"Budget TBD",IF(NOT(ISNUMBER(N217)),"No valid entries yet",L217-N217)))</x:f>
      </x:c>
      <x:c r="Q217" s="19" t="str">
        <x:f>IF(A217="","",IF(D217="Closed","Closed",IF(NOT(ISNUMBER(I217)),"Review date TBD",IF(NOT(ISNUMBER($B$3)),"Evaluation date TBD",IF(I217&lt;=$B$3,"Review due","Not due")))))</x:f>
      </x:c>
      <x:c r="R217" s="19" t="str">
        <x:f>IF(A217="","",IF(COUNTIFS($A$7:$A$306,A217)&lt;&gt;1,"Duplicate case ID",IF(OR(B217="",C217="",D217="",G217="",S217=""),"Basic info missing",IF(AND(F217&lt;&gt;"",COUNTIFS('Plan versions'!$A$7:$A$306,F217,'Plan versions'!$B$7:$B$306,A217,'Plan versions'!$L$7:$L$306,"Frozen")&lt;&gt;1),"Invalid current plan ref",IF(AND(D217="Executing",F217=""),"Execution lacks plan",IF(AND(D217="Closed",OR(T217="",COUNTIFS('Reviews'!$B$7:$B$306,A217)=0,COUNTIFS('Update log'!$B$7:$B$306,A217)=0)),"Closure docs missing","Basic records complete"))))))</x:f>
      </x:c>
      <x:c r="S217" s="3"/>
      <x:c r="T217" s="3"/>
    </x:row>
    <x:row r="218" ht="25" customHeight="1">
      <x:c r="A218" s="3"/>
      <x:c r="B218" s="3"/>
      <x:c r="C218" s="3"/>
      <x:c r="D218" s="3"/>
      <x:c r="E218" s="3"/>
      <x:c r="F218" s="3"/>
      <x:c r="G218" s="3"/>
      <x:c r="H218" s="3"/>
      <x:c r="I218" s="20"/>
      <x:c r="J218" s="3"/>
      <x:c r="K218" s="22"/>
      <x:c r="L218" s="22"/>
      <x:c r="M218" s="24" t="str">
        <x:f>IF(A218="","",IF(COUNTIFS('Execution log'!$B$7:$B$306,A218)=0,"",IF(COUNTIFS('Execution log'!$B$7:$B$306,A218,'Execution log'!$L$7:$L$306,"Valid",'Execution log'!$P$7:$P$306,"&lt;&gt;Valid input")&gt;0,"To check",IF(COUNTIFS('Execution log'!$B$7:$B$306,A218,'Execution log'!$P$7:$P$306,"Valid input")=0,"",SUMIFS('Execution log'!$H$7:$H$306,'Execution log'!$B$7:$B$306,A218,'Execution log'!$P$7:$P$306,"Valid input")))))</x:f>
      </x:c>
      <x:c r="N218" s="24" t="str">
        <x:f>IF(A218="","",IF(COUNTIFS('Execution log'!$B$7:$B$306,A218)=0,"",IF(COUNTIFS('Execution log'!$B$7:$B$306,A218,'Execution log'!$L$7:$L$306,"Valid",'Execution log'!$P$7:$P$306,"&lt;&gt;Valid input")&gt;0,"To check",IF(COUNTIFS('Execution log'!$B$7:$B$306,A218,'Execution log'!$P$7:$P$306,"Valid input")=0,"",SUMIFS('Execution log'!$J$7:$J$306,'Execution log'!$B$7:$B$306,A218,'Execution log'!$P$7:$P$306,"Valid input")))))</x:f>
      </x:c>
      <x:c r="O218" s="24" t="str">
        <x:f>IF(A218="","",IF(NOT(ISNUMBER(K218)),"Budget TBD",IF(NOT(ISNUMBER(M218)),"No valid entries yet",K218-M218)))</x:f>
      </x:c>
      <x:c r="P218" s="24" t="str">
        <x:f>IF(A218="","",IF(NOT(ISNUMBER(L218)),"Budget TBD",IF(NOT(ISNUMBER(N218)),"No valid entries yet",L218-N218)))</x:f>
      </x:c>
      <x:c r="Q218" s="19" t="str">
        <x:f>IF(A218="","",IF(D218="Closed","Closed",IF(NOT(ISNUMBER(I218)),"Review date TBD",IF(NOT(ISNUMBER($B$3)),"Evaluation date TBD",IF(I218&lt;=$B$3,"Review due","Not due")))))</x:f>
      </x:c>
      <x:c r="R218" s="19" t="str">
        <x:f>IF(A218="","",IF(COUNTIFS($A$7:$A$306,A218)&lt;&gt;1,"Duplicate case ID",IF(OR(B218="",C218="",D218="",G218="",S218=""),"Basic info missing",IF(AND(F218&lt;&gt;"",COUNTIFS('Plan versions'!$A$7:$A$306,F218,'Plan versions'!$B$7:$B$306,A218,'Plan versions'!$L$7:$L$306,"Frozen")&lt;&gt;1),"Invalid current plan ref",IF(AND(D218="Executing",F218=""),"Execution lacks plan",IF(AND(D218="Closed",OR(T218="",COUNTIFS('Reviews'!$B$7:$B$306,A218)=0,COUNTIFS('Update log'!$B$7:$B$306,A218)=0)),"Closure docs missing","Basic records complete"))))))</x:f>
      </x:c>
      <x:c r="S218" s="3"/>
      <x:c r="T218" s="3"/>
    </x:row>
    <x:row r="219" ht="25" customHeight="1">
      <x:c r="A219" s="3"/>
      <x:c r="B219" s="3"/>
      <x:c r="C219" s="3"/>
      <x:c r="D219" s="3"/>
      <x:c r="E219" s="3"/>
      <x:c r="F219" s="3"/>
      <x:c r="G219" s="3"/>
      <x:c r="H219" s="3"/>
      <x:c r="I219" s="20"/>
      <x:c r="J219" s="3"/>
      <x:c r="K219" s="22"/>
      <x:c r="L219" s="22"/>
      <x:c r="M219" s="24" t="str">
        <x:f>IF(A219="","",IF(COUNTIFS('Execution log'!$B$7:$B$306,A219)=0,"",IF(COUNTIFS('Execution log'!$B$7:$B$306,A219,'Execution log'!$L$7:$L$306,"Valid",'Execution log'!$P$7:$P$306,"&lt;&gt;Valid input")&gt;0,"To check",IF(COUNTIFS('Execution log'!$B$7:$B$306,A219,'Execution log'!$P$7:$P$306,"Valid input")=0,"",SUMIFS('Execution log'!$H$7:$H$306,'Execution log'!$B$7:$B$306,A219,'Execution log'!$P$7:$P$306,"Valid input")))))</x:f>
      </x:c>
      <x:c r="N219" s="24" t="str">
        <x:f>IF(A219="","",IF(COUNTIFS('Execution log'!$B$7:$B$306,A219)=0,"",IF(COUNTIFS('Execution log'!$B$7:$B$306,A219,'Execution log'!$L$7:$L$306,"Valid",'Execution log'!$P$7:$P$306,"&lt;&gt;Valid input")&gt;0,"To check",IF(COUNTIFS('Execution log'!$B$7:$B$306,A219,'Execution log'!$P$7:$P$306,"Valid input")=0,"",SUMIFS('Execution log'!$J$7:$J$306,'Execution log'!$B$7:$B$306,A219,'Execution log'!$P$7:$P$306,"Valid input")))))</x:f>
      </x:c>
      <x:c r="O219" s="24" t="str">
        <x:f>IF(A219="","",IF(NOT(ISNUMBER(K219)),"Budget TBD",IF(NOT(ISNUMBER(M219)),"No valid entries yet",K219-M219)))</x:f>
      </x:c>
      <x:c r="P219" s="24" t="str">
        <x:f>IF(A219="","",IF(NOT(ISNUMBER(L219)),"Budget TBD",IF(NOT(ISNUMBER(N219)),"No valid entries yet",L219-N219)))</x:f>
      </x:c>
      <x:c r="Q219" s="19" t="str">
        <x:f>IF(A219="","",IF(D219="Closed","Closed",IF(NOT(ISNUMBER(I219)),"Review date TBD",IF(NOT(ISNUMBER($B$3)),"Evaluation date TBD",IF(I219&lt;=$B$3,"Review due","Not due")))))</x:f>
      </x:c>
      <x:c r="R219" s="19" t="str">
        <x:f>IF(A219="","",IF(COUNTIFS($A$7:$A$306,A219)&lt;&gt;1,"Duplicate case ID",IF(OR(B219="",C219="",D219="",G219="",S219=""),"Basic info missing",IF(AND(F219&lt;&gt;"",COUNTIFS('Plan versions'!$A$7:$A$306,F219,'Plan versions'!$B$7:$B$306,A219,'Plan versions'!$L$7:$L$306,"Frozen")&lt;&gt;1),"Invalid current plan ref",IF(AND(D219="Executing",F219=""),"Execution lacks plan",IF(AND(D219="Closed",OR(T219="",COUNTIFS('Reviews'!$B$7:$B$306,A219)=0,COUNTIFS('Update log'!$B$7:$B$306,A219)=0)),"Closure docs missing","Basic records complete"))))))</x:f>
      </x:c>
      <x:c r="S219" s="3"/>
      <x:c r="T219" s="3"/>
    </x:row>
    <x:row r="220" ht="25" customHeight="1">
      <x:c r="A220" s="3"/>
      <x:c r="B220" s="3"/>
      <x:c r="C220" s="3"/>
      <x:c r="D220" s="3"/>
      <x:c r="E220" s="3"/>
      <x:c r="F220" s="3"/>
      <x:c r="G220" s="3"/>
      <x:c r="H220" s="3"/>
      <x:c r="I220" s="20"/>
      <x:c r="J220" s="3"/>
      <x:c r="K220" s="22"/>
      <x:c r="L220" s="22"/>
      <x:c r="M220" s="24" t="str">
        <x:f>IF(A220="","",IF(COUNTIFS('Execution log'!$B$7:$B$306,A220)=0,"",IF(COUNTIFS('Execution log'!$B$7:$B$306,A220,'Execution log'!$L$7:$L$306,"Valid",'Execution log'!$P$7:$P$306,"&lt;&gt;Valid input")&gt;0,"To check",IF(COUNTIFS('Execution log'!$B$7:$B$306,A220,'Execution log'!$P$7:$P$306,"Valid input")=0,"",SUMIFS('Execution log'!$H$7:$H$306,'Execution log'!$B$7:$B$306,A220,'Execution log'!$P$7:$P$306,"Valid input")))))</x:f>
      </x:c>
      <x:c r="N220" s="24" t="str">
        <x:f>IF(A220="","",IF(COUNTIFS('Execution log'!$B$7:$B$306,A220)=0,"",IF(COUNTIFS('Execution log'!$B$7:$B$306,A220,'Execution log'!$L$7:$L$306,"Valid",'Execution log'!$P$7:$P$306,"&lt;&gt;Valid input")&gt;0,"To check",IF(COUNTIFS('Execution log'!$B$7:$B$306,A220,'Execution log'!$P$7:$P$306,"Valid input")=0,"",SUMIFS('Execution log'!$J$7:$J$306,'Execution log'!$B$7:$B$306,A220,'Execution log'!$P$7:$P$306,"Valid input")))))</x:f>
      </x:c>
      <x:c r="O220" s="24" t="str">
        <x:f>IF(A220="","",IF(NOT(ISNUMBER(K220)),"Budget TBD",IF(NOT(ISNUMBER(M220)),"No valid entries yet",K220-M220)))</x:f>
      </x:c>
      <x:c r="P220" s="24" t="str">
        <x:f>IF(A220="","",IF(NOT(ISNUMBER(L220)),"Budget TBD",IF(NOT(ISNUMBER(N220)),"No valid entries yet",L220-N220)))</x:f>
      </x:c>
      <x:c r="Q220" s="19" t="str">
        <x:f>IF(A220="","",IF(D220="Closed","Closed",IF(NOT(ISNUMBER(I220)),"Review date TBD",IF(NOT(ISNUMBER($B$3)),"Evaluation date TBD",IF(I220&lt;=$B$3,"Review due","Not due")))))</x:f>
      </x:c>
      <x:c r="R220" s="19" t="str">
        <x:f>IF(A220="","",IF(COUNTIFS($A$7:$A$306,A220)&lt;&gt;1,"Duplicate case ID",IF(OR(B220="",C220="",D220="",G220="",S220=""),"Basic info missing",IF(AND(F220&lt;&gt;"",COUNTIFS('Plan versions'!$A$7:$A$306,F220,'Plan versions'!$B$7:$B$306,A220,'Plan versions'!$L$7:$L$306,"Frozen")&lt;&gt;1),"Invalid current plan ref",IF(AND(D220="Executing",F220=""),"Execution lacks plan",IF(AND(D220="Closed",OR(T220="",COUNTIFS('Reviews'!$B$7:$B$306,A220)=0,COUNTIFS('Update log'!$B$7:$B$306,A220)=0)),"Closure docs missing","Basic records complete"))))))</x:f>
      </x:c>
      <x:c r="S220" s="3"/>
      <x:c r="T220" s="3"/>
    </x:row>
    <x:row r="221" ht="25" customHeight="1">
      <x:c r="A221" s="3"/>
      <x:c r="B221" s="3"/>
      <x:c r="C221" s="3"/>
      <x:c r="D221" s="3"/>
      <x:c r="E221" s="3"/>
      <x:c r="F221" s="3"/>
      <x:c r="G221" s="3"/>
      <x:c r="H221" s="3"/>
      <x:c r="I221" s="20"/>
      <x:c r="J221" s="3"/>
      <x:c r="K221" s="22"/>
      <x:c r="L221" s="22"/>
      <x:c r="M221" s="24" t="str">
        <x:f>IF(A221="","",IF(COUNTIFS('Execution log'!$B$7:$B$306,A221)=0,"",IF(COUNTIFS('Execution log'!$B$7:$B$306,A221,'Execution log'!$L$7:$L$306,"Valid",'Execution log'!$P$7:$P$306,"&lt;&gt;Valid input")&gt;0,"To check",IF(COUNTIFS('Execution log'!$B$7:$B$306,A221,'Execution log'!$P$7:$P$306,"Valid input")=0,"",SUMIFS('Execution log'!$H$7:$H$306,'Execution log'!$B$7:$B$306,A221,'Execution log'!$P$7:$P$306,"Valid input")))))</x:f>
      </x:c>
      <x:c r="N221" s="24" t="str">
        <x:f>IF(A221="","",IF(COUNTIFS('Execution log'!$B$7:$B$306,A221)=0,"",IF(COUNTIFS('Execution log'!$B$7:$B$306,A221,'Execution log'!$L$7:$L$306,"Valid",'Execution log'!$P$7:$P$306,"&lt;&gt;Valid input")&gt;0,"To check",IF(COUNTIFS('Execution log'!$B$7:$B$306,A221,'Execution log'!$P$7:$P$306,"Valid input")=0,"",SUMIFS('Execution log'!$J$7:$J$306,'Execution log'!$B$7:$B$306,A221,'Execution log'!$P$7:$P$306,"Valid input")))))</x:f>
      </x:c>
      <x:c r="O221" s="24" t="str">
        <x:f>IF(A221="","",IF(NOT(ISNUMBER(K221)),"Budget TBD",IF(NOT(ISNUMBER(M221)),"No valid entries yet",K221-M221)))</x:f>
      </x:c>
      <x:c r="P221" s="24" t="str">
        <x:f>IF(A221="","",IF(NOT(ISNUMBER(L221)),"Budget TBD",IF(NOT(ISNUMBER(N221)),"No valid entries yet",L221-N221)))</x:f>
      </x:c>
      <x:c r="Q221" s="19" t="str">
        <x:f>IF(A221="","",IF(D221="Closed","Closed",IF(NOT(ISNUMBER(I221)),"Review date TBD",IF(NOT(ISNUMBER($B$3)),"Evaluation date TBD",IF(I221&lt;=$B$3,"Review due","Not due")))))</x:f>
      </x:c>
      <x:c r="R221" s="19" t="str">
        <x:f>IF(A221="","",IF(COUNTIFS($A$7:$A$306,A221)&lt;&gt;1,"Duplicate case ID",IF(OR(B221="",C221="",D221="",G221="",S221=""),"Basic info missing",IF(AND(F221&lt;&gt;"",COUNTIFS('Plan versions'!$A$7:$A$306,F221,'Plan versions'!$B$7:$B$306,A221,'Plan versions'!$L$7:$L$306,"Frozen")&lt;&gt;1),"Invalid current plan ref",IF(AND(D221="Executing",F221=""),"Execution lacks plan",IF(AND(D221="Closed",OR(T221="",COUNTIFS('Reviews'!$B$7:$B$306,A221)=0,COUNTIFS('Update log'!$B$7:$B$306,A221)=0)),"Closure docs missing","Basic records complete"))))))</x:f>
      </x:c>
      <x:c r="S221" s="3"/>
      <x:c r="T221" s="3"/>
    </x:row>
    <x:row r="222" ht="25" customHeight="1">
      <x:c r="A222" s="3"/>
      <x:c r="B222" s="3"/>
      <x:c r="C222" s="3"/>
      <x:c r="D222" s="3"/>
      <x:c r="E222" s="3"/>
      <x:c r="F222" s="3"/>
      <x:c r="G222" s="3"/>
      <x:c r="H222" s="3"/>
      <x:c r="I222" s="20"/>
      <x:c r="J222" s="3"/>
      <x:c r="K222" s="22"/>
      <x:c r="L222" s="22"/>
      <x:c r="M222" s="24" t="str">
        <x:f>IF(A222="","",IF(COUNTIFS('Execution log'!$B$7:$B$306,A222)=0,"",IF(COUNTIFS('Execution log'!$B$7:$B$306,A222,'Execution log'!$L$7:$L$306,"Valid",'Execution log'!$P$7:$P$306,"&lt;&gt;Valid input")&gt;0,"To check",IF(COUNTIFS('Execution log'!$B$7:$B$306,A222,'Execution log'!$P$7:$P$306,"Valid input")=0,"",SUMIFS('Execution log'!$H$7:$H$306,'Execution log'!$B$7:$B$306,A222,'Execution log'!$P$7:$P$306,"Valid input")))))</x:f>
      </x:c>
      <x:c r="N222" s="24" t="str">
        <x:f>IF(A222="","",IF(COUNTIFS('Execution log'!$B$7:$B$306,A222)=0,"",IF(COUNTIFS('Execution log'!$B$7:$B$306,A222,'Execution log'!$L$7:$L$306,"Valid",'Execution log'!$P$7:$P$306,"&lt;&gt;Valid input")&gt;0,"To check",IF(COUNTIFS('Execution log'!$B$7:$B$306,A222,'Execution log'!$P$7:$P$306,"Valid input")=0,"",SUMIFS('Execution log'!$J$7:$J$306,'Execution log'!$B$7:$B$306,A222,'Execution log'!$P$7:$P$306,"Valid input")))))</x:f>
      </x:c>
      <x:c r="O222" s="24" t="str">
        <x:f>IF(A222="","",IF(NOT(ISNUMBER(K222)),"Budget TBD",IF(NOT(ISNUMBER(M222)),"No valid entries yet",K222-M222)))</x:f>
      </x:c>
      <x:c r="P222" s="24" t="str">
        <x:f>IF(A222="","",IF(NOT(ISNUMBER(L222)),"Budget TBD",IF(NOT(ISNUMBER(N222)),"No valid entries yet",L222-N222)))</x:f>
      </x:c>
      <x:c r="Q222" s="19" t="str">
        <x:f>IF(A222="","",IF(D222="Closed","Closed",IF(NOT(ISNUMBER(I222)),"Review date TBD",IF(NOT(ISNUMBER($B$3)),"Evaluation date TBD",IF(I222&lt;=$B$3,"Review due","Not due")))))</x:f>
      </x:c>
      <x:c r="R222" s="19" t="str">
        <x:f>IF(A222="","",IF(COUNTIFS($A$7:$A$306,A222)&lt;&gt;1,"Duplicate case ID",IF(OR(B222="",C222="",D222="",G222="",S222=""),"Basic info missing",IF(AND(F222&lt;&gt;"",COUNTIFS('Plan versions'!$A$7:$A$306,F222,'Plan versions'!$B$7:$B$306,A222,'Plan versions'!$L$7:$L$306,"Frozen")&lt;&gt;1),"Invalid current plan ref",IF(AND(D222="Executing",F222=""),"Execution lacks plan",IF(AND(D222="Closed",OR(T222="",COUNTIFS('Reviews'!$B$7:$B$306,A222)=0,COUNTIFS('Update log'!$B$7:$B$306,A222)=0)),"Closure docs missing","Basic records complete"))))))</x:f>
      </x:c>
      <x:c r="S222" s="3"/>
      <x:c r="T222" s="3"/>
    </x:row>
    <x:row r="223" ht="25" customHeight="1">
      <x:c r="A223" s="3"/>
      <x:c r="B223" s="3"/>
      <x:c r="C223" s="3"/>
      <x:c r="D223" s="3"/>
      <x:c r="E223" s="3"/>
      <x:c r="F223" s="3"/>
      <x:c r="G223" s="3"/>
      <x:c r="H223" s="3"/>
      <x:c r="I223" s="20"/>
      <x:c r="J223" s="3"/>
      <x:c r="K223" s="22"/>
      <x:c r="L223" s="22"/>
      <x:c r="M223" s="24" t="str">
        <x:f>IF(A223="","",IF(COUNTIFS('Execution log'!$B$7:$B$306,A223)=0,"",IF(COUNTIFS('Execution log'!$B$7:$B$306,A223,'Execution log'!$L$7:$L$306,"Valid",'Execution log'!$P$7:$P$306,"&lt;&gt;Valid input")&gt;0,"To check",IF(COUNTIFS('Execution log'!$B$7:$B$306,A223,'Execution log'!$P$7:$P$306,"Valid input")=0,"",SUMIFS('Execution log'!$H$7:$H$306,'Execution log'!$B$7:$B$306,A223,'Execution log'!$P$7:$P$306,"Valid input")))))</x:f>
      </x:c>
      <x:c r="N223" s="24" t="str">
        <x:f>IF(A223="","",IF(COUNTIFS('Execution log'!$B$7:$B$306,A223)=0,"",IF(COUNTIFS('Execution log'!$B$7:$B$306,A223,'Execution log'!$L$7:$L$306,"Valid",'Execution log'!$P$7:$P$306,"&lt;&gt;Valid input")&gt;0,"To check",IF(COUNTIFS('Execution log'!$B$7:$B$306,A223,'Execution log'!$P$7:$P$306,"Valid input")=0,"",SUMIFS('Execution log'!$J$7:$J$306,'Execution log'!$B$7:$B$306,A223,'Execution log'!$P$7:$P$306,"Valid input")))))</x:f>
      </x:c>
      <x:c r="O223" s="24" t="str">
        <x:f>IF(A223="","",IF(NOT(ISNUMBER(K223)),"Budget TBD",IF(NOT(ISNUMBER(M223)),"No valid entries yet",K223-M223)))</x:f>
      </x:c>
      <x:c r="P223" s="24" t="str">
        <x:f>IF(A223="","",IF(NOT(ISNUMBER(L223)),"Budget TBD",IF(NOT(ISNUMBER(N223)),"No valid entries yet",L223-N223)))</x:f>
      </x:c>
      <x:c r="Q223" s="19" t="str">
        <x:f>IF(A223="","",IF(D223="Closed","Closed",IF(NOT(ISNUMBER(I223)),"Review date TBD",IF(NOT(ISNUMBER($B$3)),"Evaluation date TBD",IF(I223&lt;=$B$3,"Review due","Not due")))))</x:f>
      </x:c>
      <x:c r="R223" s="19" t="str">
        <x:f>IF(A223="","",IF(COUNTIFS($A$7:$A$306,A223)&lt;&gt;1,"Duplicate case ID",IF(OR(B223="",C223="",D223="",G223="",S223=""),"Basic info missing",IF(AND(F223&lt;&gt;"",COUNTIFS('Plan versions'!$A$7:$A$306,F223,'Plan versions'!$B$7:$B$306,A223,'Plan versions'!$L$7:$L$306,"Frozen")&lt;&gt;1),"Invalid current plan ref",IF(AND(D223="Executing",F223=""),"Execution lacks plan",IF(AND(D223="Closed",OR(T223="",COUNTIFS('Reviews'!$B$7:$B$306,A223)=0,COUNTIFS('Update log'!$B$7:$B$306,A223)=0)),"Closure docs missing","Basic records complete"))))))</x:f>
      </x:c>
      <x:c r="S223" s="3"/>
      <x:c r="T223" s="3"/>
    </x:row>
    <x:row r="224" ht="25" customHeight="1">
      <x:c r="A224" s="3"/>
      <x:c r="B224" s="3"/>
      <x:c r="C224" s="3"/>
      <x:c r="D224" s="3"/>
      <x:c r="E224" s="3"/>
      <x:c r="F224" s="3"/>
      <x:c r="G224" s="3"/>
      <x:c r="H224" s="3"/>
      <x:c r="I224" s="20"/>
      <x:c r="J224" s="3"/>
      <x:c r="K224" s="22"/>
      <x:c r="L224" s="22"/>
      <x:c r="M224" s="24" t="str">
        <x:f>IF(A224="","",IF(COUNTIFS('Execution log'!$B$7:$B$306,A224)=0,"",IF(COUNTIFS('Execution log'!$B$7:$B$306,A224,'Execution log'!$L$7:$L$306,"Valid",'Execution log'!$P$7:$P$306,"&lt;&gt;Valid input")&gt;0,"To check",IF(COUNTIFS('Execution log'!$B$7:$B$306,A224,'Execution log'!$P$7:$P$306,"Valid input")=0,"",SUMIFS('Execution log'!$H$7:$H$306,'Execution log'!$B$7:$B$306,A224,'Execution log'!$P$7:$P$306,"Valid input")))))</x:f>
      </x:c>
      <x:c r="N224" s="24" t="str">
        <x:f>IF(A224="","",IF(COUNTIFS('Execution log'!$B$7:$B$306,A224)=0,"",IF(COUNTIFS('Execution log'!$B$7:$B$306,A224,'Execution log'!$L$7:$L$306,"Valid",'Execution log'!$P$7:$P$306,"&lt;&gt;Valid input")&gt;0,"To check",IF(COUNTIFS('Execution log'!$B$7:$B$306,A224,'Execution log'!$P$7:$P$306,"Valid input")=0,"",SUMIFS('Execution log'!$J$7:$J$306,'Execution log'!$B$7:$B$306,A224,'Execution log'!$P$7:$P$306,"Valid input")))))</x:f>
      </x:c>
      <x:c r="O224" s="24" t="str">
        <x:f>IF(A224="","",IF(NOT(ISNUMBER(K224)),"Budget TBD",IF(NOT(ISNUMBER(M224)),"No valid entries yet",K224-M224)))</x:f>
      </x:c>
      <x:c r="P224" s="24" t="str">
        <x:f>IF(A224="","",IF(NOT(ISNUMBER(L224)),"Budget TBD",IF(NOT(ISNUMBER(N224)),"No valid entries yet",L224-N224)))</x:f>
      </x:c>
      <x:c r="Q224" s="19" t="str">
        <x:f>IF(A224="","",IF(D224="Closed","Closed",IF(NOT(ISNUMBER(I224)),"Review date TBD",IF(NOT(ISNUMBER($B$3)),"Evaluation date TBD",IF(I224&lt;=$B$3,"Review due","Not due")))))</x:f>
      </x:c>
      <x:c r="R224" s="19" t="str">
        <x:f>IF(A224="","",IF(COUNTIFS($A$7:$A$306,A224)&lt;&gt;1,"Duplicate case ID",IF(OR(B224="",C224="",D224="",G224="",S224=""),"Basic info missing",IF(AND(F224&lt;&gt;"",COUNTIFS('Plan versions'!$A$7:$A$306,F224,'Plan versions'!$B$7:$B$306,A224,'Plan versions'!$L$7:$L$306,"Frozen")&lt;&gt;1),"Invalid current plan ref",IF(AND(D224="Executing",F224=""),"Execution lacks plan",IF(AND(D224="Closed",OR(T224="",COUNTIFS('Reviews'!$B$7:$B$306,A224)=0,COUNTIFS('Update log'!$B$7:$B$306,A224)=0)),"Closure docs missing","Basic records complete"))))))</x:f>
      </x:c>
      <x:c r="S224" s="3"/>
      <x:c r="T224" s="3"/>
    </x:row>
    <x:row r="225" ht="25" customHeight="1">
      <x:c r="A225" s="3"/>
      <x:c r="B225" s="3"/>
      <x:c r="C225" s="3"/>
      <x:c r="D225" s="3"/>
      <x:c r="E225" s="3"/>
      <x:c r="F225" s="3"/>
      <x:c r="G225" s="3"/>
      <x:c r="H225" s="3"/>
      <x:c r="I225" s="20"/>
      <x:c r="J225" s="3"/>
      <x:c r="K225" s="22"/>
      <x:c r="L225" s="22"/>
      <x:c r="M225" s="24" t="str">
        <x:f>IF(A225="","",IF(COUNTIFS('Execution log'!$B$7:$B$306,A225)=0,"",IF(COUNTIFS('Execution log'!$B$7:$B$306,A225,'Execution log'!$L$7:$L$306,"Valid",'Execution log'!$P$7:$P$306,"&lt;&gt;Valid input")&gt;0,"To check",IF(COUNTIFS('Execution log'!$B$7:$B$306,A225,'Execution log'!$P$7:$P$306,"Valid input")=0,"",SUMIFS('Execution log'!$H$7:$H$306,'Execution log'!$B$7:$B$306,A225,'Execution log'!$P$7:$P$306,"Valid input")))))</x:f>
      </x:c>
      <x:c r="N225" s="24" t="str">
        <x:f>IF(A225="","",IF(COUNTIFS('Execution log'!$B$7:$B$306,A225)=0,"",IF(COUNTIFS('Execution log'!$B$7:$B$306,A225,'Execution log'!$L$7:$L$306,"Valid",'Execution log'!$P$7:$P$306,"&lt;&gt;Valid input")&gt;0,"To check",IF(COUNTIFS('Execution log'!$B$7:$B$306,A225,'Execution log'!$P$7:$P$306,"Valid input")=0,"",SUMIFS('Execution log'!$J$7:$J$306,'Execution log'!$B$7:$B$306,A225,'Execution log'!$P$7:$P$306,"Valid input")))))</x:f>
      </x:c>
      <x:c r="O225" s="24" t="str">
        <x:f>IF(A225="","",IF(NOT(ISNUMBER(K225)),"Budget TBD",IF(NOT(ISNUMBER(M225)),"No valid entries yet",K225-M225)))</x:f>
      </x:c>
      <x:c r="P225" s="24" t="str">
        <x:f>IF(A225="","",IF(NOT(ISNUMBER(L225)),"Budget TBD",IF(NOT(ISNUMBER(N225)),"No valid entries yet",L225-N225)))</x:f>
      </x:c>
      <x:c r="Q225" s="19" t="str">
        <x:f>IF(A225="","",IF(D225="Closed","Closed",IF(NOT(ISNUMBER(I225)),"Review date TBD",IF(NOT(ISNUMBER($B$3)),"Evaluation date TBD",IF(I225&lt;=$B$3,"Review due","Not due")))))</x:f>
      </x:c>
      <x:c r="R225" s="19" t="str">
        <x:f>IF(A225="","",IF(COUNTIFS($A$7:$A$306,A225)&lt;&gt;1,"Duplicate case ID",IF(OR(B225="",C225="",D225="",G225="",S225=""),"Basic info missing",IF(AND(F225&lt;&gt;"",COUNTIFS('Plan versions'!$A$7:$A$306,F225,'Plan versions'!$B$7:$B$306,A225,'Plan versions'!$L$7:$L$306,"Frozen")&lt;&gt;1),"Invalid current plan ref",IF(AND(D225="Executing",F225=""),"Execution lacks plan",IF(AND(D225="Closed",OR(T225="",COUNTIFS('Reviews'!$B$7:$B$306,A225)=0,COUNTIFS('Update log'!$B$7:$B$306,A225)=0)),"Closure docs missing","Basic records complete"))))))</x:f>
      </x:c>
      <x:c r="S225" s="3"/>
      <x:c r="T225" s="3"/>
    </x:row>
    <x:row r="226" ht="25" customHeight="1">
      <x:c r="A226" s="3"/>
      <x:c r="B226" s="3"/>
      <x:c r="C226" s="3"/>
      <x:c r="D226" s="3"/>
      <x:c r="E226" s="3"/>
      <x:c r="F226" s="3"/>
      <x:c r="G226" s="3"/>
      <x:c r="H226" s="3"/>
      <x:c r="I226" s="20"/>
      <x:c r="J226" s="3"/>
      <x:c r="K226" s="22"/>
      <x:c r="L226" s="22"/>
      <x:c r="M226" s="24" t="str">
        <x:f>IF(A226="","",IF(COUNTIFS('Execution log'!$B$7:$B$306,A226)=0,"",IF(COUNTIFS('Execution log'!$B$7:$B$306,A226,'Execution log'!$L$7:$L$306,"Valid",'Execution log'!$P$7:$P$306,"&lt;&gt;Valid input")&gt;0,"To check",IF(COUNTIFS('Execution log'!$B$7:$B$306,A226,'Execution log'!$P$7:$P$306,"Valid input")=0,"",SUMIFS('Execution log'!$H$7:$H$306,'Execution log'!$B$7:$B$306,A226,'Execution log'!$P$7:$P$306,"Valid input")))))</x:f>
      </x:c>
      <x:c r="N226" s="24" t="str">
        <x:f>IF(A226="","",IF(COUNTIFS('Execution log'!$B$7:$B$306,A226)=0,"",IF(COUNTIFS('Execution log'!$B$7:$B$306,A226,'Execution log'!$L$7:$L$306,"Valid",'Execution log'!$P$7:$P$306,"&lt;&gt;Valid input")&gt;0,"To check",IF(COUNTIFS('Execution log'!$B$7:$B$306,A226,'Execution log'!$P$7:$P$306,"Valid input")=0,"",SUMIFS('Execution log'!$J$7:$J$306,'Execution log'!$B$7:$B$306,A226,'Execution log'!$P$7:$P$306,"Valid input")))))</x:f>
      </x:c>
      <x:c r="O226" s="24" t="str">
        <x:f>IF(A226="","",IF(NOT(ISNUMBER(K226)),"Budget TBD",IF(NOT(ISNUMBER(M226)),"No valid entries yet",K226-M226)))</x:f>
      </x:c>
      <x:c r="P226" s="24" t="str">
        <x:f>IF(A226="","",IF(NOT(ISNUMBER(L226)),"Budget TBD",IF(NOT(ISNUMBER(N226)),"No valid entries yet",L226-N226)))</x:f>
      </x:c>
      <x:c r="Q226" s="19" t="str">
        <x:f>IF(A226="","",IF(D226="Closed","Closed",IF(NOT(ISNUMBER(I226)),"Review date TBD",IF(NOT(ISNUMBER($B$3)),"Evaluation date TBD",IF(I226&lt;=$B$3,"Review due","Not due")))))</x:f>
      </x:c>
      <x:c r="R226" s="19" t="str">
        <x:f>IF(A226="","",IF(COUNTIFS($A$7:$A$306,A226)&lt;&gt;1,"Duplicate case ID",IF(OR(B226="",C226="",D226="",G226="",S226=""),"Basic info missing",IF(AND(F226&lt;&gt;"",COUNTIFS('Plan versions'!$A$7:$A$306,F226,'Plan versions'!$B$7:$B$306,A226,'Plan versions'!$L$7:$L$306,"Frozen")&lt;&gt;1),"Invalid current plan ref",IF(AND(D226="Executing",F226=""),"Execution lacks plan",IF(AND(D226="Closed",OR(T226="",COUNTIFS('Reviews'!$B$7:$B$306,A226)=0,COUNTIFS('Update log'!$B$7:$B$306,A226)=0)),"Closure docs missing","Basic records complete"))))))</x:f>
      </x:c>
      <x:c r="S226" s="3"/>
      <x:c r="T226" s="3"/>
    </x:row>
    <x:row r="227" ht="25" customHeight="1">
      <x:c r="A227" s="3"/>
      <x:c r="B227" s="3"/>
      <x:c r="C227" s="3"/>
      <x:c r="D227" s="3"/>
      <x:c r="E227" s="3"/>
      <x:c r="F227" s="3"/>
      <x:c r="G227" s="3"/>
      <x:c r="H227" s="3"/>
      <x:c r="I227" s="20"/>
      <x:c r="J227" s="3"/>
      <x:c r="K227" s="22"/>
      <x:c r="L227" s="22"/>
      <x:c r="M227" s="24" t="str">
        <x:f>IF(A227="","",IF(COUNTIFS('Execution log'!$B$7:$B$306,A227)=0,"",IF(COUNTIFS('Execution log'!$B$7:$B$306,A227,'Execution log'!$L$7:$L$306,"Valid",'Execution log'!$P$7:$P$306,"&lt;&gt;Valid input")&gt;0,"To check",IF(COUNTIFS('Execution log'!$B$7:$B$306,A227,'Execution log'!$P$7:$P$306,"Valid input")=0,"",SUMIFS('Execution log'!$H$7:$H$306,'Execution log'!$B$7:$B$306,A227,'Execution log'!$P$7:$P$306,"Valid input")))))</x:f>
      </x:c>
      <x:c r="N227" s="24" t="str">
        <x:f>IF(A227="","",IF(COUNTIFS('Execution log'!$B$7:$B$306,A227)=0,"",IF(COUNTIFS('Execution log'!$B$7:$B$306,A227,'Execution log'!$L$7:$L$306,"Valid",'Execution log'!$P$7:$P$306,"&lt;&gt;Valid input")&gt;0,"To check",IF(COUNTIFS('Execution log'!$B$7:$B$306,A227,'Execution log'!$P$7:$P$306,"Valid input")=0,"",SUMIFS('Execution log'!$J$7:$J$306,'Execution log'!$B$7:$B$306,A227,'Execution log'!$P$7:$P$306,"Valid input")))))</x:f>
      </x:c>
      <x:c r="O227" s="24" t="str">
        <x:f>IF(A227="","",IF(NOT(ISNUMBER(K227)),"Budget TBD",IF(NOT(ISNUMBER(M227)),"No valid entries yet",K227-M227)))</x:f>
      </x:c>
      <x:c r="P227" s="24" t="str">
        <x:f>IF(A227="","",IF(NOT(ISNUMBER(L227)),"Budget TBD",IF(NOT(ISNUMBER(N227)),"No valid entries yet",L227-N227)))</x:f>
      </x:c>
      <x:c r="Q227" s="19" t="str">
        <x:f>IF(A227="","",IF(D227="Closed","Closed",IF(NOT(ISNUMBER(I227)),"Review date TBD",IF(NOT(ISNUMBER($B$3)),"Evaluation date TBD",IF(I227&lt;=$B$3,"Review due","Not due")))))</x:f>
      </x:c>
      <x:c r="R227" s="19" t="str">
        <x:f>IF(A227="","",IF(COUNTIFS($A$7:$A$306,A227)&lt;&gt;1,"Duplicate case ID",IF(OR(B227="",C227="",D227="",G227="",S227=""),"Basic info missing",IF(AND(F227&lt;&gt;"",COUNTIFS('Plan versions'!$A$7:$A$306,F227,'Plan versions'!$B$7:$B$306,A227,'Plan versions'!$L$7:$L$306,"Frozen")&lt;&gt;1),"Invalid current plan ref",IF(AND(D227="Executing",F227=""),"Execution lacks plan",IF(AND(D227="Closed",OR(T227="",COUNTIFS('Reviews'!$B$7:$B$306,A227)=0,COUNTIFS('Update log'!$B$7:$B$306,A227)=0)),"Closure docs missing","Basic records complete"))))))</x:f>
      </x:c>
      <x:c r="S227" s="3"/>
      <x:c r="T227" s="3"/>
    </x:row>
    <x:row r="228" ht="25" customHeight="1">
      <x:c r="A228" s="3"/>
      <x:c r="B228" s="3"/>
      <x:c r="C228" s="3"/>
      <x:c r="D228" s="3"/>
      <x:c r="E228" s="3"/>
      <x:c r="F228" s="3"/>
      <x:c r="G228" s="3"/>
      <x:c r="H228" s="3"/>
      <x:c r="I228" s="20"/>
      <x:c r="J228" s="3"/>
      <x:c r="K228" s="22"/>
      <x:c r="L228" s="22"/>
      <x:c r="M228" s="24" t="str">
        <x:f>IF(A228="","",IF(COUNTIFS('Execution log'!$B$7:$B$306,A228)=0,"",IF(COUNTIFS('Execution log'!$B$7:$B$306,A228,'Execution log'!$L$7:$L$306,"Valid",'Execution log'!$P$7:$P$306,"&lt;&gt;Valid input")&gt;0,"To check",IF(COUNTIFS('Execution log'!$B$7:$B$306,A228,'Execution log'!$P$7:$P$306,"Valid input")=0,"",SUMIFS('Execution log'!$H$7:$H$306,'Execution log'!$B$7:$B$306,A228,'Execution log'!$P$7:$P$306,"Valid input")))))</x:f>
      </x:c>
      <x:c r="N228" s="24" t="str">
        <x:f>IF(A228="","",IF(COUNTIFS('Execution log'!$B$7:$B$306,A228)=0,"",IF(COUNTIFS('Execution log'!$B$7:$B$306,A228,'Execution log'!$L$7:$L$306,"Valid",'Execution log'!$P$7:$P$306,"&lt;&gt;Valid input")&gt;0,"To check",IF(COUNTIFS('Execution log'!$B$7:$B$306,A228,'Execution log'!$P$7:$P$306,"Valid input")=0,"",SUMIFS('Execution log'!$J$7:$J$306,'Execution log'!$B$7:$B$306,A228,'Execution log'!$P$7:$P$306,"Valid input")))))</x:f>
      </x:c>
      <x:c r="O228" s="24" t="str">
        <x:f>IF(A228="","",IF(NOT(ISNUMBER(K228)),"Budget TBD",IF(NOT(ISNUMBER(M228)),"No valid entries yet",K228-M228)))</x:f>
      </x:c>
      <x:c r="P228" s="24" t="str">
        <x:f>IF(A228="","",IF(NOT(ISNUMBER(L228)),"Budget TBD",IF(NOT(ISNUMBER(N228)),"No valid entries yet",L228-N228)))</x:f>
      </x:c>
      <x:c r="Q228" s="19" t="str">
        <x:f>IF(A228="","",IF(D228="Closed","Closed",IF(NOT(ISNUMBER(I228)),"Review date TBD",IF(NOT(ISNUMBER($B$3)),"Evaluation date TBD",IF(I228&lt;=$B$3,"Review due","Not due")))))</x:f>
      </x:c>
      <x:c r="R228" s="19" t="str">
        <x:f>IF(A228="","",IF(COUNTIFS($A$7:$A$306,A228)&lt;&gt;1,"Duplicate case ID",IF(OR(B228="",C228="",D228="",G228="",S228=""),"Basic info missing",IF(AND(F228&lt;&gt;"",COUNTIFS('Plan versions'!$A$7:$A$306,F228,'Plan versions'!$B$7:$B$306,A228,'Plan versions'!$L$7:$L$306,"Frozen")&lt;&gt;1),"Invalid current plan ref",IF(AND(D228="Executing",F228=""),"Execution lacks plan",IF(AND(D228="Closed",OR(T228="",COUNTIFS('Reviews'!$B$7:$B$306,A228)=0,COUNTIFS('Update log'!$B$7:$B$306,A228)=0)),"Closure docs missing","Basic records complete"))))))</x:f>
      </x:c>
      <x:c r="S228" s="3"/>
      <x:c r="T228" s="3"/>
    </x:row>
    <x:row r="229" ht="25" customHeight="1">
      <x:c r="A229" s="3"/>
      <x:c r="B229" s="3"/>
      <x:c r="C229" s="3"/>
      <x:c r="D229" s="3"/>
      <x:c r="E229" s="3"/>
      <x:c r="F229" s="3"/>
      <x:c r="G229" s="3"/>
      <x:c r="H229" s="3"/>
      <x:c r="I229" s="20"/>
      <x:c r="J229" s="3"/>
      <x:c r="K229" s="22"/>
      <x:c r="L229" s="22"/>
      <x:c r="M229" s="24" t="str">
        <x:f>IF(A229="","",IF(COUNTIFS('Execution log'!$B$7:$B$306,A229)=0,"",IF(COUNTIFS('Execution log'!$B$7:$B$306,A229,'Execution log'!$L$7:$L$306,"Valid",'Execution log'!$P$7:$P$306,"&lt;&gt;Valid input")&gt;0,"To check",IF(COUNTIFS('Execution log'!$B$7:$B$306,A229,'Execution log'!$P$7:$P$306,"Valid input")=0,"",SUMIFS('Execution log'!$H$7:$H$306,'Execution log'!$B$7:$B$306,A229,'Execution log'!$P$7:$P$306,"Valid input")))))</x:f>
      </x:c>
      <x:c r="N229" s="24" t="str">
        <x:f>IF(A229="","",IF(COUNTIFS('Execution log'!$B$7:$B$306,A229)=0,"",IF(COUNTIFS('Execution log'!$B$7:$B$306,A229,'Execution log'!$L$7:$L$306,"Valid",'Execution log'!$P$7:$P$306,"&lt;&gt;Valid input")&gt;0,"To check",IF(COUNTIFS('Execution log'!$B$7:$B$306,A229,'Execution log'!$P$7:$P$306,"Valid input")=0,"",SUMIFS('Execution log'!$J$7:$J$306,'Execution log'!$B$7:$B$306,A229,'Execution log'!$P$7:$P$306,"Valid input")))))</x:f>
      </x:c>
      <x:c r="O229" s="24" t="str">
        <x:f>IF(A229="","",IF(NOT(ISNUMBER(K229)),"Budget TBD",IF(NOT(ISNUMBER(M229)),"No valid entries yet",K229-M229)))</x:f>
      </x:c>
      <x:c r="P229" s="24" t="str">
        <x:f>IF(A229="","",IF(NOT(ISNUMBER(L229)),"Budget TBD",IF(NOT(ISNUMBER(N229)),"No valid entries yet",L229-N229)))</x:f>
      </x:c>
      <x:c r="Q229" s="19" t="str">
        <x:f>IF(A229="","",IF(D229="Closed","Closed",IF(NOT(ISNUMBER(I229)),"Review date TBD",IF(NOT(ISNUMBER($B$3)),"Evaluation date TBD",IF(I229&lt;=$B$3,"Review due","Not due")))))</x:f>
      </x:c>
      <x:c r="R229" s="19" t="str">
        <x:f>IF(A229="","",IF(COUNTIFS($A$7:$A$306,A229)&lt;&gt;1,"Duplicate case ID",IF(OR(B229="",C229="",D229="",G229="",S229=""),"Basic info missing",IF(AND(F229&lt;&gt;"",COUNTIFS('Plan versions'!$A$7:$A$306,F229,'Plan versions'!$B$7:$B$306,A229,'Plan versions'!$L$7:$L$306,"Frozen")&lt;&gt;1),"Invalid current plan ref",IF(AND(D229="Executing",F229=""),"Execution lacks plan",IF(AND(D229="Closed",OR(T229="",COUNTIFS('Reviews'!$B$7:$B$306,A229)=0,COUNTIFS('Update log'!$B$7:$B$306,A229)=0)),"Closure docs missing","Basic records complete"))))))</x:f>
      </x:c>
      <x:c r="S229" s="3"/>
      <x:c r="T229" s="3"/>
    </x:row>
    <x:row r="230" ht="25" customHeight="1">
      <x:c r="A230" s="3"/>
      <x:c r="B230" s="3"/>
      <x:c r="C230" s="3"/>
      <x:c r="D230" s="3"/>
      <x:c r="E230" s="3"/>
      <x:c r="F230" s="3"/>
      <x:c r="G230" s="3"/>
      <x:c r="H230" s="3"/>
      <x:c r="I230" s="20"/>
      <x:c r="J230" s="3"/>
      <x:c r="K230" s="22"/>
      <x:c r="L230" s="22"/>
      <x:c r="M230" s="24" t="str">
        <x:f>IF(A230="","",IF(COUNTIFS('Execution log'!$B$7:$B$306,A230)=0,"",IF(COUNTIFS('Execution log'!$B$7:$B$306,A230,'Execution log'!$L$7:$L$306,"Valid",'Execution log'!$P$7:$P$306,"&lt;&gt;Valid input")&gt;0,"To check",IF(COUNTIFS('Execution log'!$B$7:$B$306,A230,'Execution log'!$P$7:$P$306,"Valid input")=0,"",SUMIFS('Execution log'!$H$7:$H$306,'Execution log'!$B$7:$B$306,A230,'Execution log'!$P$7:$P$306,"Valid input")))))</x:f>
      </x:c>
      <x:c r="N230" s="24" t="str">
        <x:f>IF(A230="","",IF(COUNTIFS('Execution log'!$B$7:$B$306,A230)=0,"",IF(COUNTIFS('Execution log'!$B$7:$B$306,A230,'Execution log'!$L$7:$L$306,"Valid",'Execution log'!$P$7:$P$306,"&lt;&gt;Valid input")&gt;0,"To check",IF(COUNTIFS('Execution log'!$B$7:$B$306,A230,'Execution log'!$P$7:$P$306,"Valid input")=0,"",SUMIFS('Execution log'!$J$7:$J$306,'Execution log'!$B$7:$B$306,A230,'Execution log'!$P$7:$P$306,"Valid input")))))</x:f>
      </x:c>
      <x:c r="O230" s="24" t="str">
        <x:f>IF(A230="","",IF(NOT(ISNUMBER(K230)),"Budget TBD",IF(NOT(ISNUMBER(M230)),"No valid entries yet",K230-M230)))</x:f>
      </x:c>
      <x:c r="P230" s="24" t="str">
        <x:f>IF(A230="","",IF(NOT(ISNUMBER(L230)),"Budget TBD",IF(NOT(ISNUMBER(N230)),"No valid entries yet",L230-N230)))</x:f>
      </x:c>
      <x:c r="Q230" s="19" t="str">
        <x:f>IF(A230="","",IF(D230="Closed","Closed",IF(NOT(ISNUMBER(I230)),"Review date TBD",IF(NOT(ISNUMBER($B$3)),"Evaluation date TBD",IF(I230&lt;=$B$3,"Review due","Not due")))))</x:f>
      </x:c>
      <x:c r="R230" s="19" t="str">
        <x:f>IF(A230="","",IF(COUNTIFS($A$7:$A$306,A230)&lt;&gt;1,"Duplicate case ID",IF(OR(B230="",C230="",D230="",G230="",S230=""),"Basic info missing",IF(AND(F230&lt;&gt;"",COUNTIFS('Plan versions'!$A$7:$A$306,F230,'Plan versions'!$B$7:$B$306,A230,'Plan versions'!$L$7:$L$306,"Frozen")&lt;&gt;1),"Invalid current plan ref",IF(AND(D230="Executing",F230=""),"Execution lacks plan",IF(AND(D230="Closed",OR(T230="",COUNTIFS('Reviews'!$B$7:$B$306,A230)=0,COUNTIFS('Update log'!$B$7:$B$306,A230)=0)),"Closure docs missing","Basic records complete"))))))</x:f>
      </x:c>
      <x:c r="S230" s="3"/>
      <x:c r="T230" s="3"/>
    </x:row>
    <x:row r="231" ht="25" customHeight="1">
      <x:c r="A231" s="3"/>
      <x:c r="B231" s="3"/>
      <x:c r="C231" s="3"/>
      <x:c r="D231" s="3"/>
      <x:c r="E231" s="3"/>
      <x:c r="F231" s="3"/>
      <x:c r="G231" s="3"/>
      <x:c r="H231" s="3"/>
      <x:c r="I231" s="20"/>
      <x:c r="J231" s="3"/>
      <x:c r="K231" s="22"/>
      <x:c r="L231" s="22"/>
      <x:c r="M231" s="24" t="str">
        <x:f>IF(A231="","",IF(COUNTIFS('Execution log'!$B$7:$B$306,A231)=0,"",IF(COUNTIFS('Execution log'!$B$7:$B$306,A231,'Execution log'!$L$7:$L$306,"Valid",'Execution log'!$P$7:$P$306,"&lt;&gt;Valid input")&gt;0,"To check",IF(COUNTIFS('Execution log'!$B$7:$B$306,A231,'Execution log'!$P$7:$P$306,"Valid input")=0,"",SUMIFS('Execution log'!$H$7:$H$306,'Execution log'!$B$7:$B$306,A231,'Execution log'!$P$7:$P$306,"Valid input")))))</x:f>
      </x:c>
      <x:c r="N231" s="24" t="str">
        <x:f>IF(A231="","",IF(COUNTIFS('Execution log'!$B$7:$B$306,A231)=0,"",IF(COUNTIFS('Execution log'!$B$7:$B$306,A231,'Execution log'!$L$7:$L$306,"Valid",'Execution log'!$P$7:$P$306,"&lt;&gt;Valid input")&gt;0,"To check",IF(COUNTIFS('Execution log'!$B$7:$B$306,A231,'Execution log'!$P$7:$P$306,"Valid input")=0,"",SUMIFS('Execution log'!$J$7:$J$306,'Execution log'!$B$7:$B$306,A231,'Execution log'!$P$7:$P$306,"Valid input")))))</x:f>
      </x:c>
      <x:c r="O231" s="24" t="str">
        <x:f>IF(A231="","",IF(NOT(ISNUMBER(K231)),"Budget TBD",IF(NOT(ISNUMBER(M231)),"No valid entries yet",K231-M231)))</x:f>
      </x:c>
      <x:c r="P231" s="24" t="str">
        <x:f>IF(A231="","",IF(NOT(ISNUMBER(L231)),"Budget TBD",IF(NOT(ISNUMBER(N231)),"No valid entries yet",L231-N231)))</x:f>
      </x:c>
      <x:c r="Q231" s="19" t="str">
        <x:f>IF(A231="","",IF(D231="Closed","Closed",IF(NOT(ISNUMBER(I231)),"Review date TBD",IF(NOT(ISNUMBER($B$3)),"Evaluation date TBD",IF(I231&lt;=$B$3,"Review due","Not due")))))</x:f>
      </x:c>
      <x:c r="R231" s="19" t="str">
        <x:f>IF(A231="","",IF(COUNTIFS($A$7:$A$306,A231)&lt;&gt;1,"Duplicate case ID",IF(OR(B231="",C231="",D231="",G231="",S231=""),"Basic info missing",IF(AND(F231&lt;&gt;"",COUNTIFS('Plan versions'!$A$7:$A$306,F231,'Plan versions'!$B$7:$B$306,A231,'Plan versions'!$L$7:$L$306,"Frozen")&lt;&gt;1),"Invalid current plan ref",IF(AND(D231="Executing",F231=""),"Execution lacks plan",IF(AND(D231="Closed",OR(T231="",COUNTIFS('Reviews'!$B$7:$B$306,A231)=0,COUNTIFS('Update log'!$B$7:$B$306,A231)=0)),"Closure docs missing","Basic records complete"))))))</x:f>
      </x:c>
      <x:c r="S231" s="3"/>
      <x:c r="T231" s="3"/>
    </x:row>
    <x:row r="232" ht="25" customHeight="1">
      <x:c r="A232" s="3"/>
      <x:c r="B232" s="3"/>
      <x:c r="C232" s="3"/>
      <x:c r="D232" s="3"/>
      <x:c r="E232" s="3"/>
      <x:c r="F232" s="3"/>
      <x:c r="G232" s="3"/>
      <x:c r="H232" s="3"/>
      <x:c r="I232" s="20"/>
      <x:c r="J232" s="3"/>
      <x:c r="K232" s="22"/>
      <x:c r="L232" s="22"/>
      <x:c r="M232" s="24" t="str">
        <x:f>IF(A232="","",IF(COUNTIFS('Execution log'!$B$7:$B$306,A232)=0,"",IF(COUNTIFS('Execution log'!$B$7:$B$306,A232,'Execution log'!$L$7:$L$306,"Valid",'Execution log'!$P$7:$P$306,"&lt;&gt;Valid input")&gt;0,"To check",IF(COUNTIFS('Execution log'!$B$7:$B$306,A232,'Execution log'!$P$7:$P$306,"Valid input")=0,"",SUMIFS('Execution log'!$H$7:$H$306,'Execution log'!$B$7:$B$306,A232,'Execution log'!$P$7:$P$306,"Valid input")))))</x:f>
      </x:c>
      <x:c r="N232" s="24" t="str">
        <x:f>IF(A232="","",IF(COUNTIFS('Execution log'!$B$7:$B$306,A232)=0,"",IF(COUNTIFS('Execution log'!$B$7:$B$306,A232,'Execution log'!$L$7:$L$306,"Valid",'Execution log'!$P$7:$P$306,"&lt;&gt;Valid input")&gt;0,"To check",IF(COUNTIFS('Execution log'!$B$7:$B$306,A232,'Execution log'!$P$7:$P$306,"Valid input")=0,"",SUMIFS('Execution log'!$J$7:$J$306,'Execution log'!$B$7:$B$306,A232,'Execution log'!$P$7:$P$306,"Valid input")))))</x:f>
      </x:c>
      <x:c r="O232" s="24" t="str">
        <x:f>IF(A232="","",IF(NOT(ISNUMBER(K232)),"Budget TBD",IF(NOT(ISNUMBER(M232)),"No valid entries yet",K232-M232)))</x:f>
      </x:c>
      <x:c r="P232" s="24" t="str">
        <x:f>IF(A232="","",IF(NOT(ISNUMBER(L232)),"Budget TBD",IF(NOT(ISNUMBER(N232)),"No valid entries yet",L232-N232)))</x:f>
      </x:c>
      <x:c r="Q232" s="19" t="str">
        <x:f>IF(A232="","",IF(D232="Closed","Closed",IF(NOT(ISNUMBER(I232)),"Review date TBD",IF(NOT(ISNUMBER($B$3)),"Evaluation date TBD",IF(I232&lt;=$B$3,"Review due","Not due")))))</x:f>
      </x:c>
      <x:c r="R232" s="19" t="str">
        <x:f>IF(A232="","",IF(COUNTIFS($A$7:$A$306,A232)&lt;&gt;1,"Duplicate case ID",IF(OR(B232="",C232="",D232="",G232="",S232=""),"Basic info missing",IF(AND(F232&lt;&gt;"",COUNTIFS('Plan versions'!$A$7:$A$306,F232,'Plan versions'!$B$7:$B$306,A232,'Plan versions'!$L$7:$L$306,"Frozen")&lt;&gt;1),"Invalid current plan ref",IF(AND(D232="Executing",F232=""),"Execution lacks plan",IF(AND(D232="Closed",OR(T232="",COUNTIFS('Reviews'!$B$7:$B$306,A232)=0,COUNTIFS('Update log'!$B$7:$B$306,A232)=0)),"Closure docs missing","Basic records complete"))))))</x:f>
      </x:c>
      <x:c r="S232" s="3"/>
      <x:c r="T232" s="3"/>
    </x:row>
    <x:row r="233" ht="25" customHeight="1">
      <x:c r="A233" s="3"/>
      <x:c r="B233" s="3"/>
      <x:c r="C233" s="3"/>
      <x:c r="D233" s="3"/>
      <x:c r="E233" s="3"/>
      <x:c r="F233" s="3"/>
      <x:c r="G233" s="3"/>
      <x:c r="H233" s="3"/>
      <x:c r="I233" s="20"/>
      <x:c r="J233" s="3"/>
      <x:c r="K233" s="22"/>
      <x:c r="L233" s="22"/>
      <x:c r="M233" s="24" t="str">
        <x:f>IF(A233="","",IF(COUNTIFS('Execution log'!$B$7:$B$306,A233)=0,"",IF(COUNTIFS('Execution log'!$B$7:$B$306,A233,'Execution log'!$L$7:$L$306,"Valid",'Execution log'!$P$7:$P$306,"&lt;&gt;Valid input")&gt;0,"To check",IF(COUNTIFS('Execution log'!$B$7:$B$306,A233,'Execution log'!$P$7:$P$306,"Valid input")=0,"",SUMIFS('Execution log'!$H$7:$H$306,'Execution log'!$B$7:$B$306,A233,'Execution log'!$P$7:$P$306,"Valid input")))))</x:f>
      </x:c>
      <x:c r="N233" s="24" t="str">
        <x:f>IF(A233="","",IF(COUNTIFS('Execution log'!$B$7:$B$306,A233)=0,"",IF(COUNTIFS('Execution log'!$B$7:$B$306,A233,'Execution log'!$L$7:$L$306,"Valid",'Execution log'!$P$7:$P$306,"&lt;&gt;Valid input")&gt;0,"To check",IF(COUNTIFS('Execution log'!$B$7:$B$306,A233,'Execution log'!$P$7:$P$306,"Valid input")=0,"",SUMIFS('Execution log'!$J$7:$J$306,'Execution log'!$B$7:$B$306,A233,'Execution log'!$P$7:$P$306,"Valid input")))))</x:f>
      </x:c>
      <x:c r="O233" s="24" t="str">
        <x:f>IF(A233="","",IF(NOT(ISNUMBER(K233)),"Budget TBD",IF(NOT(ISNUMBER(M233)),"No valid entries yet",K233-M233)))</x:f>
      </x:c>
      <x:c r="P233" s="24" t="str">
        <x:f>IF(A233="","",IF(NOT(ISNUMBER(L233)),"Budget TBD",IF(NOT(ISNUMBER(N233)),"No valid entries yet",L233-N233)))</x:f>
      </x:c>
      <x:c r="Q233" s="19" t="str">
        <x:f>IF(A233="","",IF(D233="Closed","Closed",IF(NOT(ISNUMBER(I233)),"Review date TBD",IF(NOT(ISNUMBER($B$3)),"Evaluation date TBD",IF(I233&lt;=$B$3,"Review due","Not due")))))</x:f>
      </x:c>
      <x:c r="R233" s="19" t="str">
        <x:f>IF(A233="","",IF(COUNTIFS($A$7:$A$306,A233)&lt;&gt;1,"Duplicate case ID",IF(OR(B233="",C233="",D233="",G233="",S233=""),"Basic info missing",IF(AND(F233&lt;&gt;"",COUNTIFS('Plan versions'!$A$7:$A$306,F233,'Plan versions'!$B$7:$B$306,A233,'Plan versions'!$L$7:$L$306,"Frozen")&lt;&gt;1),"Invalid current plan ref",IF(AND(D233="Executing",F233=""),"Execution lacks plan",IF(AND(D233="Closed",OR(T233="",COUNTIFS('Reviews'!$B$7:$B$306,A233)=0,COUNTIFS('Update log'!$B$7:$B$306,A233)=0)),"Closure docs missing","Basic records complete"))))))</x:f>
      </x:c>
      <x:c r="S233" s="3"/>
      <x:c r="T233" s="3"/>
    </x:row>
    <x:row r="234" ht="25" customHeight="1">
      <x:c r="A234" s="3"/>
      <x:c r="B234" s="3"/>
      <x:c r="C234" s="3"/>
      <x:c r="D234" s="3"/>
      <x:c r="E234" s="3"/>
      <x:c r="F234" s="3"/>
      <x:c r="G234" s="3"/>
      <x:c r="H234" s="3"/>
      <x:c r="I234" s="20"/>
      <x:c r="J234" s="3"/>
      <x:c r="K234" s="22"/>
      <x:c r="L234" s="22"/>
      <x:c r="M234" s="24" t="str">
        <x:f>IF(A234="","",IF(COUNTIFS('Execution log'!$B$7:$B$306,A234)=0,"",IF(COUNTIFS('Execution log'!$B$7:$B$306,A234,'Execution log'!$L$7:$L$306,"Valid",'Execution log'!$P$7:$P$306,"&lt;&gt;Valid input")&gt;0,"To check",IF(COUNTIFS('Execution log'!$B$7:$B$306,A234,'Execution log'!$P$7:$P$306,"Valid input")=0,"",SUMIFS('Execution log'!$H$7:$H$306,'Execution log'!$B$7:$B$306,A234,'Execution log'!$P$7:$P$306,"Valid input")))))</x:f>
      </x:c>
      <x:c r="N234" s="24" t="str">
        <x:f>IF(A234="","",IF(COUNTIFS('Execution log'!$B$7:$B$306,A234)=0,"",IF(COUNTIFS('Execution log'!$B$7:$B$306,A234,'Execution log'!$L$7:$L$306,"Valid",'Execution log'!$P$7:$P$306,"&lt;&gt;Valid input")&gt;0,"To check",IF(COUNTIFS('Execution log'!$B$7:$B$306,A234,'Execution log'!$P$7:$P$306,"Valid input")=0,"",SUMIFS('Execution log'!$J$7:$J$306,'Execution log'!$B$7:$B$306,A234,'Execution log'!$P$7:$P$306,"Valid input")))))</x:f>
      </x:c>
      <x:c r="O234" s="24" t="str">
        <x:f>IF(A234="","",IF(NOT(ISNUMBER(K234)),"Budget TBD",IF(NOT(ISNUMBER(M234)),"No valid entries yet",K234-M234)))</x:f>
      </x:c>
      <x:c r="P234" s="24" t="str">
        <x:f>IF(A234="","",IF(NOT(ISNUMBER(L234)),"Budget TBD",IF(NOT(ISNUMBER(N234)),"No valid entries yet",L234-N234)))</x:f>
      </x:c>
      <x:c r="Q234" s="19" t="str">
        <x:f>IF(A234="","",IF(D234="Closed","Closed",IF(NOT(ISNUMBER(I234)),"Review date TBD",IF(NOT(ISNUMBER($B$3)),"Evaluation date TBD",IF(I234&lt;=$B$3,"Review due","Not due")))))</x:f>
      </x:c>
      <x:c r="R234" s="19" t="str">
        <x:f>IF(A234="","",IF(COUNTIFS($A$7:$A$306,A234)&lt;&gt;1,"Duplicate case ID",IF(OR(B234="",C234="",D234="",G234="",S234=""),"Basic info missing",IF(AND(F234&lt;&gt;"",COUNTIFS('Plan versions'!$A$7:$A$306,F234,'Plan versions'!$B$7:$B$306,A234,'Plan versions'!$L$7:$L$306,"Frozen")&lt;&gt;1),"Invalid current plan ref",IF(AND(D234="Executing",F234=""),"Execution lacks plan",IF(AND(D234="Closed",OR(T234="",COUNTIFS('Reviews'!$B$7:$B$306,A234)=0,COUNTIFS('Update log'!$B$7:$B$306,A234)=0)),"Closure docs missing","Basic records complete"))))))</x:f>
      </x:c>
      <x:c r="S234" s="3"/>
      <x:c r="T234" s="3"/>
    </x:row>
    <x:row r="235" ht="25" customHeight="1">
      <x:c r="A235" s="3"/>
      <x:c r="B235" s="3"/>
      <x:c r="C235" s="3"/>
      <x:c r="D235" s="3"/>
      <x:c r="E235" s="3"/>
      <x:c r="F235" s="3"/>
      <x:c r="G235" s="3"/>
      <x:c r="H235" s="3"/>
      <x:c r="I235" s="20"/>
      <x:c r="J235" s="3"/>
      <x:c r="K235" s="22"/>
      <x:c r="L235" s="22"/>
      <x:c r="M235" s="24" t="str">
        <x:f>IF(A235="","",IF(COUNTIFS('Execution log'!$B$7:$B$306,A235)=0,"",IF(COUNTIFS('Execution log'!$B$7:$B$306,A235,'Execution log'!$L$7:$L$306,"Valid",'Execution log'!$P$7:$P$306,"&lt;&gt;Valid input")&gt;0,"To check",IF(COUNTIFS('Execution log'!$B$7:$B$306,A235,'Execution log'!$P$7:$P$306,"Valid input")=0,"",SUMIFS('Execution log'!$H$7:$H$306,'Execution log'!$B$7:$B$306,A235,'Execution log'!$P$7:$P$306,"Valid input")))))</x:f>
      </x:c>
      <x:c r="N235" s="24" t="str">
        <x:f>IF(A235="","",IF(COUNTIFS('Execution log'!$B$7:$B$306,A235)=0,"",IF(COUNTIFS('Execution log'!$B$7:$B$306,A235,'Execution log'!$L$7:$L$306,"Valid",'Execution log'!$P$7:$P$306,"&lt;&gt;Valid input")&gt;0,"To check",IF(COUNTIFS('Execution log'!$B$7:$B$306,A235,'Execution log'!$P$7:$P$306,"Valid input")=0,"",SUMIFS('Execution log'!$J$7:$J$306,'Execution log'!$B$7:$B$306,A235,'Execution log'!$P$7:$P$306,"Valid input")))))</x:f>
      </x:c>
      <x:c r="O235" s="24" t="str">
        <x:f>IF(A235="","",IF(NOT(ISNUMBER(K235)),"Budget TBD",IF(NOT(ISNUMBER(M235)),"No valid entries yet",K235-M235)))</x:f>
      </x:c>
      <x:c r="P235" s="24" t="str">
        <x:f>IF(A235="","",IF(NOT(ISNUMBER(L235)),"Budget TBD",IF(NOT(ISNUMBER(N235)),"No valid entries yet",L235-N235)))</x:f>
      </x:c>
      <x:c r="Q235" s="19" t="str">
        <x:f>IF(A235="","",IF(D235="Closed","Closed",IF(NOT(ISNUMBER(I235)),"Review date TBD",IF(NOT(ISNUMBER($B$3)),"Evaluation date TBD",IF(I235&lt;=$B$3,"Review due","Not due")))))</x:f>
      </x:c>
      <x:c r="R235" s="19" t="str">
        <x:f>IF(A235="","",IF(COUNTIFS($A$7:$A$306,A235)&lt;&gt;1,"Duplicate case ID",IF(OR(B235="",C235="",D235="",G235="",S235=""),"Basic info missing",IF(AND(F235&lt;&gt;"",COUNTIFS('Plan versions'!$A$7:$A$306,F235,'Plan versions'!$B$7:$B$306,A235,'Plan versions'!$L$7:$L$306,"Frozen")&lt;&gt;1),"Invalid current plan ref",IF(AND(D235="Executing",F235=""),"Execution lacks plan",IF(AND(D235="Closed",OR(T235="",COUNTIFS('Reviews'!$B$7:$B$306,A235)=0,COUNTIFS('Update log'!$B$7:$B$306,A235)=0)),"Closure docs missing","Basic records complete"))))))</x:f>
      </x:c>
      <x:c r="S235" s="3"/>
      <x:c r="T235" s="3"/>
    </x:row>
    <x:row r="236" ht="25" customHeight="1">
      <x:c r="A236" s="3"/>
      <x:c r="B236" s="3"/>
      <x:c r="C236" s="3"/>
      <x:c r="D236" s="3"/>
      <x:c r="E236" s="3"/>
      <x:c r="F236" s="3"/>
      <x:c r="G236" s="3"/>
      <x:c r="H236" s="3"/>
      <x:c r="I236" s="20"/>
      <x:c r="J236" s="3"/>
      <x:c r="K236" s="22"/>
      <x:c r="L236" s="22"/>
      <x:c r="M236" s="24" t="str">
        <x:f>IF(A236="","",IF(COUNTIFS('Execution log'!$B$7:$B$306,A236)=0,"",IF(COUNTIFS('Execution log'!$B$7:$B$306,A236,'Execution log'!$L$7:$L$306,"Valid",'Execution log'!$P$7:$P$306,"&lt;&gt;Valid input")&gt;0,"To check",IF(COUNTIFS('Execution log'!$B$7:$B$306,A236,'Execution log'!$P$7:$P$306,"Valid input")=0,"",SUMIFS('Execution log'!$H$7:$H$306,'Execution log'!$B$7:$B$306,A236,'Execution log'!$P$7:$P$306,"Valid input")))))</x:f>
      </x:c>
      <x:c r="N236" s="24" t="str">
        <x:f>IF(A236="","",IF(COUNTIFS('Execution log'!$B$7:$B$306,A236)=0,"",IF(COUNTIFS('Execution log'!$B$7:$B$306,A236,'Execution log'!$L$7:$L$306,"Valid",'Execution log'!$P$7:$P$306,"&lt;&gt;Valid input")&gt;0,"To check",IF(COUNTIFS('Execution log'!$B$7:$B$306,A236,'Execution log'!$P$7:$P$306,"Valid input")=0,"",SUMIFS('Execution log'!$J$7:$J$306,'Execution log'!$B$7:$B$306,A236,'Execution log'!$P$7:$P$306,"Valid input")))))</x:f>
      </x:c>
      <x:c r="O236" s="24" t="str">
        <x:f>IF(A236="","",IF(NOT(ISNUMBER(K236)),"Budget TBD",IF(NOT(ISNUMBER(M236)),"No valid entries yet",K236-M236)))</x:f>
      </x:c>
      <x:c r="P236" s="24" t="str">
        <x:f>IF(A236="","",IF(NOT(ISNUMBER(L236)),"Budget TBD",IF(NOT(ISNUMBER(N236)),"No valid entries yet",L236-N236)))</x:f>
      </x:c>
      <x:c r="Q236" s="19" t="str">
        <x:f>IF(A236="","",IF(D236="Closed","Closed",IF(NOT(ISNUMBER(I236)),"Review date TBD",IF(NOT(ISNUMBER($B$3)),"Evaluation date TBD",IF(I236&lt;=$B$3,"Review due","Not due")))))</x:f>
      </x:c>
      <x:c r="R236" s="19" t="str">
        <x:f>IF(A236="","",IF(COUNTIFS($A$7:$A$306,A236)&lt;&gt;1,"Duplicate case ID",IF(OR(B236="",C236="",D236="",G236="",S236=""),"Basic info missing",IF(AND(F236&lt;&gt;"",COUNTIFS('Plan versions'!$A$7:$A$306,F236,'Plan versions'!$B$7:$B$306,A236,'Plan versions'!$L$7:$L$306,"Frozen")&lt;&gt;1),"Invalid current plan ref",IF(AND(D236="Executing",F236=""),"Execution lacks plan",IF(AND(D236="Closed",OR(T236="",COUNTIFS('Reviews'!$B$7:$B$306,A236)=0,COUNTIFS('Update log'!$B$7:$B$306,A236)=0)),"Closure docs missing","Basic records complete"))))))</x:f>
      </x:c>
      <x:c r="S236" s="3"/>
      <x:c r="T236" s="3"/>
    </x:row>
    <x:row r="237" ht="25" customHeight="1">
      <x:c r="A237" s="3"/>
      <x:c r="B237" s="3"/>
      <x:c r="C237" s="3"/>
      <x:c r="D237" s="3"/>
      <x:c r="E237" s="3"/>
      <x:c r="F237" s="3"/>
      <x:c r="G237" s="3"/>
      <x:c r="H237" s="3"/>
      <x:c r="I237" s="20"/>
      <x:c r="J237" s="3"/>
      <x:c r="K237" s="22"/>
      <x:c r="L237" s="22"/>
      <x:c r="M237" s="24" t="str">
        <x:f>IF(A237="","",IF(COUNTIFS('Execution log'!$B$7:$B$306,A237)=0,"",IF(COUNTIFS('Execution log'!$B$7:$B$306,A237,'Execution log'!$L$7:$L$306,"Valid",'Execution log'!$P$7:$P$306,"&lt;&gt;Valid input")&gt;0,"To check",IF(COUNTIFS('Execution log'!$B$7:$B$306,A237,'Execution log'!$P$7:$P$306,"Valid input")=0,"",SUMIFS('Execution log'!$H$7:$H$306,'Execution log'!$B$7:$B$306,A237,'Execution log'!$P$7:$P$306,"Valid input")))))</x:f>
      </x:c>
      <x:c r="N237" s="24" t="str">
        <x:f>IF(A237="","",IF(COUNTIFS('Execution log'!$B$7:$B$306,A237)=0,"",IF(COUNTIFS('Execution log'!$B$7:$B$306,A237,'Execution log'!$L$7:$L$306,"Valid",'Execution log'!$P$7:$P$306,"&lt;&gt;Valid input")&gt;0,"To check",IF(COUNTIFS('Execution log'!$B$7:$B$306,A237,'Execution log'!$P$7:$P$306,"Valid input")=0,"",SUMIFS('Execution log'!$J$7:$J$306,'Execution log'!$B$7:$B$306,A237,'Execution log'!$P$7:$P$306,"Valid input")))))</x:f>
      </x:c>
      <x:c r="O237" s="24" t="str">
        <x:f>IF(A237="","",IF(NOT(ISNUMBER(K237)),"Budget TBD",IF(NOT(ISNUMBER(M237)),"No valid entries yet",K237-M237)))</x:f>
      </x:c>
      <x:c r="P237" s="24" t="str">
        <x:f>IF(A237="","",IF(NOT(ISNUMBER(L237)),"Budget TBD",IF(NOT(ISNUMBER(N237)),"No valid entries yet",L237-N237)))</x:f>
      </x:c>
      <x:c r="Q237" s="19" t="str">
        <x:f>IF(A237="","",IF(D237="Closed","Closed",IF(NOT(ISNUMBER(I237)),"Review date TBD",IF(NOT(ISNUMBER($B$3)),"Evaluation date TBD",IF(I237&lt;=$B$3,"Review due","Not due")))))</x:f>
      </x:c>
      <x:c r="R237" s="19" t="str">
        <x:f>IF(A237="","",IF(COUNTIFS($A$7:$A$306,A237)&lt;&gt;1,"Duplicate case ID",IF(OR(B237="",C237="",D237="",G237="",S237=""),"Basic info missing",IF(AND(F237&lt;&gt;"",COUNTIFS('Plan versions'!$A$7:$A$306,F237,'Plan versions'!$B$7:$B$306,A237,'Plan versions'!$L$7:$L$306,"Frozen")&lt;&gt;1),"Invalid current plan ref",IF(AND(D237="Executing",F237=""),"Execution lacks plan",IF(AND(D237="Closed",OR(T237="",COUNTIFS('Reviews'!$B$7:$B$306,A237)=0,COUNTIFS('Update log'!$B$7:$B$306,A237)=0)),"Closure docs missing","Basic records complete"))))))</x:f>
      </x:c>
      <x:c r="S237" s="3"/>
      <x:c r="T237" s="3"/>
    </x:row>
    <x:row r="238" ht="25" customHeight="1">
      <x:c r="A238" s="3"/>
      <x:c r="B238" s="3"/>
      <x:c r="C238" s="3"/>
      <x:c r="D238" s="3"/>
      <x:c r="E238" s="3"/>
      <x:c r="F238" s="3"/>
      <x:c r="G238" s="3"/>
      <x:c r="H238" s="3"/>
      <x:c r="I238" s="20"/>
      <x:c r="J238" s="3"/>
      <x:c r="K238" s="22"/>
      <x:c r="L238" s="22"/>
      <x:c r="M238" s="24" t="str">
        <x:f>IF(A238="","",IF(COUNTIFS('Execution log'!$B$7:$B$306,A238)=0,"",IF(COUNTIFS('Execution log'!$B$7:$B$306,A238,'Execution log'!$L$7:$L$306,"Valid",'Execution log'!$P$7:$P$306,"&lt;&gt;Valid input")&gt;0,"To check",IF(COUNTIFS('Execution log'!$B$7:$B$306,A238,'Execution log'!$P$7:$P$306,"Valid input")=0,"",SUMIFS('Execution log'!$H$7:$H$306,'Execution log'!$B$7:$B$306,A238,'Execution log'!$P$7:$P$306,"Valid input")))))</x:f>
      </x:c>
      <x:c r="N238" s="24" t="str">
        <x:f>IF(A238="","",IF(COUNTIFS('Execution log'!$B$7:$B$306,A238)=0,"",IF(COUNTIFS('Execution log'!$B$7:$B$306,A238,'Execution log'!$L$7:$L$306,"Valid",'Execution log'!$P$7:$P$306,"&lt;&gt;Valid input")&gt;0,"To check",IF(COUNTIFS('Execution log'!$B$7:$B$306,A238,'Execution log'!$P$7:$P$306,"Valid input")=0,"",SUMIFS('Execution log'!$J$7:$J$306,'Execution log'!$B$7:$B$306,A238,'Execution log'!$P$7:$P$306,"Valid input")))))</x:f>
      </x:c>
      <x:c r="O238" s="24" t="str">
        <x:f>IF(A238="","",IF(NOT(ISNUMBER(K238)),"Budget TBD",IF(NOT(ISNUMBER(M238)),"No valid entries yet",K238-M238)))</x:f>
      </x:c>
      <x:c r="P238" s="24" t="str">
        <x:f>IF(A238="","",IF(NOT(ISNUMBER(L238)),"Budget TBD",IF(NOT(ISNUMBER(N238)),"No valid entries yet",L238-N238)))</x:f>
      </x:c>
      <x:c r="Q238" s="19" t="str">
        <x:f>IF(A238="","",IF(D238="Closed","Closed",IF(NOT(ISNUMBER(I238)),"Review date TBD",IF(NOT(ISNUMBER($B$3)),"Evaluation date TBD",IF(I238&lt;=$B$3,"Review due","Not due")))))</x:f>
      </x:c>
      <x:c r="R238" s="19" t="str">
        <x:f>IF(A238="","",IF(COUNTIFS($A$7:$A$306,A238)&lt;&gt;1,"Duplicate case ID",IF(OR(B238="",C238="",D238="",G238="",S238=""),"Basic info missing",IF(AND(F238&lt;&gt;"",COUNTIFS('Plan versions'!$A$7:$A$306,F238,'Plan versions'!$B$7:$B$306,A238,'Plan versions'!$L$7:$L$306,"Frozen")&lt;&gt;1),"Invalid current plan ref",IF(AND(D238="Executing",F238=""),"Execution lacks plan",IF(AND(D238="Closed",OR(T238="",COUNTIFS('Reviews'!$B$7:$B$306,A238)=0,COUNTIFS('Update log'!$B$7:$B$306,A238)=0)),"Closure docs missing","Basic records complete"))))))</x:f>
      </x:c>
      <x:c r="S238" s="3"/>
      <x:c r="T238" s="3"/>
    </x:row>
    <x:row r="239" ht="25" customHeight="1">
      <x:c r="A239" s="3"/>
      <x:c r="B239" s="3"/>
      <x:c r="C239" s="3"/>
      <x:c r="D239" s="3"/>
      <x:c r="E239" s="3"/>
      <x:c r="F239" s="3"/>
      <x:c r="G239" s="3"/>
      <x:c r="H239" s="3"/>
      <x:c r="I239" s="20"/>
      <x:c r="J239" s="3"/>
      <x:c r="K239" s="22"/>
      <x:c r="L239" s="22"/>
      <x:c r="M239" s="24" t="str">
        <x:f>IF(A239="","",IF(COUNTIFS('Execution log'!$B$7:$B$306,A239)=0,"",IF(COUNTIFS('Execution log'!$B$7:$B$306,A239,'Execution log'!$L$7:$L$306,"Valid",'Execution log'!$P$7:$P$306,"&lt;&gt;Valid input")&gt;0,"To check",IF(COUNTIFS('Execution log'!$B$7:$B$306,A239,'Execution log'!$P$7:$P$306,"Valid input")=0,"",SUMIFS('Execution log'!$H$7:$H$306,'Execution log'!$B$7:$B$306,A239,'Execution log'!$P$7:$P$306,"Valid input")))))</x:f>
      </x:c>
      <x:c r="N239" s="24" t="str">
        <x:f>IF(A239="","",IF(COUNTIFS('Execution log'!$B$7:$B$306,A239)=0,"",IF(COUNTIFS('Execution log'!$B$7:$B$306,A239,'Execution log'!$L$7:$L$306,"Valid",'Execution log'!$P$7:$P$306,"&lt;&gt;Valid input")&gt;0,"To check",IF(COUNTIFS('Execution log'!$B$7:$B$306,A239,'Execution log'!$P$7:$P$306,"Valid input")=0,"",SUMIFS('Execution log'!$J$7:$J$306,'Execution log'!$B$7:$B$306,A239,'Execution log'!$P$7:$P$306,"Valid input")))))</x:f>
      </x:c>
      <x:c r="O239" s="24" t="str">
        <x:f>IF(A239="","",IF(NOT(ISNUMBER(K239)),"Budget TBD",IF(NOT(ISNUMBER(M239)),"No valid entries yet",K239-M239)))</x:f>
      </x:c>
      <x:c r="P239" s="24" t="str">
        <x:f>IF(A239="","",IF(NOT(ISNUMBER(L239)),"Budget TBD",IF(NOT(ISNUMBER(N239)),"No valid entries yet",L239-N239)))</x:f>
      </x:c>
      <x:c r="Q239" s="19" t="str">
        <x:f>IF(A239="","",IF(D239="Closed","Closed",IF(NOT(ISNUMBER(I239)),"Review date TBD",IF(NOT(ISNUMBER($B$3)),"Evaluation date TBD",IF(I239&lt;=$B$3,"Review due","Not due")))))</x:f>
      </x:c>
      <x:c r="R239" s="19" t="str">
        <x:f>IF(A239="","",IF(COUNTIFS($A$7:$A$306,A239)&lt;&gt;1,"Duplicate case ID",IF(OR(B239="",C239="",D239="",G239="",S239=""),"Basic info missing",IF(AND(F239&lt;&gt;"",COUNTIFS('Plan versions'!$A$7:$A$306,F239,'Plan versions'!$B$7:$B$306,A239,'Plan versions'!$L$7:$L$306,"Frozen")&lt;&gt;1),"Invalid current plan ref",IF(AND(D239="Executing",F239=""),"Execution lacks plan",IF(AND(D239="Closed",OR(T239="",COUNTIFS('Reviews'!$B$7:$B$306,A239)=0,COUNTIFS('Update log'!$B$7:$B$306,A239)=0)),"Closure docs missing","Basic records complete"))))))</x:f>
      </x:c>
      <x:c r="S239" s="3"/>
      <x:c r="T239" s="3"/>
    </x:row>
    <x:row r="240" ht="25" customHeight="1">
      <x:c r="A240" s="3"/>
      <x:c r="B240" s="3"/>
      <x:c r="C240" s="3"/>
      <x:c r="D240" s="3"/>
      <x:c r="E240" s="3"/>
      <x:c r="F240" s="3"/>
      <x:c r="G240" s="3"/>
      <x:c r="H240" s="3"/>
      <x:c r="I240" s="20"/>
      <x:c r="J240" s="3"/>
      <x:c r="K240" s="22"/>
      <x:c r="L240" s="22"/>
      <x:c r="M240" s="24" t="str">
        <x:f>IF(A240="","",IF(COUNTIFS('Execution log'!$B$7:$B$306,A240)=0,"",IF(COUNTIFS('Execution log'!$B$7:$B$306,A240,'Execution log'!$L$7:$L$306,"Valid",'Execution log'!$P$7:$P$306,"&lt;&gt;Valid input")&gt;0,"To check",IF(COUNTIFS('Execution log'!$B$7:$B$306,A240,'Execution log'!$P$7:$P$306,"Valid input")=0,"",SUMIFS('Execution log'!$H$7:$H$306,'Execution log'!$B$7:$B$306,A240,'Execution log'!$P$7:$P$306,"Valid input")))))</x:f>
      </x:c>
      <x:c r="N240" s="24" t="str">
        <x:f>IF(A240="","",IF(COUNTIFS('Execution log'!$B$7:$B$306,A240)=0,"",IF(COUNTIFS('Execution log'!$B$7:$B$306,A240,'Execution log'!$L$7:$L$306,"Valid",'Execution log'!$P$7:$P$306,"&lt;&gt;Valid input")&gt;0,"To check",IF(COUNTIFS('Execution log'!$B$7:$B$306,A240,'Execution log'!$P$7:$P$306,"Valid input")=0,"",SUMIFS('Execution log'!$J$7:$J$306,'Execution log'!$B$7:$B$306,A240,'Execution log'!$P$7:$P$306,"Valid input")))))</x:f>
      </x:c>
      <x:c r="O240" s="24" t="str">
        <x:f>IF(A240="","",IF(NOT(ISNUMBER(K240)),"Budget TBD",IF(NOT(ISNUMBER(M240)),"No valid entries yet",K240-M240)))</x:f>
      </x:c>
      <x:c r="P240" s="24" t="str">
        <x:f>IF(A240="","",IF(NOT(ISNUMBER(L240)),"Budget TBD",IF(NOT(ISNUMBER(N240)),"No valid entries yet",L240-N240)))</x:f>
      </x:c>
      <x:c r="Q240" s="19" t="str">
        <x:f>IF(A240="","",IF(D240="Closed","Closed",IF(NOT(ISNUMBER(I240)),"Review date TBD",IF(NOT(ISNUMBER($B$3)),"Evaluation date TBD",IF(I240&lt;=$B$3,"Review due","Not due")))))</x:f>
      </x:c>
      <x:c r="R240" s="19" t="str">
        <x:f>IF(A240="","",IF(COUNTIFS($A$7:$A$306,A240)&lt;&gt;1,"Duplicate case ID",IF(OR(B240="",C240="",D240="",G240="",S240=""),"Basic info missing",IF(AND(F240&lt;&gt;"",COUNTIFS('Plan versions'!$A$7:$A$306,F240,'Plan versions'!$B$7:$B$306,A240,'Plan versions'!$L$7:$L$306,"Frozen")&lt;&gt;1),"Invalid current plan ref",IF(AND(D240="Executing",F240=""),"Execution lacks plan",IF(AND(D240="Closed",OR(T240="",COUNTIFS('Reviews'!$B$7:$B$306,A240)=0,COUNTIFS('Update log'!$B$7:$B$306,A240)=0)),"Closure docs missing","Basic records complete"))))))</x:f>
      </x:c>
      <x:c r="S240" s="3"/>
      <x:c r="T240" s="3"/>
    </x:row>
    <x:row r="241" ht="25" customHeight="1">
      <x:c r="A241" s="3"/>
      <x:c r="B241" s="3"/>
      <x:c r="C241" s="3"/>
      <x:c r="D241" s="3"/>
      <x:c r="E241" s="3"/>
      <x:c r="F241" s="3"/>
      <x:c r="G241" s="3"/>
      <x:c r="H241" s="3"/>
      <x:c r="I241" s="20"/>
      <x:c r="J241" s="3"/>
      <x:c r="K241" s="22"/>
      <x:c r="L241" s="22"/>
      <x:c r="M241" s="24" t="str">
        <x:f>IF(A241="","",IF(COUNTIFS('Execution log'!$B$7:$B$306,A241)=0,"",IF(COUNTIFS('Execution log'!$B$7:$B$306,A241,'Execution log'!$L$7:$L$306,"Valid",'Execution log'!$P$7:$P$306,"&lt;&gt;Valid input")&gt;0,"To check",IF(COUNTIFS('Execution log'!$B$7:$B$306,A241,'Execution log'!$P$7:$P$306,"Valid input")=0,"",SUMIFS('Execution log'!$H$7:$H$306,'Execution log'!$B$7:$B$306,A241,'Execution log'!$P$7:$P$306,"Valid input")))))</x:f>
      </x:c>
      <x:c r="N241" s="24" t="str">
        <x:f>IF(A241="","",IF(COUNTIFS('Execution log'!$B$7:$B$306,A241)=0,"",IF(COUNTIFS('Execution log'!$B$7:$B$306,A241,'Execution log'!$L$7:$L$306,"Valid",'Execution log'!$P$7:$P$306,"&lt;&gt;Valid input")&gt;0,"To check",IF(COUNTIFS('Execution log'!$B$7:$B$306,A241,'Execution log'!$P$7:$P$306,"Valid input")=0,"",SUMIFS('Execution log'!$J$7:$J$306,'Execution log'!$B$7:$B$306,A241,'Execution log'!$P$7:$P$306,"Valid input")))))</x:f>
      </x:c>
      <x:c r="O241" s="24" t="str">
        <x:f>IF(A241="","",IF(NOT(ISNUMBER(K241)),"Budget TBD",IF(NOT(ISNUMBER(M241)),"No valid entries yet",K241-M241)))</x:f>
      </x:c>
      <x:c r="P241" s="24" t="str">
        <x:f>IF(A241="","",IF(NOT(ISNUMBER(L241)),"Budget TBD",IF(NOT(ISNUMBER(N241)),"No valid entries yet",L241-N241)))</x:f>
      </x:c>
      <x:c r="Q241" s="19" t="str">
        <x:f>IF(A241="","",IF(D241="Closed","Closed",IF(NOT(ISNUMBER(I241)),"Review date TBD",IF(NOT(ISNUMBER($B$3)),"Evaluation date TBD",IF(I241&lt;=$B$3,"Review due","Not due")))))</x:f>
      </x:c>
      <x:c r="R241" s="19" t="str">
        <x:f>IF(A241="","",IF(COUNTIFS($A$7:$A$306,A241)&lt;&gt;1,"Duplicate case ID",IF(OR(B241="",C241="",D241="",G241="",S241=""),"Basic info missing",IF(AND(F241&lt;&gt;"",COUNTIFS('Plan versions'!$A$7:$A$306,F241,'Plan versions'!$B$7:$B$306,A241,'Plan versions'!$L$7:$L$306,"Frozen")&lt;&gt;1),"Invalid current plan ref",IF(AND(D241="Executing",F241=""),"Execution lacks plan",IF(AND(D241="Closed",OR(T241="",COUNTIFS('Reviews'!$B$7:$B$306,A241)=0,COUNTIFS('Update log'!$B$7:$B$306,A241)=0)),"Closure docs missing","Basic records complete"))))))</x:f>
      </x:c>
      <x:c r="S241" s="3"/>
      <x:c r="T241" s="3"/>
    </x:row>
    <x:row r="242" ht="25" customHeight="1">
      <x:c r="A242" s="3"/>
      <x:c r="B242" s="3"/>
      <x:c r="C242" s="3"/>
      <x:c r="D242" s="3"/>
      <x:c r="E242" s="3"/>
      <x:c r="F242" s="3"/>
      <x:c r="G242" s="3"/>
      <x:c r="H242" s="3"/>
      <x:c r="I242" s="20"/>
      <x:c r="J242" s="3"/>
      <x:c r="K242" s="22"/>
      <x:c r="L242" s="22"/>
      <x:c r="M242" s="24" t="str">
        <x:f>IF(A242="","",IF(COUNTIFS('Execution log'!$B$7:$B$306,A242)=0,"",IF(COUNTIFS('Execution log'!$B$7:$B$306,A242,'Execution log'!$L$7:$L$306,"Valid",'Execution log'!$P$7:$P$306,"&lt;&gt;Valid input")&gt;0,"To check",IF(COUNTIFS('Execution log'!$B$7:$B$306,A242,'Execution log'!$P$7:$P$306,"Valid input")=0,"",SUMIFS('Execution log'!$H$7:$H$306,'Execution log'!$B$7:$B$306,A242,'Execution log'!$P$7:$P$306,"Valid input")))))</x:f>
      </x:c>
      <x:c r="N242" s="24" t="str">
        <x:f>IF(A242="","",IF(COUNTIFS('Execution log'!$B$7:$B$306,A242)=0,"",IF(COUNTIFS('Execution log'!$B$7:$B$306,A242,'Execution log'!$L$7:$L$306,"Valid",'Execution log'!$P$7:$P$306,"&lt;&gt;Valid input")&gt;0,"To check",IF(COUNTIFS('Execution log'!$B$7:$B$306,A242,'Execution log'!$P$7:$P$306,"Valid input")=0,"",SUMIFS('Execution log'!$J$7:$J$306,'Execution log'!$B$7:$B$306,A242,'Execution log'!$P$7:$P$306,"Valid input")))))</x:f>
      </x:c>
      <x:c r="O242" s="24" t="str">
        <x:f>IF(A242="","",IF(NOT(ISNUMBER(K242)),"Budget TBD",IF(NOT(ISNUMBER(M242)),"No valid entries yet",K242-M242)))</x:f>
      </x:c>
      <x:c r="P242" s="24" t="str">
        <x:f>IF(A242="","",IF(NOT(ISNUMBER(L242)),"Budget TBD",IF(NOT(ISNUMBER(N242)),"No valid entries yet",L242-N242)))</x:f>
      </x:c>
      <x:c r="Q242" s="19" t="str">
        <x:f>IF(A242="","",IF(D242="Closed","Closed",IF(NOT(ISNUMBER(I242)),"Review date TBD",IF(NOT(ISNUMBER($B$3)),"Evaluation date TBD",IF(I242&lt;=$B$3,"Review due","Not due")))))</x:f>
      </x:c>
      <x:c r="R242" s="19" t="str">
        <x:f>IF(A242="","",IF(COUNTIFS($A$7:$A$306,A242)&lt;&gt;1,"Duplicate case ID",IF(OR(B242="",C242="",D242="",G242="",S242=""),"Basic info missing",IF(AND(F242&lt;&gt;"",COUNTIFS('Plan versions'!$A$7:$A$306,F242,'Plan versions'!$B$7:$B$306,A242,'Plan versions'!$L$7:$L$306,"Frozen")&lt;&gt;1),"Invalid current plan ref",IF(AND(D242="Executing",F242=""),"Execution lacks plan",IF(AND(D242="Closed",OR(T242="",COUNTIFS('Reviews'!$B$7:$B$306,A242)=0,COUNTIFS('Update log'!$B$7:$B$306,A242)=0)),"Closure docs missing","Basic records complete"))))))</x:f>
      </x:c>
      <x:c r="S242" s="3"/>
      <x:c r="T242" s="3"/>
    </x:row>
    <x:row r="243" ht="25" customHeight="1">
      <x:c r="A243" s="3"/>
      <x:c r="B243" s="3"/>
      <x:c r="C243" s="3"/>
      <x:c r="D243" s="3"/>
      <x:c r="E243" s="3"/>
      <x:c r="F243" s="3"/>
      <x:c r="G243" s="3"/>
      <x:c r="H243" s="3"/>
      <x:c r="I243" s="20"/>
      <x:c r="J243" s="3"/>
      <x:c r="K243" s="22"/>
      <x:c r="L243" s="22"/>
      <x:c r="M243" s="24" t="str">
        <x:f>IF(A243="","",IF(COUNTIFS('Execution log'!$B$7:$B$306,A243)=0,"",IF(COUNTIFS('Execution log'!$B$7:$B$306,A243,'Execution log'!$L$7:$L$306,"Valid",'Execution log'!$P$7:$P$306,"&lt;&gt;Valid input")&gt;0,"To check",IF(COUNTIFS('Execution log'!$B$7:$B$306,A243,'Execution log'!$P$7:$P$306,"Valid input")=0,"",SUMIFS('Execution log'!$H$7:$H$306,'Execution log'!$B$7:$B$306,A243,'Execution log'!$P$7:$P$306,"Valid input")))))</x:f>
      </x:c>
      <x:c r="N243" s="24" t="str">
        <x:f>IF(A243="","",IF(COUNTIFS('Execution log'!$B$7:$B$306,A243)=0,"",IF(COUNTIFS('Execution log'!$B$7:$B$306,A243,'Execution log'!$L$7:$L$306,"Valid",'Execution log'!$P$7:$P$306,"&lt;&gt;Valid input")&gt;0,"To check",IF(COUNTIFS('Execution log'!$B$7:$B$306,A243,'Execution log'!$P$7:$P$306,"Valid input")=0,"",SUMIFS('Execution log'!$J$7:$J$306,'Execution log'!$B$7:$B$306,A243,'Execution log'!$P$7:$P$306,"Valid input")))))</x:f>
      </x:c>
      <x:c r="O243" s="24" t="str">
        <x:f>IF(A243="","",IF(NOT(ISNUMBER(K243)),"Budget TBD",IF(NOT(ISNUMBER(M243)),"No valid entries yet",K243-M243)))</x:f>
      </x:c>
      <x:c r="P243" s="24" t="str">
        <x:f>IF(A243="","",IF(NOT(ISNUMBER(L243)),"Budget TBD",IF(NOT(ISNUMBER(N243)),"No valid entries yet",L243-N243)))</x:f>
      </x:c>
      <x:c r="Q243" s="19" t="str">
        <x:f>IF(A243="","",IF(D243="Closed","Closed",IF(NOT(ISNUMBER(I243)),"Review date TBD",IF(NOT(ISNUMBER($B$3)),"Evaluation date TBD",IF(I243&lt;=$B$3,"Review due","Not due")))))</x:f>
      </x:c>
      <x:c r="R243" s="19" t="str">
        <x:f>IF(A243="","",IF(COUNTIFS($A$7:$A$306,A243)&lt;&gt;1,"Duplicate case ID",IF(OR(B243="",C243="",D243="",G243="",S243=""),"Basic info missing",IF(AND(F243&lt;&gt;"",COUNTIFS('Plan versions'!$A$7:$A$306,F243,'Plan versions'!$B$7:$B$306,A243,'Plan versions'!$L$7:$L$306,"Frozen")&lt;&gt;1),"Invalid current plan ref",IF(AND(D243="Executing",F243=""),"Execution lacks plan",IF(AND(D243="Closed",OR(T243="",COUNTIFS('Reviews'!$B$7:$B$306,A243)=0,COUNTIFS('Update log'!$B$7:$B$306,A243)=0)),"Closure docs missing","Basic records complete"))))))</x:f>
      </x:c>
      <x:c r="S243" s="3"/>
      <x:c r="T243" s="3"/>
    </x:row>
    <x:row r="244" ht="25" customHeight="1">
      <x:c r="A244" s="3"/>
      <x:c r="B244" s="3"/>
      <x:c r="C244" s="3"/>
      <x:c r="D244" s="3"/>
      <x:c r="E244" s="3"/>
      <x:c r="F244" s="3"/>
      <x:c r="G244" s="3"/>
      <x:c r="H244" s="3"/>
      <x:c r="I244" s="20"/>
      <x:c r="J244" s="3"/>
      <x:c r="K244" s="22"/>
      <x:c r="L244" s="22"/>
      <x:c r="M244" s="24" t="str">
        <x:f>IF(A244="","",IF(COUNTIFS('Execution log'!$B$7:$B$306,A244)=0,"",IF(COUNTIFS('Execution log'!$B$7:$B$306,A244,'Execution log'!$L$7:$L$306,"Valid",'Execution log'!$P$7:$P$306,"&lt;&gt;Valid input")&gt;0,"To check",IF(COUNTIFS('Execution log'!$B$7:$B$306,A244,'Execution log'!$P$7:$P$306,"Valid input")=0,"",SUMIFS('Execution log'!$H$7:$H$306,'Execution log'!$B$7:$B$306,A244,'Execution log'!$P$7:$P$306,"Valid input")))))</x:f>
      </x:c>
      <x:c r="N244" s="24" t="str">
        <x:f>IF(A244="","",IF(COUNTIFS('Execution log'!$B$7:$B$306,A244)=0,"",IF(COUNTIFS('Execution log'!$B$7:$B$306,A244,'Execution log'!$L$7:$L$306,"Valid",'Execution log'!$P$7:$P$306,"&lt;&gt;Valid input")&gt;0,"To check",IF(COUNTIFS('Execution log'!$B$7:$B$306,A244,'Execution log'!$P$7:$P$306,"Valid input")=0,"",SUMIFS('Execution log'!$J$7:$J$306,'Execution log'!$B$7:$B$306,A244,'Execution log'!$P$7:$P$306,"Valid input")))))</x:f>
      </x:c>
      <x:c r="O244" s="24" t="str">
        <x:f>IF(A244="","",IF(NOT(ISNUMBER(K244)),"Budget TBD",IF(NOT(ISNUMBER(M244)),"No valid entries yet",K244-M244)))</x:f>
      </x:c>
      <x:c r="P244" s="24" t="str">
        <x:f>IF(A244="","",IF(NOT(ISNUMBER(L244)),"Budget TBD",IF(NOT(ISNUMBER(N244)),"No valid entries yet",L244-N244)))</x:f>
      </x:c>
      <x:c r="Q244" s="19" t="str">
        <x:f>IF(A244="","",IF(D244="Closed","Closed",IF(NOT(ISNUMBER(I244)),"Review date TBD",IF(NOT(ISNUMBER($B$3)),"Evaluation date TBD",IF(I244&lt;=$B$3,"Review due","Not due")))))</x:f>
      </x:c>
      <x:c r="R244" s="19" t="str">
        <x:f>IF(A244="","",IF(COUNTIFS($A$7:$A$306,A244)&lt;&gt;1,"Duplicate case ID",IF(OR(B244="",C244="",D244="",G244="",S244=""),"Basic info missing",IF(AND(F244&lt;&gt;"",COUNTIFS('Plan versions'!$A$7:$A$306,F244,'Plan versions'!$B$7:$B$306,A244,'Plan versions'!$L$7:$L$306,"Frozen")&lt;&gt;1),"Invalid current plan ref",IF(AND(D244="Executing",F244=""),"Execution lacks plan",IF(AND(D244="Closed",OR(T244="",COUNTIFS('Reviews'!$B$7:$B$306,A244)=0,COUNTIFS('Update log'!$B$7:$B$306,A244)=0)),"Closure docs missing","Basic records complete"))))))</x:f>
      </x:c>
      <x:c r="S244" s="3"/>
      <x:c r="T244" s="3"/>
    </x:row>
    <x:row r="245" ht="25" customHeight="1">
      <x:c r="A245" s="3"/>
      <x:c r="B245" s="3"/>
      <x:c r="C245" s="3"/>
      <x:c r="D245" s="3"/>
      <x:c r="E245" s="3"/>
      <x:c r="F245" s="3"/>
      <x:c r="G245" s="3"/>
      <x:c r="H245" s="3"/>
      <x:c r="I245" s="20"/>
      <x:c r="J245" s="3"/>
      <x:c r="K245" s="22"/>
      <x:c r="L245" s="22"/>
      <x:c r="M245" s="24" t="str">
        <x:f>IF(A245="","",IF(COUNTIFS('Execution log'!$B$7:$B$306,A245)=0,"",IF(COUNTIFS('Execution log'!$B$7:$B$306,A245,'Execution log'!$L$7:$L$306,"Valid",'Execution log'!$P$7:$P$306,"&lt;&gt;Valid input")&gt;0,"To check",IF(COUNTIFS('Execution log'!$B$7:$B$306,A245,'Execution log'!$P$7:$P$306,"Valid input")=0,"",SUMIFS('Execution log'!$H$7:$H$306,'Execution log'!$B$7:$B$306,A245,'Execution log'!$P$7:$P$306,"Valid input")))))</x:f>
      </x:c>
      <x:c r="N245" s="24" t="str">
        <x:f>IF(A245="","",IF(COUNTIFS('Execution log'!$B$7:$B$306,A245)=0,"",IF(COUNTIFS('Execution log'!$B$7:$B$306,A245,'Execution log'!$L$7:$L$306,"Valid",'Execution log'!$P$7:$P$306,"&lt;&gt;Valid input")&gt;0,"To check",IF(COUNTIFS('Execution log'!$B$7:$B$306,A245,'Execution log'!$P$7:$P$306,"Valid input")=0,"",SUMIFS('Execution log'!$J$7:$J$306,'Execution log'!$B$7:$B$306,A245,'Execution log'!$P$7:$P$306,"Valid input")))))</x:f>
      </x:c>
      <x:c r="O245" s="24" t="str">
        <x:f>IF(A245="","",IF(NOT(ISNUMBER(K245)),"Budget TBD",IF(NOT(ISNUMBER(M245)),"No valid entries yet",K245-M245)))</x:f>
      </x:c>
      <x:c r="P245" s="24" t="str">
        <x:f>IF(A245="","",IF(NOT(ISNUMBER(L245)),"Budget TBD",IF(NOT(ISNUMBER(N245)),"No valid entries yet",L245-N245)))</x:f>
      </x:c>
      <x:c r="Q245" s="19" t="str">
        <x:f>IF(A245="","",IF(D245="Closed","Closed",IF(NOT(ISNUMBER(I245)),"Review date TBD",IF(NOT(ISNUMBER($B$3)),"Evaluation date TBD",IF(I245&lt;=$B$3,"Review due","Not due")))))</x:f>
      </x:c>
      <x:c r="R245" s="19" t="str">
        <x:f>IF(A245="","",IF(COUNTIFS($A$7:$A$306,A245)&lt;&gt;1,"Duplicate case ID",IF(OR(B245="",C245="",D245="",G245="",S245=""),"Basic info missing",IF(AND(F245&lt;&gt;"",COUNTIFS('Plan versions'!$A$7:$A$306,F245,'Plan versions'!$B$7:$B$306,A245,'Plan versions'!$L$7:$L$306,"Frozen")&lt;&gt;1),"Invalid current plan ref",IF(AND(D245="Executing",F245=""),"Execution lacks plan",IF(AND(D245="Closed",OR(T245="",COUNTIFS('Reviews'!$B$7:$B$306,A245)=0,COUNTIFS('Update log'!$B$7:$B$306,A245)=0)),"Closure docs missing","Basic records complete"))))))</x:f>
      </x:c>
      <x:c r="S245" s="3"/>
      <x:c r="T245" s="3"/>
    </x:row>
    <x:row r="246" ht="25" customHeight="1">
      <x:c r="A246" s="3"/>
      <x:c r="B246" s="3"/>
      <x:c r="C246" s="3"/>
      <x:c r="D246" s="3"/>
      <x:c r="E246" s="3"/>
      <x:c r="F246" s="3"/>
      <x:c r="G246" s="3"/>
      <x:c r="H246" s="3"/>
      <x:c r="I246" s="20"/>
      <x:c r="J246" s="3"/>
      <x:c r="K246" s="22"/>
      <x:c r="L246" s="22"/>
      <x:c r="M246" s="24" t="str">
        <x:f>IF(A246="","",IF(COUNTIFS('Execution log'!$B$7:$B$306,A246)=0,"",IF(COUNTIFS('Execution log'!$B$7:$B$306,A246,'Execution log'!$L$7:$L$306,"Valid",'Execution log'!$P$7:$P$306,"&lt;&gt;Valid input")&gt;0,"To check",IF(COUNTIFS('Execution log'!$B$7:$B$306,A246,'Execution log'!$P$7:$P$306,"Valid input")=0,"",SUMIFS('Execution log'!$H$7:$H$306,'Execution log'!$B$7:$B$306,A246,'Execution log'!$P$7:$P$306,"Valid input")))))</x:f>
      </x:c>
      <x:c r="N246" s="24" t="str">
        <x:f>IF(A246="","",IF(COUNTIFS('Execution log'!$B$7:$B$306,A246)=0,"",IF(COUNTIFS('Execution log'!$B$7:$B$306,A246,'Execution log'!$L$7:$L$306,"Valid",'Execution log'!$P$7:$P$306,"&lt;&gt;Valid input")&gt;0,"To check",IF(COUNTIFS('Execution log'!$B$7:$B$306,A246,'Execution log'!$P$7:$P$306,"Valid input")=0,"",SUMIFS('Execution log'!$J$7:$J$306,'Execution log'!$B$7:$B$306,A246,'Execution log'!$P$7:$P$306,"Valid input")))))</x:f>
      </x:c>
      <x:c r="O246" s="24" t="str">
        <x:f>IF(A246="","",IF(NOT(ISNUMBER(K246)),"Budget TBD",IF(NOT(ISNUMBER(M246)),"No valid entries yet",K246-M246)))</x:f>
      </x:c>
      <x:c r="P246" s="24" t="str">
        <x:f>IF(A246="","",IF(NOT(ISNUMBER(L246)),"Budget TBD",IF(NOT(ISNUMBER(N246)),"No valid entries yet",L246-N246)))</x:f>
      </x:c>
      <x:c r="Q246" s="19" t="str">
        <x:f>IF(A246="","",IF(D246="Closed","Closed",IF(NOT(ISNUMBER(I246)),"Review date TBD",IF(NOT(ISNUMBER($B$3)),"Evaluation date TBD",IF(I246&lt;=$B$3,"Review due","Not due")))))</x:f>
      </x:c>
      <x:c r="R246" s="19" t="str">
        <x:f>IF(A246="","",IF(COUNTIFS($A$7:$A$306,A246)&lt;&gt;1,"Duplicate case ID",IF(OR(B246="",C246="",D246="",G246="",S246=""),"Basic info missing",IF(AND(F246&lt;&gt;"",COUNTIFS('Plan versions'!$A$7:$A$306,F246,'Plan versions'!$B$7:$B$306,A246,'Plan versions'!$L$7:$L$306,"Frozen")&lt;&gt;1),"Invalid current plan ref",IF(AND(D246="Executing",F246=""),"Execution lacks plan",IF(AND(D246="Closed",OR(T246="",COUNTIFS('Reviews'!$B$7:$B$306,A246)=0,COUNTIFS('Update log'!$B$7:$B$306,A246)=0)),"Closure docs missing","Basic records complete"))))))</x:f>
      </x:c>
      <x:c r="S246" s="3"/>
      <x:c r="T246" s="3"/>
    </x:row>
    <x:row r="247" ht="25" customHeight="1">
      <x:c r="A247" s="3"/>
      <x:c r="B247" s="3"/>
      <x:c r="C247" s="3"/>
      <x:c r="D247" s="3"/>
      <x:c r="E247" s="3"/>
      <x:c r="F247" s="3"/>
      <x:c r="G247" s="3"/>
      <x:c r="H247" s="3"/>
      <x:c r="I247" s="20"/>
      <x:c r="J247" s="3"/>
      <x:c r="K247" s="22"/>
      <x:c r="L247" s="22"/>
      <x:c r="M247" s="24" t="str">
        <x:f>IF(A247="","",IF(COUNTIFS('Execution log'!$B$7:$B$306,A247)=0,"",IF(COUNTIFS('Execution log'!$B$7:$B$306,A247,'Execution log'!$L$7:$L$306,"Valid",'Execution log'!$P$7:$P$306,"&lt;&gt;Valid input")&gt;0,"To check",IF(COUNTIFS('Execution log'!$B$7:$B$306,A247,'Execution log'!$P$7:$P$306,"Valid input")=0,"",SUMIFS('Execution log'!$H$7:$H$306,'Execution log'!$B$7:$B$306,A247,'Execution log'!$P$7:$P$306,"Valid input")))))</x:f>
      </x:c>
      <x:c r="N247" s="24" t="str">
        <x:f>IF(A247="","",IF(COUNTIFS('Execution log'!$B$7:$B$306,A247)=0,"",IF(COUNTIFS('Execution log'!$B$7:$B$306,A247,'Execution log'!$L$7:$L$306,"Valid",'Execution log'!$P$7:$P$306,"&lt;&gt;Valid input")&gt;0,"To check",IF(COUNTIFS('Execution log'!$B$7:$B$306,A247,'Execution log'!$P$7:$P$306,"Valid input")=0,"",SUMIFS('Execution log'!$J$7:$J$306,'Execution log'!$B$7:$B$306,A247,'Execution log'!$P$7:$P$306,"Valid input")))))</x:f>
      </x:c>
      <x:c r="O247" s="24" t="str">
        <x:f>IF(A247="","",IF(NOT(ISNUMBER(K247)),"Budget TBD",IF(NOT(ISNUMBER(M247)),"No valid entries yet",K247-M247)))</x:f>
      </x:c>
      <x:c r="P247" s="24" t="str">
        <x:f>IF(A247="","",IF(NOT(ISNUMBER(L247)),"Budget TBD",IF(NOT(ISNUMBER(N247)),"No valid entries yet",L247-N247)))</x:f>
      </x:c>
      <x:c r="Q247" s="19" t="str">
        <x:f>IF(A247="","",IF(D247="Closed","Closed",IF(NOT(ISNUMBER(I247)),"Review date TBD",IF(NOT(ISNUMBER($B$3)),"Evaluation date TBD",IF(I247&lt;=$B$3,"Review due","Not due")))))</x:f>
      </x:c>
      <x:c r="R247" s="19" t="str">
        <x:f>IF(A247="","",IF(COUNTIFS($A$7:$A$306,A247)&lt;&gt;1,"Duplicate case ID",IF(OR(B247="",C247="",D247="",G247="",S247=""),"Basic info missing",IF(AND(F247&lt;&gt;"",COUNTIFS('Plan versions'!$A$7:$A$306,F247,'Plan versions'!$B$7:$B$306,A247,'Plan versions'!$L$7:$L$306,"Frozen")&lt;&gt;1),"Invalid current plan ref",IF(AND(D247="Executing",F247=""),"Execution lacks plan",IF(AND(D247="Closed",OR(T247="",COUNTIFS('Reviews'!$B$7:$B$306,A247)=0,COUNTIFS('Update log'!$B$7:$B$306,A247)=0)),"Closure docs missing","Basic records complete"))))))</x:f>
      </x:c>
      <x:c r="S247" s="3"/>
      <x:c r="T247" s="3"/>
    </x:row>
    <x:row r="248" ht="25" customHeight="1">
      <x:c r="A248" s="3"/>
      <x:c r="B248" s="3"/>
      <x:c r="C248" s="3"/>
      <x:c r="D248" s="3"/>
      <x:c r="E248" s="3"/>
      <x:c r="F248" s="3"/>
      <x:c r="G248" s="3"/>
      <x:c r="H248" s="3"/>
      <x:c r="I248" s="20"/>
      <x:c r="J248" s="3"/>
      <x:c r="K248" s="22"/>
      <x:c r="L248" s="22"/>
      <x:c r="M248" s="24" t="str">
        <x:f>IF(A248="","",IF(COUNTIFS('Execution log'!$B$7:$B$306,A248)=0,"",IF(COUNTIFS('Execution log'!$B$7:$B$306,A248,'Execution log'!$L$7:$L$306,"Valid",'Execution log'!$P$7:$P$306,"&lt;&gt;Valid input")&gt;0,"To check",IF(COUNTIFS('Execution log'!$B$7:$B$306,A248,'Execution log'!$P$7:$P$306,"Valid input")=0,"",SUMIFS('Execution log'!$H$7:$H$306,'Execution log'!$B$7:$B$306,A248,'Execution log'!$P$7:$P$306,"Valid input")))))</x:f>
      </x:c>
      <x:c r="N248" s="24" t="str">
        <x:f>IF(A248="","",IF(COUNTIFS('Execution log'!$B$7:$B$306,A248)=0,"",IF(COUNTIFS('Execution log'!$B$7:$B$306,A248,'Execution log'!$L$7:$L$306,"Valid",'Execution log'!$P$7:$P$306,"&lt;&gt;Valid input")&gt;0,"To check",IF(COUNTIFS('Execution log'!$B$7:$B$306,A248,'Execution log'!$P$7:$P$306,"Valid input")=0,"",SUMIFS('Execution log'!$J$7:$J$306,'Execution log'!$B$7:$B$306,A248,'Execution log'!$P$7:$P$306,"Valid input")))))</x:f>
      </x:c>
      <x:c r="O248" s="24" t="str">
        <x:f>IF(A248="","",IF(NOT(ISNUMBER(K248)),"Budget TBD",IF(NOT(ISNUMBER(M248)),"No valid entries yet",K248-M248)))</x:f>
      </x:c>
      <x:c r="P248" s="24" t="str">
        <x:f>IF(A248="","",IF(NOT(ISNUMBER(L248)),"Budget TBD",IF(NOT(ISNUMBER(N248)),"No valid entries yet",L248-N248)))</x:f>
      </x:c>
      <x:c r="Q248" s="19" t="str">
        <x:f>IF(A248="","",IF(D248="Closed","Closed",IF(NOT(ISNUMBER(I248)),"Review date TBD",IF(NOT(ISNUMBER($B$3)),"Evaluation date TBD",IF(I248&lt;=$B$3,"Review due","Not due")))))</x:f>
      </x:c>
      <x:c r="R248" s="19" t="str">
        <x:f>IF(A248="","",IF(COUNTIFS($A$7:$A$306,A248)&lt;&gt;1,"Duplicate case ID",IF(OR(B248="",C248="",D248="",G248="",S248=""),"Basic info missing",IF(AND(F248&lt;&gt;"",COUNTIFS('Plan versions'!$A$7:$A$306,F248,'Plan versions'!$B$7:$B$306,A248,'Plan versions'!$L$7:$L$306,"Frozen")&lt;&gt;1),"Invalid current plan ref",IF(AND(D248="Executing",F248=""),"Execution lacks plan",IF(AND(D248="Closed",OR(T248="",COUNTIFS('Reviews'!$B$7:$B$306,A248)=0,COUNTIFS('Update log'!$B$7:$B$306,A248)=0)),"Closure docs missing","Basic records complete"))))))</x:f>
      </x:c>
      <x:c r="S248" s="3"/>
      <x:c r="T248" s="3"/>
    </x:row>
    <x:row r="249" ht="25" customHeight="1">
      <x:c r="A249" s="3"/>
      <x:c r="B249" s="3"/>
      <x:c r="C249" s="3"/>
      <x:c r="D249" s="3"/>
      <x:c r="E249" s="3"/>
      <x:c r="F249" s="3"/>
      <x:c r="G249" s="3"/>
      <x:c r="H249" s="3"/>
      <x:c r="I249" s="20"/>
      <x:c r="J249" s="3"/>
      <x:c r="K249" s="22"/>
      <x:c r="L249" s="22"/>
      <x:c r="M249" s="24" t="str">
        <x:f>IF(A249="","",IF(COUNTIFS('Execution log'!$B$7:$B$306,A249)=0,"",IF(COUNTIFS('Execution log'!$B$7:$B$306,A249,'Execution log'!$L$7:$L$306,"Valid",'Execution log'!$P$7:$P$306,"&lt;&gt;Valid input")&gt;0,"To check",IF(COUNTIFS('Execution log'!$B$7:$B$306,A249,'Execution log'!$P$7:$P$306,"Valid input")=0,"",SUMIFS('Execution log'!$H$7:$H$306,'Execution log'!$B$7:$B$306,A249,'Execution log'!$P$7:$P$306,"Valid input")))))</x:f>
      </x:c>
      <x:c r="N249" s="24" t="str">
        <x:f>IF(A249="","",IF(COUNTIFS('Execution log'!$B$7:$B$306,A249)=0,"",IF(COUNTIFS('Execution log'!$B$7:$B$306,A249,'Execution log'!$L$7:$L$306,"Valid",'Execution log'!$P$7:$P$306,"&lt;&gt;Valid input")&gt;0,"To check",IF(COUNTIFS('Execution log'!$B$7:$B$306,A249,'Execution log'!$P$7:$P$306,"Valid input")=0,"",SUMIFS('Execution log'!$J$7:$J$306,'Execution log'!$B$7:$B$306,A249,'Execution log'!$P$7:$P$306,"Valid input")))))</x:f>
      </x:c>
      <x:c r="O249" s="24" t="str">
        <x:f>IF(A249="","",IF(NOT(ISNUMBER(K249)),"Budget TBD",IF(NOT(ISNUMBER(M249)),"No valid entries yet",K249-M249)))</x:f>
      </x:c>
      <x:c r="P249" s="24" t="str">
        <x:f>IF(A249="","",IF(NOT(ISNUMBER(L249)),"Budget TBD",IF(NOT(ISNUMBER(N249)),"No valid entries yet",L249-N249)))</x:f>
      </x:c>
      <x:c r="Q249" s="19" t="str">
        <x:f>IF(A249="","",IF(D249="Closed","Closed",IF(NOT(ISNUMBER(I249)),"Review date TBD",IF(NOT(ISNUMBER($B$3)),"Evaluation date TBD",IF(I249&lt;=$B$3,"Review due","Not due")))))</x:f>
      </x:c>
      <x:c r="R249" s="19" t="str">
        <x:f>IF(A249="","",IF(COUNTIFS($A$7:$A$306,A249)&lt;&gt;1,"Duplicate case ID",IF(OR(B249="",C249="",D249="",G249="",S249=""),"Basic info missing",IF(AND(F249&lt;&gt;"",COUNTIFS('Plan versions'!$A$7:$A$306,F249,'Plan versions'!$B$7:$B$306,A249,'Plan versions'!$L$7:$L$306,"Frozen")&lt;&gt;1),"Invalid current plan ref",IF(AND(D249="Executing",F249=""),"Execution lacks plan",IF(AND(D249="Closed",OR(T249="",COUNTIFS('Reviews'!$B$7:$B$306,A249)=0,COUNTIFS('Update log'!$B$7:$B$306,A249)=0)),"Closure docs missing","Basic records complete"))))))</x:f>
      </x:c>
      <x:c r="S249" s="3"/>
      <x:c r="T249" s="3"/>
    </x:row>
    <x:row r="250" ht="25" customHeight="1">
      <x:c r="A250" s="3"/>
      <x:c r="B250" s="3"/>
      <x:c r="C250" s="3"/>
      <x:c r="D250" s="3"/>
      <x:c r="E250" s="3"/>
      <x:c r="F250" s="3"/>
      <x:c r="G250" s="3"/>
      <x:c r="H250" s="3"/>
      <x:c r="I250" s="20"/>
      <x:c r="J250" s="3"/>
      <x:c r="K250" s="22"/>
      <x:c r="L250" s="22"/>
      <x:c r="M250" s="24" t="str">
        <x:f>IF(A250="","",IF(COUNTIFS('Execution log'!$B$7:$B$306,A250)=0,"",IF(COUNTIFS('Execution log'!$B$7:$B$306,A250,'Execution log'!$L$7:$L$306,"Valid",'Execution log'!$P$7:$P$306,"&lt;&gt;Valid input")&gt;0,"To check",IF(COUNTIFS('Execution log'!$B$7:$B$306,A250,'Execution log'!$P$7:$P$306,"Valid input")=0,"",SUMIFS('Execution log'!$H$7:$H$306,'Execution log'!$B$7:$B$306,A250,'Execution log'!$P$7:$P$306,"Valid input")))))</x:f>
      </x:c>
      <x:c r="N250" s="24" t="str">
        <x:f>IF(A250="","",IF(COUNTIFS('Execution log'!$B$7:$B$306,A250)=0,"",IF(COUNTIFS('Execution log'!$B$7:$B$306,A250,'Execution log'!$L$7:$L$306,"Valid",'Execution log'!$P$7:$P$306,"&lt;&gt;Valid input")&gt;0,"To check",IF(COUNTIFS('Execution log'!$B$7:$B$306,A250,'Execution log'!$P$7:$P$306,"Valid input")=0,"",SUMIFS('Execution log'!$J$7:$J$306,'Execution log'!$B$7:$B$306,A250,'Execution log'!$P$7:$P$306,"Valid input")))))</x:f>
      </x:c>
      <x:c r="O250" s="24" t="str">
        <x:f>IF(A250="","",IF(NOT(ISNUMBER(K250)),"Budget TBD",IF(NOT(ISNUMBER(M250)),"No valid entries yet",K250-M250)))</x:f>
      </x:c>
      <x:c r="P250" s="24" t="str">
        <x:f>IF(A250="","",IF(NOT(ISNUMBER(L250)),"Budget TBD",IF(NOT(ISNUMBER(N250)),"No valid entries yet",L250-N250)))</x:f>
      </x:c>
      <x:c r="Q250" s="19" t="str">
        <x:f>IF(A250="","",IF(D250="Closed","Closed",IF(NOT(ISNUMBER(I250)),"Review date TBD",IF(NOT(ISNUMBER($B$3)),"Evaluation date TBD",IF(I250&lt;=$B$3,"Review due","Not due")))))</x:f>
      </x:c>
      <x:c r="R250" s="19" t="str">
        <x:f>IF(A250="","",IF(COUNTIFS($A$7:$A$306,A250)&lt;&gt;1,"Duplicate case ID",IF(OR(B250="",C250="",D250="",G250="",S250=""),"Basic info missing",IF(AND(F250&lt;&gt;"",COUNTIFS('Plan versions'!$A$7:$A$306,F250,'Plan versions'!$B$7:$B$306,A250,'Plan versions'!$L$7:$L$306,"Frozen")&lt;&gt;1),"Invalid current plan ref",IF(AND(D250="Executing",F250=""),"Execution lacks plan",IF(AND(D250="Closed",OR(T250="",COUNTIFS('Reviews'!$B$7:$B$306,A250)=0,COUNTIFS('Update log'!$B$7:$B$306,A250)=0)),"Closure docs missing","Basic records complete"))))))</x:f>
      </x:c>
      <x:c r="S250" s="3"/>
      <x:c r="T250" s="3"/>
    </x:row>
    <x:row r="251" ht="25" customHeight="1">
      <x:c r="A251" s="3"/>
      <x:c r="B251" s="3"/>
      <x:c r="C251" s="3"/>
      <x:c r="D251" s="3"/>
      <x:c r="E251" s="3"/>
      <x:c r="F251" s="3"/>
      <x:c r="G251" s="3"/>
      <x:c r="H251" s="3"/>
      <x:c r="I251" s="20"/>
      <x:c r="J251" s="3"/>
      <x:c r="K251" s="22"/>
      <x:c r="L251" s="22"/>
      <x:c r="M251" s="24" t="str">
        <x:f>IF(A251="","",IF(COUNTIFS('Execution log'!$B$7:$B$306,A251)=0,"",IF(COUNTIFS('Execution log'!$B$7:$B$306,A251,'Execution log'!$L$7:$L$306,"Valid",'Execution log'!$P$7:$P$306,"&lt;&gt;Valid input")&gt;0,"To check",IF(COUNTIFS('Execution log'!$B$7:$B$306,A251,'Execution log'!$P$7:$P$306,"Valid input")=0,"",SUMIFS('Execution log'!$H$7:$H$306,'Execution log'!$B$7:$B$306,A251,'Execution log'!$P$7:$P$306,"Valid input")))))</x:f>
      </x:c>
      <x:c r="N251" s="24" t="str">
        <x:f>IF(A251="","",IF(COUNTIFS('Execution log'!$B$7:$B$306,A251)=0,"",IF(COUNTIFS('Execution log'!$B$7:$B$306,A251,'Execution log'!$L$7:$L$306,"Valid",'Execution log'!$P$7:$P$306,"&lt;&gt;Valid input")&gt;0,"To check",IF(COUNTIFS('Execution log'!$B$7:$B$306,A251,'Execution log'!$P$7:$P$306,"Valid input")=0,"",SUMIFS('Execution log'!$J$7:$J$306,'Execution log'!$B$7:$B$306,A251,'Execution log'!$P$7:$P$306,"Valid input")))))</x:f>
      </x:c>
      <x:c r="O251" s="24" t="str">
        <x:f>IF(A251="","",IF(NOT(ISNUMBER(K251)),"Budget TBD",IF(NOT(ISNUMBER(M251)),"No valid entries yet",K251-M251)))</x:f>
      </x:c>
      <x:c r="P251" s="24" t="str">
        <x:f>IF(A251="","",IF(NOT(ISNUMBER(L251)),"Budget TBD",IF(NOT(ISNUMBER(N251)),"No valid entries yet",L251-N251)))</x:f>
      </x:c>
      <x:c r="Q251" s="19" t="str">
        <x:f>IF(A251="","",IF(D251="Closed","Closed",IF(NOT(ISNUMBER(I251)),"Review date TBD",IF(NOT(ISNUMBER($B$3)),"Evaluation date TBD",IF(I251&lt;=$B$3,"Review due","Not due")))))</x:f>
      </x:c>
      <x:c r="R251" s="19" t="str">
        <x:f>IF(A251="","",IF(COUNTIFS($A$7:$A$306,A251)&lt;&gt;1,"Duplicate case ID",IF(OR(B251="",C251="",D251="",G251="",S251=""),"Basic info missing",IF(AND(F251&lt;&gt;"",COUNTIFS('Plan versions'!$A$7:$A$306,F251,'Plan versions'!$B$7:$B$306,A251,'Plan versions'!$L$7:$L$306,"Frozen")&lt;&gt;1),"Invalid current plan ref",IF(AND(D251="Executing",F251=""),"Execution lacks plan",IF(AND(D251="Closed",OR(T251="",COUNTIFS('Reviews'!$B$7:$B$306,A251)=0,COUNTIFS('Update log'!$B$7:$B$306,A251)=0)),"Closure docs missing","Basic records complete"))))))</x:f>
      </x:c>
      <x:c r="S251" s="3"/>
      <x:c r="T251" s="3"/>
    </x:row>
    <x:row r="252" ht="25" customHeight="1">
      <x:c r="A252" s="3"/>
      <x:c r="B252" s="3"/>
      <x:c r="C252" s="3"/>
      <x:c r="D252" s="3"/>
      <x:c r="E252" s="3"/>
      <x:c r="F252" s="3"/>
      <x:c r="G252" s="3"/>
      <x:c r="H252" s="3"/>
      <x:c r="I252" s="20"/>
      <x:c r="J252" s="3"/>
      <x:c r="K252" s="22"/>
      <x:c r="L252" s="22"/>
      <x:c r="M252" s="24" t="str">
        <x:f>IF(A252="","",IF(COUNTIFS('Execution log'!$B$7:$B$306,A252)=0,"",IF(COUNTIFS('Execution log'!$B$7:$B$306,A252,'Execution log'!$L$7:$L$306,"Valid",'Execution log'!$P$7:$P$306,"&lt;&gt;Valid input")&gt;0,"To check",IF(COUNTIFS('Execution log'!$B$7:$B$306,A252,'Execution log'!$P$7:$P$306,"Valid input")=0,"",SUMIFS('Execution log'!$H$7:$H$306,'Execution log'!$B$7:$B$306,A252,'Execution log'!$P$7:$P$306,"Valid input")))))</x:f>
      </x:c>
      <x:c r="N252" s="24" t="str">
        <x:f>IF(A252="","",IF(COUNTIFS('Execution log'!$B$7:$B$306,A252)=0,"",IF(COUNTIFS('Execution log'!$B$7:$B$306,A252,'Execution log'!$L$7:$L$306,"Valid",'Execution log'!$P$7:$P$306,"&lt;&gt;Valid input")&gt;0,"To check",IF(COUNTIFS('Execution log'!$B$7:$B$306,A252,'Execution log'!$P$7:$P$306,"Valid input")=0,"",SUMIFS('Execution log'!$J$7:$J$306,'Execution log'!$B$7:$B$306,A252,'Execution log'!$P$7:$P$306,"Valid input")))))</x:f>
      </x:c>
      <x:c r="O252" s="24" t="str">
        <x:f>IF(A252="","",IF(NOT(ISNUMBER(K252)),"Budget TBD",IF(NOT(ISNUMBER(M252)),"No valid entries yet",K252-M252)))</x:f>
      </x:c>
      <x:c r="P252" s="24" t="str">
        <x:f>IF(A252="","",IF(NOT(ISNUMBER(L252)),"Budget TBD",IF(NOT(ISNUMBER(N252)),"No valid entries yet",L252-N252)))</x:f>
      </x:c>
      <x:c r="Q252" s="19" t="str">
        <x:f>IF(A252="","",IF(D252="Closed","Closed",IF(NOT(ISNUMBER(I252)),"Review date TBD",IF(NOT(ISNUMBER($B$3)),"Evaluation date TBD",IF(I252&lt;=$B$3,"Review due","Not due")))))</x:f>
      </x:c>
      <x:c r="R252" s="19" t="str">
        <x:f>IF(A252="","",IF(COUNTIFS($A$7:$A$306,A252)&lt;&gt;1,"Duplicate case ID",IF(OR(B252="",C252="",D252="",G252="",S252=""),"Basic info missing",IF(AND(F252&lt;&gt;"",COUNTIFS('Plan versions'!$A$7:$A$306,F252,'Plan versions'!$B$7:$B$306,A252,'Plan versions'!$L$7:$L$306,"Frozen")&lt;&gt;1),"Invalid current plan ref",IF(AND(D252="Executing",F252=""),"Execution lacks plan",IF(AND(D252="Closed",OR(T252="",COUNTIFS('Reviews'!$B$7:$B$306,A252)=0,COUNTIFS('Update log'!$B$7:$B$306,A252)=0)),"Closure docs missing","Basic records complete"))))))</x:f>
      </x:c>
      <x:c r="S252" s="3"/>
      <x:c r="T252" s="3"/>
    </x:row>
    <x:row r="253" ht="25" customHeight="1">
      <x:c r="A253" s="3"/>
      <x:c r="B253" s="3"/>
      <x:c r="C253" s="3"/>
      <x:c r="D253" s="3"/>
      <x:c r="E253" s="3"/>
      <x:c r="F253" s="3"/>
      <x:c r="G253" s="3"/>
      <x:c r="H253" s="3"/>
      <x:c r="I253" s="20"/>
      <x:c r="J253" s="3"/>
      <x:c r="K253" s="22"/>
      <x:c r="L253" s="22"/>
      <x:c r="M253" s="24" t="str">
        <x:f>IF(A253="","",IF(COUNTIFS('Execution log'!$B$7:$B$306,A253)=0,"",IF(COUNTIFS('Execution log'!$B$7:$B$306,A253,'Execution log'!$L$7:$L$306,"Valid",'Execution log'!$P$7:$P$306,"&lt;&gt;Valid input")&gt;0,"To check",IF(COUNTIFS('Execution log'!$B$7:$B$306,A253,'Execution log'!$P$7:$P$306,"Valid input")=0,"",SUMIFS('Execution log'!$H$7:$H$306,'Execution log'!$B$7:$B$306,A253,'Execution log'!$P$7:$P$306,"Valid input")))))</x:f>
      </x:c>
      <x:c r="N253" s="24" t="str">
        <x:f>IF(A253="","",IF(COUNTIFS('Execution log'!$B$7:$B$306,A253)=0,"",IF(COUNTIFS('Execution log'!$B$7:$B$306,A253,'Execution log'!$L$7:$L$306,"Valid",'Execution log'!$P$7:$P$306,"&lt;&gt;Valid input")&gt;0,"To check",IF(COUNTIFS('Execution log'!$B$7:$B$306,A253,'Execution log'!$P$7:$P$306,"Valid input")=0,"",SUMIFS('Execution log'!$J$7:$J$306,'Execution log'!$B$7:$B$306,A253,'Execution log'!$P$7:$P$306,"Valid input")))))</x:f>
      </x:c>
      <x:c r="O253" s="24" t="str">
        <x:f>IF(A253="","",IF(NOT(ISNUMBER(K253)),"Budget TBD",IF(NOT(ISNUMBER(M253)),"No valid entries yet",K253-M253)))</x:f>
      </x:c>
      <x:c r="P253" s="24" t="str">
        <x:f>IF(A253="","",IF(NOT(ISNUMBER(L253)),"Budget TBD",IF(NOT(ISNUMBER(N253)),"No valid entries yet",L253-N253)))</x:f>
      </x:c>
      <x:c r="Q253" s="19" t="str">
        <x:f>IF(A253="","",IF(D253="Closed","Closed",IF(NOT(ISNUMBER(I253)),"Review date TBD",IF(NOT(ISNUMBER($B$3)),"Evaluation date TBD",IF(I253&lt;=$B$3,"Review due","Not due")))))</x:f>
      </x:c>
      <x:c r="R253" s="19" t="str">
        <x:f>IF(A253="","",IF(COUNTIFS($A$7:$A$306,A253)&lt;&gt;1,"Duplicate case ID",IF(OR(B253="",C253="",D253="",G253="",S253=""),"Basic info missing",IF(AND(F253&lt;&gt;"",COUNTIFS('Plan versions'!$A$7:$A$306,F253,'Plan versions'!$B$7:$B$306,A253,'Plan versions'!$L$7:$L$306,"Frozen")&lt;&gt;1),"Invalid current plan ref",IF(AND(D253="Executing",F253=""),"Execution lacks plan",IF(AND(D253="Closed",OR(T253="",COUNTIFS('Reviews'!$B$7:$B$306,A253)=0,COUNTIFS('Update log'!$B$7:$B$306,A253)=0)),"Closure docs missing","Basic records complete"))))))</x:f>
      </x:c>
      <x:c r="S253" s="3"/>
      <x:c r="T253" s="3"/>
    </x:row>
    <x:row r="254" ht="25" customHeight="1">
      <x:c r="A254" s="3"/>
      <x:c r="B254" s="3"/>
      <x:c r="C254" s="3"/>
      <x:c r="D254" s="3"/>
      <x:c r="E254" s="3"/>
      <x:c r="F254" s="3"/>
      <x:c r="G254" s="3"/>
      <x:c r="H254" s="3"/>
      <x:c r="I254" s="20"/>
      <x:c r="J254" s="3"/>
      <x:c r="K254" s="22"/>
      <x:c r="L254" s="22"/>
      <x:c r="M254" s="24" t="str">
        <x:f>IF(A254="","",IF(COUNTIFS('Execution log'!$B$7:$B$306,A254)=0,"",IF(COUNTIFS('Execution log'!$B$7:$B$306,A254,'Execution log'!$L$7:$L$306,"Valid",'Execution log'!$P$7:$P$306,"&lt;&gt;Valid input")&gt;0,"To check",IF(COUNTIFS('Execution log'!$B$7:$B$306,A254,'Execution log'!$P$7:$P$306,"Valid input")=0,"",SUMIFS('Execution log'!$H$7:$H$306,'Execution log'!$B$7:$B$306,A254,'Execution log'!$P$7:$P$306,"Valid input")))))</x:f>
      </x:c>
      <x:c r="N254" s="24" t="str">
        <x:f>IF(A254="","",IF(COUNTIFS('Execution log'!$B$7:$B$306,A254)=0,"",IF(COUNTIFS('Execution log'!$B$7:$B$306,A254,'Execution log'!$L$7:$L$306,"Valid",'Execution log'!$P$7:$P$306,"&lt;&gt;Valid input")&gt;0,"To check",IF(COUNTIFS('Execution log'!$B$7:$B$306,A254,'Execution log'!$P$7:$P$306,"Valid input")=0,"",SUMIFS('Execution log'!$J$7:$J$306,'Execution log'!$B$7:$B$306,A254,'Execution log'!$P$7:$P$306,"Valid input")))))</x:f>
      </x:c>
      <x:c r="O254" s="24" t="str">
        <x:f>IF(A254="","",IF(NOT(ISNUMBER(K254)),"Budget TBD",IF(NOT(ISNUMBER(M254)),"No valid entries yet",K254-M254)))</x:f>
      </x:c>
      <x:c r="P254" s="24" t="str">
        <x:f>IF(A254="","",IF(NOT(ISNUMBER(L254)),"Budget TBD",IF(NOT(ISNUMBER(N254)),"No valid entries yet",L254-N254)))</x:f>
      </x:c>
      <x:c r="Q254" s="19" t="str">
        <x:f>IF(A254="","",IF(D254="Closed","Closed",IF(NOT(ISNUMBER(I254)),"Review date TBD",IF(NOT(ISNUMBER($B$3)),"Evaluation date TBD",IF(I254&lt;=$B$3,"Review due","Not due")))))</x:f>
      </x:c>
      <x:c r="R254" s="19" t="str">
        <x:f>IF(A254="","",IF(COUNTIFS($A$7:$A$306,A254)&lt;&gt;1,"Duplicate case ID",IF(OR(B254="",C254="",D254="",G254="",S254=""),"Basic info missing",IF(AND(F254&lt;&gt;"",COUNTIFS('Plan versions'!$A$7:$A$306,F254,'Plan versions'!$B$7:$B$306,A254,'Plan versions'!$L$7:$L$306,"Frozen")&lt;&gt;1),"Invalid current plan ref",IF(AND(D254="Executing",F254=""),"Execution lacks plan",IF(AND(D254="Closed",OR(T254="",COUNTIFS('Reviews'!$B$7:$B$306,A254)=0,COUNTIFS('Update log'!$B$7:$B$306,A254)=0)),"Closure docs missing","Basic records complete"))))))</x:f>
      </x:c>
      <x:c r="S254" s="3"/>
      <x:c r="T254" s="3"/>
    </x:row>
    <x:row r="255" ht="25" customHeight="1">
      <x:c r="A255" s="3"/>
      <x:c r="B255" s="3"/>
      <x:c r="C255" s="3"/>
      <x:c r="D255" s="3"/>
      <x:c r="E255" s="3"/>
      <x:c r="F255" s="3"/>
      <x:c r="G255" s="3"/>
      <x:c r="H255" s="3"/>
      <x:c r="I255" s="20"/>
      <x:c r="J255" s="3"/>
      <x:c r="K255" s="22"/>
      <x:c r="L255" s="22"/>
      <x:c r="M255" s="24" t="str">
        <x:f>IF(A255="","",IF(COUNTIFS('Execution log'!$B$7:$B$306,A255)=0,"",IF(COUNTIFS('Execution log'!$B$7:$B$306,A255,'Execution log'!$L$7:$L$306,"Valid",'Execution log'!$P$7:$P$306,"&lt;&gt;Valid input")&gt;0,"To check",IF(COUNTIFS('Execution log'!$B$7:$B$306,A255,'Execution log'!$P$7:$P$306,"Valid input")=0,"",SUMIFS('Execution log'!$H$7:$H$306,'Execution log'!$B$7:$B$306,A255,'Execution log'!$P$7:$P$306,"Valid input")))))</x:f>
      </x:c>
      <x:c r="N255" s="24" t="str">
        <x:f>IF(A255="","",IF(COUNTIFS('Execution log'!$B$7:$B$306,A255)=0,"",IF(COUNTIFS('Execution log'!$B$7:$B$306,A255,'Execution log'!$L$7:$L$306,"Valid",'Execution log'!$P$7:$P$306,"&lt;&gt;Valid input")&gt;0,"To check",IF(COUNTIFS('Execution log'!$B$7:$B$306,A255,'Execution log'!$P$7:$P$306,"Valid input")=0,"",SUMIFS('Execution log'!$J$7:$J$306,'Execution log'!$B$7:$B$306,A255,'Execution log'!$P$7:$P$306,"Valid input")))))</x:f>
      </x:c>
      <x:c r="O255" s="24" t="str">
        <x:f>IF(A255="","",IF(NOT(ISNUMBER(K255)),"Budget TBD",IF(NOT(ISNUMBER(M255)),"No valid entries yet",K255-M255)))</x:f>
      </x:c>
      <x:c r="P255" s="24" t="str">
        <x:f>IF(A255="","",IF(NOT(ISNUMBER(L255)),"Budget TBD",IF(NOT(ISNUMBER(N255)),"No valid entries yet",L255-N255)))</x:f>
      </x:c>
      <x:c r="Q255" s="19" t="str">
        <x:f>IF(A255="","",IF(D255="Closed","Closed",IF(NOT(ISNUMBER(I255)),"Review date TBD",IF(NOT(ISNUMBER($B$3)),"Evaluation date TBD",IF(I255&lt;=$B$3,"Review due","Not due")))))</x:f>
      </x:c>
      <x:c r="R255" s="19" t="str">
        <x:f>IF(A255="","",IF(COUNTIFS($A$7:$A$306,A255)&lt;&gt;1,"Duplicate case ID",IF(OR(B255="",C255="",D255="",G255="",S255=""),"Basic info missing",IF(AND(F255&lt;&gt;"",COUNTIFS('Plan versions'!$A$7:$A$306,F255,'Plan versions'!$B$7:$B$306,A255,'Plan versions'!$L$7:$L$306,"Frozen")&lt;&gt;1),"Invalid current plan ref",IF(AND(D255="Executing",F255=""),"Execution lacks plan",IF(AND(D255="Closed",OR(T255="",COUNTIFS('Reviews'!$B$7:$B$306,A255)=0,COUNTIFS('Update log'!$B$7:$B$306,A255)=0)),"Closure docs missing","Basic records complete"))))))</x:f>
      </x:c>
      <x:c r="S255" s="3"/>
      <x:c r="T255" s="3"/>
    </x:row>
    <x:row r="256" ht="25" customHeight="1">
      <x:c r="A256" s="3"/>
      <x:c r="B256" s="3"/>
      <x:c r="C256" s="3"/>
      <x:c r="D256" s="3"/>
      <x:c r="E256" s="3"/>
      <x:c r="F256" s="3"/>
      <x:c r="G256" s="3"/>
      <x:c r="H256" s="3"/>
      <x:c r="I256" s="20"/>
      <x:c r="J256" s="3"/>
      <x:c r="K256" s="22"/>
      <x:c r="L256" s="22"/>
      <x:c r="M256" s="24" t="str">
        <x:f>IF(A256="","",IF(COUNTIFS('Execution log'!$B$7:$B$306,A256)=0,"",IF(COUNTIFS('Execution log'!$B$7:$B$306,A256,'Execution log'!$L$7:$L$306,"Valid",'Execution log'!$P$7:$P$306,"&lt;&gt;Valid input")&gt;0,"To check",IF(COUNTIFS('Execution log'!$B$7:$B$306,A256,'Execution log'!$P$7:$P$306,"Valid input")=0,"",SUMIFS('Execution log'!$H$7:$H$306,'Execution log'!$B$7:$B$306,A256,'Execution log'!$P$7:$P$306,"Valid input")))))</x:f>
      </x:c>
      <x:c r="N256" s="24" t="str">
        <x:f>IF(A256="","",IF(COUNTIFS('Execution log'!$B$7:$B$306,A256)=0,"",IF(COUNTIFS('Execution log'!$B$7:$B$306,A256,'Execution log'!$L$7:$L$306,"Valid",'Execution log'!$P$7:$P$306,"&lt;&gt;Valid input")&gt;0,"To check",IF(COUNTIFS('Execution log'!$B$7:$B$306,A256,'Execution log'!$P$7:$P$306,"Valid input")=0,"",SUMIFS('Execution log'!$J$7:$J$306,'Execution log'!$B$7:$B$306,A256,'Execution log'!$P$7:$P$306,"Valid input")))))</x:f>
      </x:c>
      <x:c r="O256" s="24" t="str">
        <x:f>IF(A256="","",IF(NOT(ISNUMBER(K256)),"Budget TBD",IF(NOT(ISNUMBER(M256)),"No valid entries yet",K256-M256)))</x:f>
      </x:c>
      <x:c r="P256" s="24" t="str">
        <x:f>IF(A256="","",IF(NOT(ISNUMBER(L256)),"Budget TBD",IF(NOT(ISNUMBER(N256)),"No valid entries yet",L256-N256)))</x:f>
      </x:c>
      <x:c r="Q256" s="19" t="str">
        <x:f>IF(A256="","",IF(D256="Closed","Closed",IF(NOT(ISNUMBER(I256)),"Review date TBD",IF(NOT(ISNUMBER($B$3)),"Evaluation date TBD",IF(I256&lt;=$B$3,"Review due","Not due")))))</x:f>
      </x:c>
      <x:c r="R256" s="19" t="str">
        <x:f>IF(A256="","",IF(COUNTIFS($A$7:$A$306,A256)&lt;&gt;1,"Duplicate case ID",IF(OR(B256="",C256="",D256="",G256="",S256=""),"Basic info missing",IF(AND(F256&lt;&gt;"",COUNTIFS('Plan versions'!$A$7:$A$306,F256,'Plan versions'!$B$7:$B$306,A256,'Plan versions'!$L$7:$L$306,"Frozen")&lt;&gt;1),"Invalid current plan ref",IF(AND(D256="Executing",F256=""),"Execution lacks plan",IF(AND(D256="Closed",OR(T256="",COUNTIFS('Reviews'!$B$7:$B$306,A256)=0,COUNTIFS('Update log'!$B$7:$B$306,A256)=0)),"Closure docs missing","Basic records complete"))))))</x:f>
      </x:c>
      <x:c r="S256" s="3"/>
      <x:c r="T256" s="3"/>
    </x:row>
    <x:row r="257" ht="25" customHeight="1">
      <x:c r="A257" s="3"/>
      <x:c r="B257" s="3"/>
      <x:c r="C257" s="3"/>
      <x:c r="D257" s="3"/>
      <x:c r="E257" s="3"/>
      <x:c r="F257" s="3"/>
      <x:c r="G257" s="3"/>
      <x:c r="H257" s="3"/>
      <x:c r="I257" s="20"/>
      <x:c r="J257" s="3"/>
      <x:c r="K257" s="22"/>
      <x:c r="L257" s="22"/>
      <x:c r="M257" s="24" t="str">
        <x:f>IF(A257="","",IF(COUNTIFS('Execution log'!$B$7:$B$306,A257)=0,"",IF(COUNTIFS('Execution log'!$B$7:$B$306,A257,'Execution log'!$L$7:$L$306,"Valid",'Execution log'!$P$7:$P$306,"&lt;&gt;Valid input")&gt;0,"To check",IF(COUNTIFS('Execution log'!$B$7:$B$306,A257,'Execution log'!$P$7:$P$306,"Valid input")=0,"",SUMIFS('Execution log'!$H$7:$H$306,'Execution log'!$B$7:$B$306,A257,'Execution log'!$P$7:$P$306,"Valid input")))))</x:f>
      </x:c>
      <x:c r="N257" s="24" t="str">
        <x:f>IF(A257="","",IF(COUNTIFS('Execution log'!$B$7:$B$306,A257)=0,"",IF(COUNTIFS('Execution log'!$B$7:$B$306,A257,'Execution log'!$L$7:$L$306,"Valid",'Execution log'!$P$7:$P$306,"&lt;&gt;Valid input")&gt;0,"To check",IF(COUNTIFS('Execution log'!$B$7:$B$306,A257,'Execution log'!$P$7:$P$306,"Valid input")=0,"",SUMIFS('Execution log'!$J$7:$J$306,'Execution log'!$B$7:$B$306,A257,'Execution log'!$P$7:$P$306,"Valid input")))))</x:f>
      </x:c>
      <x:c r="O257" s="24" t="str">
        <x:f>IF(A257="","",IF(NOT(ISNUMBER(K257)),"Budget TBD",IF(NOT(ISNUMBER(M257)),"No valid entries yet",K257-M257)))</x:f>
      </x:c>
      <x:c r="P257" s="24" t="str">
        <x:f>IF(A257="","",IF(NOT(ISNUMBER(L257)),"Budget TBD",IF(NOT(ISNUMBER(N257)),"No valid entries yet",L257-N257)))</x:f>
      </x:c>
      <x:c r="Q257" s="19" t="str">
        <x:f>IF(A257="","",IF(D257="Closed","Closed",IF(NOT(ISNUMBER(I257)),"Review date TBD",IF(NOT(ISNUMBER($B$3)),"Evaluation date TBD",IF(I257&lt;=$B$3,"Review due","Not due")))))</x:f>
      </x:c>
      <x:c r="R257" s="19" t="str">
        <x:f>IF(A257="","",IF(COUNTIFS($A$7:$A$306,A257)&lt;&gt;1,"Duplicate case ID",IF(OR(B257="",C257="",D257="",G257="",S257=""),"Basic info missing",IF(AND(F257&lt;&gt;"",COUNTIFS('Plan versions'!$A$7:$A$306,F257,'Plan versions'!$B$7:$B$306,A257,'Plan versions'!$L$7:$L$306,"Frozen")&lt;&gt;1),"Invalid current plan ref",IF(AND(D257="Executing",F257=""),"Execution lacks plan",IF(AND(D257="Closed",OR(T257="",COUNTIFS('Reviews'!$B$7:$B$306,A257)=0,COUNTIFS('Update log'!$B$7:$B$306,A257)=0)),"Closure docs missing","Basic records complete"))))))</x:f>
      </x:c>
      <x:c r="S257" s="3"/>
      <x:c r="T257" s="3"/>
    </x:row>
    <x:row r="258" ht="25" customHeight="1">
      <x:c r="A258" s="3"/>
      <x:c r="B258" s="3"/>
      <x:c r="C258" s="3"/>
      <x:c r="D258" s="3"/>
      <x:c r="E258" s="3"/>
      <x:c r="F258" s="3"/>
      <x:c r="G258" s="3"/>
      <x:c r="H258" s="3"/>
      <x:c r="I258" s="20"/>
      <x:c r="J258" s="3"/>
      <x:c r="K258" s="22"/>
      <x:c r="L258" s="22"/>
      <x:c r="M258" s="24" t="str">
        <x:f>IF(A258="","",IF(COUNTIFS('Execution log'!$B$7:$B$306,A258)=0,"",IF(COUNTIFS('Execution log'!$B$7:$B$306,A258,'Execution log'!$L$7:$L$306,"Valid",'Execution log'!$P$7:$P$306,"&lt;&gt;Valid input")&gt;0,"To check",IF(COUNTIFS('Execution log'!$B$7:$B$306,A258,'Execution log'!$P$7:$P$306,"Valid input")=0,"",SUMIFS('Execution log'!$H$7:$H$306,'Execution log'!$B$7:$B$306,A258,'Execution log'!$P$7:$P$306,"Valid input")))))</x:f>
      </x:c>
      <x:c r="N258" s="24" t="str">
        <x:f>IF(A258="","",IF(COUNTIFS('Execution log'!$B$7:$B$306,A258)=0,"",IF(COUNTIFS('Execution log'!$B$7:$B$306,A258,'Execution log'!$L$7:$L$306,"Valid",'Execution log'!$P$7:$P$306,"&lt;&gt;Valid input")&gt;0,"To check",IF(COUNTIFS('Execution log'!$B$7:$B$306,A258,'Execution log'!$P$7:$P$306,"Valid input")=0,"",SUMIFS('Execution log'!$J$7:$J$306,'Execution log'!$B$7:$B$306,A258,'Execution log'!$P$7:$P$306,"Valid input")))))</x:f>
      </x:c>
      <x:c r="O258" s="24" t="str">
        <x:f>IF(A258="","",IF(NOT(ISNUMBER(K258)),"Budget TBD",IF(NOT(ISNUMBER(M258)),"No valid entries yet",K258-M258)))</x:f>
      </x:c>
      <x:c r="P258" s="24" t="str">
        <x:f>IF(A258="","",IF(NOT(ISNUMBER(L258)),"Budget TBD",IF(NOT(ISNUMBER(N258)),"No valid entries yet",L258-N258)))</x:f>
      </x:c>
      <x:c r="Q258" s="19" t="str">
        <x:f>IF(A258="","",IF(D258="Closed","Closed",IF(NOT(ISNUMBER(I258)),"Review date TBD",IF(NOT(ISNUMBER($B$3)),"Evaluation date TBD",IF(I258&lt;=$B$3,"Review due","Not due")))))</x:f>
      </x:c>
      <x:c r="R258" s="19" t="str">
        <x:f>IF(A258="","",IF(COUNTIFS($A$7:$A$306,A258)&lt;&gt;1,"Duplicate case ID",IF(OR(B258="",C258="",D258="",G258="",S258=""),"Basic info missing",IF(AND(F258&lt;&gt;"",COUNTIFS('Plan versions'!$A$7:$A$306,F258,'Plan versions'!$B$7:$B$306,A258,'Plan versions'!$L$7:$L$306,"Frozen")&lt;&gt;1),"Invalid current plan ref",IF(AND(D258="Executing",F258=""),"Execution lacks plan",IF(AND(D258="Closed",OR(T258="",COUNTIFS('Reviews'!$B$7:$B$306,A258)=0,COUNTIFS('Update log'!$B$7:$B$306,A258)=0)),"Closure docs missing","Basic records complete"))))))</x:f>
      </x:c>
      <x:c r="S258" s="3"/>
      <x:c r="T258" s="3"/>
    </x:row>
    <x:row r="259" ht="25" customHeight="1">
      <x:c r="A259" s="3"/>
      <x:c r="B259" s="3"/>
      <x:c r="C259" s="3"/>
      <x:c r="D259" s="3"/>
      <x:c r="E259" s="3"/>
      <x:c r="F259" s="3"/>
      <x:c r="G259" s="3"/>
      <x:c r="H259" s="3"/>
      <x:c r="I259" s="20"/>
      <x:c r="J259" s="3"/>
      <x:c r="K259" s="22"/>
      <x:c r="L259" s="22"/>
      <x:c r="M259" s="24" t="str">
        <x:f>IF(A259="","",IF(COUNTIFS('Execution log'!$B$7:$B$306,A259)=0,"",IF(COUNTIFS('Execution log'!$B$7:$B$306,A259,'Execution log'!$L$7:$L$306,"Valid",'Execution log'!$P$7:$P$306,"&lt;&gt;Valid input")&gt;0,"To check",IF(COUNTIFS('Execution log'!$B$7:$B$306,A259,'Execution log'!$P$7:$P$306,"Valid input")=0,"",SUMIFS('Execution log'!$H$7:$H$306,'Execution log'!$B$7:$B$306,A259,'Execution log'!$P$7:$P$306,"Valid input")))))</x:f>
      </x:c>
      <x:c r="N259" s="24" t="str">
        <x:f>IF(A259="","",IF(COUNTIFS('Execution log'!$B$7:$B$306,A259)=0,"",IF(COUNTIFS('Execution log'!$B$7:$B$306,A259,'Execution log'!$L$7:$L$306,"Valid",'Execution log'!$P$7:$P$306,"&lt;&gt;Valid input")&gt;0,"To check",IF(COUNTIFS('Execution log'!$B$7:$B$306,A259,'Execution log'!$P$7:$P$306,"Valid input")=0,"",SUMIFS('Execution log'!$J$7:$J$306,'Execution log'!$B$7:$B$306,A259,'Execution log'!$P$7:$P$306,"Valid input")))))</x:f>
      </x:c>
      <x:c r="O259" s="24" t="str">
        <x:f>IF(A259="","",IF(NOT(ISNUMBER(K259)),"Budget TBD",IF(NOT(ISNUMBER(M259)),"No valid entries yet",K259-M259)))</x:f>
      </x:c>
      <x:c r="P259" s="24" t="str">
        <x:f>IF(A259="","",IF(NOT(ISNUMBER(L259)),"Budget TBD",IF(NOT(ISNUMBER(N259)),"No valid entries yet",L259-N259)))</x:f>
      </x:c>
      <x:c r="Q259" s="19" t="str">
        <x:f>IF(A259="","",IF(D259="Closed","Closed",IF(NOT(ISNUMBER(I259)),"Review date TBD",IF(NOT(ISNUMBER($B$3)),"Evaluation date TBD",IF(I259&lt;=$B$3,"Review due","Not due")))))</x:f>
      </x:c>
      <x:c r="R259" s="19" t="str">
        <x:f>IF(A259="","",IF(COUNTIFS($A$7:$A$306,A259)&lt;&gt;1,"Duplicate case ID",IF(OR(B259="",C259="",D259="",G259="",S259=""),"Basic info missing",IF(AND(F259&lt;&gt;"",COUNTIFS('Plan versions'!$A$7:$A$306,F259,'Plan versions'!$B$7:$B$306,A259,'Plan versions'!$L$7:$L$306,"Frozen")&lt;&gt;1),"Invalid current plan ref",IF(AND(D259="Executing",F259=""),"Execution lacks plan",IF(AND(D259="Closed",OR(T259="",COUNTIFS('Reviews'!$B$7:$B$306,A259)=0,COUNTIFS('Update log'!$B$7:$B$306,A259)=0)),"Closure docs missing","Basic records complete"))))))</x:f>
      </x:c>
      <x:c r="S259" s="3"/>
      <x:c r="T259" s="3"/>
    </x:row>
    <x:row r="260" ht="25" customHeight="1">
      <x:c r="A260" s="3"/>
      <x:c r="B260" s="3"/>
      <x:c r="C260" s="3"/>
      <x:c r="D260" s="3"/>
      <x:c r="E260" s="3"/>
      <x:c r="F260" s="3"/>
      <x:c r="G260" s="3"/>
      <x:c r="H260" s="3"/>
      <x:c r="I260" s="20"/>
      <x:c r="J260" s="3"/>
      <x:c r="K260" s="22"/>
      <x:c r="L260" s="22"/>
      <x:c r="M260" s="24" t="str">
        <x:f>IF(A260="","",IF(COUNTIFS('Execution log'!$B$7:$B$306,A260)=0,"",IF(COUNTIFS('Execution log'!$B$7:$B$306,A260,'Execution log'!$L$7:$L$306,"Valid",'Execution log'!$P$7:$P$306,"&lt;&gt;Valid input")&gt;0,"To check",IF(COUNTIFS('Execution log'!$B$7:$B$306,A260,'Execution log'!$P$7:$P$306,"Valid input")=0,"",SUMIFS('Execution log'!$H$7:$H$306,'Execution log'!$B$7:$B$306,A260,'Execution log'!$P$7:$P$306,"Valid input")))))</x:f>
      </x:c>
      <x:c r="N260" s="24" t="str">
        <x:f>IF(A260="","",IF(COUNTIFS('Execution log'!$B$7:$B$306,A260)=0,"",IF(COUNTIFS('Execution log'!$B$7:$B$306,A260,'Execution log'!$L$7:$L$306,"Valid",'Execution log'!$P$7:$P$306,"&lt;&gt;Valid input")&gt;0,"To check",IF(COUNTIFS('Execution log'!$B$7:$B$306,A260,'Execution log'!$P$7:$P$306,"Valid input")=0,"",SUMIFS('Execution log'!$J$7:$J$306,'Execution log'!$B$7:$B$306,A260,'Execution log'!$P$7:$P$306,"Valid input")))))</x:f>
      </x:c>
      <x:c r="O260" s="24" t="str">
        <x:f>IF(A260="","",IF(NOT(ISNUMBER(K260)),"Budget TBD",IF(NOT(ISNUMBER(M260)),"No valid entries yet",K260-M260)))</x:f>
      </x:c>
      <x:c r="P260" s="24" t="str">
        <x:f>IF(A260="","",IF(NOT(ISNUMBER(L260)),"Budget TBD",IF(NOT(ISNUMBER(N260)),"No valid entries yet",L260-N260)))</x:f>
      </x:c>
      <x:c r="Q260" s="19" t="str">
        <x:f>IF(A260="","",IF(D260="Closed","Closed",IF(NOT(ISNUMBER(I260)),"Review date TBD",IF(NOT(ISNUMBER($B$3)),"Evaluation date TBD",IF(I260&lt;=$B$3,"Review due","Not due")))))</x:f>
      </x:c>
      <x:c r="R260" s="19" t="str">
        <x:f>IF(A260="","",IF(COUNTIFS($A$7:$A$306,A260)&lt;&gt;1,"Duplicate case ID",IF(OR(B260="",C260="",D260="",G260="",S260=""),"Basic info missing",IF(AND(F260&lt;&gt;"",COUNTIFS('Plan versions'!$A$7:$A$306,F260,'Plan versions'!$B$7:$B$306,A260,'Plan versions'!$L$7:$L$306,"Frozen")&lt;&gt;1),"Invalid current plan ref",IF(AND(D260="Executing",F260=""),"Execution lacks plan",IF(AND(D260="Closed",OR(T260="",COUNTIFS('Reviews'!$B$7:$B$306,A260)=0,COUNTIFS('Update log'!$B$7:$B$306,A260)=0)),"Closure docs missing","Basic records complete"))))))</x:f>
      </x:c>
      <x:c r="S260" s="3"/>
      <x:c r="T260" s="3"/>
    </x:row>
    <x:row r="261" ht="25" customHeight="1">
      <x:c r="A261" s="3"/>
      <x:c r="B261" s="3"/>
      <x:c r="C261" s="3"/>
      <x:c r="D261" s="3"/>
      <x:c r="E261" s="3"/>
      <x:c r="F261" s="3"/>
      <x:c r="G261" s="3"/>
      <x:c r="H261" s="3"/>
      <x:c r="I261" s="20"/>
      <x:c r="J261" s="3"/>
      <x:c r="K261" s="22"/>
      <x:c r="L261" s="22"/>
      <x:c r="M261" s="24" t="str">
        <x:f>IF(A261="","",IF(COUNTIFS('Execution log'!$B$7:$B$306,A261)=0,"",IF(COUNTIFS('Execution log'!$B$7:$B$306,A261,'Execution log'!$L$7:$L$306,"Valid",'Execution log'!$P$7:$P$306,"&lt;&gt;Valid input")&gt;0,"To check",IF(COUNTIFS('Execution log'!$B$7:$B$306,A261,'Execution log'!$P$7:$P$306,"Valid input")=0,"",SUMIFS('Execution log'!$H$7:$H$306,'Execution log'!$B$7:$B$306,A261,'Execution log'!$P$7:$P$306,"Valid input")))))</x:f>
      </x:c>
      <x:c r="N261" s="24" t="str">
        <x:f>IF(A261="","",IF(COUNTIFS('Execution log'!$B$7:$B$306,A261)=0,"",IF(COUNTIFS('Execution log'!$B$7:$B$306,A261,'Execution log'!$L$7:$L$306,"Valid",'Execution log'!$P$7:$P$306,"&lt;&gt;Valid input")&gt;0,"To check",IF(COUNTIFS('Execution log'!$B$7:$B$306,A261,'Execution log'!$P$7:$P$306,"Valid input")=0,"",SUMIFS('Execution log'!$J$7:$J$306,'Execution log'!$B$7:$B$306,A261,'Execution log'!$P$7:$P$306,"Valid input")))))</x:f>
      </x:c>
      <x:c r="O261" s="24" t="str">
        <x:f>IF(A261="","",IF(NOT(ISNUMBER(K261)),"Budget TBD",IF(NOT(ISNUMBER(M261)),"No valid entries yet",K261-M261)))</x:f>
      </x:c>
      <x:c r="P261" s="24" t="str">
        <x:f>IF(A261="","",IF(NOT(ISNUMBER(L261)),"Budget TBD",IF(NOT(ISNUMBER(N261)),"No valid entries yet",L261-N261)))</x:f>
      </x:c>
      <x:c r="Q261" s="19" t="str">
        <x:f>IF(A261="","",IF(D261="Closed","Closed",IF(NOT(ISNUMBER(I261)),"Review date TBD",IF(NOT(ISNUMBER($B$3)),"Evaluation date TBD",IF(I261&lt;=$B$3,"Review due","Not due")))))</x:f>
      </x:c>
      <x:c r="R261" s="19" t="str">
        <x:f>IF(A261="","",IF(COUNTIFS($A$7:$A$306,A261)&lt;&gt;1,"Duplicate case ID",IF(OR(B261="",C261="",D261="",G261="",S261=""),"Basic info missing",IF(AND(F261&lt;&gt;"",COUNTIFS('Plan versions'!$A$7:$A$306,F261,'Plan versions'!$B$7:$B$306,A261,'Plan versions'!$L$7:$L$306,"Frozen")&lt;&gt;1),"Invalid current plan ref",IF(AND(D261="Executing",F261=""),"Execution lacks plan",IF(AND(D261="Closed",OR(T261="",COUNTIFS('Reviews'!$B$7:$B$306,A261)=0,COUNTIFS('Update log'!$B$7:$B$306,A261)=0)),"Closure docs missing","Basic records complete"))))))</x:f>
      </x:c>
      <x:c r="S261" s="3"/>
      <x:c r="T261" s="3"/>
    </x:row>
    <x:row r="262" ht="25" customHeight="1">
      <x:c r="A262" s="3"/>
      <x:c r="B262" s="3"/>
      <x:c r="C262" s="3"/>
      <x:c r="D262" s="3"/>
      <x:c r="E262" s="3"/>
      <x:c r="F262" s="3"/>
      <x:c r="G262" s="3"/>
      <x:c r="H262" s="3"/>
      <x:c r="I262" s="20"/>
      <x:c r="J262" s="3"/>
      <x:c r="K262" s="22"/>
      <x:c r="L262" s="22"/>
      <x:c r="M262" s="24" t="str">
        <x:f>IF(A262="","",IF(COUNTIFS('Execution log'!$B$7:$B$306,A262)=0,"",IF(COUNTIFS('Execution log'!$B$7:$B$306,A262,'Execution log'!$L$7:$L$306,"Valid",'Execution log'!$P$7:$P$306,"&lt;&gt;Valid input")&gt;0,"To check",IF(COUNTIFS('Execution log'!$B$7:$B$306,A262,'Execution log'!$P$7:$P$306,"Valid input")=0,"",SUMIFS('Execution log'!$H$7:$H$306,'Execution log'!$B$7:$B$306,A262,'Execution log'!$P$7:$P$306,"Valid input")))))</x:f>
      </x:c>
      <x:c r="N262" s="24" t="str">
        <x:f>IF(A262="","",IF(COUNTIFS('Execution log'!$B$7:$B$306,A262)=0,"",IF(COUNTIFS('Execution log'!$B$7:$B$306,A262,'Execution log'!$L$7:$L$306,"Valid",'Execution log'!$P$7:$P$306,"&lt;&gt;Valid input")&gt;0,"To check",IF(COUNTIFS('Execution log'!$B$7:$B$306,A262,'Execution log'!$P$7:$P$306,"Valid input")=0,"",SUMIFS('Execution log'!$J$7:$J$306,'Execution log'!$B$7:$B$306,A262,'Execution log'!$P$7:$P$306,"Valid input")))))</x:f>
      </x:c>
      <x:c r="O262" s="24" t="str">
        <x:f>IF(A262="","",IF(NOT(ISNUMBER(K262)),"Budget TBD",IF(NOT(ISNUMBER(M262)),"No valid entries yet",K262-M262)))</x:f>
      </x:c>
      <x:c r="P262" s="24" t="str">
        <x:f>IF(A262="","",IF(NOT(ISNUMBER(L262)),"Budget TBD",IF(NOT(ISNUMBER(N262)),"No valid entries yet",L262-N262)))</x:f>
      </x:c>
      <x:c r="Q262" s="19" t="str">
        <x:f>IF(A262="","",IF(D262="Closed","Closed",IF(NOT(ISNUMBER(I262)),"Review date TBD",IF(NOT(ISNUMBER($B$3)),"Evaluation date TBD",IF(I262&lt;=$B$3,"Review due","Not due")))))</x:f>
      </x:c>
      <x:c r="R262" s="19" t="str">
        <x:f>IF(A262="","",IF(COUNTIFS($A$7:$A$306,A262)&lt;&gt;1,"Duplicate case ID",IF(OR(B262="",C262="",D262="",G262="",S262=""),"Basic info missing",IF(AND(F262&lt;&gt;"",COUNTIFS('Plan versions'!$A$7:$A$306,F262,'Plan versions'!$B$7:$B$306,A262,'Plan versions'!$L$7:$L$306,"Frozen")&lt;&gt;1),"Invalid current plan ref",IF(AND(D262="Executing",F262=""),"Execution lacks plan",IF(AND(D262="Closed",OR(T262="",COUNTIFS('Reviews'!$B$7:$B$306,A262)=0,COUNTIFS('Update log'!$B$7:$B$306,A262)=0)),"Closure docs missing","Basic records complete"))))))</x:f>
      </x:c>
      <x:c r="S262" s="3"/>
      <x:c r="T262" s="3"/>
    </x:row>
    <x:row r="263" ht="25" customHeight="1">
      <x:c r="A263" s="3"/>
      <x:c r="B263" s="3"/>
      <x:c r="C263" s="3"/>
      <x:c r="D263" s="3"/>
      <x:c r="E263" s="3"/>
      <x:c r="F263" s="3"/>
      <x:c r="G263" s="3"/>
      <x:c r="H263" s="3"/>
      <x:c r="I263" s="20"/>
      <x:c r="J263" s="3"/>
      <x:c r="K263" s="22"/>
      <x:c r="L263" s="22"/>
      <x:c r="M263" s="24" t="str">
        <x:f>IF(A263="","",IF(COUNTIFS('Execution log'!$B$7:$B$306,A263)=0,"",IF(COUNTIFS('Execution log'!$B$7:$B$306,A263,'Execution log'!$L$7:$L$306,"Valid",'Execution log'!$P$7:$P$306,"&lt;&gt;Valid input")&gt;0,"To check",IF(COUNTIFS('Execution log'!$B$7:$B$306,A263,'Execution log'!$P$7:$P$306,"Valid input")=0,"",SUMIFS('Execution log'!$H$7:$H$306,'Execution log'!$B$7:$B$306,A263,'Execution log'!$P$7:$P$306,"Valid input")))))</x:f>
      </x:c>
      <x:c r="N263" s="24" t="str">
        <x:f>IF(A263="","",IF(COUNTIFS('Execution log'!$B$7:$B$306,A263)=0,"",IF(COUNTIFS('Execution log'!$B$7:$B$306,A263,'Execution log'!$L$7:$L$306,"Valid",'Execution log'!$P$7:$P$306,"&lt;&gt;Valid input")&gt;0,"To check",IF(COUNTIFS('Execution log'!$B$7:$B$306,A263,'Execution log'!$P$7:$P$306,"Valid input")=0,"",SUMIFS('Execution log'!$J$7:$J$306,'Execution log'!$B$7:$B$306,A263,'Execution log'!$P$7:$P$306,"Valid input")))))</x:f>
      </x:c>
      <x:c r="O263" s="24" t="str">
        <x:f>IF(A263="","",IF(NOT(ISNUMBER(K263)),"Budget TBD",IF(NOT(ISNUMBER(M263)),"No valid entries yet",K263-M263)))</x:f>
      </x:c>
      <x:c r="P263" s="24" t="str">
        <x:f>IF(A263="","",IF(NOT(ISNUMBER(L263)),"Budget TBD",IF(NOT(ISNUMBER(N263)),"No valid entries yet",L263-N263)))</x:f>
      </x:c>
      <x:c r="Q263" s="19" t="str">
        <x:f>IF(A263="","",IF(D263="Closed","Closed",IF(NOT(ISNUMBER(I263)),"Review date TBD",IF(NOT(ISNUMBER($B$3)),"Evaluation date TBD",IF(I263&lt;=$B$3,"Review due","Not due")))))</x:f>
      </x:c>
      <x:c r="R263" s="19" t="str">
        <x:f>IF(A263="","",IF(COUNTIFS($A$7:$A$306,A263)&lt;&gt;1,"Duplicate case ID",IF(OR(B263="",C263="",D263="",G263="",S263=""),"Basic info missing",IF(AND(F263&lt;&gt;"",COUNTIFS('Plan versions'!$A$7:$A$306,F263,'Plan versions'!$B$7:$B$306,A263,'Plan versions'!$L$7:$L$306,"Frozen")&lt;&gt;1),"Invalid current plan ref",IF(AND(D263="Executing",F263=""),"Execution lacks plan",IF(AND(D263="Closed",OR(T263="",COUNTIFS('Reviews'!$B$7:$B$306,A263)=0,COUNTIFS('Update log'!$B$7:$B$306,A263)=0)),"Closure docs missing","Basic records complete"))))))</x:f>
      </x:c>
      <x:c r="S263" s="3"/>
      <x:c r="T263" s="3"/>
    </x:row>
    <x:row r="264" ht="25" customHeight="1">
      <x:c r="A264" s="3"/>
      <x:c r="B264" s="3"/>
      <x:c r="C264" s="3"/>
      <x:c r="D264" s="3"/>
      <x:c r="E264" s="3"/>
      <x:c r="F264" s="3"/>
      <x:c r="G264" s="3"/>
      <x:c r="H264" s="3"/>
      <x:c r="I264" s="20"/>
      <x:c r="J264" s="3"/>
      <x:c r="K264" s="22"/>
      <x:c r="L264" s="22"/>
      <x:c r="M264" s="24" t="str">
        <x:f>IF(A264="","",IF(COUNTIFS('Execution log'!$B$7:$B$306,A264)=0,"",IF(COUNTIFS('Execution log'!$B$7:$B$306,A264,'Execution log'!$L$7:$L$306,"Valid",'Execution log'!$P$7:$P$306,"&lt;&gt;Valid input")&gt;0,"To check",IF(COUNTIFS('Execution log'!$B$7:$B$306,A264,'Execution log'!$P$7:$P$306,"Valid input")=0,"",SUMIFS('Execution log'!$H$7:$H$306,'Execution log'!$B$7:$B$306,A264,'Execution log'!$P$7:$P$306,"Valid input")))))</x:f>
      </x:c>
      <x:c r="N264" s="24" t="str">
        <x:f>IF(A264="","",IF(COUNTIFS('Execution log'!$B$7:$B$306,A264)=0,"",IF(COUNTIFS('Execution log'!$B$7:$B$306,A264,'Execution log'!$L$7:$L$306,"Valid",'Execution log'!$P$7:$P$306,"&lt;&gt;Valid input")&gt;0,"To check",IF(COUNTIFS('Execution log'!$B$7:$B$306,A264,'Execution log'!$P$7:$P$306,"Valid input")=0,"",SUMIFS('Execution log'!$J$7:$J$306,'Execution log'!$B$7:$B$306,A264,'Execution log'!$P$7:$P$306,"Valid input")))))</x:f>
      </x:c>
      <x:c r="O264" s="24" t="str">
        <x:f>IF(A264="","",IF(NOT(ISNUMBER(K264)),"Budget TBD",IF(NOT(ISNUMBER(M264)),"No valid entries yet",K264-M264)))</x:f>
      </x:c>
      <x:c r="P264" s="24" t="str">
        <x:f>IF(A264="","",IF(NOT(ISNUMBER(L264)),"Budget TBD",IF(NOT(ISNUMBER(N264)),"No valid entries yet",L264-N264)))</x:f>
      </x:c>
      <x:c r="Q264" s="19" t="str">
        <x:f>IF(A264="","",IF(D264="Closed","Closed",IF(NOT(ISNUMBER(I264)),"Review date TBD",IF(NOT(ISNUMBER($B$3)),"Evaluation date TBD",IF(I264&lt;=$B$3,"Review due","Not due")))))</x:f>
      </x:c>
      <x:c r="R264" s="19" t="str">
        <x:f>IF(A264="","",IF(COUNTIFS($A$7:$A$306,A264)&lt;&gt;1,"Duplicate case ID",IF(OR(B264="",C264="",D264="",G264="",S264=""),"Basic info missing",IF(AND(F264&lt;&gt;"",COUNTIFS('Plan versions'!$A$7:$A$306,F264,'Plan versions'!$B$7:$B$306,A264,'Plan versions'!$L$7:$L$306,"Frozen")&lt;&gt;1),"Invalid current plan ref",IF(AND(D264="Executing",F264=""),"Execution lacks plan",IF(AND(D264="Closed",OR(T264="",COUNTIFS('Reviews'!$B$7:$B$306,A264)=0,COUNTIFS('Update log'!$B$7:$B$306,A264)=0)),"Closure docs missing","Basic records complete"))))))</x:f>
      </x:c>
      <x:c r="S264" s="3"/>
      <x:c r="T264" s="3"/>
    </x:row>
    <x:row r="265" ht="25" customHeight="1">
      <x:c r="A265" s="3"/>
      <x:c r="B265" s="3"/>
      <x:c r="C265" s="3"/>
      <x:c r="D265" s="3"/>
      <x:c r="E265" s="3"/>
      <x:c r="F265" s="3"/>
      <x:c r="G265" s="3"/>
      <x:c r="H265" s="3"/>
      <x:c r="I265" s="20"/>
      <x:c r="J265" s="3"/>
      <x:c r="K265" s="22"/>
      <x:c r="L265" s="22"/>
      <x:c r="M265" s="24" t="str">
        <x:f>IF(A265="","",IF(COUNTIFS('Execution log'!$B$7:$B$306,A265)=0,"",IF(COUNTIFS('Execution log'!$B$7:$B$306,A265,'Execution log'!$L$7:$L$306,"Valid",'Execution log'!$P$7:$P$306,"&lt;&gt;Valid input")&gt;0,"To check",IF(COUNTIFS('Execution log'!$B$7:$B$306,A265,'Execution log'!$P$7:$P$306,"Valid input")=0,"",SUMIFS('Execution log'!$H$7:$H$306,'Execution log'!$B$7:$B$306,A265,'Execution log'!$P$7:$P$306,"Valid input")))))</x:f>
      </x:c>
      <x:c r="N265" s="24" t="str">
        <x:f>IF(A265="","",IF(COUNTIFS('Execution log'!$B$7:$B$306,A265)=0,"",IF(COUNTIFS('Execution log'!$B$7:$B$306,A265,'Execution log'!$L$7:$L$306,"Valid",'Execution log'!$P$7:$P$306,"&lt;&gt;Valid input")&gt;0,"To check",IF(COUNTIFS('Execution log'!$B$7:$B$306,A265,'Execution log'!$P$7:$P$306,"Valid input")=0,"",SUMIFS('Execution log'!$J$7:$J$306,'Execution log'!$B$7:$B$306,A265,'Execution log'!$P$7:$P$306,"Valid input")))))</x:f>
      </x:c>
      <x:c r="O265" s="24" t="str">
        <x:f>IF(A265="","",IF(NOT(ISNUMBER(K265)),"Budget TBD",IF(NOT(ISNUMBER(M265)),"No valid entries yet",K265-M265)))</x:f>
      </x:c>
      <x:c r="P265" s="24" t="str">
        <x:f>IF(A265="","",IF(NOT(ISNUMBER(L265)),"Budget TBD",IF(NOT(ISNUMBER(N265)),"No valid entries yet",L265-N265)))</x:f>
      </x:c>
      <x:c r="Q265" s="19" t="str">
        <x:f>IF(A265="","",IF(D265="Closed","Closed",IF(NOT(ISNUMBER(I265)),"Review date TBD",IF(NOT(ISNUMBER($B$3)),"Evaluation date TBD",IF(I265&lt;=$B$3,"Review due","Not due")))))</x:f>
      </x:c>
      <x:c r="R265" s="19" t="str">
        <x:f>IF(A265="","",IF(COUNTIFS($A$7:$A$306,A265)&lt;&gt;1,"Duplicate case ID",IF(OR(B265="",C265="",D265="",G265="",S265=""),"Basic info missing",IF(AND(F265&lt;&gt;"",COUNTIFS('Plan versions'!$A$7:$A$306,F265,'Plan versions'!$B$7:$B$306,A265,'Plan versions'!$L$7:$L$306,"Frozen")&lt;&gt;1),"Invalid current plan ref",IF(AND(D265="Executing",F265=""),"Execution lacks plan",IF(AND(D265="Closed",OR(T265="",COUNTIFS('Reviews'!$B$7:$B$306,A265)=0,COUNTIFS('Update log'!$B$7:$B$306,A265)=0)),"Closure docs missing","Basic records complete"))))))</x:f>
      </x:c>
      <x:c r="S265" s="3"/>
      <x:c r="T265" s="3"/>
    </x:row>
    <x:row r="266" ht="25" customHeight="1">
      <x:c r="A266" s="3"/>
      <x:c r="B266" s="3"/>
      <x:c r="C266" s="3"/>
      <x:c r="D266" s="3"/>
      <x:c r="E266" s="3"/>
      <x:c r="F266" s="3"/>
      <x:c r="G266" s="3"/>
      <x:c r="H266" s="3"/>
      <x:c r="I266" s="20"/>
      <x:c r="J266" s="3"/>
      <x:c r="K266" s="22"/>
      <x:c r="L266" s="22"/>
      <x:c r="M266" s="24" t="str">
        <x:f>IF(A266="","",IF(COUNTIFS('Execution log'!$B$7:$B$306,A266)=0,"",IF(COUNTIFS('Execution log'!$B$7:$B$306,A266,'Execution log'!$L$7:$L$306,"Valid",'Execution log'!$P$7:$P$306,"&lt;&gt;Valid input")&gt;0,"To check",IF(COUNTIFS('Execution log'!$B$7:$B$306,A266,'Execution log'!$P$7:$P$306,"Valid input")=0,"",SUMIFS('Execution log'!$H$7:$H$306,'Execution log'!$B$7:$B$306,A266,'Execution log'!$P$7:$P$306,"Valid input")))))</x:f>
      </x:c>
      <x:c r="N266" s="24" t="str">
        <x:f>IF(A266="","",IF(COUNTIFS('Execution log'!$B$7:$B$306,A266)=0,"",IF(COUNTIFS('Execution log'!$B$7:$B$306,A266,'Execution log'!$L$7:$L$306,"Valid",'Execution log'!$P$7:$P$306,"&lt;&gt;Valid input")&gt;0,"To check",IF(COUNTIFS('Execution log'!$B$7:$B$306,A266,'Execution log'!$P$7:$P$306,"Valid input")=0,"",SUMIFS('Execution log'!$J$7:$J$306,'Execution log'!$B$7:$B$306,A266,'Execution log'!$P$7:$P$306,"Valid input")))))</x:f>
      </x:c>
      <x:c r="O266" s="24" t="str">
        <x:f>IF(A266="","",IF(NOT(ISNUMBER(K266)),"Budget TBD",IF(NOT(ISNUMBER(M266)),"No valid entries yet",K266-M266)))</x:f>
      </x:c>
      <x:c r="P266" s="24" t="str">
        <x:f>IF(A266="","",IF(NOT(ISNUMBER(L266)),"Budget TBD",IF(NOT(ISNUMBER(N266)),"No valid entries yet",L266-N266)))</x:f>
      </x:c>
      <x:c r="Q266" s="19" t="str">
        <x:f>IF(A266="","",IF(D266="Closed","Closed",IF(NOT(ISNUMBER(I266)),"Review date TBD",IF(NOT(ISNUMBER($B$3)),"Evaluation date TBD",IF(I266&lt;=$B$3,"Review due","Not due")))))</x:f>
      </x:c>
      <x:c r="R266" s="19" t="str">
        <x:f>IF(A266="","",IF(COUNTIFS($A$7:$A$306,A266)&lt;&gt;1,"Duplicate case ID",IF(OR(B266="",C266="",D266="",G266="",S266=""),"Basic info missing",IF(AND(F266&lt;&gt;"",COUNTIFS('Plan versions'!$A$7:$A$306,F266,'Plan versions'!$B$7:$B$306,A266,'Plan versions'!$L$7:$L$306,"Frozen")&lt;&gt;1),"Invalid current plan ref",IF(AND(D266="Executing",F266=""),"Execution lacks plan",IF(AND(D266="Closed",OR(T266="",COUNTIFS('Reviews'!$B$7:$B$306,A266)=0,COUNTIFS('Update log'!$B$7:$B$306,A266)=0)),"Closure docs missing","Basic records complete"))))))</x:f>
      </x:c>
      <x:c r="S266" s="3"/>
      <x:c r="T266" s="3"/>
    </x:row>
    <x:row r="267" ht="25" customHeight="1">
      <x:c r="A267" s="3"/>
      <x:c r="B267" s="3"/>
      <x:c r="C267" s="3"/>
      <x:c r="D267" s="3"/>
      <x:c r="E267" s="3"/>
      <x:c r="F267" s="3"/>
      <x:c r="G267" s="3"/>
      <x:c r="H267" s="3"/>
      <x:c r="I267" s="20"/>
      <x:c r="J267" s="3"/>
      <x:c r="K267" s="22"/>
      <x:c r="L267" s="22"/>
      <x:c r="M267" s="24" t="str">
        <x:f>IF(A267="","",IF(COUNTIFS('Execution log'!$B$7:$B$306,A267)=0,"",IF(COUNTIFS('Execution log'!$B$7:$B$306,A267,'Execution log'!$L$7:$L$306,"Valid",'Execution log'!$P$7:$P$306,"&lt;&gt;Valid input")&gt;0,"To check",IF(COUNTIFS('Execution log'!$B$7:$B$306,A267,'Execution log'!$P$7:$P$306,"Valid input")=0,"",SUMIFS('Execution log'!$H$7:$H$306,'Execution log'!$B$7:$B$306,A267,'Execution log'!$P$7:$P$306,"Valid input")))))</x:f>
      </x:c>
      <x:c r="N267" s="24" t="str">
        <x:f>IF(A267="","",IF(COUNTIFS('Execution log'!$B$7:$B$306,A267)=0,"",IF(COUNTIFS('Execution log'!$B$7:$B$306,A267,'Execution log'!$L$7:$L$306,"Valid",'Execution log'!$P$7:$P$306,"&lt;&gt;Valid input")&gt;0,"To check",IF(COUNTIFS('Execution log'!$B$7:$B$306,A267,'Execution log'!$P$7:$P$306,"Valid input")=0,"",SUMIFS('Execution log'!$J$7:$J$306,'Execution log'!$B$7:$B$306,A267,'Execution log'!$P$7:$P$306,"Valid input")))))</x:f>
      </x:c>
      <x:c r="O267" s="24" t="str">
        <x:f>IF(A267="","",IF(NOT(ISNUMBER(K267)),"Budget TBD",IF(NOT(ISNUMBER(M267)),"No valid entries yet",K267-M267)))</x:f>
      </x:c>
      <x:c r="P267" s="24" t="str">
        <x:f>IF(A267="","",IF(NOT(ISNUMBER(L267)),"Budget TBD",IF(NOT(ISNUMBER(N267)),"No valid entries yet",L267-N267)))</x:f>
      </x:c>
      <x:c r="Q267" s="19" t="str">
        <x:f>IF(A267="","",IF(D267="Closed","Closed",IF(NOT(ISNUMBER(I267)),"Review date TBD",IF(NOT(ISNUMBER($B$3)),"Evaluation date TBD",IF(I267&lt;=$B$3,"Review due","Not due")))))</x:f>
      </x:c>
      <x:c r="R267" s="19" t="str">
        <x:f>IF(A267="","",IF(COUNTIFS($A$7:$A$306,A267)&lt;&gt;1,"Duplicate case ID",IF(OR(B267="",C267="",D267="",G267="",S267=""),"Basic info missing",IF(AND(F267&lt;&gt;"",COUNTIFS('Plan versions'!$A$7:$A$306,F267,'Plan versions'!$B$7:$B$306,A267,'Plan versions'!$L$7:$L$306,"Frozen")&lt;&gt;1),"Invalid current plan ref",IF(AND(D267="Executing",F267=""),"Execution lacks plan",IF(AND(D267="Closed",OR(T267="",COUNTIFS('Reviews'!$B$7:$B$306,A267)=0,COUNTIFS('Update log'!$B$7:$B$306,A267)=0)),"Closure docs missing","Basic records complete"))))))</x:f>
      </x:c>
      <x:c r="S267" s="3"/>
      <x:c r="T267" s="3"/>
    </x:row>
    <x:row r="268" ht="25" customHeight="1">
      <x:c r="A268" s="3"/>
      <x:c r="B268" s="3"/>
      <x:c r="C268" s="3"/>
      <x:c r="D268" s="3"/>
      <x:c r="E268" s="3"/>
      <x:c r="F268" s="3"/>
      <x:c r="G268" s="3"/>
      <x:c r="H268" s="3"/>
      <x:c r="I268" s="20"/>
      <x:c r="J268" s="3"/>
      <x:c r="K268" s="22"/>
      <x:c r="L268" s="22"/>
      <x:c r="M268" s="24" t="str">
        <x:f>IF(A268="","",IF(COUNTIFS('Execution log'!$B$7:$B$306,A268)=0,"",IF(COUNTIFS('Execution log'!$B$7:$B$306,A268,'Execution log'!$L$7:$L$306,"Valid",'Execution log'!$P$7:$P$306,"&lt;&gt;Valid input")&gt;0,"To check",IF(COUNTIFS('Execution log'!$B$7:$B$306,A268,'Execution log'!$P$7:$P$306,"Valid input")=0,"",SUMIFS('Execution log'!$H$7:$H$306,'Execution log'!$B$7:$B$306,A268,'Execution log'!$P$7:$P$306,"Valid input")))))</x:f>
      </x:c>
      <x:c r="N268" s="24" t="str">
        <x:f>IF(A268="","",IF(COUNTIFS('Execution log'!$B$7:$B$306,A268)=0,"",IF(COUNTIFS('Execution log'!$B$7:$B$306,A268,'Execution log'!$L$7:$L$306,"Valid",'Execution log'!$P$7:$P$306,"&lt;&gt;Valid input")&gt;0,"To check",IF(COUNTIFS('Execution log'!$B$7:$B$306,A268,'Execution log'!$P$7:$P$306,"Valid input")=0,"",SUMIFS('Execution log'!$J$7:$J$306,'Execution log'!$B$7:$B$306,A268,'Execution log'!$P$7:$P$306,"Valid input")))))</x:f>
      </x:c>
      <x:c r="O268" s="24" t="str">
        <x:f>IF(A268="","",IF(NOT(ISNUMBER(K268)),"Budget TBD",IF(NOT(ISNUMBER(M268)),"No valid entries yet",K268-M268)))</x:f>
      </x:c>
      <x:c r="P268" s="24" t="str">
        <x:f>IF(A268="","",IF(NOT(ISNUMBER(L268)),"Budget TBD",IF(NOT(ISNUMBER(N268)),"No valid entries yet",L268-N268)))</x:f>
      </x:c>
      <x:c r="Q268" s="19" t="str">
        <x:f>IF(A268="","",IF(D268="Closed","Closed",IF(NOT(ISNUMBER(I268)),"Review date TBD",IF(NOT(ISNUMBER($B$3)),"Evaluation date TBD",IF(I268&lt;=$B$3,"Review due","Not due")))))</x:f>
      </x:c>
      <x:c r="R268" s="19" t="str">
        <x:f>IF(A268="","",IF(COUNTIFS($A$7:$A$306,A268)&lt;&gt;1,"Duplicate case ID",IF(OR(B268="",C268="",D268="",G268="",S268=""),"Basic info missing",IF(AND(F268&lt;&gt;"",COUNTIFS('Plan versions'!$A$7:$A$306,F268,'Plan versions'!$B$7:$B$306,A268,'Plan versions'!$L$7:$L$306,"Frozen")&lt;&gt;1),"Invalid current plan ref",IF(AND(D268="Executing",F268=""),"Execution lacks plan",IF(AND(D268="Closed",OR(T268="",COUNTIFS('Reviews'!$B$7:$B$306,A268)=0,COUNTIFS('Update log'!$B$7:$B$306,A268)=0)),"Closure docs missing","Basic records complete"))))))</x:f>
      </x:c>
      <x:c r="S268" s="3"/>
      <x:c r="T268" s="3"/>
    </x:row>
    <x:row r="269" ht="25" customHeight="1">
      <x:c r="A269" s="3"/>
      <x:c r="B269" s="3"/>
      <x:c r="C269" s="3"/>
      <x:c r="D269" s="3"/>
      <x:c r="E269" s="3"/>
      <x:c r="F269" s="3"/>
      <x:c r="G269" s="3"/>
      <x:c r="H269" s="3"/>
      <x:c r="I269" s="20"/>
      <x:c r="J269" s="3"/>
      <x:c r="K269" s="22"/>
      <x:c r="L269" s="22"/>
      <x:c r="M269" s="24" t="str">
        <x:f>IF(A269="","",IF(COUNTIFS('Execution log'!$B$7:$B$306,A269)=0,"",IF(COUNTIFS('Execution log'!$B$7:$B$306,A269,'Execution log'!$L$7:$L$306,"Valid",'Execution log'!$P$7:$P$306,"&lt;&gt;Valid input")&gt;0,"To check",IF(COUNTIFS('Execution log'!$B$7:$B$306,A269,'Execution log'!$P$7:$P$306,"Valid input")=0,"",SUMIFS('Execution log'!$H$7:$H$306,'Execution log'!$B$7:$B$306,A269,'Execution log'!$P$7:$P$306,"Valid input")))))</x:f>
      </x:c>
      <x:c r="N269" s="24" t="str">
        <x:f>IF(A269="","",IF(COUNTIFS('Execution log'!$B$7:$B$306,A269)=0,"",IF(COUNTIFS('Execution log'!$B$7:$B$306,A269,'Execution log'!$L$7:$L$306,"Valid",'Execution log'!$P$7:$P$306,"&lt;&gt;Valid input")&gt;0,"To check",IF(COUNTIFS('Execution log'!$B$7:$B$306,A269,'Execution log'!$P$7:$P$306,"Valid input")=0,"",SUMIFS('Execution log'!$J$7:$J$306,'Execution log'!$B$7:$B$306,A269,'Execution log'!$P$7:$P$306,"Valid input")))))</x:f>
      </x:c>
      <x:c r="O269" s="24" t="str">
        <x:f>IF(A269="","",IF(NOT(ISNUMBER(K269)),"Budget TBD",IF(NOT(ISNUMBER(M269)),"No valid entries yet",K269-M269)))</x:f>
      </x:c>
      <x:c r="P269" s="24" t="str">
        <x:f>IF(A269="","",IF(NOT(ISNUMBER(L269)),"Budget TBD",IF(NOT(ISNUMBER(N269)),"No valid entries yet",L269-N269)))</x:f>
      </x:c>
      <x:c r="Q269" s="19" t="str">
        <x:f>IF(A269="","",IF(D269="Closed","Closed",IF(NOT(ISNUMBER(I269)),"Review date TBD",IF(NOT(ISNUMBER($B$3)),"Evaluation date TBD",IF(I269&lt;=$B$3,"Review due","Not due")))))</x:f>
      </x:c>
      <x:c r="R269" s="19" t="str">
        <x:f>IF(A269="","",IF(COUNTIFS($A$7:$A$306,A269)&lt;&gt;1,"Duplicate case ID",IF(OR(B269="",C269="",D269="",G269="",S269=""),"Basic info missing",IF(AND(F269&lt;&gt;"",COUNTIFS('Plan versions'!$A$7:$A$306,F269,'Plan versions'!$B$7:$B$306,A269,'Plan versions'!$L$7:$L$306,"Frozen")&lt;&gt;1),"Invalid current plan ref",IF(AND(D269="Executing",F269=""),"Execution lacks plan",IF(AND(D269="Closed",OR(T269="",COUNTIFS('Reviews'!$B$7:$B$306,A269)=0,COUNTIFS('Update log'!$B$7:$B$306,A269)=0)),"Closure docs missing","Basic records complete"))))))</x:f>
      </x:c>
      <x:c r="S269" s="3"/>
      <x:c r="T269" s="3"/>
    </x:row>
    <x:row r="270" ht="25" customHeight="1">
      <x:c r="A270" s="3"/>
      <x:c r="B270" s="3"/>
      <x:c r="C270" s="3"/>
      <x:c r="D270" s="3"/>
      <x:c r="E270" s="3"/>
      <x:c r="F270" s="3"/>
      <x:c r="G270" s="3"/>
      <x:c r="H270" s="3"/>
      <x:c r="I270" s="20"/>
      <x:c r="J270" s="3"/>
      <x:c r="K270" s="22"/>
      <x:c r="L270" s="22"/>
      <x:c r="M270" s="24" t="str">
        <x:f>IF(A270="","",IF(COUNTIFS('Execution log'!$B$7:$B$306,A270)=0,"",IF(COUNTIFS('Execution log'!$B$7:$B$306,A270,'Execution log'!$L$7:$L$306,"Valid",'Execution log'!$P$7:$P$306,"&lt;&gt;Valid input")&gt;0,"To check",IF(COUNTIFS('Execution log'!$B$7:$B$306,A270,'Execution log'!$P$7:$P$306,"Valid input")=0,"",SUMIFS('Execution log'!$H$7:$H$306,'Execution log'!$B$7:$B$306,A270,'Execution log'!$P$7:$P$306,"Valid input")))))</x:f>
      </x:c>
      <x:c r="N270" s="24" t="str">
        <x:f>IF(A270="","",IF(COUNTIFS('Execution log'!$B$7:$B$306,A270)=0,"",IF(COUNTIFS('Execution log'!$B$7:$B$306,A270,'Execution log'!$L$7:$L$306,"Valid",'Execution log'!$P$7:$P$306,"&lt;&gt;Valid input")&gt;0,"To check",IF(COUNTIFS('Execution log'!$B$7:$B$306,A270,'Execution log'!$P$7:$P$306,"Valid input")=0,"",SUMIFS('Execution log'!$J$7:$J$306,'Execution log'!$B$7:$B$306,A270,'Execution log'!$P$7:$P$306,"Valid input")))))</x:f>
      </x:c>
      <x:c r="O270" s="24" t="str">
        <x:f>IF(A270="","",IF(NOT(ISNUMBER(K270)),"Budget TBD",IF(NOT(ISNUMBER(M270)),"No valid entries yet",K270-M270)))</x:f>
      </x:c>
      <x:c r="P270" s="24" t="str">
        <x:f>IF(A270="","",IF(NOT(ISNUMBER(L270)),"Budget TBD",IF(NOT(ISNUMBER(N270)),"No valid entries yet",L270-N270)))</x:f>
      </x:c>
      <x:c r="Q270" s="19" t="str">
        <x:f>IF(A270="","",IF(D270="Closed","Closed",IF(NOT(ISNUMBER(I270)),"Review date TBD",IF(NOT(ISNUMBER($B$3)),"Evaluation date TBD",IF(I270&lt;=$B$3,"Review due","Not due")))))</x:f>
      </x:c>
      <x:c r="R270" s="19" t="str">
        <x:f>IF(A270="","",IF(COUNTIFS($A$7:$A$306,A270)&lt;&gt;1,"Duplicate case ID",IF(OR(B270="",C270="",D270="",G270="",S270=""),"Basic info missing",IF(AND(F270&lt;&gt;"",COUNTIFS('Plan versions'!$A$7:$A$306,F270,'Plan versions'!$B$7:$B$306,A270,'Plan versions'!$L$7:$L$306,"Frozen")&lt;&gt;1),"Invalid current plan ref",IF(AND(D270="Executing",F270=""),"Execution lacks plan",IF(AND(D270="Closed",OR(T270="",COUNTIFS('Reviews'!$B$7:$B$306,A270)=0,COUNTIFS('Update log'!$B$7:$B$306,A270)=0)),"Closure docs missing","Basic records complete"))))))</x:f>
      </x:c>
      <x:c r="S270" s="3"/>
      <x:c r="T270" s="3"/>
    </x:row>
    <x:row r="271" ht="25" customHeight="1">
      <x:c r="A271" s="3"/>
      <x:c r="B271" s="3"/>
      <x:c r="C271" s="3"/>
      <x:c r="D271" s="3"/>
      <x:c r="E271" s="3"/>
      <x:c r="F271" s="3"/>
      <x:c r="G271" s="3"/>
      <x:c r="H271" s="3"/>
      <x:c r="I271" s="20"/>
      <x:c r="J271" s="3"/>
      <x:c r="K271" s="22"/>
      <x:c r="L271" s="22"/>
      <x:c r="M271" s="24" t="str">
        <x:f>IF(A271="","",IF(COUNTIFS('Execution log'!$B$7:$B$306,A271)=0,"",IF(COUNTIFS('Execution log'!$B$7:$B$306,A271,'Execution log'!$L$7:$L$306,"Valid",'Execution log'!$P$7:$P$306,"&lt;&gt;Valid input")&gt;0,"To check",IF(COUNTIFS('Execution log'!$B$7:$B$306,A271,'Execution log'!$P$7:$P$306,"Valid input")=0,"",SUMIFS('Execution log'!$H$7:$H$306,'Execution log'!$B$7:$B$306,A271,'Execution log'!$P$7:$P$306,"Valid input")))))</x:f>
      </x:c>
      <x:c r="N271" s="24" t="str">
        <x:f>IF(A271="","",IF(COUNTIFS('Execution log'!$B$7:$B$306,A271)=0,"",IF(COUNTIFS('Execution log'!$B$7:$B$306,A271,'Execution log'!$L$7:$L$306,"Valid",'Execution log'!$P$7:$P$306,"&lt;&gt;Valid input")&gt;0,"To check",IF(COUNTIFS('Execution log'!$B$7:$B$306,A271,'Execution log'!$P$7:$P$306,"Valid input")=0,"",SUMIFS('Execution log'!$J$7:$J$306,'Execution log'!$B$7:$B$306,A271,'Execution log'!$P$7:$P$306,"Valid input")))))</x:f>
      </x:c>
      <x:c r="O271" s="24" t="str">
        <x:f>IF(A271="","",IF(NOT(ISNUMBER(K271)),"Budget TBD",IF(NOT(ISNUMBER(M271)),"No valid entries yet",K271-M271)))</x:f>
      </x:c>
      <x:c r="P271" s="24" t="str">
        <x:f>IF(A271="","",IF(NOT(ISNUMBER(L271)),"Budget TBD",IF(NOT(ISNUMBER(N271)),"No valid entries yet",L271-N271)))</x:f>
      </x:c>
      <x:c r="Q271" s="19" t="str">
        <x:f>IF(A271="","",IF(D271="Closed","Closed",IF(NOT(ISNUMBER(I271)),"Review date TBD",IF(NOT(ISNUMBER($B$3)),"Evaluation date TBD",IF(I271&lt;=$B$3,"Review due","Not due")))))</x:f>
      </x:c>
      <x:c r="R271" s="19" t="str">
        <x:f>IF(A271="","",IF(COUNTIFS($A$7:$A$306,A271)&lt;&gt;1,"Duplicate case ID",IF(OR(B271="",C271="",D271="",G271="",S271=""),"Basic info missing",IF(AND(F271&lt;&gt;"",COUNTIFS('Plan versions'!$A$7:$A$306,F271,'Plan versions'!$B$7:$B$306,A271,'Plan versions'!$L$7:$L$306,"Frozen")&lt;&gt;1),"Invalid current plan ref",IF(AND(D271="Executing",F271=""),"Execution lacks plan",IF(AND(D271="Closed",OR(T271="",COUNTIFS('Reviews'!$B$7:$B$306,A271)=0,COUNTIFS('Update log'!$B$7:$B$306,A271)=0)),"Closure docs missing","Basic records complete"))))))</x:f>
      </x:c>
      <x:c r="S271" s="3"/>
      <x:c r="T271" s="3"/>
    </x:row>
    <x:row r="272" ht="25" customHeight="1">
      <x:c r="A272" s="3"/>
      <x:c r="B272" s="3"/>
      <x:c r="C272" s="3"/>
      <x:c r="D272" s="3"/>
      <x:c r="E272" s="3"/>
      <x:c r="F272" s="3"/>
      <x:c r="G272" s="3"/>
      <x:c r="H272" s="3"/>
      <x:c r="I272" s="20"/>
      <x:c r="J272" s="3"/>
      <x:c r="K272" s="22"/>
      <x:c r="L272" s="22"/>
      <x:c r="M272" s="24" t="str">
        <x:f>IF(A272="","",IF(COUNTIFS('Execution log'!$B$7:$B$306,A272)=0,"",IF(COUNTIFS('Execution log'!$B$7:$B$306,A272,'Execution log'!$L$7:$L$306,"Valid",'Execution log'!$P$7:$P$306,"&lt;&gt;Valid input")&gt;0,"To check",IF(COUNTIFS('Execution log'!$B$7:$B$306,A272,'Execution log'!$P$7:$P$306,"Valid input")=0,"",SUMIFS('Execution log'!$H$7:$H$306,'Execution log'!$B$7:$B$306,A272,'Execution log'!$P$7:$P$306,"Valid input")))))</x:f>
      </x:c>
      <x:c r="N272" s="24" t="str">
        <x:f>IF(A272="","",IF(COUNTIFS('Execution log'!$B$7:$B$306,A272)=0,"",IF(COUNTIFS('Execution log'!$B$7:$B$306,A272,'Execution log'!$L$7:$L$306,"Valid",'Execution log'!$P$7:$P$306,"&lt;&gt;Valid input")&gt;0,"To check",IF(COUNTIFS('Execution log'!$B$7:$B$306,A272,'Execution log'!$P$7:$P$306,"Valid input")=0,"",SUMIFS('Execution log'!$J$7:$J$306,'Execution log'!$B$7:$B$306,A272,'Execution log'!$P$7:$P$306,"Valid input")))))</x:f>
      </x:c>
      <x:c r="O272" s="24" t="str">
        <x:f>IF(A272="","",IF(NOT(ISNUMBER(K272)),"Budget TBD",IF(NOT(ISNUMBER(M272)),"No valid entries yet",K272-M272)))</x:f>
      </x:c>
      <x:c r="P272" s="24" t="str">
        <x:f>IF(A272="","",IF(NOT(ISNUMBER(L272)),"Budget TBD",IF(NOT(ISNUMBER(N272)),"No valid entries yet",L272-N272)))</x:f>
      </x:c>
      <x:c r="Q272" s="19" t="str">
        <x:f>IF(A272="","",IF(D272="Closed","Closed",IF(NOT(ISNUMBER(I272)),"Review date TBD",IF(NOT(ISNUMBER($B$3)),"Evaluation date TBD",IF(I272&lt;=$B$3,"Review due","Not due")))))</x:f>
      </x:c>
      <x:c r="R272" s="19" t="str">
        <x:f>IF(A272="","",IF(COUNTIFS($A$7:$A$306,A272)&lt;&gt;1,"Duplicate case ID",IF(OR(B272="",C272="",D272="",G272="",S272=""),"Basic info missing",IF(AND(F272&lt;&gt;"",COUNTIFS('Plan versions'!$A$7:$A$306,F272,'Plan versions'!$B$7:$B$306,A272,'Plan versions'!$L$7:$L$306,"Frozen")&lt;&gt;1),"Invalid current plan ref",IF(AND(D272="Executing",F272=""),"Execution lacks plan",IF(AND(D272="Closed",OR(T272="",COUNTIFS('Reviews'!$B$7:$B$306,A272)=0,COUNTIFS('Update log'!$B$7:$B$306,A272)=0)),"Closure docs missing","Basic records complete"))))))</x:f>
      </x:c>
      <x:c r="S272" s="3"/>
      <x:c r="T272" s="3"/>
    </x:row>
    <x:row r="273" ht="25" customHeight="1">
      <x:c r="A273" s="3"/>
      <x:c r="B273" s="3"/>
      <x:c r="C273" s="3"/>
      <x:c r="D273" s="3"/>
      <x:c r="E273" s="3"/>
      <x:c r="F273" s="3"/>
      <x:c r="G273" s="3"/>
      <x:c r="H273" s="3"/>
      <x:c r="I273" s="20"/>
      <x:c r="J273" s="3"/>
      <x:c r="K273" s="22"/>
      <x:c r="L273" s="22"/>
      <x:c r="M273" s="24" t="str">
        <x:f>IF(A273="","",IF(COUNTIFS('Execution log'!$B$7:$B$306,A273)=0,"",IF(COUNTIFS('Execution log'!$B$7:$B$306,A273,'Execution log'!$L$7:$L$306,"Valid",'Execution log'!$P$7:$P$306,"&lt;&gt;Valid input")&gt;0,"To check",IF(COUNTIFS('Execution log'!$B$7:$B$306,A273,'Execution log'!$P$7:$P$306,"Valid input")=0,"",SUMIFS('Execution log'!$H$7:$H$306,'Execution log'!$B$7:$B$306,A273,'Execution log'!$P$7:$P$306,"Valid input")))))</x:f>
      </x:c>
      <x:c r="N273" s="24" t="str">
        <x:f>IF(A273="","",IF(COUNTIFS('Execution log'!$B$7:$B$306,A273)=0,"",IF(COUNTIFS('Execution log'!$B$7:$B$306,A273,'Execution log'!$L$7:$L$306,"Valid",'Execution log'!$P$7:$P$306,"&lt;&gt;Valid input")&gt;0,"To check",IF(COUNTIFS('Execution log'!$B$7:$B$306,A273,'Execution log'!$P$7:$P$306,"Valid input")=0,"",SUMIFS('Execution log'!$J$7:$J$306,'Execution log'!$B$7:$B$306,A273,'Execution log'!$P$7:$P$306,"Valid input")))))</x:f>
      </x:c>
      <x:c r="O273" s="24" t="str">
        <x:f>IF(A273="","",IF(NOT(ISNUMBER(K273)),"Budget TBD",IF(NOT(ISNUMBER(M273)),"No valid entries yet",K273-M273)))</x:f>
      </x:c>
      <x:c r="P273" s="24" t="str">
        <x:f>IF(A273="","",IF(NOT(ISNUMBER(L273)),"Budget TBD",IF(NOT(ISNUMBER(N273)),"No valid entries yet",L273-N273)))</x:f>
      </x:c>
      <x:c r="Q273" s="19" t="str">
        <x:f>IF(A273="","",IF(D273="Closed","Closed",IF(NOT(ISNUMBER(I273)),"Review date TBD",IF(NOT(ISNUMBER($B$3)),"Evaluation date TBD",IF(I273&lt;=$B$3,"Review due","Not due")))))</x:f>
      </x:c>
      <x:c r="R273" s="19" t="str">
        <x:f>IF(A273="","",IF(COUNTIFS($A$7:$A$306,A273)&lt;&gt;1,"Duplicate case ID",IF(OR(B273="",C273="",D273="",G273="",S273=""),"Basic info missing",IF(AND(F273&lt;&gt;"",COUNTIFS('Plan versions'!$A$7:$A$306,F273,'Plan versions'!$B$7:$B$306,A273,'Plan versions'!$L$7:$L$306,"Frozen")&lt;&gt;1),"Invalid current plan ref",IF(AND(D273="Executing",F273=""),"Execution lacks plan",IF(AND(D273="Closed",OR(T273="",COUNTIFS('Reviews'!$B$7:$B$306,A273)=0,COUNTIFS('Update log'!$B$7:$B$306,A273)=0)),"Closure docs missing","Basic records complete"))))))</x:f>
      </x:c>
      <x:c r="S273" s="3"/>
      <x:c r="T273" s="3"/>
    </x:row>
    <x:row r="274" ht="25" customHeight="1">
      <x:c r="A274" s="3"/>
      <x:c r="B274" s="3"/>
      <x:c r="C274" s="3"/>
      <x:c r="D274" s="3"/>
      <x:c r="E274" s="3"/>
      <x:c r="F274" s="3"/>
      <x:c r="G274" s="3"/>
      <x:c r="H274" s="3"/>
      <x:c r="I274" s="20"/>
      <x:c r="J274" s="3"/>
      <x:c r="K274" s="22"/>
      <x:c r="L274" s="22"/>
      <x:c r="M274" s="24" t="str">
        <x:f>IF(A274="","",IF(COUNTIFS('Execution log'!$B$7:$B$306,A274)=0,"",IF(COUNTIFS('Execution log'!$B$7:$B$306,A274,'Execution log'!$L$7:$L$306,"Valid",'Execution log'!$P$7:$P$306,"&lt;&gt;Valid input")&gt;0,"To check",IF(COUNTIFS('Execution log'!$B$7:$B$306,A274,'Execution log'!$P$7:$P$306,"Valid input")=0,"",SUMIFS('Execution log'!$H$7:$H$306,'Execution log'!$B$7:$B$306,A274,'Execution log'!$P$7:$P$306,"Valid input")))))</x:f>
      </x:c>
      <x:c r="N274" s="24" t="str">
        <x:f>IF(A274="","",IF(COUNTIFS('Execution log'!$B$7:$B$306,A274)=0,"",IF(COUNTIFS('Execution log'!$B$7:$B$306,A274,'Execution log'!$L$7:$L$306,"Valid",'Execution log'!$P$7:$P$306,"&lt;&gt;Valid input")&gt;0,"To check",IF(COUNTIFS('Execution log'!$B$7:$B$306,A274,'Execution log'!$P$7:$P$306,"Valid input")=0,"",SUMIFS('Execution log'!$J$7:$J$306,'Execution log'!$B$7:$B$306,A274,'Execution log'!$P$7:$P$306,"Valid input")))))</x:f>
      </x:c>
      <x:c r="O274" s="24" t="str">
        <x:f>IF(A274="","",IF(NOT(ISNUMBER(K274)),"Budget TBD",IF(NOT(ISNUMBER(M274)),"No valid entries yet",K274-M274)))</x:f>
      </x:c>
      <x:c r="P274" s="24" t="str">
        <x:f>IF(A274="","",IF(NOT(ISNUMBER(L274)),"Budget TBD",IF(NOT(ISNUMBER(N274)),"No valid entries yet",L274-N274)))</x:f>
      </x:c>
      <x:c r="Q274" s="19" t="str">
        <x:f>IF(A274="","",IF(D274="Closed","Closed",IF(NOT(ISNUMBER(I274)),"Review date TBD",IF(NOT(ISNUMBER($B$3)),"Evaluation date TBD",IF(I274&lt;=$B$3,"Review due","Not due")))))</x:f>
      </x:c>
      <x:c r="R274" s="19" t="str">
        <x:f>IF(A274="","",IF(COUNTIFS($A$7:$A$306,A274)&lt;&gt;1,"Duplicate case ID",IF(OR(B274="",C274="",D274="",G274="",S274=""),"Basic info missing",IF(AND(F274&lt;&gt;"",COUNTIFS('Plan versions'!$A$7:$A$306,F274,'Plan versions'!$B$7:$B$306,A274,'Plan versions'!$L$7:$L$306,"Frozen")&lt;&gt;1),"Invalid current plan ref",IF(AND(D274="Executing",F274=""),"Execution lacks plan",IF(AND(D274="Closed",OR(T274="",COUNTIFS('Reviews'!$B$7:$B$306,A274)=0,COUNTIFS('Update log'!$B$7:$B$306,A274)=0)),"Closure docs missing","Basic records complete"))))))</x:f>
      </x:c>
      <x:c r="S274" s="3"/>
      <x:c r="T274" s="3"/>
    </x:row>
    <x:row r="275" ht="25" customHeight="1">
      <x:c r="A275" s="3"/>
      <x:c r="B275" s="3"/>
      <x:c r="C275" s="3"/>
      <x:c r="D275" s="3"/>
      <x:c r="E275" s="3"/>
      <x:c r="F275" s="3"/>
      <x:c r="G275" s="3"/>
      <x:c r="H275" s="3"/>
      <x:c r="I275" s="20"/>
      <x:c r="J275" s="3"/>
      <x:c r="K275" s="22"/>
      <x:c r="L275" s="22"/>
      <x:c r="M275" s="24" t="str">
        <x:f>IF(A275="","",IF(COUNTIFS('Execution log'!$B$7:$B$306,A275)=0,"",IF(COUNTIFS('Execution log'!$B$7:$B$306,A275,'Execution log'!$L$7:$L$306,"Valid",'Execution log'!$P$7:$P$306,"&lt;&gt;Valid input")&gt;0,"To check",IF(COUNTIFS('Execution log'!$B$7:$B$306,A275,'Execution log'!$P$7:$P$306,"Valid input")=0,"",SUMIFS('Execution log'!$H$7:$H$306,'Execution log'!$B$7:$B$306,A275,'Execution log'!$P$7:$P$306,"Valid input")))))</x:f>
      </x:c>
      <x:c r="N275" s="24" t="str">
        <x:f>IF(A275="","",IF(COUNTIFS('Execution log'!$B$7:$B$306,A275)=0,"",IF(COUNTIFS('Execution log'!$B$7:$B$306,A275,'Execution log'!$L$7:$L$306,"Valid",'Execution log'!$P$7:$P$306,"&lt;&gt;Valid input")&gt;0,"To check",IF(COUNTIFS('Execution log'!$B$7:$B$306,A275,'Execution log'!$P$7:$P$306,"Valid input")=0,"",SUMIFS('Execution log'!$J$7:$J$306,'Execution log'!$B$7:$B$306,A275,'Execution log'!$P$7:$P$306,"Valid input")))))</x:f>
      </x:c>
      <x:c r="O275" s="24" t="str">
        <x:f>IF(A275="","",IF(NOT(ISNUMBER(K275)),"Budget TBD",IF(NOT(ISNUMBER(M275)),"No valid entries yet",K275-M275)))</x:f>
      </x:c>
      <x:c r="P275" s="24" t="str">
        <x:f>IF(A275="","",IF(NOT(ISNUMBER(L275)),"Budget TBD",IF(NOT(ISNUMBER(N275)),"No valid entries yet",L275-N275)))</x:f>
      </x:c>
      <x:c r="Q275" s="19" t="str">
        <x:f>IF(A275="","",IF(D275="Closed","Closed",IF(NOT(ISNUMBER(I275)),"Review date TBD",IF(NOT(ISNUMBER($B$3)),"Evaluation date TBD",IF(I275&lt;=$B$3,"Review due","Not due")))))</x:f>
      </x:c>
      <x:c r="R275" s="19" t="str">
        <x:f>IF(A275="","",IF(COUNTIFS($A$7:$A$306,A275)&lt;&gt;1,"Duplicate case ID",IF(OR(B275="",C275="",D275="",G275="",S275=""),"Basic info missing",IF(AND(F275&lt;&gt;"",COUNTIFS('Plan versions'!$A$7:$A$306,F275,'Plan versions'!$B$7:$B$306,A275,'Plan versions'!$L$7:$L$306,"Frozen")&lt;&gt;1),"Invalid current plan ref",IF(AND(D275="Executing",F275=""),"Execution lacks plan",IF(AND(D275="Closed",OR(T275="",COUNTIFS('Reviews'!$B$7:$B$306,A275)=0,COUNTIFS('Update log'!$B$7:$B$306,A275)=0)),"Closure docs missing","Basic records complete"))))))</x:f>
      </x:c>
      <x:c r="S275" s="3"/>
      <x:c r="T275" s="3"/>
    </x:row>
    <x:row r="276" ht="25" customHeight="1">
      <x:c r="A276" s="3"/>
      <x:c r="B276" s="3"/>
      <x:c r="C276" s="3"/>
      <x:c r="D276" s="3"/>
      <x:c r="E276" s="3"/>
      <x:c r="F276" s="3"/>
      <x:c r="G276" s="3"/>
      <x:c r="H276" s="3"/>
      <x:c r="I276" s="20"/>
      <x:c r="J276" s="3"/>
      <x:c r="K276" s="22"/>
      <x:c r="L276" s="22"/>
      <x:c r="M276" s="24" t="str">
        <x:f>IF(A276="","",IF(COUNTIFS('Execution log'!$B$7:$B$306,A276)=0,"",IF(COUNTIFS('Execution log'!$B$7:$B$306,A276,'Execution log'!$L$7:$L$306,"Valid",'Execution log'!$P$7:$P$306,"&lt;&gt;Valid input")&gt;0,"To check",IF(COUNTIFS('Execution log'!$B$7:$B$306,A276,'Execution log'!$P$7:$P$306,"Valid input")=0,"",SUMIFS('Execution log'!$H$7:$H$306,'Execution log'!$B$7:$B$306,A276,'Execution log'!$P$7:$P$306,"Valid input")))))</x:f>
      </x:c>
      <x:c r="N276" s="24" t="str">
        <x:f>IF(A276="","",IF(COUNTIFS('Execution log'!$B$7:$B$306,A276)=0,"",IF(COUNTIFS('Execution log'!$B$7:$B$306,A276,'Execution log'!$L$7:$L$306,"Valid",'Execution log'!$P$7:$P$306,"&lt;&gt;Valid input")&gt;0,"To check",IF(COUNTIFS('Execution log'!$B$7:$B$306,A276,'Execution log'!$P$7:$P$306,"Valid input")=0,"",SUMIFS('Execution log'!$J$7:$J$306,'Execution log'!$B$7:$B$306,A276,'Execution log'!$P$7:$P$306,"Valid input")))))</x:f>
      </x:c>
      <x:c r="O276" s="24" t="str">
        <x:f>IF(A276="","",IF(NOT(ISNUMBER(K276)),"Budget TBD",IF(NOT(ISNUMBER(M276)),"No valid entries yet",K276-M276)))</x:f>
      </x:c>
      <x:c r="P276" s="24" t="str">
        <x:f>IF(A276="","",IF(NOT(ISNUMBER(L276)),"Budget TBD",IF(NOT(ISNUMBER(N276)),"No valid entries yet",L276-N276)))</x:f>
      </x:c>
      <x:c r="Q276" s="19" t="str">
        <x:f>IF(A276="","",IF(D276="Closed","Closed",IF(NOT(ISNUMBER(I276)),"Review date TBD",IF(NOT(ISNUMBER($B$3)),"Evaluation date TBD",IF(I276&lt;=$B$3,"Review due","Not due")))))</x:f>
      </x:c>
      <x:c r="R276" s="19" t="str">
        <x:f>IF(A276="","",IF(COUNTIFS($A$7:$A$306,A276)&lt;&gt;1,"Duplicate case ID",IF(OR(B276="",C276="",D276="",G276="",S276=""),"Basic info missing",IF(AND(F276&lt;&gt;"",COUNTIFS('Plan versions'!$A$7:$A$306,F276,'Plan versions'!$B$7:$B$306,A276,'Plan versions'!$L$7:$L$306,"Frozen")&lt;&gt;1),"Invalid current plan ref",IF(AND(D276="Executing",F276=""),"Execution lacks plan",IF(AND(D276="Closed",OR(T276="",COUNTIFS('Reviews'!$B$7:$B$306,A276)=0,COUNTIFS('Update log'!$B$7:$B$306,A276)=0)),"Closure docs missing","Basic records complete"))))))</x:f>
      </x:c>
      <x:c r="S276" s="3"/>
      <x:c r="T276" s="3"/>
    </x:row>
    <x:row r="277" ht="25" customHeight="1">
      <x:c r="A277" s="3"/>
      <x:c r="B277" s="3"/>
      <x:c r="C277" s="3"/>
      <x:c r="D277" s="3"/>
      <x:c r="E277" s="3"/>
      <x:c r="F277" s="3"/>
      <x:c r="G277" s="3"/>
      <x:c r="H277" s="3"/>
      <x:c r="I277" s="20"/>
      <x:c r="J277" s="3"/>
      <x:c r="K277" s="22"/>
      <x:c r="L277" s="22"/>
      <x:c r="M277" s="24" t="str">
        <x:f>IF(A277="","",IF(COUNTIFS('Execution log'!$B$7:$B$306,A277)=0,"",IF(COUNTIFS('Execution log'!$B$7:$B$306,A277,'Execution log'!$L$7:$L$306,"Valid",'Execution log'!$P$7:$P$306,"&lt;&gt;Valid input")&gt;0,"To check",IF(COUNTIFS('Execution log'!$B$7:$B$306,A277,'Execution log'!$P$7:$P$306,"Valid input")=0,"",SUMIFS('Execution log'!$H$7:$H$306,'Execution log'!$B$7:$B$306,A277,'Execution log'!$P$7:$P$306,"Valid input")))))</x:f>
      </x:c>
      <x:c r="N277" s="24" t="str">
        <x:f>IF(A277="","",IF(COUNTIFS('Execution log'!$B$7:$B$306,A277)=0,"",IF(COUNTIFS('Execution log'!$B$7:$B$306,A277,'Execution log'!$L$7:$L$306,"Valid",'Execution log'!$P$7:$P$306,"&lt;&gt;Valid input")&gt;0,"To check",IF(COUNTIFS('Execution log'!$B$7:$B$306,A277,'Execution log'!$P$7:$P$306,"Valid input")=0,"",SUMIFS('Execution log'!$J$7:$J$306,'Execution log'!$B$7:$B$306,A277,'Execution log'!$P$7:$P$306,"Valid input")))))</x:f>
      </x:c>
      <x:c r="O277" s="24" t="str">
        <x:f>IF(A277="","",IF(NOT(ISNUMBER(K277)),"Budget TBD",IF(NOT(ISNUMBER(M277)),"No valid entries yet",K277-M277)))</x:f>
      </x:c>
      <x:c r="P277" s="24" t="str">
        <x:f>IF(A277="","",IF(NOT(ISNUMBER(L277)),"Budget TBD",IF(NOT(ISNUMBER(N277)),"No valid entries yet",L277-N277)))</x:f>
      </x:c>
      <x:c r="Q277" s="19" t="str">
        <x:f>IF(A277="","",IF(D277="Closed","Closed",IF(NOT(ISNUMBER(I277)),"Review date TBD",IF(NOT(ISNUMBER($B$3)),"Evaluation date TBD",IF(I277&lt;=$B$3,"Review due","Not due")))))</x:f>
      </x:c>
      <x:c r="R277" s="19" t="str">
        <x:f>IF(A277="","",IF(COUNTIFS($A$7:$A$306,A277)&lt;&gt;1,"Duplicate case ID",IF(OR(B277="",C277="",D277="",G277="",S277=""),"Basic info missing",IF(AND(F277&lt;&gt;"",COUNTIFS('Plan versions'!$A$7:$A$306,F277,'Plan versions'!$B$7:$B$306,A277,'Plan versions'!$L$7:$L$306,"Frozen")&lt;&gt;1),"Invalid current plan ref",IF(AND(D277="Executing",F277=""),"Execution lacks plan",IF(AND(D277="Closed",OR(T277="",COUNTIFS('Reviews'!$B$7:$B$306,A277)=0,COUNTIFS('Update log'!$B$7:$B$306,A277)=0)),"Closure docs missing","Basic records complete"))))))</x:f>
      </x:c>
      <x:c r="S277" s="3"/>
      <x:c r="T277" s="3"/>
    </x:row>
    <x:row r="278" ht="25" customHeight="1">
      <x:c r="A278" s="3"/>
      <x:c r="B278" s="3"/>
      <x:c r="C278" s="3"/>
      <x:c r="D278" s="3"/>
      <x:c r="E278" s="3"/>
      <x:c r="F278" s="3"/>
      <x:c r="G278" s="3"/>
      <x:c r="H278" s="3"/>
      <x:c r="I278" s="20"/>
      <x:c r="J278" s="3"/>
      <x:c r="K278" s="22"/>
      <x:c r="L278" s="22"/>
      <x:c r="M278" s="24" t="str">
        <x:f>IF(A278="","",IF(COUNTIFS('Execution log'!$B$7:$B$306,A278)=0,"",IF(COUNTIFS('Execution log'!$B$7:$B$306,A278,'Execution log'!$L$7:$L$306,"Valid",'Execution log'!$P$7:$P$306,"&lt;&gt;Valid input")&gt;0,"To check",IF(COUNTIFS('Execution log'!$B$7:$B$306,A278,'Execution log'!$P$7:$P$306,"Valid input")=0,"",SUMIFS('Execution log'!$H$7:$H$306,'Execution log'!$B$7:$B$306,A278,'Execution log'!$P$7:$P$306,"Valid input")))))</x:f>
      </x:c>
      <x:c r="N278" s="24" t="str">
        <x:f>IF(A278="","",IF(COUNTIFS('Execution log'!$B$7:$B$306,A278)=0,"",IF(COUNTIFS('Execution log'!$B$7:$B$306,A278,'Execution log'!$L$7:$L$306,"Valid",'Execution log'!$P$7:$P$306,"&lt;&gt;Valid input")&gt;0,"To check",IF(COUNTIFS('Execution log'!$B$7:$B$306,A278,'Execution log'!$P$7:$P$306,"Valid input")=0,"",SUMIFS('Execution log'!$J$7:$J$306,'Execution log'!$B$7:$B$306,A278,'Execution log'!$P$7:$P$306,"Valid input")))))</x:f>
      </x:c>
      <x:c r="O278" s="24" t="str">
        <x:f>IF(A278="","",IF(NOT(ISNUMBER(K278)),"Budget TBD",IF(NOT(ISNUMBER(M278)),"No valid entries yet",K278-M278)))</x:f>
      </x:c>
      <x:c r="P278" s="24" t="str">
        <x:f>IF(A278="","",IF(NOT(ISNUMBER(L278)),"Budget TBD",IF(NOT(ISNUMBER(N278)),"No valid entries yet",L278-N278)))</x:f>
      </x:c>
      <x:c r="Q278" s="19" t="str">
        <x:f>IF(A278="","",IF(D278="Closed","Closed",IF(NOT(ISNUMBER(I278)),"Review date TBD",IF(NOT(ISNUMBER($B$3)),"Evaluation date TBD",IF(I278&lt;=$B$3,"Review due","Not due")))))</x:f>
      </x:c>
      <x:c r="R278" s="19" t="str">
        <x:f>IF(A278="","",IF(COUNTIFS($A$7:$A$306,A278)&lt;&gt;1,"Duplicate case ID",IF(OR(B278="",C278="",D278="",G278="",S278=""),"Basic info missing",IF(AND(F278&lt;&gt;"",COUNTIFS('Plan versions'!$A$7:$A$306,F278,'Plan versions'!$B$7:$B$306,A278,'Plan versions'!$L$7:$L$306,"Frozen")&lt;&gt;1),"Invalid current plan ref",IF(AND(D278="Executing",F278=""),"Execution lacks plan",IF(AND(D278="Closed",OR(T278="",COUNTIFS('Reviews'!$B$7:$B$306,A278)=0,COUNTIFS('Update log'!$B$7:$B$306,A278)=0)),"Closure docs missing","Basic records complete"))))))</x:f>
      </x:c>
      <x:c r="S278" s="3"/>
      <x:c r="T278" s="3"/>
    </x:row>
    <x:row r="279" ht="25" customHeight="1">
      <x:c r="A279" s="3"/>
      <x:c r="B279" s="3"/>
      <x:c r="C279" s="3"/>
      <x:c r="D279" s="3"/>
      <x:c r="E279" s="3"/>
      <x:c r="F279" s="3"/>
      <x:c r="G279" s="3"/>
      <x:c r="H279" s="3"/>
      <x:c r="I279" s="20"/>
      <x:c r="J279" s="3"/>
      <x:c r="K279" s="22"/>
      <x:c r="L279" s="22"/>
      <x:c r="M279" s="24" t="str">
        <x:f>IF(A279="","",IF(COUNTIFS('Execution log'!$B$7:$B$306,A279)=0,"",IF(COUNTIFS('Execution log'!$B$7:$B$306,A279,'Execution log'!$L$7:$L$306,"Valid",'Execution log'!$P$7:$P$306,"&lt;&gt;Valid input")&gt;0,"To check",IF(COUNTIFS('Execution log'!$B$7:$B$306,A279,'Execution log'!$P$7:$P$306,"Valid input")=0,"",SUMIFS('Execution log'!$H$7:$H$306,'Execution log'!$B$7:$B$306,A279,'Execution log'!$P$7:$P$306,"Valid input")))))</x:f>
      </x:c>
      <x:c r="N279" s="24" t="str">
        <x:f>IF(A279="","",IF(COUNTIFS('Execution log'!$B$7:$B$306,A279)=0,"",IF(COUNTIFS('Execution log'!$B$7:$B$306,A279,'Execution log'!$L$7:$L$306,"Valid",'Execution log'!$P$7:$P$306,"&lt;&gt;Valid input")&gt;0,"To check",IF(COUNTIFS('Execution log'!$B$7:$B$306,A279,'Execution log'!$P$7:$P$306,"Valid input")=0,"",SUMIFS('Execution log'!$J$7:$J$306,'Execution log'!$B$7:$B$306,A279,'Execution log'!$P$7:$P$306,"Valid input")))))</x:f>
      </x:c>
      <x:c r="O279" s="24" t="str">
        <x:f>IF(A279="","",IF(NOT(ISNUMBER(K279)),"Budget TBD",IF(NOT(ISNUMBER(M279)),"No valid entries yet",K279-M279)))</x:f>
      </x:c>
      <x:c r="P279" s="24" t="str">
        <x:f>IF(A279="","",IF(NOT(ISNUMBER(L279)),"Budget TBD",IF(NOT(ISNUMBER(N279)),"No valid entries yet",L279-N279)))</x:f>
      </x:c>
      <x:c r="Q279" s="19" t="str">
        <x:f>IF(A279="","",IF(D279="Closed","Closed",IF(NOT(ISNUMBER(I279)),"Review date TBD",IF(NOT(ISNUMBER($B$3)),"Evaluation date TBD",IF(I279&lt;=$B$3,"Review due","Not due")))))</x:f>
      </x:c>
      <x:c r="R279" s="19" t="str">
        <x:f>IF(A279="","",IF(COUNTIFS($A$7:$A$306,A279)&lt;&gt;1,"Duplicate case ID",IF(OR(B279="",C279="",D279="",G279="",S279=""),"Basic info missing",IF(AND(F279&lt;&gt;"",COUNTIFS('Plan versions'!$A$7:$A$306,F279,'Plan versions'!$B$7:$B$306,A279,'Plan versions'!$L$7:$L$306,"Frozen")&lt;&gt;1),"Invalid current plan ref",IF(AND(D279="Executing",F279=""),"Execution lacks plan",IF(AND(D279="Closed",OR(T279="",COUNTIFS('Reviews'!$B$7:$B$306,A279)=0,COUNTIFS('Update log'!$B$7:$B$306,A279)=0)),"Closure docs missing","Basic records complete"))))))</x:f>
      </x:c>
      <x:c r="S279" s="3"/>
      <x:c r="T279" s="3"/>
    </x:row>
    <x:row r="280" ht="25" customHeight="1">
      <x:c r="A280" s="3"/>
      <x:c r="B280" s="3"/>
      <x:c r="C280" s="3"/>
      <x:c r="D280" s="3"/>
      <x:c r="E280" s="3"/>
      <x:c r="F280" s="3"/>
      <x:c r="G280" s="3"/>
      <x:c r="H280" s="3"/>
      <x:c r="I280" s="20"/>
      <x:c r="J280" s="3"/>
      <x:c r="K280" s="22"/>
      <x:c r="L280" s="22"/>
      <x:c r="M280" s="24" t="str">
        <x:f>IF(A280="","",IF(COUNTIFS('Execution log'!$B$7:$B$306,A280)=0,"",IF(COUNTIFS('Execution log'!$B$7:$B$306,A280,'Execution log'!$L$7:$L$306,"Valid",'Execution log'!$P$7:$P$306,"&lt;&gt;Valid input")&gt;0,"To check",IF(COUNTIFS('Execution log'!$B$7:$B$306,A280,'Execution log'!$P$7:$P$306,"Valid input")=0,"",SUMIFS('Execution log'!$H$7:$H$306,'Execution log'!$B$7:$B$306,A280,'Execution log'!$P$7:$P$306,"Valid input")))))</x:f>
      </x:c>
      <x:c r="N280" s="24" t="str">
        <x:f>IF(A280="","",IF(COUNTIFS('Execution log'!$B$7:$B$306,A280)=0,"",IF(COUNTIFS('Execution log'!$B$7:$B$306,A280,'Execution log'!$L$7:$L$306,"Valid",'Execution log'!$P$7:$P$306,"&lt;&gt;Valid input")&gt;0,"To check",IF(COUNTIFS('Execution log'!$B$7:$B$306,A280,'Execution log'!$P$7:$P$306,"Valid input")=0,"",SUMIFS('Execution log'!$J$7:$J$306,'Execution log'!$B$7:$B$306,A280,'Execution log'!$P$7:$P$306,"Valid input")))))</x:f>
      </x:c>
      <x:c r="O280" s="24" t="str">
        <x:f>IF(A280="","",IF(NOT(ISNUMBER(K280)),"Budget TBD",IF(NOT(ISNUMBER(M280)),"No valid entries yet",K280-M280)))</x:f>
      </x:c>
      <x:c r="P280" s="24" t="str">
        <x:f>IF(A280="","",IF(NOT(ISNUMBER(L280)),"Budget TBD",IF(NOT(ISNUMBER(N280)),"No valid entries yet",L280-N280)))</x:f>
      </x:c>
      <x:c r="Q280" s="19" t="str">
        <x:f>IF(A280="","",IF(D280="Closed","Closed",IF(NOT(ISNUMBER(I280)),"Review date TBD",IF(NOT(ISNUMBER($B$3)),"Evaluation date TBD",IF(I280&lt;=$B$3,"Review due","Not due")))))</x:f>
      </x:c>
      <x:c r="R280" s="19" t="str">
        <x:f>IF(A280="","",IF(COUNTIFS($A$7:$A$306,A280)&lt;&gt;1,"Duplicate case ID",IF(OR(B280="",C280="",D280="",G280="",S280=""),"Basic info missing",IF(AND(F280&lt;&gt;"",COUNTIFS('Plan versions'!$A$7:$A$306,F280,'Plan versions'!$B$7:$B$306,A280,'Plan versions'!$L$7:$L$306,"Frozen")&lt;&gt;1),"Invalid current plan ref",IF(AND(D280="Executing",F280=""),"Execution lacks plan",IF(AND(D280="Closed",OR(T280="",COUNTIFS('Reviews'!$B$7:$B$306,A280)=0,COUNTIFS('Update log'!$B$7:$B$306,A280)=0)),"Closure docs missing","Basic records complete"))))))</x:f>
      </x:c>
      <x:c r="S280" s="3"/>
      <x:c r="T280" s="3"/>
    </x:row>
    <x:row r="281" ht="25" customHeight="1">
      <x:c r="A281" s="3"/>
      <x:c r="B281" s="3"/>
      <x:c r="C281" s="3"/>
      <x:c r="D281" s="3"/>
      <x:c r="E281" s="3"/>
      <x:c r="F281" s="3"/>
      <x:c r="G281" s="3"/>
      <x:c r="H281" s="3"/>
      <x:c r="I281" s="20"/>
      <x:c r="J281" s="3"/>
      <x:c r="K281" s="22"/>
      <x:c r="L281" s="22"/>
      <x:c r="M281" s="24" t="str">
        <x:f>IF(A281="","",IF(COUNTIFS('Execution log'!$B$7:$B$306,A281)=0,"",IF(COUNTIFS('Execution log'!$B$7:$B$306,A281,'Execution log'!$L$7:$L$306,"Valid",'Execution log'!$P$7:$P$306,"&lt;&gt;Valid input")&gt;0,"To check",IF(COUNTIFS('Execution log'!$B$7:$B$306,A281,'Execution log'!$P$7:$P$306,"Valid input")=0,"",SUMIFS('Execution log'!$H$7:$H$306,'Execution log'!$B$7:$B$306,A281,'Execution log'!$P$7:$P$306,"Valid input")))))</x:f>
      </x:c>
      <x:c r="N281" s="24" t="str">
        <x:f>IF(A281="","",IF(COUNTIFS('Execution log'!$B$7:$B$306,A281)=0,"",IF(COUNTIFS('Execution log'!$B$7:$B$306,A281,'Execution log'!$L$7:$L$306,"Valid",'Execution log'!$P$7:$P$306,"&lt;&gt;Valid input")&gt;0,"To check",IF(COUNTIFS('Execution log'!$B$7:$B$306,A281,'Execution log'!$P$7:$P$306,"Valid input")=0,"",SUMIFS('Execution log'!$J$7:$J$306,'Execution log'!$B$7:$B$306,A281,'Execution log'!$P$7:$P$306,"Valid input")))))</x:f>
      </x:c>
      <x:c r="O281" s="24" t="str">
        <x:f>IF(A281="","",IF(NOT(ISNUMBER(K281)),"Budget TBD",IF(NOT(ISNUMBER(M281)),"No valid entries yet",K281-M281)))</x:f>
      </x:c>
      <x:c r="P281" s="24" t="str">
        <x:f>IF(A281="","",IF(NOT(ISNUMBER(L281)),"Budget TBD",IF(NOT(ISNUMBER(N281)),"No valid entries yet",L281-N281)))</x:f>
      </x:c>
      <x:c r="Q281" s="19" t="str">
        <x:f>IF(A281="","",IF(D281="Closed","Closed",IF(NOT(ISNUMBER(I281)),"Review date TBD",IF(NOT(ISNUMBER($B$3)),"Evaluation date TBD",IF(I281&lt;=$B$3,"Review due","Not due")))))</x:f>
      </x:c>
      <x:c r="R281" s="19" t="str">
        <x:f>IF(A281="","",IF(COUNTIFS($A$7:$A$306,A281)&lt;&gt;1,"Duplicate case ID",IF(OR(B281="",C281="",D281="",G281="",S281=""),"Basic info missing",IF(AND(F281&lt;&gt;"",COUNTIFS('Plan versions'!$A$7:$A$306,F281,'Plan versions'!$B$7:$B$306,A281,'Plan versions'!$L$7:$L$306,"Frozen")&lt;&gt;1),"Invalid current plan ref",IF(AND(D281="Executing",F281=""),"Execution lacks plan",IF(AND(D281="Closed",OR(T281="",COUNTIFS('Reviews'!$B$7:$B$306,A281)=0,COUNTIFS('Update log'!$B$7:$B$306,A281)=0)),"Closure docs missing","Basic records complete"))))))</x:f>
      </x:c>
      <x:c r="S281" s="3"/>
      <x:c r="T281" s="3"/>
    </x:row>
    <x:row r="282" ht="25" customHeight="1">
      <x:c r="A282" s="3"/>
      <x:c r="B282" s="3"/>
      <x:c r="C282" s="3"/>
      <x:c r="D282" s="3"/>
      <x:c r="E282" s="3"/>
      <x:c r="F282" s="3"/>
      <x:c r="G282" s="3"/>
      <x:c r="H282" s="3"/>
      <x:c r="I282" s="20"/>
      <x:c r="J282" s="3"/>
      <x:c r="K282" s="22"/>
      <x:c r="L282" s="22"/>
      <x:c r="M282" s="24" t="str">
        <x:f>IF(A282="","",IF(COUNTIFS('Execution log'!$B$7:$B$306,A282)=0,"",IF(COUNTIFS('Execution log'!$B$7:$B$306,A282,'Execution log'!$L$7:$L$306,"Valid",'Execution log'!$P$7:$P$306,"&lt;&gt;Valid input")&gt;0,"To check",IF(COUNTIFS('Execution log'!$B$7:$B$306,A282,'Execution log'!$P$7:$P$306,"Valid input")=0,"",SUMIFS('Execution log'!$H$7:$H$306,'Execution log'!$B$7:$B$306,A282,'Execution log'!$P$7:$P$306,"Valid input")))))</x:f>
      </x:c>
      <x:c r="N282" s="24" t="str">
        <x:f>IF(A282="","",IF(COUNTIFS('Execution log'!$B$7:$B$306,A282)=0,"",IF(COUNTIFS('Execution log'!$B$7:$B$306,A282,'Execution log'!$L$7:$L$306,"Valid",'Execution log'!$P$7:$P$306,"&lt;&gt;Valid input")&gt;0,"To check",IF(COUNTIFS('Execution log'!$B$7:$B$306,A282,'Execution log'!$P$7:$P$306,"Valid input")=0,"",SUMIFS('Execution log'!$J$7:$J$306,'Execution log'!$B$7:$B$306,A282,'Execution log'!$P$7:$P$306,"Valid input")))))</x:f>
      </x:c>
      <x:c r="O282" s="24" t="str">
        <x:f>IF(A282="","",IF(NOT(ISNUMBER(K282)),"Budget TBD",IF(NOT(ISNUMBER(M282)),"No valid entries yet",K282-M282)))</x:f>
      </x:c>
      <x:c r="P282" s="24" t="str">
        <x:f>IF(A282="","",IF(NOT(ISNUMBER(L282)),"Budget TBD",IF(NOT(ISNUMBER(N282)),"No valid entries yet",L282-N282)))</x:f>
      </x:c>
      <x:c r="Q282" s="19" t="str">
        <x:f>IF(A282="","",IF(D282="Closed","Closed",IF(NOT(ISNUMBER(I282)),"Review date TBD",IF(NOT(ISNUMBER($B$3)),"Evaluation date TBD",IF(I282&lt;=$B$3,"Review due","Not due")))))</x:f>
      </x:c>
      <x:c r="R282" s="19" t="str">
        <x:f>IF(A282="","",IF(COUNTIFS($A$7:$A$306,A282)&lt;&gt;1,"Duplicate case ID",IF(OR(B282="",C282="",D282="",G282="",S282=""),"Basic info missing",IF(AND(F282&lt;&gt;"",COUNTIFS('Plan versions'!$A$7:$A$306,F282,'Plan versions'!$B$7:$B$306,A282,'Plan versions'!$L$7:$L$306,"Frozen")&lt;&gt;1),"Invalid current plan ref",IF(AND(D282="Executing",F282=""),"Execution lacks plan",IF(AND(D282="Closed",OR(T282="",COUNTIFS('Reviews'!$B$7:$B$306,A282)=0,COUNTIFS('Update log'!$B$7:$B$306,A282)=0)),"Closure docs missing","Basic records complete"))))))</x:f>
      </x:c>
      <x:c r="S282" s="3"/>
      <x:c r="T282" s="3"/>
    </x:row>
    <x:row r="283" ht="25" customHeight="1">
      <x:c r="A283" s="3"/>
      <x:c r="B283" s="3"/>
      <x:c r="C283" s="3"/>
      <x:c r="D283" s="3"/>
      <x:c r="E283" s="3"/>
      <x:c r="F283" s="3"/>
      <x:c r="G283" s="3"/>
      <x:c r="H283" s="3"/>
      <x:c r="I283" s="20"/>
      <x:c r="J283" s="3"/>
      <x:c r="K283" s="22"/>
      <x:c r="L283" s="22"/>
      <x:c r="M283" s="24" t="str">
        <x:f>IF(A283="","",IF(COUNTIFS('Execution log'!$B$7:$B$306,A283)=0,"",IF(COUNTIFS('Execution log'!$B$7:$B$306,A283,'Execution log'!$L$7:$L$306,"Valid",'Execution log'!$P$7:$P$306,"&lt;&gt;Valid input")&gt;0,"To check",IF(COUNTIFS('Execution log'!$B$7:$B$306,A283,'Execution log'!$P$7:$P$306,"Valid input")=0,"",SUMIFS('Execution log'!$H$7:$H$306,'Execution log'!$B$7:$B$306,A283,'Execution log'!$P$7:$P$306,"Valid input")))))</x:f>
      </x:c>
      <x:c r="N283" s="24" t="str">
        <x:f>IF(A283="","",IF(COUNTIFS('Execution log'!$B$7:$B$306,A283)=0,"",IF(COUNTIFS('Execution log'!$B$7:$B$306,A283,'Execution log'!$L$7:$L$306,"Valid",'Execution log'!$P$7:$P$306,"&lt;&gt;Valid input")&gt;0,"To check",IF(COUNTIFS('Execution log'!$B$7:$B$306,A283,'Execution log'!$P$7:$P$306,"Valid input")=0,"",SUMIFS('Execution log'!$J$7:$J$306,'Execution log'!$B$7:$B$306,A283,'Execution log'!$P$7:$P$306,"Valid input")))))</x:f>
      </x:c>
      <x:c r="O283" s="24" t="str">
        <x:f>IF(A283="","",IF(NOT(ISNUMBER(K283)),"Budget TBD",IF(NOT(ISNUMBER(M283)),"No valid entries yet",K283-M283)))</x:f>
      </x:c>
      <x:c r="P283" s="24" t="str">
        <x:f>IF(A283="","",IF(NOT(ISNUMBER(L283)),"Budget TBD",IF(NOT(ISNUMBER(N283)),"No valid entries yet",L283-N283)))</x:f>
      </x:c>
      <x:c r="Q283" s="19" t="str">
        <x:f>IF(A283="","",IF(D283="Closed","Closed",IF(NOT(ISNUMBER(I283)),"Review date TBD",IF(NOT(ISNUMBER($B$3)),"Evaluation date TBD",IF(I283&lt;=$B$3,"Review due","Not due")))))</x:f>
      </x:c>
      <x:c r="R283" s="19" t="str">
        <x:f>IF(A283="","",IF(COUNTIFS($A$7:$A$306,A283)&lt;&gt;1,"Duplicate case ID",IF(OR(B283="",C283="",D283="",G283="",S283=""),"Basic info missing",IF(AND(F283&lt;&gt;"",COUNTIFS('Plan versions'!$A$7:$A$306,F283,'Plan versions'!$B$7:$B$306,A283,'Plan versions'!$L$7:$L$306,"Frozen")&lt;&gt;1),"Invalid current plan ref",IF(AND(D283="Executing",F283=""),"Execution lacks plan",IF(AND(D283="Closed",OR(T283="",COUNTIFS('Reviews'!$B$7:$B$306,A283)=0,COUNTIFS('Update log'!$B$7:$B$306,A283)=0)),"Closure docs missing","Basic records complete"))))))</x:f>
      </x:c>
      <x:c r="S283" s="3"/>
      <x:c r="T283" s="3"/>
    </x:row>
    <x:row r="284" ht="25" customHeight="1">
      <x:c r="A284" s="3"/>
      <x:c r="B284" s="3"/>
      <x:c r="C284" s="3"/>
      <x:c r="D284" s="3"/>
      <x:c r="E284" s="3"/>
      <x:c r="F284" s="3"/>
      <x:c r="G284" s="3"/>
      <x:c r="H284" s="3"/>
      <x:c r="I284" s="20"/>
      <x:c r="J284" s="3"/>
      <x:c r="K284" s="22"/>
      <x:c r="L284" s="22"/>
      <x:c r="M284" s="24" t="str">
        <x:f>IF(A284="","",IF(COUNTIFS('Execution log'!$B$7:$B$306,A284)=0,"",IF(COUNTIFS('Execution log'!$B$7:$B$306,A284,'Execution log'!$L$7:$L$306,"Valid",'Execution log'!$P$7:$P$306,"&lt;&gt;Valid input")&gt;0,"To check",IF(COUNTIFS('Execution log'!$B$7:$B$306,A284,'Execution log'!$P$7:$P$306,"Valid input")=0,"",SUMIFS('Execution log'!$H$7:$H$306,'Execution log'!$B$7:$B$306,A284,'Execution log'!$P$7:$P$306,"Valid input")))))</x:f>
      </x:c>
      <x:c r="N284" s="24" t="str">
        <x:f>IF(A284="","",IF(COUNTIFS('Execution log'!$B$7:$B$306,A284)=0,"",IF(COUNTIFS('Execution log'!$B$7:$B$306,A284,'Execution log'!$L$7:$L$306,"Valid",'Execution log'!$P$7:$P$306,"&lt;&gt;Valid input")&gt;0,"To check",IF(COUNTIFS('Execution log'!$B$7:$B$306,A284,'Execution log'!$P$7:$P$306,"Valid input")=0,"",SUMIFS('Execution log'!$J$7:$J$306,'Execution log'!$B$7:$B$306,A284,'Execution log'!$P$7:$P$306,"Valid input")))))</x:f>
      </x:c>
      <x:c r="O284" s="24" t="str">
        <x:f>IF(A284="","",IF(NOT(ISNUMBER(K284)),"Budget TBD",IF(NOT(ISNUMBER(M284)),"No valid entries yet",K284-M284)))</x:f>
      </x:c>
      <x:c r="P284" s="24" t="str">
        <x:f>IF(A284="","",IF(NOT(ISNUMBER(L284)),"Budget TBD",IF(NOT(ISNUMBER(N284)),"No valid entries yet",L284-N284)))</x:f>
      </x:c>
      <x:c r="Q284" s="19" t="str">
        <x:f>IF(A284="","",IF(D284="Closed","Closed",IF(NOT(ISNUMBER(I284)),"Review date TBD",IF(NOT(ISNUMBER($B$3)),"Evaluation date TBD",IF(I284&lt;=$B$3,"Review due","Not due")))))</x:f>
      </x:c>
      <x:c r="R284" s="19" t="str">
        <x:f>IF(A284="","",IF(COUNTIFS($A$7:$A$306,A284)&lt;&gt;1,"Duplicate case ID",IF(OR(B284="",C284="",D284="",G284="",S284=""),"Basic info missing",IF(AND(F284&lt;&gt;"",COUNTIFS('Plan versions'!$A$7:$A$306,F284,'Plan versions'!$B$7:$B$306,A284,'Plan versions'!$L$7:$L$306,"Frozen")&lt;&gt;1),"Invalid current plan ref",IF(AND(D284="Executing",F284=""),"Execution lacks plan",IF(AND(D284="Closed",OR(T284="",COUNTIFS('Reviews'!$B$7:$B$306,A284)=0,COUNTIFS('Update log'!$B$7:$B$306,A284)=0)),"Closure docs missing","Basic records complete"))))))</x:f>
      </x:c>
      <x:c r="S284" s="3"/>
      <x:c r="T284" s="3"/>
    </x:row>
    <x:row r="285" ht="25" customHeight="1">
      <x:c r="A285" s="3"/>
      <x:c r="B285" s="3"/>
      <x:c r="C285" s="3"/>
      <x:c r="D285" s="3"/>
      <x:c r="E285" s="3"/>
      <x:c r="F285" s="3"/>
      <x:c r="G285" s="3"/>
      <x:c r="H285" s="3"/>
      <x:c r="I285" s="20"/>
      <x:c r="J285" s="3"/>
      <x:c r="K285" s="22"/>
      <x:c r="L285" s="22"/>
      <x:c r="M285" s="24" t="str">
        <x:f>IF(A285="","",IF(COUNTIFS('Execution log'!$B$7:$B$306,A285)=0,"",IF(COUNTIFS('Execution log'!$B$7:$B$306,A285,'Execution log'!$L$7:$L$306,"Valid",'Execution log'!$P$7:$P$306,"&lt;&gt;Valid input")&gt;0,"To check",IF(COUNTIFS('Execution log'!$B$7:$B$306,A285,'Execution log'!$P$7:$P$306,"Valid input")=0,"",SUMIFS('Execution log'!$H$7:$H$306,'Execution log'!$B$7:$B$306,A285,'Execution log'!$P$7:$P$306,"Valid input")))))</x:f>
      </x:c>
      <x:c r="N285" s="24" t="str">
        <x:f>IF(A285="","",IF(COUNTIFS('Execution log'!$B$7:$B$306,A285)=0,"",IF(COUNTIFS('Execution log'!$B$7:$B$306,A285,'Execution log'!$L$7:$L$306,"Valid",'Execution log'!$P$7:$P$306,"&lt;&gt;Valid input")&gt;0,"To check",IF(COUNTIFS('Execution log'!$B$7:$B$306,A285,'Execution log'!$P$7:$P$306,"Valid input")=0,"",SUMIFS('Execution log'!$J$7:$J$306,'Execution log'!$B$7:$B$306,A285,'Execution log'!$P$7:$P$306,"Valid input")))))</x:f>
      </x:c>
      <x:c r="O285" s="24" t="str">
        <x:f>IF(A285="","",IF(NOT(ISNUMBER(K285)),"Budget TBD",IF(NOT(ISNUMBER(M285)),"No valid entries yet",K285-M285)))</x:f>
      </x:c>
      <x:c r="P285" s="24" t="str">
        <x:f>IF(A285="","",IF(NOT(ISNUMBER(L285)),"Budget TBD",IF(NOT(ISNUMBER(N285)),"No valid entries yet",L285-N285)))</x:f>
      </x:c>
      <x:c r="Q285" s="19" t="str">
        <x:f>IF(A285="","",IF(D285="Closed","Closed",IF(NOT(ISNUMBER(I285)),"Review date TBD",IF(NOT(ISNUMBER($B$3)),"Evaluation date TBD",IF(I285&lt;=$B$3,"Review due","Not due")))))</x:f>
      </x:c>
      <x:c r="R285" s="19" t="str">
        <x:f>IF(A285="","",IF(COUNTIFS($A$7:$A$306,A285)&lt;&gt;1,"Duplicate case ID",IF(OR(B285="",C285="",D285="",G285="",S285=""),"Basic info missing",IF(AND(F285&lt;&gt;"",COUNTIFS('Plan versions'!$A$7:$A$306,F285,'Plan versions'!$B$7:$B$306,A285,'Plan versions'!$L$7:$L$306,"Frozen")&lt;&gt;1),"Invalid current plan ref",IF(AND(D285="Executing",F285=""),"Execution lacks plan",IF(AND(D285="Closed",OR(T285="",COUNTIFS('Reviews'!$B$7:$B$306,A285)=0,COUNTIFS('Update log'!$B$7:$B$306,A285)=0)),"Closure docs missing","Basic records complete"))))))</x:f>
      </x:c>
      <x:c r="S285" s="3"/>
      <x:c r="T285" s="3"/>
    </x:row>
    <x:row r="286" ht="25" customHeight="1">
      <x:c r="A286" s="3"/>
      <x:c r="B286" s="3"/>
      <x:c r="C286" s="3"/>
      <x:c r="D286" s="3"/>
      <x:c r="E286" s="3"/>
      <x:c r="F286" s="3"/>
      <x:c r="G286" s="3"/>
      <x:c r="H286" s="3"/>
      <x:c r="I286" s="20"/>
      <x:c r="J286" s="3"/>
      <x:c r="K286" s="22"/>
      <x:c r="L286" s="22"/>
      <x:c r="M286" s="24" t="str">
        <x:f>IF(A286="","",IF(COUNTIFS('Execution log'!$B$7:$B$306,A286)=0,"",IF(COUNTIFS('Execution log'!$B$7:$B$306,A286,'Execution log'!$L$7:$L$306,"Valid",'Execution log'!$P$7:$P$306,"&lt;&gt;Valid input")&gt;0,"To check",IF(COUNTIFS('Execution log'!$B$7:$B$306,A286,'Execution log'!$P$7:$P$306,"Valid input")=0,"",SUMIFS('Execution log'!$H$7:$H$306,'Execution log'!$B$7:$B$306,A286,'Execution log'!$P$7:$P$306,"Valid input")))))</x:f>
      </x:c>
      <x:c r="N286" s="24" t="str">
        <x:f>IF(A286="","",IF(COUNTIFS('Execution log'!$B$7:$B$306,A286)=0,"",IF(COUNTIFS('Execution log'!$B$7:$B$306,A286,'Execution log'!$L$7:$L$306,"Valid",'Execution log'!$P$7:$P$306,"&lt;&gt;Valid input")&gt;0,"To check",IF(COUNTIFS('Execution log'!$B$7:$B$306,A286,'Execution log'!$P$7:$P$306,"Valid input")=0,"",SUMIFS('Execution log'!$J$7:$J$306,'Execution log'!$B$7:$B$306,A286,'Execution log'!$P$7:$P$306,"Valid input")))))</x:f>
      </x:c>
      <x:c r="O286" s="24" t="str">
        <x:f>IF(A286="","",IF(NOT(ISNUMBER(K286)),"Budget TBD",IF(NOT(ISNUMBER(M286)),"No valid entries yet",K286-M286)))</x:f>
      </x:c>
      <x:c r="P286" s="24" t="str">
        <x:f>IF(A286="","",IF(NOT(ISNUMBER(L286)),"Budget TBD",IF(NOT(ISNUMBER(N286)),"No valid entries yet",L286-N286)))</x:f>
      </x:c>
      <x:c r="Q286" s="19" t="str">
        <x:f>IF(A286="","",IF(D286="Closed","Closed",IF(NOT(ISNUMBER(I286)),"Review date TBD",IF(NOT(ISNUMBER($B$3)),"Evaluation date TBD",IF(I286&lt;=$B$3,"Review due","Not due")))))</x:f>
      </x:c>
      <x:c r="R286" s="19" t="str">
        <x:f>IF(A286="","",IF(COUNTIFS($A$7:$A$306,A286)&lt;&gt;1,"Duplicate case ID",IF(OR(B286="",C286="",D286="",G286="",S286=""),"Basic info missing",IF(AND(F286&lt;&gt;"",COUNTIFS('Plan versions'!$A$7:$A$306,F286,'Plan versions'!$B$7:$B$306,A286,'Plan versions'!$L$7:$L$306,"Frozen")&lt;&gt;1),"Invalid current plan ref",IF(AND(D286="Executing",F286=""),"Execution lacks plan",IF(AND(D286="Closed",OR(T286="",COUNTIFS('Reviews'!$B$7:$B$306,A286)=0,COUNTIFS('Update log'!$B$7:$B$306,A286)=0)),"Closure docs missing","Basic records complete"))))))</x:f>
      </x:c>
      <x:c r="S286" s="3"/>
      <x:c r="T286" s="3"/>
    </x:row>
    <x:row r="287" ht="25" customHeight="1">
      <x:c r="A287" s="3"/>
      <x:c r="B287" s="3"/>
      <x:c r="C287" s="3"/>
      <x:c r="D287" s="3"/>
      <x:c r="E287" s="3"/>
      <x:c r="F287" s="3"/>
      <x:c r="G287" s="3"/>
      <x:c r="H287" s="3"/>
      <x:c r="I287" s="20"/>
      <x:c r="J287" s="3"/>
      <x:c r="K287" s="22"/>
      <x:c r="L287" s="22"/>
      <x:c r="M287" s="24" t="str">
        <x:f>IF(A287="","",IF(COUNTIFS('Execution log'!$B$7:$B$306,A287)=0,"",IF(COUNTIFS('Execution log'!$B$7:$B$306,A287,'Execution log'!$L$7:$L$306,"Valid",'Execution log'!$P$7:$P$306,"&lt;&gt;Valid input")&gt;0,"To check",IF(COUNTIFS('Execution log'!$B$7:$B$306,A287,'Execution log'!$P$7:$P$306,"Valid input")=0,"",SUMIFS('Execution log'!$H$7:$H$306,'Execution log'!$B$7:$B$306,A287,'Execution log'!$P$7:$P$306,"Valid input")))))</x:f>
      </x:c>
      <x:c r="N287" s="24" t="str">
        <x:f>IF(A287="","",IF(COUNTIFS('Execution log'!$B$7:$B$306,A287)=0,"",IF(COUNTIFS('Execution log'!$B$7:$B$306,A287,'Execution log'!$L$7:$L$306,"Valid",'Execution log'!$P$7:$P$306,"&lt;&gt;Valid input")&gt;0,"To check",IF(COUNTIFS('Execution log'!$B$7:$B$306,A287,'Execution log'!$P$7:$P$306,"Valid input")=0,"",SUMIFS('Execution log'!$J$7:$J$306,'Execution log'!$B$7:$B$306,A287,'Execution log'!$P$7:$P$306,"Valid input")))))</x:f>
      </x:c>
      <x:c r="O287" s="24" t="str">
        <x:f>IF(A287="","",IF(NOT(ISNUMBER(K287)),"Budget TBD",IF(NOT(ISNUMBER(M287)),"No valid entries yet",K287-M287)))</x:f>
      </x:c>
      <x:c r="P287" s="24" t="str">
        <x:f>IF(A287="","",IF(NOT(ISNUMBER(L287)),"Budget TBD",IF(NOT(ISNUMBER(N287)),"No valid entries yet",L287-N287)))</x:f>
      </x:c>
      <x:c r="Q287" s="19" t="str">
        <x:f>IF(A287="","",IF(D287="Closed","Closed",IF(NOT(ISNUMBER(I287)),"Review date TBD",IF(NOT(ISNUMBER($B$3)),"Evaluation date TBD",IF(I287&lt;=$B$3,"Review due","Not due")))))</x:f>
      </x:c>
      <x:c r="R287" s="19" t="str">
        <x:f>IF(A287="","",IF(COUNTIFS($A$7:$A$306,A287)&lt;&gt;1,"Duplicate case ID",IF(OR(B287="",C287="",D287="",G287="",S287=""),"Basic info missing",IF(AND(F287&lt;&gt;"",COUNTIFS('Plan versions'!$A$7:$A$306,F287,'Plan versions'!$B$7:$B$306,A287,'Plan versions'!$L$7:$L$306,"Frozen")&lt;&gt;1),"Invalid current plan ref",IF(AND(D287="Executing",F287=""),"Execution lacks plan",IF(AND(D287="Closed",OR(T287="",COUNTIFS('Reviews'!$B$7:$B$306,A287)=0,COUNTIFS('Update log'!$B$7:$B$306,A287)=0)),"Closure docs missing","Basic records complete"))))))</x:f>
      </x:c>
      <x:c r="S287" s="3"/>
      <x:c r="T287" s="3"/>
    </x:row>
    <x:row r="288" ht="25" customHeight="1">
      <x:c r="A288" s="3"/>
      <x:c r="B288" s="3"/>
      <x:c r="C288" s="3"/>
      <x:c r="D288" s="3"/>
      <x:c r="E288" s="3"/>
      <x:c r="F288" s="3"/>
      <x:c r="G288" s="3"/>
      <x:c r="H288" s="3"/>
      <x:c r="I288" s="20"/>
      <x:c r="J288" s="3"/>
      <x:c r="K288" s="22"/>
      <x:c r="L288" s="22"/>
      <x:c r="M288" s="24" t="str">
        <x:f>IF(A288="","",IF(COUNTIFS('Execution log'!$B$7:$B$306,A288)=0,"",IF(COUNTIFS('Execution log'!$B$7:$B$306,A288,'Execution log'!$L$7:$L$306,"Valid",'Execution log'!$P$7:$P$306,"&lt;&gt;Valid input")&gt;0,"To check",IF(COUNTIFS('Execution log'!$B$7:$B$306,A288,'Execution log'!$P$7:$P$306,"Valid input")=0,"",SUMIFS('Execution log'!$H$7:$H$306,'Execution log'!$B$7:$B$306,A288,'Execution log'!$P$7:$P$306,"Valid input")))))</x:f>
      </x:c>
      <x:c r="N288" s="24" t="str">
        <x:f>IF(A288="","",IF(COUNTIFS('Execution log'!$B$7:$B$306,A288)=0,"",IF(COUNTIFS('Execution log'!$B$7:$B$306,A288,'Execution log'!$L$7:$L$306,"Valid",'Execution log'!$P$7:$P$306,"&lt;&gt;Valid input")&gt;0,"To check",IF(COUNTIFS('Execution log'!$B$7:$B$306,A288,'Execution log'!$P$7:$P$306,"Valid input")=0,"",SUMIFS('Execution log'!$J$7:$J$306,'Execution log'!$B$7:$B$306,A288,'Execution log'!$P$7:$P$306,"Valid input")))))</x:f>
      </x:c>
      <x:c r="O288" s="24" t="str">
        <x:f>IF(A288="","",IF(NOT(ISNUMBER(K288)),"Budget TBD",IF(NOT(ISNUMBER(M288)),"No valid entries yet",K288-M288)))</x:f>
      </x:c>
      <x:c r="P288" s="24" t="str">
        <x:f>IF(A288="","",IF(NOT(ISNUMBER(L288)),"Budget TBD",IF(NOT(ISNUMBER(N288)),"No valid entries yet",L288-N288)))</x:f>
      </x:c>
      <x:c r="Q288" s="19" t="str">
        <x:f>IF(A288="","",IF(D288="Closed","Closed",IF(NOT(ISNUMBER(I288)),"Review date TBD",IF(NOT(ISNUMBER($B$3)),"Evaluation date TBD",IF(I288&lt;=$B$3,"Review due","Not due")))))</x:f>
      </x:c>
      <x:c r="R288" s="19" t="str">
        <x:f>IF(A288="","",IF(COUNTIFS($A$7:$A$306,A288)&lt;&gt;1,"Duplicate case ID",IF(OR(B288="",C288="",D288="",G288="",S288=""),"Basic info missing",IF(AND(F288&lt;&gt;"",COUNTIFS('Plan versions'!$A$7:$A$306,F288,'Plan versions'!$B$7:$B$306,A288,'Plan versions'!$L$7:$L$306,"Frozen")&lt;&gt;1),"Invalid current plan ref",IF(AND(D288="Executing",F288=""),"Execution lacks plan",IF(AND(D288="Closed",OR(T288="",COUNTIFS('Reviews'!$B$7:$B$306,A288)=0,COUNTIFS('Update log'!$B$7:$B$306,A288)=0)),"Closure docs missing","Basic records complete"))))))</x:f>
      </x:c>
      <x:c r="S288" s="3"/>
      <x:c r="T288" s="3"/>
    </x:row>
    <x:row r="289" ht="25" customHeight="1">
      <x:c r="A289" s="3"/>
      <x:c r="B289" s="3"/>
      <x:c r="C289" s="3"/>
      <x:c r="D289" s="3"/>
      <x:c r="E289" s="3"/>
      <x:c r="F289" s="3"/>
      <x:c r="G289" s="3"/>
      <x:c r="H289" s="3"/>
      <x:c r="I289" s="20"/>
      <x:c r="J289" s="3"/>
      <x:c r="K289" s="22"/>
      <x:c r="L289" s="22"/>
      <x:c r="M289" s="24" t="str">
        <x:f>IF(A289="","",IF(COUNTIFS('Execution log'!$B$7:$B$306,A289)=0,"",IF(COUNTIFS('Execution log'!$B$7:$B$306,A289,'Execution log'!$L$7:$L$306,"Valid",'Execution log'!$P$7:$P$306,"&lt;&gt;Valid input")&gt;0,"To check",IF(COUNTIFS('Execution log'!$B$7:$B$306,A289,'Execution log'!$P$7:$P$306,"Valid input")=0,"",SUMIFS('Execution log'!$H$7:$H$306,'Execution log'!$B$7:$B$306,A289,'Execution log'!$P$7:$P$306,"Valid input")))))</x:f>
      </x:c>
      <x:c r="N289" s="24" t="str">
        <x:f>IF(A289="","",IF(COUNTIFS('Execution log'!$B$7:$B$306,A289)=0,"",IF(COUNTIFS('Execution log'!$B$7:$B$306,A289,'Execution log'!$L$7:$L$306,"Valid",'Execution log'!$P$7:$P$306,"&lt;&gt;Valid input")&gt;0,"To check",IF(COUNTIFS('Execution log'!$B$7:$B$306,A289,'Execution log'!$P$7:$P$306,"Valid input")=0,"",SUMIFS('Execution log'!$J$7:$J$306,'Execution log'!$B$7:$B$306,A289,'Execution log'!$P$7:$P$306,"Valid input")))))</x:f>
      </x:c>
      <x:c r="O289" s="24" t="str">
        <x:f>IF(A289="","",IF(NOT(ISNUMBER(K289)),"Budget TBD",IF(NOT(ISNUMBER(M289)),"No valid entries yet",K289-M289)))</x:f>
      </x:c>
      <x:c r="P289" s="24" t="str">
        <x:f>IF(A289="","",IF(NOT(ISNUMBER(L289)),"Budget TBD",IF(NOT(ISNUMBER(N289)),"No valid entries yet",L289-N289)))</x:f>
      </x:c>
      <x:c r="Q289" s="19" t="str">
        <x:f>IF(A289="","",IF(D289="Closed","Closed",IF(NOT(ISNUMBER(I289)),"Review date TBD",IF(NOT(ISNUMBER($B$3)),"Evaluation date TBD",IF(I289&lt;=$B$3,"Review due","Not due")))))</x:f>
      </x:c>
      <x:c r="R289" s="19" t="str">
        <x:f>IF(A289="","",IF(COUNTIFS($A$7:$A$306,A289)&lt;&gt;1,"Duplicate case ID",IF(OR(B289="",C289="",D289="",G289="",S289=""),"Basic info missing",IF(AND(F289&lt;&gt;"",COUNTIFS('Plan versions'!$A$7:$A$306,F289,'Plan versions'!$B$7:$B$306,A289,'Plan versions'!$L$7:$L$306,"Frozen")&lt;&gt;1),"Invalid current plan ref",IF(AND(D289="Executing",F289=""),"Execution lacks plan",IF(AND(D289="Closed",OR(T289="",COUNTIFS('Reviews'!$B$7:$B$306,A289)=0,COUNTIFS('Update log'!$B$7:$B$306,A289)=0)),"Closure docs missing","Basic records complete"))))))</x:f>
      </x:c>
      <x:c r="S289" s="3"/>
      <x:c r="T289" s="3"/>
    </x:row>
    <x:row r="290" ht="25" customHeight="1">
      <x:c r="A290" s="3"/>
      <x:c r="B290" s="3"/>
      <x:c r="C290" s="3"/>
      <x:c r="D290" s="3"/>
      <x:c r="E290" s="3"/>
      <x:c r="F290" s="3"/>
      <x:c r="G290" s="3"/>
      <x:c r="H290" s="3"/>
      <x:c r="I290" s="20"/>
      <x:c r="J290" s="3"/>
      <x:c r="K290" s="22"/>
      <x:c r="L290" s="22"/>
      <x:c r="M290" s="24" t="str">
        <x:f>IF(A290="","",IF(COUNTIFS('Execution log'!$B$7:$B$306,A290)=0,"",IF(COUNTIFS('Execution log'!$B$7:$B$306,A290,'Execution log'!$L$7:$L$306,"Valid",'Execution log'!$P$7:$P$306,"&lt;&gt;Valid input")&gt;0,"To check",IF(COUNTIFS('Execution log'!$B$7:$B$306,A290,'Execution log'!$P$7:$P$306,"Valid input")=0,"",SUMIFS('Execution log'!$H$7:$H$306,'Execution log'!$B$7:$B$306,A290,'Execution log'!$P$7:$P$306,"Valid input")))))</x:f>
      </x:c>
      <x:c r="N290" s="24" t="str">
        <x:f>IF(A290="","",IF(COUNTIFS('Execution log'!$B$7:$B$306,A290)=0,"",IF(COUNTIFS('Execution log'!$B$7:$B$306,A290,'Execution log'!$L$7:$L$306,"Valid",'Execution log'!$P$7:$P$306,"&lt;&gt;Valid input")&gt;0,"To check",IF(COUNTIFS('Execution log'!$B$7:$B$306,A290,'Execution log'!$P$7:$P$306,"Valid input")=0,"",SUMIFS('Execution log'!$J$7:$J$306,'Execution log'!$B$7:$B$306,A290,'Execution log'!$P$7:$P$306,"Valid input")))))</x:f>
      </x:c>
      <x:c r="O290" s="24" t="str">
        <x:f>IF(A290="","",IF(NOT(ISNUMBER(K290)),"Budget TBD",IF(NOT(ISNUMBER(M290)),"No valid entries yet",K290-M290)))</x:f>
      </x:c>
      <x:c r="P290" s="24" t="str">
        <x:f>IF(A290="","",IF(NOT(ISNUMBER(L290)),"Budget TBD",IF(NOT(ISNUMBER(N290)),"No valid entries yet",L290-N290)))</x:f>
      </x:c>
      <x:c r="Q290" s="19" t="str">
        <x:f>IF(A290="","",IF(D290="Closed","Closed",IF(NOT(ISNUMBER(I290)),"Review date TBD",IF(NOT(ISNUMBER($B$3)),"Evaluation date TBD",IF(I290&lt;=$B$3,"Review due","Not due")))))</x:f>
      </x:c>
      <x:c r="R290" s="19" t="str">
        <x:f>IF(A290="","",IF(COUNTIFS($A$7:$A$306,A290)&lt;&gt;1,"Duplicate case ID",IF(OR(B290="",C290="",D290="",G290="",S290=""),"Basic info missing",IF(AND(F290&lt;&gt;"",COUNTIFS('Plan versions'!$A$7:$A$306,F290,'Plan versions'!$B$7:$B$306,A290,'Plan versions'!$L$7:$L$306,"Frozen")&lt;&gt;1),"Invalid current plan ref",IF(AND(D290="Executing",F290=""),"Execution lacks plan",IF(AND(D290="Closed",OR(T290="",COUNTIFS('Reviews'!$B$7:$B$306,A290)=0,COUNTIFS('Update log'!$B$7:$B$306,A290)=0)),"Closure docs missing","Basic records complete"))))))</x:f>
      </x:c>
      <x:c r="S290" s="3"/>
      <x:c r="T290" s="3"/>
    </x:row>
    <x:row r="291" ht="25" customHeight="1">
      <x:c r="A291" s="3"/>
      <x:c r="B291" s="3"/>
      <x:c r="C291" s="3"/>
      <x:c r="D291" s="3"/>
      <x:c r="E291" s="3"/>
      <x:c r="F291" s="3"/>
      <x:c r="G291" s="3"/>
      <x:c r="H291" s="3"/>
      <x:c r="I291" s="20"/>
      <x:c r="J291" s="3"/>
      <x:c r="K291" s="22"/>
      <x:c r="L291" s="22"/>
      <x:c r="M291" s="24" t="str">
        <x:f>IF(A291="","",IF(COUNTIFS('Execution log'!$B$7:$B$306,A291)=0,"",IF(COUNTIFS('Execution log'!$B$7:$B$306,A291,'Execution log'!$L$7:$L$306,"Valid",'Execution log'!$P$7:$P$306,"&lt;&gt;Valid input")&gt;0,"To check",IF(COUNTIFS('Execution log'!$B$7:$B$306,A291,'Execution log'!$P$7:$P$306,"Valid input")=0,"",SUMIFS('Execution log'!$H$7:$H$306,'Execution log'!$B$7:$B$306,A291,'Execution log'!$P$7:$P$306,"Valid input")))))</x:f>
      </x:c>
      <x:c r="N291" s="24" t="str">
        <x:f>IF(A291="","",IF(COUNTIFS('Execution log'!$B$7:$B$306,A291)=0,"",IF(COUNTIFS('Execution log'!$B$7:$B$306,A291,'Execution log'!$L$7:$L$306,"Valid",'Execution log'!$P$7:$P$306,"&lt;&gt;Valid input")&gt;0,"To check",IF(COUNTIFS('Execution log'!$B$7:$B$306,A291,'Execution log'!$P$7:$P$306,"Valid input")=0,"",SUMIFS('Execution log'!$J$7:$J$306,'Execution log'!$B$7:$B$306,A291,'Execution log'!$P$7:$P$306,"Valid input")))))</x:f>
      </x:c>
      <x:c r="O291" s="24" t="str">
        <x:f>IF(A291="","",IF(NOT(ISNUMBER(K291)),"Budget TBD",IF(NOT(ISNUMBER(M291)),"No valid entries yet",K291-M291)))</x:f>
      </x:c>
      <x:c r="P291" s="24" t="str">
        <x:f>IF(A291="","",IF(NOT(ISNUMBER(L291)),"Budget TBD",IF(NOT(ISNUMBER(N291)),"No valid entries yet",L291-N291)))</x:f>
      </x:c>
      <x:c r="Q291" s="19" t="str">
        <x:f>IF(A291="","",IF(D291="Closed","Closed",IF(NOT(ISNUMBER(I291)),"Review date TBD",IF(NOT(ISNUMBER($B$3)),"Evaluation date TBD",IF(I291&lt;=$B$3,"Review due","Not due")))))</x:f>
      </x:c>
      <x:c r="R291" s="19" t="str">
        <x:f>IF(A291="","",IF(COUNTIFS($A$7:$A$306,A291)&lt;&gt;1,"Duplicate case ID",IF(OR(B291="",C291="",D291="",G291="",S291=""),"Basic info missing",IF(AND(F291&lt;&gt;"",COUNTIFS('Plan versions'!$A$7:$A$306,F291,'Plan versions'!$B$7:$B$306,A291,'Plan versions'!$L$7:$L$306,"Frozen")&lt;&gt;1),"Invalid current plan ref",IF(AND(D291="Executing",F291=""),"Execution lacks plan",IF(AND(D291="Closed",OR(T291="",COUNTIFS('Reviews'!$B$7:$B$306,A291)=0,COUNTIFS('Update log'!$B$7:$B$306,A291)=0)),"Closure docs missing","Basic records complete"))))))</x:f>
      </x:c>
      <x:c r="S291" s="3"/>
      <x:c r="T291" s="3"/>
    </x:row>
    <x:row r="292" ht="25" customHeight="1">
      <x:c r="A292" s="3"/>
      <x:c r="B292" s="3"/>
      <x:c r="C292" s="3"/>
      <x:c r="D292" s="3"/>
      <x:c r="E292" s="3"/>
      <x:c r="F292" s="3"/>
      <x:c r="G292" s="3"/>
      <x:c r="H292" s="3"/>
      <x:c r="I292" s="20"/>
      <x:c r="J292" s="3"/>
      <x:c r="K292" s="22"/>
      <x:c r="L292" s="22"/>
      <x:c r="M292" s="24" t="str">
        <x:f>IF(A292="","",IF(COUNTIFS('Execution log'!$B$7:$B$306,A292)=0,"",IF(COUNTIFS('Execution log'!$B$7:$B$306,A292,'Execution log'!$L$7:$L$306,"Valid",'Execution log'!$P$7:$P$306,"&lt;&gt;Valid input")&gt;0,"To check",IF(COUNTIFS('Execution log'!$B$7:$B$306,A292,'Execution log'!$P$7:$P$306,"Valid input")=0,"",SUMIFS('Execution log'!$H$7:$H$306,'Execution log'!$B$7:$B$306,A292,'Execution log'!$P$7:$P$306,"Valid input")))))</x:f>
      </x:c>
      <x:c r="N292" s="24" t="str">
        <x:f>IF(A292="","",IF(COUNTIFS('Execution log'!$B$7:$B$306,A292)=0,"",IF(COUNTIFS('Execution log'!$B$7:$B$306,A292,'Execution log'!$L$7:$L$306,"Valid",'Execution log'!$P$7:$P$306,"&lt;&gt;Valid input")&gt;0,"To check",IF(COUNTIFS('Execution log'!$B$7:$B$306,A292,'Execution log'!$P$7:$P$306,"Valid input")=0,"",SUMIFS('Execution log'!$J$7:$J$306,'Execution log'!$B$7:$B$306,A292,'Execution log'!$P$7:$P$306,"Valid input")))))</x:f>
      </x:c>
      <x:c r="O292" s="24" t="str">
        <x:f>IF(A292="","",IF(NOT(ISNUMBER(K292)),"Budget TBD",IF(NOT(ISNUMBER(M292)),"No valid entries yet",K292-M292)))</x:f>
      </x:c>
      <x:c r="P292" s="24" t="str">
        <x:f>IF(A292="","",IF(NOT(ISNUMBER(L292)),"Budget TBD",IF(NOT(ISNUMBER(N292)),"No valid entries yet",L292-N292)))</x:f>
      </x:c>
      <x:c r="Q292" s="19" t="str">
        <x:f>IF(A292="","",IF(D292="Closed","Closed",IF(NOT(ISNUMBER(I292)),"Review date TBD",IF(NOT(ISNUMBER($B$3)),"Evaluation date TBD",IF(I292&lt;=$B$3,"Review due","Not due")))))</x:f>
      </x:c>
      <x:c r="R292" s="19" t="str">
        <x:f>IF(A292="","",IF(COUNTIFS($A$7:$A$306,A292)&lt;&gt;1,"Duplicate case ID",IF(OR(B292="",C292="",D292="",G292="",S292=""),"Basic info missing",IF(AND(F292&lt;&gt;"",COUNTIFS('Plan versions'!$A$7:$A$306,F292,'Plan versions'!$B$7:$B$306,A292,'Plan versions'!$L$7:$L$306,"Frozen")&lt;&gt;1),"Invalid current plan ref",IF(AND(D292="Executing",F292=""),"Execution lacks plan",IF(AND(D292="Closed",OR(T292="",COUNTIFS('Reviews'!$B$7:$B$306,A292)=0,COUNTIFS('Update log'!$B$7:$B$306,A292)=0)),"Closure docs missing","Basic records complete"))))))</x:f>
      </x:c>
      <x:c r="S292" s="3"/>
      <x:c r="T292" s="3"/>
    </x:row>
    <x:row r="293" ht="25" customHeight="1">
      <x:c r="A293" s="3"/>
      <x:c r="B293" s="3"/>
      <x:c r="C293" s="3"/>
      <x:c r="D293" s="3"/>
      <x:c r="E293" s="3"/>
      <x:c r="F293" s="3"/>
      <x:c r="G293" s="3"/>
      <x:c r="H293" s="3"/>
      <x:c r="I293" s="20"/>
      <x:c r="J293" s="3"/>
      <x:c r="K293" s="22"/>
      <x:c r="L293" s="22"/>
      <x:c r="M293" s="24" t="str">
        <x:f>IF(A293="","",IF(COUNTIFS('Execution log'!$B$7:$B$306,A293)=0,"",IF(COUNTIFS('Execution log'!$B$7:$B$306,A293,'Execution log'!$L$7:$L$306,"Valid",'Execution log'!$P$7:$P$306,"&lt;&gt;Valid input")&gt;0,"To check",IF(COUNTIFS('Execution log'!$B$7:$B$306,A293,'Execution log'!$P$7:$P$306,"Valid input")=0,"",SUMIFS('Execution log'!$H$7:$H$306,'Execution log'!$B$7:$B$306,A293,'Execution log'!$P$7:$P$306,"Valid input")))))</x:f>
      </x:c>
      <x:c r="N293" s="24" t="str">
        <x:f>IF(A293="","",IF(COUNTIFS('Execution log'!$B$7:$B$306,A293)=0,"",IF(COUNTIFS('Execution log'!$B$7:$B$306,A293,'Execution log'!$L$7:$L$306,"Valid",'Execution log'!$P$7:$P$306,"&lt;&gt;Valid input")&gt;0,"To check",IF(COUNTIFS('Execution log'!$B$7:$B$306,A293,'Execution log'!$P$7:$P$306,"Valid input")=0,"",SUMIFS('Execution log'!$J$7:$J$306,'Execution log'!$B$7:$B$306,A293,'Execution log'!$P$7:$P$306,"Valid input")))))</x:f>
      </x:c>
      <x:c r="O293" s="24" t="str">
        <x:f>IF(A293="","",IF(NOT(ISNUMBER(K293)),"Budget TBD",IF(NOT(ISNUMBER(M293)),"No valid entries yet",K293-M293)))</x:f>
      </x:c>
      <x:c r="P293" s="24" t="str">
        <x:f>IF(A293="","",IF(NOT(ISNUMBER(L293)),"Budget TBD",IF(NOT(ISNUMBER(N293)),"No valid entries yet",L293-N293)))</x:f>
      </x:c>
      <x:c r="Q293" s="19" t="str">
        <x:f>IF(A293="","",IF(D293="Closed","Closed",IF(NOT(ISNUMBER(I293)),"Review date TBD",IF(NOT(ISNUMBER($B$3)),"Evaluation date TBD",IF(I293&lt;=$B$3,"Review due","Not due")))))</x:f>
      </x:c>
      <x:c r="R293" s="19" t="str">
        <x:f>IF(A293="","",IF(COUNTIFS($A$7:$A$306,A293)&lt;&gt;1,"Duplicate case ID",IF(OR(B293="",C293="",D293="",G293="",S293=""),"Basic info missing",IF(AND(F293&lt;&gt;"",COUNTIFS('Plan versions'!$A$7:$A$306,F293,'Plan versions'!$B$7:$B$306,A293,'Plan versions'!$L$7:$L$306,"Frozen")&lt;&gt;1),"Invalid current plan ref",IF(AND(D293="Executing",F293=""),"Execution lacks plan",IF(AND(D293="Closed",OR(T293="",COUNTIFS('Reviews'!$B$7:$B$306,A293)=0,COUNTIFS('Update log'!$B$7:$B$306,A293)=0)),"Closure docs missing","Basic records complete"))))))</x:f>
      </x:c>
      <x:c r="S293" s="3"/>
      <x:c r="T293" s="3"/>
    </x:row>
    <x:row r="294" ht="25" customHeight="1">
      <x:c r="A294" s="3"/>
      <x:c r="B294" s="3"/>
      <x:c r="C294" s="3"/>
      <x:c r="D294" s="3"/>
      <x:c r="E294" s="3"/>
      <x:c r="F294" s="3"/>
      <x:c r="G294" s="3"/>
      <x:c r="H294" s="3"/>
      <x:c r="I294" s="20"/>
      <x:c r="J294" s="3"/>
      <x:c r="K294" s="22"/>
      <x:c r="L294" s="22"/>
      <x:c r="M294" s="24" t="str">
        <x:f>IF(A294="","",IF(COUNTIFS('Execution log'!$B$7:$B$306,A294)=0,"",IF(COUNTIFS('Execution log'!$B$7:$B$306,A294,'Execution log'!$L$7:$L$306,"Valid",'Execution log'!$P$7:$P$306,"&lt;&gt;Valid input")&gt;0,"To check",IF(COUNTIFS('Execution log'!$B$7:$B$306,A294,'Execution log'!$P$7:$P$306,"Valid input")=0,"",SUMIFS('Execution log'!$H$7:$H$306,'Execution log'!$B$7:$B$306,A294,'Execution log'!$P$7:$P$306,"Valid input")))))</x:f>
      </x:c>
      <x:c r="N294" s="24" t="str">
        <x:f>IF(A294="","",IF(COUNTIFS('Execution log'!$B$7:$B$306,A294)=0,"",IF(COUNTIFS('Execution log'!$B$7:$B$306,A294,'Execution log'!$L$7:$L$306,"Valid",'Execution log'!$P$7:$P$306,"&lt;&gt;Valid input")&gt;0,"To check",IF(COUNTIFS('Execution log'!$B$7:$B$306,A294,'Execution log'!$P$7:$P$306,"Valid input")=0,"",SUMIFS('Execution log'!$J$7:$J$306,'Execution log'!$B$7:$B$306,A294,'Execution log'!$P$7:$P$306,"Valid input")))))</x:f>
      </x:c>
      <x:c r="O294" s="24" t="str">
        <x:f>IF(A294="","",IF(NOT(ISNUMBER(K294)),"Budget TBD",IF(NOT(ISNUMBER(M294)),"No valid entries yet",K294-M294)))</x:f>
      </x:c>
      <x:c r="P294" s="24" t="str">
        <x:f>IF(A294="","",IF(NOT(ISNUMBER(L294)),"Budget TBD",IF(NOT(ISNUMBER(N294)),"No valid entries yet",L294-N294)))</x:f>
      </x:c>
      <x:c r="Q294" s="19" t="str">
        <x:f>IF(A294="","",IF(D294="Closed","Closed",IF(NOT(ISNUMBER(I294)),"Review date TBD",IF(NOT(ISNUMBER($B$3)),"Evaluation date TBD",IF(I294&lt;=$B$3,"Review due","Not due")))))</x:f>
      </x:c>
      <x:c r="R294" s="19" t="str">
        <x:f>IF(A294="","",IF(COUNTIFS($A$7:$A$306,A294)&lt;&gt;1,"Duplicate case ID",IF(OR(B294="",C294="",D294="",G294="",S294=""),"Basic info missing",IF(AND(F294&lt;&gt;"",COUNTIFS('Plan versions'!$A$7:$A$306,F294,'Plan versions'!$B$7:$B$306,A294,'Plan versions'!$L$7:$L$306,"Frozen")&lt;&gt;1),"Invalid current plan ref",IF(AND(D294="Executing",F294=""),"Execution lacks plan",IF(AND(D294="Closed",OR(T294="",COUNTIFS('Reviews'!$B$7:$B$306,A294)=0,COUNTIFS('Update log'!$B$7:$B$306,A294)=0)),"Closure docs missing","Basic records complete"))))))</x:f>
      </x:c>
      <x:c r="S294" s="3"/>
      <x:c r="T294" s="3"/>
    </x:row>
    <x:row r="295" ht="25" customHeight="1">
      <x:c r="A295" s="3"/>
      <x:c r="B295" s="3"/>
      <x:c r="C295" s="3"/>
      <x:c r="D295" s="3"/>
      <x:c r="E295" s="3"/>
      <x:c r="F295" s="3"/>
      <x:c r="G295" s="3"/>
      <x:c r="H295" s="3"/>
      <x:c r="I295" s="20"/>
      <x:c r="J295" s="3"/>
      <x:c r="K295" s="22"/>
      <x:c r="L295" s="22"/>
      <x:c r="M295" s="24" t="str">
        <x:f>IF(A295="","",IF(COUNTIFS('Execution log'!$B$7:$B$306,A295)=0,"",IF(COUNTIFS('Execution log'!$B$7:$B$306,A295,'Execution log'!$L$7:$L$306,"Valid",'Execution log'!$P$7:$P$306,"&lt;&gt;Valid input")&gt;0,"To check",IF(COUNTIFS('Execution log'!$B$7:$B$306,A295,'Execution log'!$P$7:$P$306,"Valid input")=0,"",SUMIFS('Execution log'!$H$7:$H$306,'Execution log'!$B$7:$B$306,A295,'Execution log'!$P$7:$P$306,"Valid input")))))</x:f>
      </x:c>
      <x:c r="N295" s="24" t="str">
        <x:f>IF(A295="","",IF(COUNTIFS('Execution log'!$B$7:$B$306,A295)=0,"",IF(COUNTIFS('Execution log'!$B$7:$B$306,A295,'Execution log'!$L$7:$L$306,"Valid",'Execution log'!$P$7:$P$306,"&lt;&gt;Valid input")&gt;0,"To check",IF(COUNTIFS('Execution log'!$B$7:$B$306,A295,'Execution log'!$P$7:$P$306,"Valid input")=0,"",SUMIFS('Execution log'!$J$7:$J$306,'Execution log'!$B$7:$B$306,A295,'Execution log'!$P$7:$P$306,"Valid input")))))</x:f>
      </x:c>
      <x:c r="O295" s="24" t="str">
        <x:f>IF(A295="","",IF(NOT(ISNUMBER(K295)),"Budget TBD",IF(NOT(ISNUMBER(M295)),"No valid entries yet",K295-M295)))</x:f>
      </x:c>
      <x:c r="P295" s="24" t="str">
        <x:f>IF(A295="","",IF(NOT(ISNUMBER(L295)),"Budget TBD",IF(NOT(ISNUMBER(N295)),"No valid entries yet",L295-N295)))</x:f>
      </x:c>
      <x:c r="Q295" s="19" t="str">
        <x:f>IF(A295="","",IF(D295="Closed","Closed",IF(NOT(ISNUMBER(I295)),"Review date TBD",IF(NOT(ISNUMBER($B$3)),"Evaluation date TBD",IF(I295&lt;=$B$3,"Review due","Not due")))))</x:f>
      </x:c>
      <x:c r="R295" s="19" t="str">
        <x:f>IF(A295="","",IF(COUNTIFS($A$7:$A$306,A295)&lt;&gt;1,"Duplicate case ID",IF(OR(B295="",C295="",D295="",G295="",S295=""),"Basic info missing",IF(AND(F295&lt;&gt;"",COUNTIFS('Plan versions'!$A$7:$A$306,F295,'Plan versions'!$B$7:$B$306,A295,'Plan versions'!$L$7:$L$306,"Frozen")&lt;&gt;1),"Invalid current plan ref",IF(AND(D295="Executing",F295=""),"Execution lacks plan",IF(AND(D295="Closed",OR(T295="",COUNTIFS('Reviews'!$B$7:$B$306,A295)=0,COUNTIFS('Update log'!$B$7:$B$306,A295)=0)),"Closure docs missing","Basic records complete"))))))</x:f>
      </x:c>
      <x:c r="S295" s="3"/>
      <x:c r="T295" s="3"/>
    </x:row>
    <x:row r="296" ht="25" customHeight="1">
      <x:c r="A296" s="3"/>
      <x:c r="B296" s="3"/>
      <x:c r="C296" s="3"/>
      <x:c r="D296" s="3"/>
      <x:c r="E296" s="3"/>
      <x:c r="F296" s="3"/>
      <x:c r="G296" s="3"/>
      <x:c r="H296" s="3"/>
      <x:c r="I296" s="20"/>
      <x:c r="J296" s="3"/>
      <x:c r="K296" s="22"/>
      <x:c r="L296" s="22"/>
      <x:c r="M296" s="24" t="str">
        <x:f>IF(A296="","",IF(COUNTIFS('Execution log'!$B$7:$B$306,A296)=0,"",IF(COUNTIFS('Execution log'!$B$7:$B$306,A296,'Execution log'!$L$7:$L$306,"Valid",'Execution log'!$P$7:$P$306,"&lt;&gt;Valid input")&gt;0,"To check",IF(COUNTIFS('Execution log'!$B$7:$B$306,A296,'Execution log'!$P$7:$P$306,"Valid input")=0,"",SUMIFS('Execution log'!$H$7:$H$306,'Execution log'!$B$7:$B$306,A296,'Execution log'!$P$7:$P$306,"Valid input")))))</x:f>
      </x:c>
      <x:c r="N296" s="24" t="str">
        <x:f>IF(A296="","",IF(COUNTIFS('Execution log'!$B$7:$B$306,A296)=0,"",IF(COUNTIFS('Execution log'!$B$7:$B$306,A296,'Execution log'!$L$7:$L$306,"Valid",'Execution log'!$P$7:$P$306,"&lt;&gt;Valid input")&gt;0,"To check",IF(COUNTIFS('Execution log'!$B$7:$B$306,A296,'Execution log'!$P$7:$P$306,"Valid input")=0,"",SUMIFS('Execution log'!$J$7:$J$306,'Execution log'!$B$7:$B$306,A296,'Execution log'!$P$7:$P$306,"Valid input")))))</x:f>
      </x:c>
      <x:c r="O296" s="24" t="str">
        <x:f>IF(A296="","",IF(NOT(ISNUMBER(K296)),"Budget TBD",IF(NOT(ISNUMBER(M296)),"No valid entries yet",K296-M296)))</x:f>
      </x:c>
      <x:c r="P296" s="24" t="str">
        <x:f>IF(A296="","",IF(NOT(ISNUMBER(L296)),"Budget TBD",IF(NOT(ISNUMBER(N296)),"No valid entries yet",L296-N296)))</x:f>
      </x:c>
      <x:c r="Q296" s="19" t="str">
        <x:f>IF(A296="","",IF(D296="Closed","Closed",IF(NOT(ISNUMBER(I296)),"Review date TBD",IF(NOT(ISNUMBER($B$3)),"Evaluation date TBD",IF(I296&lt;=$B$3,"Review due","Not due")))))</x:f>
      </x:c>
      <x:c r="R296" s="19" t="str">
        <x:f>IF(A296="","",IF(COUNTIFS($A$7:$A$306,A296)&lt;&gt;1,"Duplicate case ID",IF(OR(B296="",C296="",D296="",G296="",S296=""),"Basic info missing",IF(AND(F296&lt;&gt;"",COUNTIFS('Plan versions'!$A$7:$A$306,F296,'Plan versions'!$B$7:$B$306,A296,'Plan versions'!$L$7:$L$306,"Frozen")&lt;&gt;1),"Invalid current plan ref",IF(AND(D296="Executing",F296=""),"Execution lacks plan",IF(AND(D296="Closed",OR(T296="",COUNTIFS('Reviews'!$B$7:$B$306,A296)=0,COUNTIFS('Update log'!$B$7:$B$306,A296)=0)),"Closure docs missing","Basic records complete"))))))</x:f>
      </x:c>
      <x:c r="S296" s="3"/>
      <x:c r="T296" s="3"/>
    </x:row>
    <x:row r="297" ht="25" customHeight="1">
      <x:c r="A297" s="3"/>
      <x:c r="B297" s="3"/>
      <x:c r="C297" s="3"/>
      <x:c r="D297" s="3"/>
      <x:c r="E297" s="3"/>
      <x:c r="F297" s="3"/>
      <x:c r="G297" s="3"/>
      <x:c r="H297" s="3"/>
      <x:c r="I297" s="20"/>
      <x:c r="J297" s="3"/>
      <x:c r="K297" s="22"/>
      <x:c r="L297" s="22"/>
      <x:c r="M297" s="24" t="str">
        <x:f>IF(A297="","",IF(COUNTIFS('Execution log'!$B$7:$B$306,A297)=0,"",IF(COUNTIFS('Execution log'!$B$7:$B$306,A297,'Execution log'!$L$7:$L$306,"Valid",'Execution log'!$P$7:$P$306,"&lt;&gt;Valid input")&gt;0,"To check",IF(COUNTIFS('Execution log'!$B$7:$B$306,A297,'Execution log'!$P$7:$P$306,"Valid input")=0,"",SUMIFS('Execution log'!$H$7:$H$306,'Execution log'!$B$7:$B$306,A297,'Execution log'!$P$7:$P$306,"Valid input")))))</x:f>
      </x:c>
      <x:c r="N297" s="24" t="str">
        <x:f>IF(A297="","",IF(COUNTIFS('Execution log'!$B$7:$B$306,A297)=0,"",IF(COUNTIFS('Execution log'!$B$7:$B$306,A297,'Execution log'!$L$7:$L$306,"Valid",'Execution log'!$P$7:$P$306,"&lt;&gt;Valid input")&gt;0,"To check",IF(COUNTIFS('Execution log'!$B$7:$B$306,A297,'Execution log'!$P$7:$P$306,"Valid input")=0,"",SUMIFS('Execution log'!$J$7:$J$306,'Execution log'!$B$7:$B$306,A297,'Execution log'!$P$7:$P$306,"Valid input")))))</x:f>
      </x:c>
      <x:c r="O297" s="24" t="str">
        <x:f>IF(A297="","",IF(NOT(ISNUMBER(K297)),"Budget TBD",IF(NOT(ISNUMBER(M297)),"No valid entries yet",K297-M297)))</x:f>
      </x:c>
      <x:c r="P297" s="24" t="str">
        <x:f>IF(A297="","",IF(NOT(ISNUMBER(L297)),"Budget TBD",IF(NOT(ISNUMBER(N297)),"No valid entries yet",L297-N297)))</x:f>
      </x:c>
      <x:c r="Q297" s="19" t="str">
        <x:f>IF(A297="","",IF(D297="Closed","Closed",IF(NOT(ISNUMBER(I297)),"Review date TBD",IF(NOT(ISNUMBER($B$3)),"Evaluation date TBD",IF(I297&lt;=$B$3,"Review due","Not due")))))</x:f>
      </x:c>
      <x:c r="R297" s="19" t="str">
        <x:f>IF(A297="","",IF(COUNTIFS($A$7:$A$306,A297)&lt;&gt;1,"Duplicate case ID",IF(OR(B297="",C297="",D297="",G297="",S297=""),"Basic info missing",IF(AND(F297&lt;&gt;"",COUNTIFS('Plan versions'!$A$7:$A$306,F297,'Plan versions'!$B$7:$B$306,A297,'Plan versions'!$L$7:$L$306,"Frozen")&lt;&gt;1),"Invalid current plan ref",IF(AND(D297="Executing",F297=""),"Execution lacks plan",IF(AND(D297="Closed",OR(T297="",COUNTIFS('Reviews'!$B$7:$B$306,A297)=0,COUNTIFS('Update log'!$B$7:$B$306,A297)=0)),"Closure docs missing","Basic records complete"))))))</x:f>
      </x:c>
      <x:c r="S297" s="3"/>
      <x:c r="T297" s="3"/>
    </x:row>
    <x:row r="298" ht="25" customHeight="1">
      <x:c r="A298" s="3"/>
      <x:c r="B298" s="3"/>
      <x:c r="C298" s="3"/>
      <x:c r="D298" s="3"/>
      <x:c r="E298" s="3"/>
      <x:c r="F298" s="3"/>
      <x:c r="G298" s="3"/>
      <x:c r="H298" s="3"/>
      <x:c r="I298" s="20"/>
      <x:c r="J298" s="3"/>
      <x:c r="K298" s="22"/>
      <x:c r="L298" s="22"/>
      <x:c r="M298" s="24" t="str">
        <x:f>IF(A298="","",IF(COUNTIFS('Execution log'!$B$7:$B$306,A298)=0,"",IF(COUNTIFS('Execution log'!$B$7:$B$306,A298,'Execution log'!$L$7:$L$306,"Valid",'Execution log'!$P$7:$P$306,"&lt;&gt;Valid input")&gt;0,"To check",IF(COUNTIFS('Execution log'!$B$7:$B$306,A298,'Execution log'!$P$7:$P$306,"Valid input")=0,"",SUMIFS('Execution log'!$H$7:$H$306,'Execution log'!$B$7:$B$306,A298,'Execution log'!$P$7:$P$306,"Valid input")))))</x:f>
      </x:c>
      <x:c r="N298" s="24" t="str">
        <x:f>IF(A298="","",IF(COUNTIFS('Execution log'!$B$7:$B$306,A298)=0,"",IF(COUNTIFS('Execution log'!$B$7:$B$306,A298,'Execution log'!$L$7:$L$306,"Valid",'Execution log'!$P$7:$P$306,"&lt;&gt;Valid input")&gt;0,"To check",IF(COUNTIFS('Execution log'!$B$7:$B$306,A298,'Execution log'!$P$7:$P$306,"Valid input")=0,"",SUMIFS('Execution log'!$J$7:$J$306,'Execution log'!$B$7:$B$306,A298,'Execution log'!$P$7:$P$306,"Valid input")))))</x:f>
      </x:c>
      <x:c r="O298" s="24" t="str">
        <x:f>IF(A298="","",IF(NOT(ISNUMBER(K298)),"Budget TBD",IF(NOT(ISNUMBER(M298)),"No valid entries yet",K298-M298)))</x:f>
      </x:c>
      <x:c r="P298" s="24" t="str">
        <x:f>IF(A298="","",IF(NOT(ISNUMBER(L298)),"Budget TBD",IF(NOT(ISNUMBER(N298)),"No valid entries yet",L298-N298)))</x:f>
      </x:c>
      <x:c r="Q298" s="19" t="str">
        <x:f>IF(A298="","",IF(D298="Closed","Closed",IF(NOT(ISNUMBER(I298)),"Review date TBD",IF(NOT(ISNUMBER($B$3)),"Evaluation date TBD",IF(I298&lt;=$B$3,"Review due","Not due")))))</x:f>
      </x:c>
      <x:c r="R298" s="19" t="str">
        <x:f>IF(A298="","",IF(COUNTIFS($A$7:$A$306,A298)&lt;&gt;1,"Duplicate case ID",IF(OR(B298="",C298="",D298="",G298="",S298=""),"Basic info missing",IF(AND(F298&lt;&gt;"",COUNTIFS('Plan versions'!$A$7:$A$306,F298,'Plan versions'!$B$7:$B$306,A298,'Plan versions'!$L$7:$L$306,"Frozen")&lt;&gt;1),"Invalid current plan ref",IF(AND(D298="Executing",F298=""),"Execution lacks plan",IF(AND(D298="Closed",OR(T298="",COUNTIFS('Reviews'!$B$7:$B$306,A298)=0,COUNTIFS('Update log'!$B$7:$B$306,A298)=0)),"Closure docs missing","Basic records complete"))))))</x:f>
      </x:c>
      <x:c r="S298" s="3"/>
      <x:c r="T298" s="3"/>
    </x:row>
    <x:row r="299" ht="25" customHeight="1">
      <x:c r="A299" s="3"/>
      <x:c r="B299" s="3"/>
      <x:c r="C299" s="3"/>
      <x:c r="D299" s="3"/>
      <x:c r="E299" s="3"/>
      <x:c r="F299" s="3"/>
      <x:c r="G299" s="3"/>
      <x:c r="H299" s="3"/>
      <x:c r="I299" s="20"/>
      <x:c r="J299" s="3"/>
      <x:c r="K299" s="22"/>
      <x:c r="L299" s="22"/>
      <x:c r="M299" s="24" t="str">
        <x:f>IF(A299="","",IF(COUNTIFS('Execution log'!$B$7:$B$306,A299)=0,"",IF(COUNTIFS('Execution log'!$B$7:$B$306,A299,'Execution log'!$L$7:$L$306,"Valid",'Execution log'!$P$7:$P$306,"&lt;&gt;Valid input")&gt;0,"To check",IF(COUNTIFS('Execution log'!$B$7:$B$306,A299,'Execution log'!$P$7:$P$306,"Valid input")=0,"",SUMIFS('Execution log'!$H$7:$H$306,'Execution log'!$B$7:$B$306,A299,'Execution log'!$P$7:$P$306,"Valid input")))))</x:f>
      </x:c>
      <x:c r="N299" s="24" t="str">
        <x:f>IF(A299="","",IF(COUNTIFS('Execution log'!$B$7:$B$306,A299)=0,"",IF(COUNTIFS('Execution log'!$B$7:$B$306,A299,'Execution log'!$L$7:$L$306,"Valid",'Execution log'!$P$7:$P$306,"&lt;&gt;Valid input")&gt;0,"To check",IF(COUNTIFS('Execution log'!$B$7:$B$306,A299,'Execution log'!$P$7:$P$306,"Valid input")=0,"",SUMIFS('Execution log'!$J$7:$J$306,'Execution log'!$B$7:$B$306,A299,'Execution log'!$P$7:$P$306,"Valid input")))))</x:f>
      </x:c>
      <x:c r="O299" s="24" t="str">
        <x:f>IF(A299="","",IF(NOT(ISNUMBER(K299)),"Budget TBD",IF(NOT(ISNUMBER(M299)),"No valid entries yet",K299-M299)))</x:f>
      </x:c>
      <x:c r="P299" s="24" t="str">
        <x:f>IF(A299="","",IF(NOT(ISNUMBER(L299)),"Budget TBD",IF(NOT(ISNUMBER(N299)),"No valid entries yet",L299-N299)))</x:f>
      </x:c>
      <x:c r="Q299" s="19" t="str">
        <x:f>IF(A299="","",IF(D299="Closed","Closed",IF(NOT(ISNUMBER(I299)),"Review date TBD",IF(NOT(ISNUMBER($B$3)),"Evaluation date TBD",IF(I299&lt;=$B$3,"Review due","Not due")))))</x:f>
      </x:c>
      <x:c r="R299" s="19" t="str">
        <x:f>IF(A299="","",IF(COUNTIFS($A$7:$A$306,A299)&lt;&gt;1,"Duplicate case ID",IF(OR(B299="",C299="",D299="",G299="",S299=""),"Basic info missing",IF(AND(F299&lt;&gt;"",COUNTIFS('Plan versions'!$A$7:$A$306,F299,'Plan versions'!$B$7:$B$306,A299,'Plan versions'!$L$7:$L$306,"Frozen")&lt;&gt;1),"Invalid current plan ref",IF(AND(D299="Executing",F299=""),"Execution lacks plan",IF(AND(D299="Closed",OR(T299="",COUNTIFS('Reviews'!$B$7:$B$306,A299)=0,COUNTIFS('Update log'!$B$7:$B$306,A299)=0)),"Closure docs missing","Basic records complete"))))))</x:f>
      </x:c>
      <x:c r="S299" s="3"/>
      <x:c r="T299" s="3"/>
    </x:row>
    <x:row r="300" ht="25" customHeight="1">
      <x:c r="A300" s="3"/>
      <x:c r="B300" s="3"/>
      <x:c r="C300" s="3"/>
      <x:c r="D300" s="3"/>
      <x:c r="E300" s="3"/>
      <x:c r="F300" s="3"/>
      <x:c r="G300" s="3"/>
      <x:c r="H300" s="3"/>
      <x:c r="I300" s="20"/>
      <x:c r="J300" s="3"/>
      <x:c r="K300" s="22"/>
      <x:c r="L300" s="22"/>
      <x:c r="M300" s="24" t="str">
        <x:f>IF(A300="","",IF(COUNTIFS('Execution log'!$B$7:$B$306,A300)=0,"",IF(COUNTIFS('Execution log'!$B$7:$B$306,A300,'Execution log'!$L$7:$L$306,"Valid",'Execution log'!$P$7:$P$306,"&lt;&gt;Valid input")&gt;0,"To check",IF(COUNTIFS('Execution log'!$B$7:$B$306,A300,'Execution log'!$P$7:$P$306,"Valid input")=0,"",SUMIFS('Execution log'!$H$7:$H$306,'Execution log'!$B$7:$B$306,A300,'Execution log'!$P$7:$P$306,"Valid input")))))</x:f>
      </x:c>
      <x:c r="N300" s="24" t="str">
        <x:f>IF(A300="","",IF(COUNTIFS('Execution log'!$B$7:$B$306,A300)=0,"",IF(COUNTIFS('Execution log'!$B$7:$B$306,A300,'Execution log'!$L$7:$L$306,"Valid",'Execution log'!$P$7:$P$306,"&lt;&gt;Valid input")&gt;0,"To check",IF(COUNTIFS('Execution log'!$B$7:$B$306,A300,'Execution log'!$P$7:$P$306,"Valid input")=0,"",SUMIFS('Execution log'!$J$7:$J$306,'Execution log'!$B$7:$B$306,A300,'Execution log'!$P$7:$P$306,"Valid input")))))</x:f>
      </x:c>
      <x:c r="O300" s="24" t="str">
        <x:f>IF(A300="","",IF(NOT(ISNUMBER(K300)),"Budget TBD",IF(NOT(ISNUMBER(M300)),"No valid entries yet",K300-M300)))</x:f>
      </x:c>
      <x:c r="P300" s="24" t="str">
        <x:f>IF(A300="","",IF(NOT(ISNUMBER(L300)),"Budget TBD",IF(NOT(ISNUMBER(N300)),"No valid entries yet",L300-N300)))</x:f>
      </x:c>
      <x:c r="Q300" s="19" t="str">
        <x:f>IF(A300="","",IF(D300="Closed","Closed",IF(NOT(ISNUMBER(I300)),"Review date TBD",IF(NOT(ISNUMBER($B$3)),"Evaluation date TBD",IF(I300&lt;=$B$3,"Review due","Not due")))))</x:f>
      </x:c>
      <x:c r="R300" s="19" t="str">
        <x:f>IF(A300="","",IF(COUNTIFS($A$7:$A$306,A300)&lt;&gt;1,"Duplicate case ID",IF(OR(B300="",C300="",D300="",G300="",S300=""),"Basic info missing",IF(AND(F300&lt;&gt;"",COUNTIFS('Plan versions'!$A$7:$A$306,F300,'Plan versions'!$B$7:$B$306,A300,'Plan versions'!$L$7:$L$306,"Frozen")&lt;&gt;1),"Invalid current plan ref",IF(AND(D300="Executing",F300=""),"Execution lacks plan",IF(AND(D300="Closed",OR(T300="",COUNTIFS('Reviews'!$B$7:$B$306,A300)=0,COUNTIFS('Update log'!$B$7:$B$306,A300)=0)),"Closure docs missing","Basic records complete"))))))</x:f>
      </x:c>
      <x:c r="S300" s="3"/>
      <x:c r="T300" s="3"/>
    </x:row>
    <x:row r="301" ht="25" customHeight="1">
      <x:c r="A301" s="3"/>
      <x:c r="B301" s="3"/>
      <x:c r="C301" s="3"/>
      <x:c r="D301" s="3"/>
      <x:c r="E301" s="3"/>
      <x:c r="F301" s="3"/>
      <x:c r="G301" s="3"/>
      <x:c r="H301" s="3"/>
      <x:c r="I301" s="20"/>
      <x:c r="J301" s="3"/>
      <x:c r="K301" s="22"/>
      <x:c r="L301" s="22"/>
      <x:c r="M301" s="24" t="str">
        <x:f>IF(A301="","",IF(COUNTIFS('Execution log'!$B$7:$B$306,A301)=0,"",IF(COUNTIFS('Execution log'!$B$7:$B$306,A301,'Execution log'!$L$7:$L$306,"Valid",'Execution log'!$P$7:$P$306,"&lt;&gt;Valid input")&gt;0,"To check",IF(COUNTIFS('Execution log'!$B$7:$B$306,A301,'Execution log'!$P$7:$P$306,"Valid input")=0,"",SUMIFS('Execution log'!$H$7:$H$306,'Execution log'!$B$7:$B$306,A301,'Execution log'!$P$7:$P$306,"Valid input")))))</x:f>
      </x:c>
      <x:c r="N301" s="24" t="str">
        <x:f>IF(A301="","",IF(COUNTIFS('Execution log'!$B$7:$B$306,A301)=0,"",IF(COUNTIFS('Execution log'!$B$7:$B$306,A301,'Execution log'!$L$7:$L$306,"Valid",'Execution log'!$P$7:$P$306,"&lt;&gt;Valid input")&gt;0,"To check",IF(COUNTIFS('Execution log'!$B$7:$B$306,A301,'Execution log'!$P$7:$P$306,"Valid input")=0,"",SUMIFS('Execution log'!$J$7:$J$306,'Execution log'!$B$7:$B$306,A301,'Execution log'!$P$7:$P$306,"Valid input")))))</x:f>
      </x:c>
      <x:c r="O301" s="24" t="str">
        <x:f>IF(A301="","",IF(NOT(ISNUMBER(K301)),"Budget TBD",IF(NOT(ISNUMBER(M301)),"No valid entries yet",K301-M301)))</x:f>
      </x:c>
      <x:c r="P301" s="24" t="str">
        <x:f>IF(A301="","",IF(NOT(ISNUMBER(L301)),"Budget TBD",IF(NOT(ISNUMBER(N301)),"No valid entries yet",L301-N301)))</x:f>
      </x:c>
      <x:c r="Q301" s="19" t="str">
        <x:f>IF(A301="","",IF(D301="Closed","Closed",IF(NOT(ISNUMBER(I301)),"Review date TBD",IF(NOT(ISNUMBER($B$3)),"Evaluation date TBD",IF(I301&lt;=$B$3,"Review due","Not due")))))</x:f>
      </x:c>
      <x:c r="R301" s="19" t="str">
        <x:f>IF(A301="","",IF(COUNTIFS($A$7:$A$306,A301)&lt;&gt;1,"Duplicate case ID",IF(OR(B301="",C301="",D301="",G301="",S301=""),"Basic info missing",IF(AND(F301&lt;&gt;"",COUNTIFS('Plan versions'!$A$7:$A$306,F301,'Plan versions'!$B$7:$B$306,A301,'Plan versions'!$L$7:$L$306,"Frozen")&lt;&gt;1),"Invalid current plan ref",IF(AND(D301="Executing",F301=""),"Execution lacks plan",IF(AND(D301="Closed",OR(T301="",COUNTIFS('Reviews'!$B$7:$B$306,A301)=0,COUNTIFS('Update log'!$B$7:$B$306,A301)=0)),"Closure docs missing","Basic records complete"))))))</x:f>
      </x:c>
      <x:c r="S301" s="3"/>
      <x:c r="T301" s="3"/>
    </x:row>
    <x:row r="302" ht="25" customHeight="1">
      <x:c r="A302" s="3"/>
      <x:c r="B302" s="3"/>
      <x:c r="C302" s="3"/>
      <x:c r="D302" s="3"/>
      <x:c r="E302" s="3"/>
      <x:c r="F302" s="3"/>
      <x:c r="G302" s="3"/>
      <x:c r="H302" s="3"/>
      <x:c r="I302" s="20"/>
      <x:c r="J302" s="3"/>
      <x:c r="K302" s="22"/>
      <x:c r="L302" s="22"/>
      <x:c r="M302" s="24" t="str">
        <x:f>IF(A302="","",IF(COUNTIFS('Execution log'!$B$7:$B$306,A302)=0,"",IF(COUNTIFS('Execution log'!$B$7:$B$306,A302,'Execution log'!$L$7:$L$306,"Valid",'Execution log'!$P$7:$P$306,"&lt;&gt;Valid input")&gt;0,"To check",IF(COUNTIFS('Execution log'!$B$7:$B$306,A302,'Execution log'!$P$7:$P$306,"Valid input")=0,"",SUMIFS('Execution log'!$H$7:$H$306,'Execution log'!$B$7:$B$306,A302,'Execution log'!$P$7:$P$306,"Valid input")))))</x:f>
      </x:c>
      <x:c r="N302" s="24" t="str">
        <x:f>IF(A302="","",IF(COUNTIFS('Execution log'!$B$7:$B$306,A302)=0,"",IF(COUNTIFS('Execution log'!$B$7:$B$306,A302,'Execution log'!$L$7:$L$306,"Valid",'Execution log'!$P$7:$P$306,"&lt;&gt;Valid input")&gt;0,"To check",IF(COUNTIFS('Execution log'!$B$7:$B$306,A302,'Execution log'!$P$7:$P$306,"Valid input")=0,"",SUMIFS('Execution log'!$J$7:$J$306,'Execution log'!$B$7:$B$306,A302,'Execution log'!$P$7:$P$306,"Valid input")))))</x:f>
      </x:c>
      <x:c r="O302" s="24" t="str">
        <x:f>IF(A302="","",IF(NOT(ISNUMBER(K302)),"Budget TBD",IF(NOT(ISNUMBER(M302)),"No valid entries yet",K302-M302)))</x:f>
      </x:c>
      <x:c r="P302" s="24" t="str">
        <x:f>IF(A302="","",IF(NOT(ISNUMBER(L302)),"Budget TBD",IF(NOT(ISNUMBER(N302)),"No valid entries yet",L302-N302)))</x:f>
      </x:c>
      <x:c r="Q302" s="19" t="str">
        <x:f>IF(A302="","",IF(D302="Closed","Closed",IF(NOT(ISNUMBER(I302)),"Review date TBD",IF(NOT(ISNUMBER($B$3)),"Evaluation date TBD",IF(I302&lt;=$B$3,"Review due","Not due")))))</x:f>
      </x:c>
      <x:c r="R302" s="19" t="str">
        <x:f>IF(A302="","",IF(COUNTIFS($A$7:$A$306,A302)&lt;&gt;1,"Duplicate case ID",IF(OR(B302="",C302="",D302="",G302="",S302=""),"Basic info missing",IF(AND(F302&lt;&gt;"",COUNTIFS('Plan versions'!$A$7:$A$306,F302,'Plan versions'!$B$7:$B$306,A302,'Plan versions'!$L$7:$L$306,"Frozen")&lt;&gt;1),"Invalid current plan ref",IF(AND(D302="Executing",F302=""),"Execution lacks plan",IF(AND(D302="Closed",OR(T302="",COUNTIFS('Reviews'!$B$7:$B$306,A302)=0,COUNTIFS('Update log'!$B$7:$B$306,A302)=0)),"Closure docs missing","Basic records complete"))))))</x:f>
      </x:c>
      <x:c r="S302" s="3"/>
      <x:c r="T302" s="3"/>
    </x:row>
    <x:row r="303" ht="25" customHeight="1">
      <x:c r="A303" s="3"/>
      <x:c r="B303" s="3"/>
      <x:c r="C303" s="3"/>
      <x:c r="D303" s="3"/>
      <x:c r="E303" s="3"/>
      <x:c r="F303" s="3"/>
      <x:c r="G303" s="3"/>
      <x:c r="H303" s="3"/>
      <x:c r="I303" s="20"/>
      <x:c r="J303" s="3"/>
      <x:c r="K303" s="22"/>
      <x:c r="L303" s="22"/>
      <x:c r="M303" s="24" t="str">
        <x:f>IF(A303="","",IF(COUNTIFS('Execution log'!$B$7:$B$306,A303)=0,"",IF(COUNTIFS('Execution log'!$B$7:$B$306,A303,'Execution log'!$L$7:$L$306,"Valid",'Execution log'!$P$7:$P$306,"&lt;&gt;Valid input")&gt;0,"To check",IF(COUNTIFS('Execution log'!$B$7:$B$306,A303,'Execution log'!$P$7:$P$306,"Valid input")=0,"",SUMIFS('Execution log'!$H$7:$H$306,'Execution log'!$B$7:$B$306,A303,'Execution log'!$P$7:$P$306,"Valid input")))))</x:f>
      </x:c>
      <x:c r="N303" s="24" t="str">
        <x:f>IF(A303="","",IF(COUNTIFS('Execution log'!$B$7:$B$306,A303)=0,"",IF(COUNTIFS('Execution log'!$B$7:$B$306,A303,'Execution log'!$L$7:$L$306,"Valid",'Execution log'!$P$7:$P$306,"&lt;&gt;Valid input")&gt;0,"To check",IF(COUNTIFS('Execution log'!$B$7:$B$306,A303,'Execution log'!$P$7:$P$306,"Valid input")=0,"",SUMIFS('Execution log'!$J$7:$J$306,'Execution log'!$B$7:$B$306,A303,'Execution log'!$P$7:$P$306,"Valid input")))))</x:f>
      </x:c>
      <x:c r="O303" s="24" t="str">
        <x:f>IF(A303="","",IF(NOT(ISNUMBER(K303)),"Budget TBD",IF(NOT(ISNUMBER(M303)),"No valid entries yet",K303-M303)))</x:f>
      </x:c>
      <x:c r="P303" s="24" t="str">
        <x:f>IF(A303="","",IF(NOT(ISNUMBER(L303)),"Budget TBD",IF(NOT(ISNUMBER(N303)),"No valid entries yet",L303-N303)))</x:f>
      </x:c>
      <x:c r="Q303" s="19" t="str">
        <x:f>IF(A303="","",IF(D303="Closed","Closed",IF(NOT(ISNUMBER(I303)),"Review date TBD",IF(NOT(ISNUMBER($B$3)),"Evaluation date TBD",IF(I303&lt;=$B$3,"Review due","Not due")))))</x:f>
      </x:c>
      <x:c r="R303" s="19" t="str">
        <x:f>IF(A303="","",IF(COUNTIFS($A$7:$A$306,A303)&lt;&gt;1,"Duplicate case ID",IF(OR(B303="",C303="",D303="",G303="",S303=""),"Basic info missing",IF(AND(F303&lt;&gt;"",COUNTIFS('Plan versions'!$A$7:$A$306,F303,'Plan versions'!$B$7:$B$306,A303,'Plan versions'!$L$7:$L$306,"Frozen")&lt;&gt;1),"Invalid current plan ref",IF(AND(D303="Executing",F303=""),"Execution lacks plan",IF(AND(D303="Closed",OR(T303="",COUNTIFS('Reviews'!$B$7:$B$306,A303)=0,COUNTIFS('Update log'!$B$7:$B$306,A303)=0)),"Closure docs missing","Basic records complete"))))))</x:f>
      </x:c>
      <x:c r="S303" s="3"/>
      <x:c r="T303" s="3"/>
    </x:row>
    <x:row r="304" ht="25" customHeight="1">
      <x:c r="A304" s="3"/>
      <x:c r="B304" s="3"/>
      <x:c r="C304" s="3"/>
      <x:c r="D304" s="3"/>
      <x:c r="E304" s="3"/>
      <x:c r="F304" s="3"/>
      <x:c r="G304" s="3"/>
      <x:c r="H304" s="3"/>
      <x:c r="I304" s="20"/>
      <x:c r="J304" s="3"/>
      <x:c r="K304" s="22"/>
      <x:c r="L304" s="22"/>
      <x:c r="M304" s="24" t="str">
        <x:f>IF(A304="","",IF(COUNTIFS('Execution log'!$B$7:$B$306,A304)=0,"",IF(COUNTIFS('Execution log'!$B$7:$B$306,A304,'Execution log'!$L$7:$L$306,"Valid",'Execution log'!$P$7:$P$306,"&lt;&gt;Valid input")&gt;0,"To check",IF(COUNTIFS('Execution log'!$B$7:$B$306,A304,'Execution log'!$P$7:$P$306,"Valid input")=0,"",SUMIFS('Execution log'!$H$7:$H$306,'Execution log'!$B$7:$B$306,A304,'Execution log'!$P$7:$P$306,"Valid input")))))</x:f>
      </x:c>
      <x:c r="N304" s="24" t="str">
        <x:f>IF(A304="","",IF(COUNTIFS('Execution log'!$B$7:$B$306,A304)=0,"",IF(COUNTIFS('Execution log'!$B$7:$B$306,A304,'Execution log'!$L$7:$L$306,"Valid",'Execution log'!$P$7:$P$306,"&lt;&gt;Valid input")&gt;0,"To check",IF(COUNTIFS('Execution log'!$B$7:$B$306,A304,'Execution log'!$P$7:$P$306,"Valid input")=0,"",SUMIFS('Execution log'!$J$7:$J$306,'Execution log'!$B$7:$B$306,A304,'Execution log'!$P$7:$P$306,"Valid input")))))</x:f>
      </x:c>
      <x:c r="O304" s="24" t="str">
        <x:f>IF(A304="","",IF(NOT(ISNUMBER(K304)),"Budget TBD",IF(NOT(ISNUMBER(M304)),"No valid entries yet",K304-M304)))</x:f>
      </x:c>
      <x:c r="P304" s="24" t="str">
        <x:f>IF(A304="","",IF(NOT(ISNUMBER(L304)),"Budget TBD",IF(NOT(ISNUMBER(N304)),"No valid entries yet",L304-N304)))</x:f>
      </x:c>
      <x:c r="Q304" s="19" t="str">
        <x:f>IF(A304="","",IF(D304="Closed","Closed",IF(NOT(ISNUMBER(I304)),"Review date TBD",IF(NOT(ISNUMBER($B$3)),"Evaluation date TBD",IF(I304&lt;=$B$3,"Review due","Not due")))))</x:f>
      </x:c>
      <x:c r="R304" s="19" t="str">
        <x:f>IF(A304="","",IF(COUNTIFS($A$7:$A$306,A304)&lt;&gt;1,"Duplicate case ID",IF(OR(B304="",C304="",D304="",G304="",S304=""),"Basic info missing",IF(AND(F304&lt;&gt;"",COUNTIFS('Plan versions'!$A$7:$A$306,F304,'Plan versions'!$B$7:$B$306,A304,'Plan versions'!$L$7:$L$306,"Frozen")&lt;&gt;1),"Invalid current plan ref",IF(AND(D304="Executing",F304=""),"Execution lacks plan",IF(AND(D304="Closed",OR(T304="",COUNTIFS('Reviews'!$B$7:$B$306,A304)=0,COUNTIFS('Update log'!$B$7:$B$306,A304)=0)),"Closure docs missing","Basic records complete"))))))</x:f>
      </x:c>
      <x:c r="S304" s="3"/>
      <x:c r="T304" s="3"/>
    </x:row>
    <x:row r="305" ht="25" customHeight="1">
      <x:c r="A305" s="3"/>
      <x:c r="B305" s="3"/>
      <x:c r="C305" s="3"/>
      <x:c r="D305" s="3"/>
      <x:c r="E305" s="3"/>
      <x:c r="F305" s="3"/>
      <x:c r="G305" s="3"/>
      <x:c r="H305" s="3"/>
      <x:c r="I305" s="20"/>
      <x:c r="J305" s="3"/>
      <x:c r="K305" s="22"/>
      <x:c r="L305" s="22"/>
      <x:c r="M305" s="24" t="str">
        <x:f>IF(A305="","",IF(COUNTIFS('Execution log'!$B$7:$B$306,A305)=0,"",IF(COUNTIFS('Execution log'!$B$7:$B$306,A305,'Execution log'!$L$7:$L$306,"Valid",'Execution log'!$P$7:$P$306,"&lt;&gt;Valid input")&gt;0,"To check",IF(COUNTIFS('Execution log'!$B$7:$B$306,A305,'Execution log'!$P$7:$P$306,"Valid input")=0,"",SUMIFS('Execution log'!$H$7:$H$306,'Execution log'!$B$7:$B$306,A305,'Execution log'!$P$7:$P$306,"Valid input")))))</x:f>
      </x:c>
      <x:c r="N305" s="24" t="str">
        <x:f>IF(A305="","",IF(COUNTIFS('Execution log'!$B$7:$B$306,A305)=0,"",IF(COUNTIFS('Execution log'!$B$7:$B$306,A305,'Execution log'!$L$7:$L$306,"Valid",'Execution log'!$P$7:$P$306,"&lt;&gt;Valid input")&gt;0,"To check",IF(COUNTIFS('Execution log'!$B$7:$B$306,A305,'Execution log'!$P$7:$P$306,"Valid input")=0,"",SUMIFS('Execution log'!$J$7:$J$306,'Execution log'!$B$7:$B$306,A305,'Execution log'!$P$7:$P$306,"Valid input")))))</x:f>
      </x:c>
      <x:c r="O305" s="24" t="str">
        <x:f>IF(A305="","",IF(NOT(ISNUMBER(K305)),"Budget TBD",IF(NOT(ISNUMBER(M305)),"No valid entries yet",K305-M305)))</x:f>
      </x:c>
      <x:c r="P305" s="24" t="str">
        <x:f>IF(A305="","",IF(NOT(ISNUMBER(L305)),"Budget TBD",IF(NOT(ISNUMBER(N305)),"No valid entries yet",L305-N305)))</x:f>
      </x:c>
      <x:c r="Q305" s="19" t="str">
        <x:f>IF(A305="","",IF(D305="Closed","Closed",IF(NOT(ISNUMBER(I305)),"Review date TBD",IF(NOT(ISNUMBER($B$3)),"Evaluation date TBD",IF(I305&lt;=$B$3,"Review due","Not due")))))</x:f>
      </x:c>
      <x:c r="R305" s="19" t="str">
        <x:f>IF(A305="","",IF(COUNTIFS($A$7:$A$306,A305)&lt;&gt;1,"Duplicate case ID",IF(OR(B305="",C305="",D305="",G305="",S305=""),"Basic info missing",IF(AND(F305&lt;&gt;"",COUNTIFS('Plan versions'!$A$7:$A$306,F305,'Plan versions'!$B$7:$B$306,A305,'Plan versions'!$L$7:$L$306,"Frozen")&lt;&gt;1),"Invalid current plan ref",IF(AND(D305="Executing",F305=""),"Execution lacks plan",IF(AND(D305="Closed",OR(T305="",COUNTIFS('Reviews'!$B$7:$B$306,A305)=0,COUNTIFS('Update log'!$B$7:$B$306,A305)=0)),"Closure docs missing","Basic records complete"))))))</x:f>
      </x:c>
      <x:c r="S305" s="3"/>
      <x:c r="T305" s="3"/>
    </x:row>
    <x:row r="306" ht="25" customHeight="1">
      <x:c r="A306" s="3"/>
      <x:c r="B306" s="3"/>
      <x:c r="C306" s="3"/>
      <x:c r="D306" s="3"/>
      <x:c r="E306" s="3"/>
      <x:c r="F306" s="3"/>
      <x:c r="G306" s="3"/>
      <x:c r="H306" s="3"/>
      <x:c r="I306" s="20"/>
      <x:c r="J306" s="3"/>
      <x:c r="K306" s="22"/>
      <x:c r="L306" s="22"/>
      <x:c r="M306" s="24" t="str">
        <x:f>IF(A306="","",IF(COUNTIFS('Execution log'!$B$7:$B$306,A306)=0,"",IF(COUNTIFS('Execution log'!$B$7:$B$306,A306,'Execution log'!$L$7:$L$306,"Valid",'Execution log'!$P$7:$P$306,"&lt;&gt;Valid input")&gt;0,"To check",IF(COUNTIFS('Execution log'!$B$7:$B$306,A306,'Execution log'!$P$7:$P$306,"Valid input")=0,"",SUMIFS('Execution log'!$H$7:$H$306,'Execution log'!$B$7:$B$306,A306,'Execution log'!$P$7:$P$306,"Valid input")))))</x:f>
      </x:c>
      <x:c r="N306" s="24" t="str">
        <x:f>IF(A306="","",IF(COUNTIFS('Execution log'!$B$7:$B$306,A306)=0,"",IF(COUNTIFS('Execution log'!$B$7:$B$306,A306,'Execution log'!$L$7:$L$306,"Valid",'Execution log'!$P$7:$P$306,"&lt;&gt;Valid input")&gt;0,"To check",IF(COUNTIFS('Execution log'!$B$7:$B$306,A306,'Execution log'!$P$7:$P$306,"Valid input")=0,"",SUMIFS('Execution log'!$J$7:$J$306,'Execution log'!$B$7:$B$306,A306,'Execution log'!$P$7:$P$306,"Valid input")))))</x:f>
      </x:c>
      <x:c r="O306" s="24" t="str">
        <x:f>IF(A306="","",IF(NOT(ISNUMBER(K306)),"Budget TBD",IF(NOT(ISNUMBER(M306)),"No valid entries yet",K306-M306)))</x:f>
      </x:c>
      <x:c r="P306" s="24" t="str">
        <x:f>IF(A306="","",IF(NOT(ISNUMBER(L306)),"Budget TBD",IF(NOT(ISNUMBER(N306)),"No valid entries yet",L306-N306)))</x:f>
      </x:c>
      <x:c r="Q306" s="19" t="str">
        <x:f>IF(A306="","",IF(D306="Closed","Closed",IF(NOT(ISNUMBER(I306)),"Review date TBD",IF(NOT(ISNUMBER($B$3)),"Evaluation date TBD",IF(I306&lt;=$B$3,"Review due","Not due")))))</x:f>
      </x:c>
      <x:c r="R306" s="19" t="str">
        <x:f>IF(A306="","",IF(COUNTIFS($A$7:$A$306,A306)&lt;&gt;1,"Duplicate case ID",IF(OR(B306="",C306="",D306="",G306="",S306=""),"Basic info missing",IF(AND(F306&lt;&gt;"",COUNTIFS('Plan versions'!$A$7:$A$306,F306,'Plan versions'!$B$7:$B$306,A306,'Plan versions'!$L$7:$L$306,"Frozen")&lt;&gt;1),"Invalid current plan ref",IF(AND(D306="Executing",F306=""),"Execution lacks plan",IF(AND(D306="Closed",OR(T306="",COUNTIFS('Reviews'!$B$7:$B$306,A306)=0,COUNTIFS('Update log'!$B$7:$B$306,A306)=0)),"Closure docs missing","Basic records complete"))))))</x:f>
      </x:c>
      <x:c r="S306" s="3"/>
      <x:c r="T306" s="3"/>
    </x:row>
  </x:sheetData>
  <x:conditionalFormatting sqref="R7:R306">
    <x:cfRule type="expression" dxfId="0" priority="1">
      <x:formula>AND($A7&lt;&gt;"",R7&lt;&gt;"Basic records complete")</x:formula>
    </x:cfRule>
  </x:conditionalFormatting>
  <x:conditionalFormatting sqref="Q7:Q306">
    <x:cfRule type="cellIs" dxfId="8" priority="2" operator="equal">
      <x:formula>"Review due"</x:formula>
    </x:cfRule>
  </x:conditionalFormatting>
  <x:dataValidations count="2">
    <x:dataValidation type="list" sqref="D7:D306">
      <x:formula1>"Awaiting analysis,Analyzing,Info missing,Awaiting decision,Executing,Awaiting observation,Review pending,Update pending,Paused,Closed"</x:formula1>
    </x:dataValidation>
    <x:dataValidation type="list" sqref="E7:E306">
      <x:formula1>"Observe,Probe,Build-up,Maintain,Scale up,Withdraw"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47cdc2d4cd47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0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  <x:col min="10" max="10" width="20" hidden="0" customWidth="1"/>
    <x:col min="11" max="11" width="20" hidden="0" customWidth="1"/>
    <x:col min="12" max="12" width="20" hidden="0" customWidth="1"/>
    <x:col min="13" max="13" width="29" hidden="0" customWidth="1"/>
    <x:col min="14" max="14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6" t="str">
        <x:v>Plan versions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5" customHeight="1">
      <x:c r="A3" s="18" t="str">
        <x:v>One row per plan version. After freezing, add a new version; the current plan is pointed to from Cases overview.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2" t="str">
        <x:v>Plan ID</x:v>
      </x:c>
      <x:c r="B6" s="13" t="str">
        <x:v>Case ID</x:v>
      </x:c>
      <x:c r="C6" s="13" t="str">
        <x:v>Parent plan ID</x:v>
      </x:c>
      <x:c r="D6" s="13" t="str">
        <x:v>Analysis ID</x:v>
      </x:c>
      <x:c r="E6" s="13" t="str">
        <x:v>Theory version</x:v>
      </x:c>
      <x:c r="F6" s="13" t="str">
        <x:v>Protocol version</x:v>
      </x:c>
      <x:c r="G6" s="13" t="str">
        <x:v>Values &amp; goals version</x:v>
      </x:c>
      <x:c r="H6" s="13" t="str">
        <x:v>Frozen at</x:v>
      </x:c>
      <x:c r="I6" s="13" t="str">
        <x:v>Effective time</x:v>
      </x:c>
      <x:c r="J6" s="13" t="str">
        <x:v>Decider</x:v>
      </x:c>
      <x:c r="K6" s="13" t="str">
        <x:v>Action phase</x:v>
      </x:c>
      <x:c r="L6" s="13" t="str">
        <x:v>Version status</x:v>
      </x:c>
      <x:c r="M6" s="13" t="str">
        <x:v>Plan file</x:v>
      </x:c>
      <x:c r="N6" s="14" t="str">
        <x:v>Input check</x:v>
      </x:c>
    </x:row>
    <x:row r="7" ht="25" customHeight="1">
      <x:c r="A7" s="3"/>
      <x:c r="B7" s="3"/>
      <x:c r="C7" s="3"/>
      <x:c r="D7" s="3"/>
      <x:c r="E7" s="3"/>
      <x:c r="F7" s="3"/>
      <x:c r="G7" s="3"/>
      <x:c r="H7" s="25"/>
      <x:c r="I7" s="25"/>
      <x:c r="J7" s="3"/>
      <x:c r="K7" s="3"/>
      <x:c r="L7" s="3"/>
      <x:c r="M7" s="3"/>
      <x:c r="N7" s="19" t="str">
        <x:f>IF(A7="","",IF(COUNTIFS('Plan versions'!$A$7:$A$306,A7)&lt;&gt;1,"Duplicate ID",IF(COUNTIFS('Cases overview'!$A$7:$A$306,B7)&lt;&gt;1,"Invalid case ref",IF(OR(D7="",E7="",F7="",G7="",L7=""),"Version info missing",IF(AND(C7&lt;&gt;"",OR(C7=A7,COUNTIFS('Plan versions'!$A$7:$A$306,C7,'Plan versions'!$B$7:$B$306,B7)&lt;&gt;1)),"Invalid parent plan ref",IF(L7="Draft","Draft not frozen",IF(OR(NOT(ISNUMBER(H7)),NOT(ISNUMBER(I7)),J7="",K7="",M7=""),"Freeze info missing",IF(I7&lt;H7,"Verify retroactive entry","Valid input"))))))))</x:f>
      </x:c>
    </x:row>
    <x:row r="8" ht="25" customHeight="1">
      <x:c r="A8" s="3"/>
      <x:c r="B8" s="3"/>
      <x:c r="C8" s="3"/>
      <x:c r="D8" s="3"/>
      <x:c r="E8" s="3"/>
      <x:c r="F8" s="3"/>
      <x:c r="G8" s="3"/>
      <x:c r="H8" s="25"/>
      <x:c r="I8" s="25"/>
      <x:c r="J8" s="3"/>
      <x:c r="K8" s="3"/>
      <x:c r="L8" s="3"/>
      <x:c r="M8" s="3"/>
      <x:c r="N8" s="19" t="str">
        <x:f>IF(A8="","",IF(COUNTIFS('Plan versions'!$A$7:$A$306,A8)&lt;&gt;1,"Duplicate ID",IF(COUNTIFS('Cases overview'!$A$7:$A$306,B8)&lt;&gt;1,"Invalid case ref",IF(OR(D8="",E8="",F8="",G8="",L8=""),"Version info missing",IF(AND(C8&lt;&gt;"",OR(C8=A8,COUNTIFS('Plan versions'!$A$7:$A$306,C8,'Plan versions'!$B$7:$B$306,B8)&lt;&gt;1)),"Invalid parent plan ref",IF(L8="Draft","Draft not frozen",IF(OR(NOT(ISNUMBER(H8)),NOT(ISNUMBER(I8)),J8="",K8="",M8=""),"Freeze info missing",IF(I8&lt;H8,"Verify retroactive entry","Valid input"))))))))</x:f>
      </x:c>
    </x:row>
    <x:row r="9" ht="25" customHeight="1">
      <x:c r="A9" s="3"/>
      <x:c r="B9" s="3"/>
      <x:c r="C9" s="3"/>
      <x:c r="D9" s="3"/>
      <x:c r="E9" s="3"/>
      <x:c r="F9" s="3"/>
      <x:c r="G9" s="3"/>
      <x:c r="H9" s="25"/>
      <x:c r="I9" s="25"/>
      <x:c r="J9" s="3"/>
      <x:c r="K9" s="3"/>
      <x:c r="L9" s="3"/>
      <x:c r="M9" s="3"/>
      <x:c r="N9" s="19" t="str">
        <x:f>IF(A9="","",IF(COUNTIFS('Plan versions'!$A$7:$A$306,A9)&lt;&gt;1,"Duplicate ID",IF(COUNTIFS('Cases overview'!$A$7:$A$306,B9)&lt;&gt;1,"Invalid case ref",IF(OR(D9="",E9="",F9="",G9="",L9=""),"Version info missing",IF(AND(C9&lt;&gt;"",OR(C9=A9,COUNTIFS('Plan versions'!$A$7:$A$306,C9,'Plan versions'!$B$7:$B$306,B9)&lt;&gt;1)),"Invalid parent plan ref",IF(L9="Draft","Draft not frozen",IF(OR(NOT(ISNUMBER(H9)),NOT(ISNUMBER(I9)),J9="",K9="",M9=""),"Freeze info missing",IF(I9&lt;H9,"Verify retroactive entry","Valid input"))))))))</x:f>
      </x:c>
    </x:row>
    <x:row r="10" ht="25" customHeight="1">
      <x:c r="A10" s="3"/>
      <x:c r="B10" s="3"/>
      <x:c r="C10" s="3"/>
      <x:c r="D10" s="3"/>
      <x:c r="E10" s="3"/>
      <x:c r="F10" s="3"/>
      <x:c r="G10" s="3"/>
      <x:c r="H10" s="25"/>
      <x:c r="I10" s="25"/>
      <x:c r="J10" s="3"/>
      <x:c r="K10" s="3"/>
      <x:c r="L10" s="3"/>
      <x:c r="M10" s="3"/>
      <x:c r="N10" s="19" t="str">
        <x:f>IF(A10="","",IF(COUNTIFS('Plan versions'!$A$7:$A$306,A10)&lt;&gt;1,"Duplicate ID",IF(COUNTIFS('Cases overview'!$A$7:$A$306,B10)&lt;&gt;1,"Invalid case ref",IF(OR(D10="",E10="",F10="",G10="",L10=""),"Version info missing",IF(AND(C10&lt;&gt;"",OR(C10=A10,COUNTIFS('Plan versions'!$A$7:$A$306,C10,'Plan versions'!$B$7:$B$306,B10)&lt;&gt;1)),"Invalid parent plan ref",IF(L10="Draft","Draft not frozen",IF(OR(NOT(ISNUMBER(H10)),NOT(ISNUMBER(I10)),J10="",K10="",M10=""),"Freeze info missing",IF(I10&lt;H10,"Verify retroactive entry","Valid input"))))))))</x:f>
      </x:c>
    </x:row>
    <x:row r="11" ht="25" customHeight="1">
      <x:c r="A11" s="3"/>
      <x:c r="B11" s="3"/>
      <x:c r="C11" s="3"/>
      <x:c r="D11" s="3"/>
      <x:c r="E11" s="3"/>
      <x:c r="F11" s="3"/>
      <x:c r="G11" s="3"/>
      <x:c r="H11" s="25"/>
      <x:c r="I11" s="25"/>
      <x:c r="J11" s="3"/>
      <x:c r="K11" s="3"/>
      <x:c r="L11" s="3"/>
      <x:c r="M11" s="3"/>
      <x:c r="N11" s="19" t="str">
        <x:f>IF(A11="","",IF(COUNTIFS('Plan versions'!$A$7:$A$306,A11)&lt;&gt;1,"Duplicate ID",IF(COUNTIFS('Cases overview'!$A$7:$A$306,B11)&lt;&gt;1,"Invalid case ref",IF(OR(D11="",E11="",F11="",G11="",L11=""),"Version info missing",IF(AND(C11&lt;&gt;"",OR(C11=A11,COUNTIFS('Plan versions'!$A$7:$A$306,C11,'Plan versions'!$B$7:$B$306,B11)&lt;&gt;1)),"Invalid parent plan ref",IF(L11="Draft","Draft not frozen",IF(OR(NOT(ISNUMBER(H11)),NOT(ISNUMBER(I11)),J11="",K11="",M11=""),"Freeze info missing",IF(I11&lt;H11,"Verify retroactive entry","Valid input"))))))))</x:f>
      </x:c>
    </x:row>
    <x:row r="12" ht="25" customHeight="1">
      <x:c r="A12" s="3"/>
      <x:c r="B12" s="3"/>
      <x:c r="C12" s="3"/>
      <x:c r="D12" s="3"/>
      <x:c r="E12" s="3"/>
      <x:c r="F12" s="3"/>
      <x:c r="G12" s="3"/>
      <x:c r="H12" s="25"/>
      <x:c r="I12" s="25"/>
      <x:c r="J12" s="3"/>
      <x:c r="K12" s="3"/>
      <x:c r="L12" s="3"/>
      <x:c r="M12" s="3"/>
      <x:c r="N12" s="19" t="str">
        <x:f>IF(A12="","",IF(COUNTIFS('Plan versions'!$A$7:$A$306,A12)&lt;&gt;1,"Duplicate ID",IF(COUNTIFS('Cases overview'!$A$7:$A$306,B12)&lt;&gt;1,"Invalid case ref",IF(OR(D12="",E12="",F12="",G12="",L12=""),"Version info missing",IF(AND(C12&lt;&gt;"",OR(C12=A12,COUNTIFS('Plan versions'!$A$7:$A$306,C12,'Plan versions'!$B$7:$B$306,B12)&lt;&gt;1)),"Invalid parent plan ref",IF(L12="Draft","Draft not frozen",IF(OR(NOT(ISNUMBER(H12)),NOT(ISNUMBER(I12)),J12="",K12="",M12=""),"Freeze info missing",IF(I12&lt;H12,"Verify retroactive entry","Valid input"))))))))</x:f>
      </x:c>
    </x:row>
    <x:row r="13" ht="25" customHeight="1">
      <x:c r="A13" s="3"/>
      <x:c r="B13" s="3"/>
      <x:c r="C13" s="3"/>
      <x:c r="D13" s="3"/>
      <x:c r="E13" s="3"/>
      <x:c r="F13" s="3"/>
      <x:c r="G13" s="3"/>
      <x:c r="H13" s="25"/>
      <x:c r="I13" s="25"/>
      <x:c r="J13" s="3"/>
      <x:c r="K13" s="3"/>
      <x:c r="L13" s="3"/>
      <x:c r="M13" s="3"/>
      <x:c r="N13" s="19" t="str">
        <x:f>IF(A13="","",IF(COUNTIFS('Plan versions'!$A$7:$A$306,A13)&lt;&gt;1,"Duplicate ID",IF(COUNTIFS('Cases overview'!$A$7:$A$306,B13)&lt;&gt;1,"Invalid case ref",IF(OR(D13="",E13="",F13="",G13="",L13=""),"Version info missing",IF(AND(C13&lt;&gt;"",OR(C13=A13,COUNTIFS('Plan versions'!$A$7:$A$306,C13,'Plan versions'!$B$7:$B$306,B13)&lt;&gt;1)),"Invalid parent plan ref",IF(L13="Draft","Draft not frozen",IF(OR(NOT(ISNUMBER(H13)),NOT(ISNUMBER(I13)),J13="",K13="",M13=""),"Freeze info missing",IF(I13&lt;H13,"Verify retroactive entry","Valid input"))))))))</x:f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25"/>
      <x:c r="I14" s="25"/>
      <x:c r="J14" s="3"/>
      <x:c r="K14" s="3"/>
      <x:c r="L14" s="3"/>
      <x:c r="M14" s="3"/>
      <x:c r="N14" s="19" t="str">
        <x:f>IF(A14="","",IF(COUNTIFS('Plan versions'!$A$7:$A$306,A14)&lt;&gt;1,"Duplicate ID",IF(COUNTIFS('Cases overview'!$A$7:$A$306,B14)&lt;&gt;1,"Invalid case ref",IF(OR(D14="",E14="",F14="",G14="",L14=""),"Version info missing",IF(AND(C14&lt;&gt;"",OR(C14=A14,COUNTIFS('Plan versions'!$A$7:$A$306,C14,'Plan versions'!$B$7:$B$306,B14)&lt;&gt;1)),"Invalid parent plan ref",IF(L14="Draft","Draft not frozen",IF(OR(NOT(ISNUMBER(H14)),NOT(ISNUMBER(I14)),J14="",K14="",M14=""),"Freeze info missing",IF(I14&lt;H14,"Verify retroactive entry","Valid input"))))))))</x:f>
      </x:c>
    </x:row>
    <x:row r="15" ht="25" customHeight="1">
      <x:c r="A15" s="3"/>
      <x:c r="B15" s="3"/>
      <x:c r="C15" s="3"/>
      <x:c r="D15" s="3"/>
      <x:c r="E15" s="3"/>
      <x:c r="F15" s="3"/>
      <x:c r="G15" s="3"/>
      <x:c r="H15" s="25"/>
      <x:c r="I15" s="25"/>
      <x:c r="J15" s="3"/>
      <x:c r="K15" s="3"/>
      <x:c r="L15" s="3"/>
      <x:c r="M15" s="3"/>
      <x:c r="N15" s="19" t="str">
        <x:f>IF(A15="","",IF(COUNTIFS('Plan versions'!$A$7:$A$306,A15)&lt;&gt;1,"Duplicate ID",IF(COUNTIFS('Cases overview'!$A$7:$A$306,B15)&lt;&gt;1,"Invalid case ref",IF(OR(D15="",E15="",F15="",G15="",L15=""),"Version info missing",IF(AND(C15&lt;&gt;"",OR(C15=A15,COUNTIFS('Plan versions'!$A$7:$A$306,C15,'Plan versions'!$B$7:$B$306,B15)&lt;&gt;1)),"Invalid parent plan ref",IF(L15="Draft","Draft not frozen",IF(OR(NOT(ISNUMBER(H15)),NOT(ISNUMBER(I15)),J15="",K15="",M15=""),"Freeze info missing",IF(I15&lt;H15,"Verify retroactive entry","Valid input"))))))))</x:f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25"/>
      <x:c r="I16" s="25"/>
      <x:c r="J16" s="3"/>
      <x:c r="K16" s="3"/>
      <x:c r="L16" s="3"/>
      <x:c r="M16" s="3"/>
      <x:c r="N16" s="19" t="str">
        <x:f>IF(A16="","",IF(COUNTIFS('Plan versions'!$A$7:$A$306,A16)&lt;&gt;1,"Duplicate ID",IF(COUNTIFS('Cases overview'!$A$7:$A$306,B16)&lt;&gt;1,"Invalid case ref",IF(OR(D16="",E16="",F16="",G16="",L16=""),"Version info missing",IF(AND(C16&lt;&gt;"",OR(C16=A16,COUNTIFS('Plan versions'!$A$7:$A$306,C16,'Plan versions'!$B$7:$B$306,B16)&lt;&gt;1)),"Invalid parent plan ref",IF(L16="Draft","Draft not frozen",IF(OR(NOT(ISNUMBER(H16)),NOT(ISNUMBER(I16)),J16="",K16="",M16=""),"Freeze info missing",IF(I16&lt;H16,"Verify retroactive entry","Valid input"))))))))</x:f>
      </x:c>
    </x:row>
    <x:row r="17" ht="25" customHeight="1">
      <x:c r="A17" s="3"/>
      <x:c r="B17" s="3"/>
      <x:c r="C17" s="3"/>
      <x:c r="D17" s="3"/>
      <x:c r="E17" s="3"/>
      <x:c r="F17" s="3"/>
      <x:c r="G17" s="3"/>
      <x:c r="H17" s="25"/>
      <x:c r="I17" s="25"/>
      <x:c r="J17" s="3"/>
      <x:c r="K17" s="3"/>
      <x:c r="L17" s="3"/>
      <x:c r="M17" s="3"/>
      <x:c r="N17" s="19" t="str">
        <x:f>IF(A17="","",IF(COUNTIFS('Plan versions'!$A$7:$A$306,A17)&lt;&gt;1,"Duplicate ID",IF(COUNTIFS('Cases overview'!$A$7:$A$306,B17)&lt;&gt;1,"Invalid case ref",IF(OR(D17="",E17="",F17="",G17="",L17=""),"Version info missing",IF(AND(C17&lt;&gt;"",OR(C17=A17,COUNTIFS('Plan versions'!$A$7:$A$306,C17,'Plan versions'!$B$7:$B$306,B17)&lt;&gt;1)),"Invalid parent plan ref",IF(L17="Draft","Draft not frozen",IF(OR(NOT(ISNUMBER(H17)),NOT(ISNUMBER(I17)),J17="",K17="",M17=""),"Freeze info missing",IF(I17&lt;H17,"Verify retroactive entry","Valid input"))))))))</x:f>
      </x:c>
    </x:row>
    <x:row r="18" ht="25" customHeight="1">
      <x:c r="A18" s="3"/>
      <x:c r="B18" s="3"/>
      <x:c r="C18" s="3"/>
      <x:c r="D18" s="3"/>
      <x:c r="E18" s="3"/>
      <x:c r="F18" s="3"/>
      <x:c r="G18" s="3"/>
      <x:c r="H18" s="25"/>
      <x:c r="I18" s="25"/>
      <x:c r="J18" s="3"/>
      <x:c r="K18" s="3"/>
      <x:c r="L18" s="3"/>
      <x:c r="M18" s="3"/>
      <x:c r="N18" s="19" t="str">
        <x:f>IF(A18="","",IF(COUNTIFS('Plan versions'!$A$7:$A$306,A18)&lt;&gt;1,"Duplicate ID",IF(COUNTIFS('Cases overview'!$A$7:$A$306,B18)&lt;&gt;1,"Invalid case ref",IF(OR(D18="",E18="",F18="",G18="",L18=""),"Version info missing",IF(AND(C18&lt;&gt;"",OR(C18=A18,COUNTIFS('Plan versions'!$A$7:$A$306,C18,'Plan versions'!$B$7:$B$306,B18)&lt;&gt;1)),"Invalid parent plan ref",IF(L18="Draft","Draft not frozen",IF(OR(NOT(ISNUMBER(H18)),NOT(ISNUMBER(I18)),J18="",K18="",M18=""),"Freeze info missing",IF(I18&lt;H18,"Verify retroactive entry","Valid input"))))))))</x:f>
      </x:c>
    </x:row>
    <x:row r="19" ht="25" customHeight="1">
      <x:c r="A19" s="3"/>
      <x:c r="B19" s="3"/>
      <x:c r="C19" s="3"/>
      <x:c r="D19" s="3"/>
      <x:c r="E19" s="3"/>
      <x:c r="F19" s="3"/>
      <x:c r="G19" s="3"/>
      <x:c r="H19" s="25"/>
      <x:c r="I19" s="25"/>
      <x:c r="J19" s="3"/>
      <x:c r="K19" s="3"/>
      <x:c r="L19" s="3"/>
      <x:c r="M19" s="3"/>
      <x:c r="N19" s="19" t="str">
        <x:f>IF(A19="","",IF(COUNTIFS('Plan versions'!$A$7:$A$306,A19)&lt;&gt;1,"Duplicate ID",IF(COUNTIFS('Cases overview'!$A$7:$A$306,B19)&lt;&gt;1,"Invalid case ref",IF(OR(D19="",E19="",F19="",G19="",L19=""),"Version info missing",IF(AND(C19&lt;&gt;"",OR(C19=A19,COUNTIFS('Plan versions'!$A$7:$A$306,C19,'Plan versions'!$B$7:$B$306,B19)&lt;&gt;1)),"Invalid parent plan ref",IF(L19="Draft","Draft not frozen",IF(OR(NOT(ISNUMBER(H19)),NOT(ISNUMBER(I19)),J19="",K19="",M19=""),"Freeze info missing",IF(I19&lt;H19,"Verify retroactive entry","Valid input"))))))))</x:f>
      </x:c>
    </x:row>
    <x:row r="20" ht="25" customHeight="1">
      <x:c r="A20" s="3"/>
      <x:c r="B20" s="3"/>
      <x:c r="C20" s="3"/>
      <x:c r="D20" s="3"/>
      <x:c r="E20" s="3"/>
      <x:c r="F20" s="3"/>
      <x:c r="G20" s="3"/>
      <x:c r="H20" s="25"/>
      <x:c r="I20" s="25"/>
      <x:c r="J20" s="3"/>
      <x:c r="K20" s="3"/>
      <x:c r="L20" s="3"/>
      <x:c r="M20" s="3"/>
      <x:c r="N20" s="19" t="str">
        <x:f>IF(A20="","",IF(COUNTIFS('Plan versions'!$A$7:$A$306,A20)&lt;&gt;1,"Duplicate ID",IF(COUNTIFS('Cases overview'!$A$7:$A$306,B20)&lt;&gt;1,"Invalid case ref",IF(OR(D20="",E20="",F20="",G20="",L20=""),"Version info missing",IF(AND(C20&lt;&gt;"",OR(C20=A20,COUNTIFS('Plan versions'!$A$7:$A$306,C20,'Plan versions'!$B$7:$B$306,B20)&lt;&gt;1)),"Invalid parent plan ref",IF(L20="Draft","Draft not frozen",IF(OR(NOT(ISNUMBER(H20)),NOT(ISNUMBER(I20)),J20="",K20="",M20=""),"Freeze info missing",IF(I20&lt;H20,"Verify retroactive entry","Valid input"))))))))</x:f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25"/>
      <x:c r="I21" s="25"/>
      <x:c r="J21" s="3"/>
      <x:c r="K21" s="3"/>
      <x:c r="L21" s="3"/>
      <x:c r="M21" s="3"/>
      <x:c r="N21" s="19" t="str">
        <x:f>IF(A21="","",IF(COUNTIFS('Plan versions'!$A$7:$A$306,A21)&lt;&gt;1,"Duplicate ID",IF(COUNTIFS('Cases overview'!$A$7:$A$306,B21)&lt;&gt;1,"Invalid case ref",IF(OR(D21="",E21="",F21="",G21="",L21=""),"Version info missing",IF(AND(C21&lt;&gt;"",OR(C21=A21,COUNTIFS('Plan versions'!$A$7:$A$306,C21,'Plan versions'!$B$7:$B$306,B21)&lt;&gt;1)),"Invalid parent plan ref",IF(L21="Draft","Draft not frozen",IF(OR(NOT(ISNUMBER(H21)),NOT(ISNUMBER(I21)),J21="",K21="",M21=""),"Freeze info missing",IF(I21&lt;H21,"Verify retroactive entry","Valid input"))))))))</x:f>
      </x:c>
    </x:row>
    <x:row r="22" ht="25" customHeight="1">
      <x:c r="A22" s="3"/>
      <x:c r="B22" s="3"/>
      <x:c r="C22" s="3"/>
      <x:c r="D22" s="3"/>
      <x:c r="E22" s="3"/>
      <x:c r="F22" s="3"/>
      <x:c r="G22" s="3"/>
      <x:c r="H22" s="25"/>
      <x:c r="I22" s="25"/>
      <x:c r="J22" s="3"/>
      <x:c r="K22" s="3"/>
      <x:c r="L22" s="3"/>
      <x:c r="M22" s="3"/>
      <x:c r="N22" s="19" t="str">
        <x:f>IF(A22="","",IF(COUNTIFS('Plan versions'!$A$7:$A$306,A22)&lt;&gt;1,"Duplicate ID",IF(COUNTIFS('Cases overview'!$A$7:$A$306,B22)&lt;&gt;1,"Invalid case ref",IF(OR(D22="",E22="",F22="",G22="",L22=""),"Version info missing",IF(AND(C22&lt;&gt;"",OR(C22=A22,COUNTIFS('Plan versions'!$A$7:$A$306,C22,'Plan versions'!$B$7:$B$306,B22)&lt;&gt;1)),"Invalid parent plan ref",IF(L22="Draft","Draft not frozen",IF(OR(NOT(ISNUMBER(H22)),NOT(ISNUMBER(I22)),J22="",K22="",M22=""),"Freeze info missing",IF(I22&lt;H22,"Verify retroactive entry","Valid input"))))))))</x:f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25"/>
      <x:c r="I23" s="25"/>
      <x:c r="J23" s="3"/>
      <x:c r="K23" s="3"/>
      <x:c r="L23" s="3"/>
      <x:c r="M23" s="3"/>
      <x:c r="N23" s="19" t="str">
        <x:f>IF(A23="","",IF(COUNTIFS('Plan versions'!$A$7:$A$306,A23)&lt;&gt;1,"Duplicate ID",IF(COUNTIFS('Cases overview'!$A$7:$A$306,B23)&lt;&gt;1,"Invalid case ref",IF(OR(D23="",E23="",F23="",G23="",L23=""),"Version info missing",IF(AND(C23&lt;&gt;"",OR(C23=A23,COUNTIFS('Plan versions'!$A$7:$A$306,C23,'Plan versions'!$B$7:$B$306,B23)&lt;&gt;1)),"Invalid parent plan ref",IF(L23="Draft","Draft not frozen",IF(OR(NOT(ISNUMBER(H23)),NOT(ISNUMBER(I23)),J23="",K23="",M23=""),"Freeze info missing",IF(I23&lt;H23,"Verify retroactive entry","Valid input"))))))))</x:f>
      </x:c>
    </x:row>
    <x:row r="24" ht="25" customHeight="1">
      <x:c r="A24" s="3"/>
      <x:c r="B24" s="3"/>
      <x:c r="C24" s="3"/>
      <x:c r="D24" s="3"/>
      <x:c r="E24" s="3"/>
      <x:c r="F24" s="3"/>
      <x:c r="G24" s="3"/>
      <x:c r="H24" s="25"/>
      <x:c r="I24" s="25"/>
      <x:c r="J24" s="3"/>
      <x:c r="K24" s="3"/>
      <x:c r="L24" s="3"/>
      <x:c r="M24" s="3"/>
      <x:c r="N24" s="19" t="str">
        <x:f>IF(A24="","",IF(COUNTIFS('Plan versions'!$A$7:$A$306,A24)&lt;&gt;1,"Duplicate ID",IF(COUNTIFS('Cases overview'!$A$7:$A$306,B24)&lt;&gt;1,"Invalid case ref",IF(OR(D24="",E24="",F24="",G24="",L24=""),"Version info missing",IF(AND(C24&lt;&gt;"",OR(C24=A24,COUNTIFS('Plan versions'!$A$7:$A$306,C24,'Plan versions'!$B$7:$B$306,B24)&lt;&gt;1)),"Invalid parent plan ref",IF(L24="Draft","Draft not frozen",IF(OR(NOT(ISNUMBER(H24)),NOT(ISNUMBER(I24)),J24="",K24="",M24=""),"Freeze info missing",IF(I24&lt;H24,"Verify retroactive entry","Valid input"))))))))</x:f>
      </x:c>
    </x:row>
    <x:row r="25" ht="25" customHeight="1">
      <x:c r="A25" s="3"/>
      <x:c r="B25" s="3"/>
      <x:c r="C25" s="3"/>
      <x:c r="D25" s="3"/>
      <x:c r="E25" s="3"/>
      <x:c r="F25" s="3"/>
      <x:c r="G25" s="3"/>
      <x:c r="H25" s="25"/>
      <x:c r="I25" s="25"/>
      <x:c r="J25" s="3"/>
      <x:c r="K25" s="3"/>
      <x:c r="L25" s="3"/>
      <x:c r="M25" s="3"/>
      <x:c r="N25" s="19" t="str">
        <x:f>IF(A25="","",IF(COUNTIFS('Plan versions'!$A$7:$A$306,A25)&lt;&gt;1,"Duplicate ID",IF(COUNTIFS('Cases overview'!$A$7:$A$306,B25)&lt;&gt;1,"Invalid case ref",IF(OR(D25="",E25="",F25="",G25="",L25=""),"Version info missing",IF(AND(C25&lt;&gt;"",OR(C25=A25,COUNTIFS('Plan versions'!$A$7:$A$306,C25,'Plan versions'!$B$7:$B$306,B25)&lt;&gt;1)),"Invalid parent plan ref",IF(L25="Draft","Draft not frozen",IF(OR(NOT(ISNUMBER(H25)),NOT(ISNUMBER(I25)),J25="",K25="",M25=""),"Freeze info missing",IF(I25&lt;H25,"Verify retroactive entry","Valid input"))))))))</x:f>
      </x:c>
    </x:row>
    <x:row r="26" ht="25" customHeight="1">
      <x:c r="A26" s="3"/>
      <x:c r="B26" s="3"/>
      <x:c r="C26" s="3"/>
      <x:c r="D26" s="3"/>
      <x:c r="E26" s="3"/>
      <x:c r="F26" s="3"/>
      <x:c r="G26" s="3"/>
      <x:c r="H26" s="25"/>
      <x:c r="I26" s="25"/>
      <x:c r="J26" s="3"/>
      <x:c r="K26" s="3"/>
      <x:c r="L26" s="3"/>
      <x:c r="M26" s="3"/>
      <x:c r="N26" s="19" t="str">
        <x:f>IF(A26="","",IF(COUNTIFS('Plan versions'!$A$7:$A$306,A26)&lt;&gt;1,"Duplicate ID",IF(COUNTIFS('Cases overview'!$A$7:$A$306,B26)&lt;&gt;1,"Invalid case ref",IF(OR(D26="",E26="",F26="",G26="",L26=""),"Version info missing",IF(AND(C26&lt;&gt;"",OR(C26=A26,COUNTIFS('Plan versions'!$A$7:$A$306,C26,'Plan versions'!$B$7:$B$306,B26)&lt;&gt;1)),"Invalid parent plan ref",IF(L26="Draft","Draft not frozen",IF(OR(NOT(ISNUMBER(H26)),NOT(ISNUMBER(I26)),J26="",K26="",M26=""),"Freeze info missing",IF(I26&lt;H26,"Verify retroactive entry","Valid input"))))))))</x:f>
      </x:c>
    </x:row>
    <x:row r="27" ht="25" customHeight="1">
      <x:c r="A27" s="3"/>
      <x:c r="B27" s="3"/>
      <x:c r="C27" s="3"/>
      <x:c r="D27" s="3"/>
      <x:c r="E27" s="3"/>
      <x:c r="F27" s="3"/>
      <x:c r="G27" s="3"/>
      <x:c r="H27" s="25"/>
      <x:c r="I27" s="25"/>
      <x:c r="J27" s="3"/>
      <x:c r="K27" s="3"/>
      <x:c r="L27" s="3"/>
      <x:c r="M27" s="3"/>
      <x:c r="N27" s="19" t="str">
        <x:f>IF(A27="","",IF(COUNTIFS('Plan versions'!$A$7:$A$306,A27)&lt;&gt;1,"Duplicate ID",IF(COUNTIFS('Cases overview'!$A$7:$A$306,B27)&lt;&gt;1,"Invalid case ref",IF(OR(D27="",E27="",F27="",G27="",L27=""),"Version info missing",IF(AND(C27&lt;&gt;"",OR(C27=A27,COUNTIFS('Plan versions'!$A$7:$A$306,C27,'Plan versions'!$B$7:$B$306,B27)&lt;&gt;1)),"Invalid parent plan ref",IF(L27="Draft","Draft not frozen",IF(OR(NOT(ISNUMBER(H27)),NOT(ISNUMBER(I27)),J27="",K27="",M27=""),"Freeze info missing",IF(I27&lt;H27,"Verify retroactive entry","Valid input"))))))))</x:f>
      </x:c>
    </x:row>
    <x:row r="28" ht="25" customHeight="1">
      <x:c r="A28" s="3"/>
      <x:c r="B28" s="3"/>
      <x:c r="C28" s="3"/>
      <x:c r="D28" s="3"/>
      <x:c r="E28" s="3"/>
      <x:c r="F28" s="3"/>
      <x:c r="G28" s="3"/>
      <x:c r="H28" s="25"/>
      <x:c r="I28" s="25"/>
      <x:c r="J28" s="3"/>
      <x:c r="K28" s="3"/>
      <x:c r="L28" s="3"/>
      <x:c r="M28" s="3"/>
      <x:c r="N28" s="19" t="str">
        <x:f>IF(A28="","",IF(COUNTIFS('Plan versions'!$A$7:$A$306,A28)&lt;&gt;1,"Duplicate ID",IF(COUNTIFS('Cases overview'!$A$7:$A$306,B28)&lt;&gt;1,"Invalid case ref",IF(OR(D28="",E28="",F28="",G28="",L28=""),"Version info missing",IF(AND(C28&lt;&gt;"",OR(C28=A28,COUNTIFS('Plan versions'!$A$7:$A$306,C28,'Plan versions'!$B$7:$B$306,B28)&lt;&gt;1)),"Invalid parent plan ref",IF(L28="Draft","Draft not frozen",IF(OR(NOT(ISNUMBER(H28)),NOT(ISNUMBER(I28)),J28="",K28="",M28=""),"Freeze info missing",IF(I28&lt;H28,"Verify retroactive entry","Valid input"))))))))</x:f>
      </x:c>
    </x:row>
    <x:row r="29" ht="25" customHeight="1">
      <x:c r="A29" s="3"/>
      <x:c r="B29" s="3"/>
      <x:c r="C29" s="3"/>
      <x:c r="D29" s="3"/>
      <x:c r="E29" s="3"/>
      <x:c r="F29" s="3"/>
      <x:c r="G29" s="3"/>
      <x:c r="H29" s="25"/>
      <x:c r="I29" s="25"/>
      <x:c r="J29" s="3"/>
      <x:c r="K29" s="3"/>
      <x:c r="L29" s="3"/>
      <x:c r="M29" s="3"/>
      <x:c r="N29" s="19" t="str">
        <x:f>IF(A29="","",IF(COUNTIFS('Plan versions'!$A$7:$A$306,A29)&lt;&gt;1,"Duplicate ID",IF(COUNTIFS('Cases overview'!$A$7:$A$306,B29)&lt;&gt;1,"Invalid case ref",IF(OR(D29="",E29="",F29="",G29="",L29=""),"Version info missing",IF(AND(C29&lt;&gt;"",OR(C29=A29,COUNTIFS('Plan versions'!$A$7:$A$306,C29,'Plan versions'!$B$7:$B$306,B29)&lt;&gt;1)),"Invalid parent plan ref",IF(L29="Draft","Draft not frozen",IF(OR(NOT(ISNUMBER(H29)),NOT(ISNUMBER(I29)),J29="",K29="",M29=""),"Freeze info missing",IF(I29&lt;H29,"Verify retroactive entry","Valid input"))))))))</x:f>
      </x:c>
    </x:row>
    <x:row r="30" ht="25" customHeight="1">
      <x:c r="A30" s="3"/>
      <x:c r="B30" s="3"/>
      <x:c r="C30" s="3"/>
      <x:c r="D30" s="3"/>
      <x:c r="E30" s="3"/>
      <x:c r="F30" s="3"/>
      <x:c r="G30" s="3"/>
      <x:c r="H30" s="25"/>
      <x:c r="I30" s="25"/>
      <x:c r="J30" s="3"/>
      <x:c r="K30" s="3"/>
      <x:c r="L30" s="3"/>
      <x:c r="M30" s="3"/>
      <x:c r="N30" s="19" t="str">
        <x:f>IF(A30="","",IF(COUNTIFS('Plan versions'!$A$7:$A$306,A30)&lt;&gt;1,"Duplicate ID",IF(COUNTIFS('Cases overview'!$A$7:$A$306,B30)&lt;&gt;1,"Invalid case ref",IF(OR(D30="",E30="",F30="",G30="",L30=""),"Version info missing",IF(AND(C30&lt;&gt;"",OR(C30=A30,COUNTIFS('Plan versions'!$A$7:$A$306,C30,'Plan versions'!$B$7:$B$306,B30)&lt;&gt;1)),"Invalid parent plan ref",IF(L30="Draft","Draft not frozen",IF(OR(NOT(ISNUMBER(H30)),NOT(ISNUMBER(I30)),J30="",K30="",M30=""),"Freeze info missing",IF(I30&lt;H30,"Verify retroactive entry","Valid input"))))))))</x:f>
      </x:c>
    </x:row>
    <x:row r="31" ht="25" customHeight="1">
      <x:c r="A31" s="3"/>
      <x:c r="B31" s="3"/>
      <x:c r="C31" s="3"/>
      <x:c r="D31" s="3"/>
      <x:c r="E31" s="3"/>
      <x:c r="F31" s="3"/>
      <x:c r="G31" s="3"/>
      <x:c r="H31" s="25"/>
      <x:c r="I31" s="25"/>
      <x:c r="J31" s="3"/>
      <x:c r="K31" s="3"/>
      <x:c r="L31" s="3"/>
      <x:c r="M31" s="3"/>
      <x:c r="N31" s="19" t="str">
        <x:f>IF(A31="","",IF(COUNTIFS('Plan versions'!$A$7:$A$306,A31)&lt;&gt;1,"Duplicate ID",IF(COUNTIFS('Cases overview'!$A$7:$A$306,B31)&lt;&gt;1,"Invalid case ref",IF(OR(D31="",E31="",F31="",G31="",L31=""),"Version info missing",IF(AND(C31&lt;&gt;"",OR(C31=A31,COUNTIFS('Plan versions'!$A$7:$A$306,C31,'Plan versions'!$B$7:$B$306,B31)&lt;&gt;1)),"Invalid parent plan ref",IF(L31="Draft","Draft not frozen",IF(OR(NOT(ISNUMBER(H31)),NOT(ISNUMBER(I31)),J31="",K31="",M31=""),"Freeze info missing",IF(I31&lt;H31,"Verify retroactive entry","Valid input"))))))))</x:f>
      </x:c>
    </x:row>
    <x:row r="32" ht="25" customHeight="1">
      <x:c r="A32" s="3"/>
      <x:c r="B32" s="3"/>
      <x:c r="C32" s="3"/>
      <x:c r="D32" s="3"/>
      <x:c r="E32" s="3"/>
      <x:c r="F32" s="3"/>
      <x:c r="G32" s="3"/>
      <x:c r="H32" s="25"/>
      <x:c r="I32" s="25"/>
      <x:c r="J32" s="3"/>
      <x:c r="K32" s="3"/>
      <x:c r="L32" s="3"/>
      <x:c r="M32" s="3"/>
      <x:c r="N32" s="19" t="str">
        <x:f>IF(A32="","",IF(COUNTIFS('Plan versions'!$A$7:$A$306,A32)&lt;&gt;1,"Duplicate ID",IF(COUNTIFS('Cases overview'!$A$7:$A$306,B32)&lt;&gt;1,"Invalid case ref",IF(OR(D32="",E32="",F32="",G32="",L32=""),"Version info missing",IF(AND(C32&lt;&gt;"",OR(C32=A32,COUNTIFS('Plan versions'!$A$7:$A$306,C32,'Plan versions'!$B$7:$B$306,B32)&lt;&gt;1)),"Invalid parent plan ref",IF(L32="Draft","Draft not frozen",IF(OR(NOT(ISNUMBER(H32)),NOT(ISNUMBER(I32)),J32="",K32="",M32=""),"Freeze info missing",IF(I32&lt;H32,"Verify retroactive entry","Valid input"))))))))</x:f>
      </x:c>
    </x:row>
    <x:row r="33" ht="25" customHeight="1">
      <x:c r="A33" s="3"/>
      <x:c r="B33" s="3"/>
      <x:c r="C33" s="3"/>
      <x:c r="D33" s="3"/>
      <x:c r="E33" s="3"/>
      <x:c r="F33" s="3"/>
      <x:c r="G33" s="3"/>
      <x:c r="H33" s="25"/>
      <x:c r="I33" s="25"/>
      <x:c r="J33" s="3"/>
      <x:c r="K33" s="3"/>
      <x:c r="L33" s="3"/>
      <x:c r="M33" s="3"/>
      <x:c r="N33" s="19" t="str">
        <x:f>IF(A33="","",IF(COUNTIFS('Plan versions'!$A$7:$A$306,A33)&lt;&gt;1,"Duplicate ID",IF(COUNTIFS('Cases overview'!$A$7:$A$306,B33)&lt;&gt;1,"Invalid case ref",IF(OR(D33="",E33="",F33="",G33="",L33=""),"Version info missing",IF(AND(C33&lt;&gt;"",OR(C33=A33,COUNTIFS('Plan versions'!$A$7:$A$306,C33,'Plan versions'!$B$7:$B$306,B33)&lt;&gt;1)),"Invalid parent plan ref",IF(L33="Draft","Draft not frozen",IF(OR(NOT(ISNUMBER(H33)),NOT(ISNUMBER(I33)),J33="",K33="",M33=""),"Freeze info missing",IF(I33&lt;H33,"Verify retroactive entry","Valid input"))))))))</x:f>
      </x:c>
    </x:row>
    <x:row r="34" ht="25" customHeight="1">
      <x:c r="A34" s="3"/>
      <x:c r="B34" s="3"/>
      <x:c r="C34" s="3"/>
      <x:c r="D34" s="3"/>
      <x:c r="E34" s="3"/>
      <x:c r="F34" s="3"/>
      <x:c r="G34" s="3"/>
      <x:c r="H34" s="25"/>
      <x:c r="I34" s="25"/>
      <x:c r="J34" s="3"/>
      <x:c r="K34" s="3"/>
      <x:c r="L34" s="3"/>
      <x:c r="M34" s="3"/>
      <x:c r="N34" s="19" t="str">
        <x:f>IF(A34="","",IF(COUNTIFS('Plan versions'!$A$7:$A$306,A34)&lt;&gt;1,"Duplicate ID",IF(COUNTIFS('Cases overview'!$A$7:$A$306,B34)&lt;&gt;1,"Invalid case ref",IF(OR(D34="",E34="",F34="",G34="",L34=""),"Version info missing",IF(AND(C34&lt;&gt;"",OR(C34=A34,COUNTIFS('Plan versions'!$A$7:$A$306,C34,'Plan versions'!$B$7:$B$306,B34)&lt;&gt;1)),"Invalid parent plan ref",IF(L34="Draft","Draft not frozen",IF(OR(NOT(ISNUMBER(H34)),NOT(ISNUMBER(I34)),J34="",K34="",M34=""),"Freeze info missing",IF(I34&lt;H34,"Verify retroactive entry","Valid input"))))))))</x:f>
      </x:c>
    </x:row>
    <x:row r="35" ht="25" customHeight="1">
      <x:c r="A35" s="3"/>
      <x:c r="B35" s="3"/>
      <x:c r="C35" s="3"/>
      <x:c r="D35" s="3"/>
      <x:c r="E35" s="3"/>
      <x:c r="F35" s="3"/>
      <x:c r="G35" s="3"/>
      <x:c r="H35" s="25"/>
      <x:c r="I35" s="25"/>
      <x:c r="J35" s="3"/>
      <x:c r="K35" s="3"/>
      <x:c r="L35" s="3"/>
      <x:c r="M35" s="3"/>
      <x:c r="N35" s="19" t="str">
        <x:f>IF(A35="","",IF(COUNTIFS('Plan versions'!$A$7:$A$306,A35)&lt;&gt;1,"Duplicate ID",IF(COUNTIFS('Cases overview'!$A$7:$A$306,B35)&lt;&gt;1,"Invalid case ref",IF(OR(D35="",E35="",F35="",G35="",L35=""),"Version info missing",IF(AND(C35&lt;&gt;"",OR(C35=A35,COUNTIFS('Plan versions'!$A$7:$A$306,C35,'Plan versions'!$B$7:$B$306,B35)&lt;&gt;1)),"Invalid parent plan ref",IF(L35="Draft","Draft not frozen",IF(OR(NOT(ISNUMBER(H35)),NOT(ISNUMBER(I35)),J35="",K35="",M35=""),"Freeze info missing",IF(I35&lt;H35,"Verify retroactive entry","Valid input"))))))))</x:f>
      </x:c>
    </x:row>
    <x:row r="36" ht="25" customHeight="1">
      <x:c r="A36" s="3"/>
      <x:c r="B36" s="3"/>
      <x:c r="C36" s="3"/>
      <x:c r="D36" s="3"/>
      <x:c r="E36" s="3"/>
      <x:c r="F36" s="3"/>
      <x:c r="G36" s="3"/>
      <x:c r="H36" s="25"/>
      <x:c r="I36" s="25"/>
      <x:c r="J36" s="3"/>
      <x:c r="K36" s="3"/>
      <x:c r="L36" s="3"/>
      <x:c r="M36" s="3"/>
      <x:c r="N36" s="19" t="str">
        <x:f>IF(A36="","",IF(COUNTIFS('Plan versions'!$A$7:$A$306,A36)&lt;&gt;1,"Duplicate ID",IF(COUNTIFS('Cases overview'!$A$7:$A$306,B36)&lt;&gt;1,"Invalid case ref",IF(OR(D36="",E36="",F36="",G36="",L36=""),"Version info missing",IF(AND(C36&lt;&gt;"",OR(C36=A36,COUNTIFS('Plan versions'!$A$7:$A$306,C36,'Plan versions'!$B$7:$B$306,B36)&lt;&gt;1)),"Invalid parent plan ref",IF(L36="Draft","Draft not frozen",IF(OR(NOT(ISNUMBER(H36)),NOT(ISNUMBER(I36)),J36="",K36="",M36=""),"Freeze info missing",IF(I36&lt;H36,"Verify retroactive entry","Valid input"))))))))</x:f>
      </x:c>
    </x:row>
    <x:row r="37" ht="25" customHeight="1">
      <x:c r="A37" s="3"/>
      <x:c r="B37" s="3"/>
      <x:c r="C37" s="3"/>
      <x:c r="D37" s="3"/>
      <x:c r="E37" s="3"/>
      <x:c r="F37" s="3"/>
      <x:c r="G37" s="3"/>
      <x:c r="H37" s="25"/>
      <x:c r="I37" s="25"/>
      <x:c r="J37" s="3"/>
      <x:c r="K37" s="3"/>
      <x:c r="L37" s="3"/>
      <x:c r="M37" s="3"/>
      <x:c r="N37" s="19" t="str">
        <x:f>IF(A37="","",IF(COUNTIFS('Plan versions'!$A$7:$A$306,A37)&lt;&gt;1,"Duplicate ID",IF(COUNTIFS('Cases overview'!$A$7:$A$306,B37)&lt;&gt;1,"Invalid case ref",IF(OR(D37="",E37="",F37="",G37="",L37=""),"Version info missing",IF(AND(C37&lt;&gt;"",OR(C37=A37,COUNTIFS('Plan versions'!$A$7:$A$306,C37,'Plan versions'!$B$7:$B$306,B37)&lt;&gt;1)),"Invalid parent plan ref",IF(L37="Draft","Draft not frozen",IF(OR(NOT(ISNUMBER(H37)),NOT(ISNUMBER(I37)),J37="",K37="",M37=""),"Freeze info missing",IF(I37&lt;H37,"Verify retroactive entry","Valid input"))))))))</x:f>
      </x:c>
    </x:row>
    <x:row r="38" ht="25" customHeight="1">
      <x:c r="A38" s="3"/>
      <x:c r="B38" s="3"/>
      <x:c r="C38" s="3"/>
      <x:c r="D38" s="3"/>
      <x:c r="E38" s="3"/>
      <x:c r="F38" s="3"/>
      <x:c r="G38" s="3"/>
      <x:c r="H38" s="25"/>
      <x:c r="I38" s="25"/>
      <x:c r="J38" s="3"/>
      <x:c r="K38" s="3"/>
      <x:c r="L38" s="3"/>
      <x:c r="M38" s="3"/>
      <x:c r="N38" s="19" t="str">
        <x:f>IF(A38="","",IF(COUNTIFS('Plan versions'!$A$7:$A$306,A38)&lt;&gt;1,"Duplicate ID",IF(COUNTIFS('Cases overview'!$A$7:$A$306,B38)&lt;&gt;1,"Invalid case ref",IF(OR(D38="",E38="",F38="",G38="",L38=""),"Version info missing",IF(AND(C38&lt;&gt;"",OR(C38=A38,COUNTIFS('Plan versions'!$A$7:$A$306,C38,'Plan versions'!$B$7:$B$306,B38)&lt;&gt;1)),"Invalid parent plan ref",IF(L38="Draft","Draft not frozen",IF(OR(NOT(ISNUMBER(H38)),NOT(ISNUMBER(I38)),J38="",K38="",M38=""),"Freeze info missing",IF(I38&lt;H38,"Verify retroactive entry","Valid input"))))))))</x:f>
      </x:c>
    </x:row>
    <x:row r="39" ht="25" customHeight="1">
      <x:c r="A39" s="3"/>
      <x:c r="B39" s="3"/>
      <x:c r="C39" s="3"/>
      <x:c r="D39" s="3"/>
      <x:c r="E39" s="3"/>
      <x:c r="F39" s="3"/>
      <x:c r="G39" s="3"/>
      <x:c r="H39" s="25"/>
      <x:c r="I39" s="25"/>
      <x:c r="J39" s="3"/>
      <x:c r="K39" s="3"/>
      <x:c r="L39" s="3"/>
      <x:c r="M39" s="3"/>
      <x:c r="N39" s="19" t="str">
        <x:f>IF(A39="","",IF(COUNTIFS('Plan versions'!$A$7:$A$306,A39)&lt;&gt;1,"Duplicate ID",IF(COUNTIFS('Cases overview'!$A$7:$A$306,B39)&lt;&gt;1,"Invalid case ref",IF(OR(D39="",E39="",F39="",G39="",L39=""),"Version info missing",IF(AND(C39&lt;&gt;"",OR(C39=A39,COUNTIFS('Plan versions'!$A$7:$A$306,C39,'Plan versions'!$B$7:$B$306,B39)&lt;&gt;1)),"Invalid parent plan ref",IF(L39="Draft","Draft not frozen",IF(OR(NOT(ISNUMBER(H39)),NOT(ISNUMBER(I39)),J39="",K39="",M39=""),"Freeze info missing",IF(I39&lt;H39,"Verify retroactive entry","Valid input"))))))))</x:f>
      </x:c>
    </x:row>
    <x:row r="40" ht="25" customHeight="1">
      <x:c r="A40" s="3"/>
      <x:c r="B40" s="3"/>
      <x:c r="C40" s="3"/>
      <x:c r="D40" s="3"/>
      <x:c r="E40" s="3"/>
      <x:c r="F40" s="3"/>
      <x:c r="G40" s="3"/>
      <x:c r="H40" s="25"/>
      <x:c r="I40" s="25"/>
      <x:c r="J40" s="3"/>
      <x:c r="K40" s="3"/>
      <x:c r="L40" s="3"/>
      <x:c r="M40" s="3"/>
      <x:c r="N40" s="19" t="str">
        <x:f>IF(A40="","",IF(COUNTIFS('Plan versions'!$A$7:$A$306,A40)&lt;&gt;1,"Duplicate ID",IF(COUNTIFS('Cases overview'!$A$7:$A$306,B40)&lt;&gt;1,"Invalid case ref",IF(OR(D40="",E40="",F40="",G40="",L40=""),"Version info missing",IF(AND(C40&lt;&gt;"",OR(C40=A40,COUNTIFS('Plan versions'!$A$7:$A$306,C40,'Plan versions'!$B$7:$B$306,B40)&lt;&gt;1)),"Invalid parent plan ref",IF(L40="Draft","Draft not frozen",IF(OR(NOT(ISNUMBER(H40)),NOT(ISNUMBER(I40)),J40="",K40="",M40=""),"Freeze info missing",IF(I40&lt;H40,"Verify retroactive entry","Valid input"))))))))</x:f>
      </x:c>
    </x:row>
    <x:row r="41" ht="25" customHeight="1">
      <x:c r="A41" s="3"/>
      <x:c r="B41" s="3"/>
      <x:c r="C41" s="3"/>
      <x:c r="D41" s="3"/>
      <x:c r="E41" s="3"/>
      <x:c r="F41" s="3"/>
      <x:c r="G41" s="3"/>
      <x:c r="H41" s="25"/>
      <x:c r="I41" s="25"/>
      <x:c r="J41" s="3"/>
      <x:c r="K41" s="3"/>
      <x:c r="L41" s="3"/>
      <x:c r="M41" s="3"/>
      <x:c r="N41" s="19" t="str">
        <x:f>IF(A41="","",IF(COUNTIFS('Plan versions'!$A$7:$A$306,A41)&lt;&gt;1,"Duplicate ID",IF(COUNTIFS('Cases overview'!$A$7:$A$306,B41)&lt;&gt;1,"Invalid case ref",IF(OR(D41="",E41="",F41="",G41="",L41=""),"Version info missing",IF(AND(C41&lt;&gt;"",OR(C41=A41,COUNTIFS('Plan versions'!$A$7:$A$306,C41,'Plan versions'!$B$7:$B$306,B41)&lt;&gt;1)),"Invalid parent plan ref",IF(L41="Draft","Draft not frozen",IF(OR(NOT(ISNUMBER(H41)),NOT(ISNUMBER(I41)),J41="",K41="",M41=""),"Freeze info missing",IF(I41&lt;H41,"Verify retroactive entry","Valid input"))))))))</x:f>
      </x:c>
    </x:row>
    <x:row r="42" ht="25" customHeight="1">
      <x:c r="A42" s="3"/>
      <x:c r="B42" s="3"/>
      <x:c r="C42" s="3"/>
      <x:c r="D42" s="3"/>
      <x:c r="E42" s="3"/>
      <x:c r="F42" s="3"/>
      <x:c r="G42" s="3"/>
      <x:c r="H42" s="25"/>
      <x:c r="I42" s="25"/>
      <x:c r="J42" s="3"/>
      <x:c r="K42" s="3"/>
      <x:c r="L42" s="3"/>
      <x:c r="M42" s="3"/>
      <x:c r="N42" s="19" t="str">
        <x:f>IF(A42="","",IF(COUNTIFS('Plan versions'!$A$7:$A$306,A42)&lt;&gt;1,"Duplicate ID",IF(COUNTIFS('Cases overview'!$A$7:$A$306,B42)&lt;&gt;1,"Invalid case ref",IF(OR(D42="",E42="",F42="",G42="",L42=""),"Version info missing",IF(AND(C42&lt;&gt;"",OR(C42=A42,COUNTIFS('Plan versions'!$A$7:$A$306,C42,'Plan versions'!$B$7:$B$306,B42)&lt;&gt;1)),"Invalid parent plan ref",IF(L42="Draft","Draft not frozen",IF(OR(NOT(ISNUMBER(H42)),NOT(ISNUMBER(I42)),J42="",K42="",M42=""),"Freeze info missing",IF(I42&lt;H42,"Verify retroactive entry","Valid input"))))))))</x:f>
      </x:c>
    </x:row>
    <x:row r="43" ht="25" customHeight="1">
      <x:c r="A43" s="3"/>
      <x:c r="B43" s="3"/>
      <x:c r="C43" s="3"/>
      <x:c r="D43" s="3"/>
      <x:c r="E43" s="3"/>
      <x:c r="F43" s="3"/>
      <x:c r="G43" s="3"/>
      <x:c r="H43" s="25"/>
      <x:c r="I43" s="25"/>
      <x:c r="J43" s="3"/>
      <x:c r="K43" s="3"/>
      <x:c r="L43" s="3"/>
      <x:c r="M43" s="3"/>
      <x:c r="N43" s="19" t="str">
        <x:f>IF(A43="","",IF(COUNTIFS('Plan versions'!$A$7:$A$306,A43)&lt;&gt;1,"Duplicate ID",IF(COUNTIFS('Cases overview'!$A$7:$A$306,B43)&lt;&gt;1,"Invalid case ref",IF(OR(D43="",E43="",F43="",G43="",L43=""),"Version info missing",IF(AND(C43&lt;&gt;"",OR(C43=A43,COUNTIFS('Plan versions'!$A$7:$A$306,C43,'Plan versions'!$B$7:$B$306,B43)&lt;&gt;1)),"Invalid parent plan ref",IF(L43="Draft","Draft not frozen",IF(OR(NOT(ISNUMBER(H43)),NOT(ISNUMBER(I43)),J43="",K43="",M43=""),"Freeze info missing",IF(I43&lt;H43,"Verify retroactive entry","Valid input"))))))))</x:f>
      </x:c>
    </x:row>
    <x:row r="44" ht="25" customHeight="1">
      <x:c r="A44" s="3"/>
      <x:c r="B44" s="3"/>
      <x:c r="C44" s="3"/>
      <x:c r="D44" s="3"/>
      <x:c r="E44" s="3"/>
      <x:c r="F44" s="3"/>
      <x:c r="G44" s="3"/>
      <x:c r="H44" s="25"/>
      <x:c r="I44" s="25"/>
      <x:c r="J44" s="3"/>
      <x:c r="K44" s="3"/>
      <x:c r="L44" s="3"/>
      <x:c r="M44" s="3"/>
      <x:c r="N44" s="19" t="str">
        <x:f>IF(A44="","",IF(COUNTIFS('Plan versions'!$A$7:$A$306,A44)&lt;&gt;1,"Duplicate ID",IF(COUNTIFS('Cases overview'!$A$7:$A$306,B44)&lt;&gt;1,"Invalid case ref",IF(OR(D44="",E44="",F44="",G44="",L44=""),"Version info missing",IF(AND(C44&lt;&gt;"",OR(C44=A44,COUNTIFS('Plan versions'!$A$7:$A$306,C44,'Plan versions'!$B$7:$B$306,B44)&lt;&gt;1)),"Invalid parent plan ref",IF(L44="Draft","Draft not frozen",IF(OR(NOT(ISNUMBER(H44)),NOT(ISNUMBER(I44)),J44="",K44="",M44=""),"Freeze info missing",IF(I44&lt;H44,"Verify retroactive entry","Valid input"))))))))</x:f>
      </x:c>
    </x:row>
    <x:row r="45" ht="25" customHeight="1">
      <x:c r="A45" s="3"/>
      <x:c r="B45" s="3"/>
      <x:c r="C45" s="3"/>
      <x:c r="D45" s="3"/>
      <x:c r="E45" s="3"/>
      <x:c r="F45" s="3"/>
      <x:c r="G45" s="3"/>
      <x:c r="H45" s="25"/>
      <x:c r="I45" s="25"/>
      <x:c r="J45" s="3"/>
      <x:c r="K45" s="3"/>
      <x:c r="L45" s="3"/>
      <x:c r="M45" s="3"/>
      <x:c r="N45" s="19" t="str">
        <x:f>IF(A45="","",IF(COUNTIFS('Plan versions'!$A$7:$A$306,A45)&lt;&gt;1,"Duplicate ID",IF(COUNTIFS('Cases overview'!$A$7:$A$306,B45)&lt;&gt;1,"Invalid case ref",IF(OR(D45="",E45="",F45="",G45="",L45=""),"Version info missing",IF(AND(C45&lt;&gt;"",OR(C45=A45,COUNTIFS('Plan versions'!$A$7:$A$306,C45,'Plan versions'!$B$7:$B$306,B45)&lt;&gt;1)),"Invalid parent plan ref",IF(L45="Draft","Draft not frozen",IF(OR(NOT(ISNUMBER(H45)),NOT(ISNUMBER(I45)),J45="",K45="",M45=""),"Freeze info missing",IF(I45&lt;H45,"Verify retroactive entry","Valid input"))))))))</x:f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25"/>
      <x:c r="I46" s="25"/>
      <x:c r="J46" s="3"/>
      <x:c r="K46" s="3"/>
      <x:c r="L46" s="3"/>
      <x:c r="M46" s="3"/>
      <x:c r="N46" s="19" t="str">
        <x:f>IF(A46="","",IF(COUNTIFS('Plan versions'!$A$7:$A$306,A46)&lt;&gt;1,"Duplicate ID",IF(COUNTIFS('Cases overview'!$A$7:$A$306,B46)&lt;&gt;1,"Invalid case ref",IF(OR(D46="",E46="",F46="",G46="",L46=""),"Version info missing",IF(AND(C46&lt;&gt;"",OR(C46=A46,COUNTIFS('Plan versions'!$A$7:$A$306,C46,'Plan versions'!$B$7:$B$306,B46)&lt;&gt;1)),"Invalid parent plan ref",IF(L46="Draft","Draft not frozen",IF(OR(NOT(ISNUMBER(H46)),NOT(ISNUMBER(I46)),J46="",K46="",M46=""),"Freeze info missing",IF(I46&lt;H46,"Verify retroactive entry","Valid input"))))))))</x:f>
      </x:c>
    </x:row>
    <x:row r="47" ht="25" customHeight="1">
      <x:c r="A47" s="3"/>
      <x:c r="B47" s="3"/>
      <x:c r="C47" s="3"/>
      <x:c r="D47" s="3"/>
      <x:c r="E47" s="3"/>
      <x:c r="F47" s="3"/>
      <x:c r="G47" s="3"/>
      <x:c r="H47" s="25"/>
      <x:c r="I47" s="25"/>
      <x:c r="J47" s="3"/>
      <x:c r="K47" s="3"/>
      <x:c r="L47" s="3"/>
      <x:c r="M47" s="3"/>
      <x:c r="N47" s="19" t="str">
        <x:f>IF(A47="","",IF(COUNTIFS('Plan versions'!$A$7:$A$306,A47)&lt;&gt;1,"Duplicate ID",IF(COUNTIFS('Cases overview'!$A$7:$A$306,B47)&lt;&gt;1,"Invalid case ref",IF(OR(D47="",E47="",F47="",G47="",L47=""),"Version info missing",IF(AND(C47&lt;&gt;"",OR(C47=A47,COUNTIFS('Plan versions'!$A$7:$A$306,C47,'Plan versions'!$B$7:$B$306,B47)&lt;&gt;1)),"Invalid parent plan ref",IF(L47="Draft","Draft not frozen",IF(OR(NOT(ISNUMBER(H47)),NOT(ISNUMBER(I47)),J47="",K47="",M47=""),"Freeze info missing",IF(I47&lt;H47,"Verify retroactive entry","Valid input"))))))))</x:f>
      </x:c>
    </x:row>
    <x:row r="48" ht="25" customHeight="1">
      <x:c r="A48" s="3"/>
      <x:c r="B48" s="3"/>
      <x:c r="C48" s="3"/>
      <x:c r="D48" s="3"/>
      <x:c r="E48" s="3"/>
      <x:c r="F48" s="3"/>
      <x:c r="G48" s="3"/>
      <x:c r="H48" s="25"/>
      <x:c r="I48" s="25"/>
      <x:c r="J48" s="3"/>
      <x:c r="K48" s="3"/>
      <x:c r="L48" s="3"/>
      <x:c r="M48" s="3"/>
      <x:c r="N48" s="19" t="str">
        <x:f>IF(A48="","",IF(COUNTIFS('Plan versions'!$A$7:$A$306,A48)&lt;&gt;1,"Duplicate ID",IF(COUNTIFS('Cases overview'!$A$7:$A$306,B48)&lt;&gt;1,"Invalid case ref",IF(OR(D48="",E48="",F48="",G48="",L48=""),"Version info missing",IF(AND(C48&lt;&gt;"",OR(C48=A48,COUNTIFS('Plan versions'!$A$7:$A$306,C48,'Plan versions'!$B$7:$B$306,B48)&lt;&gt;1)),"Invalid parent plan ref",IF(L48="Draft","Draft not frozen",IF(OR(NOT(ISNUMBER(H48)),NOT(ISNUMBER(I48)),J48="",K48="",M48=""),"Freeze info missing",IF(I48&lt;H48,"Verify retroactive entry","Valid input"))))))))</x:f>
      </x:c>
    </x:row>
    <x:row r="49" ht="25" customHeight="1">
      <x:c r="A49" s="3"/>
      <x:c r="B49" s="3"/>
      <x:c r="C49" s="3"/>
      <x:c r="D49" s="3"/>
      <x:c r="E49" s="3"/>
      <x:c r="F49" s="3"/>
      <x:c r="G49" s="3"/>
      <x:c r="H49" s="25"/>
      <x:c r="I49" s="25"/>
      <x:c r="J49" s="3"/>
      <x:c r="K49" s="3"/>
      <x:c r="L49" s="3"/>
      <x:c r="M49" s="3"/>
      <x:c r="N49" s="19" t="str">
        <x:f>IF(A49="","",IF(COUNTIFS('Plan versions'!$A$7:$A$306,A49)&lt;&gt;1,"Duplicate ID",IF(COUNTIFS('Cases overview'!$A$7:$A$306,B49)&lt;&gt;1,"Invalid case ref",IF(OR(D49="",E49="",F49="",G49="",L49=""),"Version info missing",IF(AND(C49&lt;&gt;"",OR(C49=A49,COUNTIFS('Plan versions'!$A$7:$A$306,C49,'Plan versions'!$B$7:$B$306,B49)&lt;&gt;1)),"Invalid parent plan ref",IF(L49="Draft","Draft not frozen",IF(OR(NOT(ISNUMBER(H49)),NOT(ISNUMBER(I49)),J49="",K49="",M49=""),"Freeze info missing",IF(I49&lt;H49,"Verify retroactive entry","Valid input"))))))))</x:f>
      </x:c>
    </x:row>
    <x:row r="50" ht="25" customHeight="1">
      <x:c r="A50" s="3"/>
      <x:c r="B50" s="3"/>
      <x:c r="C50" s="3"/>
      <x:c r="D50" s="3"/>
      <x:c r="E50" s="3"/>
      <x:c r="F50" s="3"/>
      <x:c r="G50" s="3"/>
      <x:c r="H50" s="25"/>
      <x:c r="I50" s="25"/>
      <x:c r="J50" s="3"/>
      <x:c r="K50" s="3"/>
      <x:c r="L50" s="3"/>
      <x:c r="M50" s="3"/>
      <x:c r="N50" s="19" t="str">
        <x:f>IF(A50="","",IF(COUNTIFS('Plan versions'!$A$7:$A$306,A50)&lt;&gt;1,"Duplicate ID",IF(COUNTIFS('Cases overview'!$A$7:$A$306,B50)&lt;&gt;1,"Invalid case ref",IF(OR(D50="",E50="",F50="",G50="",L50=""),"Version info missing",IF(AND(C50&lt;&gt;"",OR(C50=A50,COUNTIFS('Plan versions'!$A$7:$A$306,C50,'Plan versions'!$B$7:$B$306,B50)&lt;&gt;1)),"Invalid parent plan ref",IF(L50="Draft","Draft not frozen",IF(OR(NOT(ISNUMBER(H50)),NOT(ISNUMBER(I50)),J50="",K50="",M50=""),"Freeze info missing",IF(I50&lt;H50,"Verify retroactive entry","Valid input"))))))))</x:f>
      </x:c>
    </x:row>
    <x:row r="51" ht="25" customHeight="1">
      <x:c r="A51" s="3"/>
      <x:c r="B51" s="3"/>
      <x:c r="C51" s="3"/>
      <x:c r="D51" s="3"/>
      <x:c r="E51" s="3"/>
      <x:c r="F51" s="3"/>
      <x:c r="G51" s="3"/>
      <x:c r="H51" s="25"/>
      <x:c r="I51" s="25"/>
      <x:c r="J51" s="3"/>
      <x:c r="K51" s="3"/>
      <x:c r="L51" s="3"/>
      <x:c r="M51" s="3"/>
      <x:c r="N51" s="19" t="str">
        <x:f>IF(A51="","",IF(COUNTIFS('Plan versions'!$A$7:$A$306,A51)&lt;&gt;1,"Duplicate ID",IF(COUNTIFS('Cases overview'!$A$7:$A$306,B51)&lt;&gt;1,"Invalid case ref",IF(OR(D51="",E51="",F51="",G51="",L51=""),"Version info missing",IF(AND(C51&lt;&gt;"",OR(C51=A51,COUNTIFS('Plan versions'!$A$7:$A$306,C51,'Plan versions'!$B$7:$B$306,B51)&lt;&gt;1)),"Invalid parent plan ref",IF(L51="Draft","Draft not frozen",IF(OR(NOT(ISNUMBER(H51)),NOT(ISNUMBER(I51)),J51="",K51="",M51=""),"Freeze info missing",IF(I51&lt;H51,"Verify retroactive entry","Valid input"))))))))</x:f>
      </x:c>
    </x:row>
    <x:row r="52" ht="25" customHeight="1">
      <x:c r="A52" s="3"/>
      <x:c r="B52" s="3"/>
      <x:c r="C52" s="3"/>
      <x:c r="D52" s="3"/>
      <x:c r="E52" s="3"/>
      <x:c r="F52" s="3"/>
      <x:c r="G52" s="3"/>
      <x:c r="H52" s="25"/>
      <x:c r="I52" s="25"/>
      <x:c r="J52" s="3"/>
      <x:c r="K52" s="3"/>
      <x:c r="L52" s="3"/>
      <x:c r="M52" s="3"/>
      <x:c r="N52" s="19" t="str">
        <x:f>IF(A52="","",IF(COUNTIFS('Plan versions'!$A$7:$A$306,A52)&lt;&gt;1,"Duplicate ID",IF(COUNTIFS('Cases overview'!$A$7:$A$306,B52)&lt;&gt;1,"Invalid case ref",IF(OR(D52="",E52="",F52="",G52="",L52=""),"Version info missing",IF(AND(C52&lt;&gt;"",OR(C52=A52,COUNTIFS('Plan versions'!$A$7:$A$306,C52,'Plan versions'!$B$7:$B$306,B52)&lt;&gt;1)),"Invalid parent plan ref",IF(L52="Draft","Draft not frozen",IF(OR(NOT(ISNUMBER(H52)),NOT(ISNUMBER(I52)),J52="",K52="",M52=""),"Freeze info missing",IF(I52&lt;H52,"Verify retroactive entry","Valid input"))))))))</x:f>
      </x:c>
    </x:row>
    <x:row r="53" ht="25" customHeight="1">
      <x:c r="A53" s="3"/>
      <x:c r="B53" s="3"/>
      <x:c r="C53" s="3"/>
      <x:c r="D53" s="3"/>
      <x:c r="E53" s="3"/>
      <x:c r="F53" s="3"/>
      <x:c r="G53" s="3"/>
      <x:c r="H53" s="25"/>
      <x:c r="I53" s="25"/>
      <x:c r="J53" s="3"/>
      <x:c r="K53" s="3"/>
      <x:c r="L53" s="3"/>
      <x:c r="M53" s="3"/>
      <x:c r="N53" s="19" t="str">
        <x:f>IF(A53="","",IF(COUNTIFS('Plan versions'!$A$7:$A$306,A53)&lt;&gt;1,"Duplicate ID",IF(COUNTIFS('Cases overview'!$A$7:$A$306,B53)&lt;&gt;1,"Invalid case ref",IF(OR(D53="",E53="",F53="",G53="",L53=""),"Version info missing",IF(AND(C53&lt;&gt;"",OR(C53=A53,COUNTIFS('Plan versions'!$A$7:$A$306,C53,'Plan versions'!$B$7:$B$306,B53)&lt;&gt;1)),"Invalid parent plan ref",IF(L53="Draft","Draft not frozen",IF(OR(NOT(ISNUMBER(H53)),NOT(ISNUMBER(I53)),J53="",K53="",M53=""),"Freeze info missing",IF(I53&lt;H53,"Verify retroactive entry","Valid input"))))))))</x:f>
      </x:c>
    </x:row>
    <x:row r="54" ht="25" customHeight="1">
      <x:c r="A54" s="3"/>
      <x:c r="B54" s="3"/>
      <x:c r="C54" s="3"/>
      <x:c r="D54" s="3"/>
      <x:c r="E54" s="3"/>
      <x:c r="F54" s="3"/>
      <x:c r="G54" s="3"/>
      <x:c r="H54" s="25"/>
      <x:c r="I54" s="25"/>
      <x:c r="J54" s="3"/>
      <x:c r="K54" s="3"/>
      <x:c r="L54" s="3"/>
      <x:c r="M54" s="3"/>
      <x:c r="N54" s="19" t="str">
        <x:f>IF(A54="","",IF(COUNTIFS('Plan versions'!$A$7:$A$306,A54)&lt;&gt;1,"Duplicate ID",IF(COUNTIFS('Cases overview'!$A$7:$A$306,B54)&lt;&gt;1,"Invalid case ref",IF(OR(D54="",E54="",F54="",G54="",L54=""),"Version info missing",IF(AND(C54&lt;&gt;"",OR(C54=A54,COUNTIFS('Plan versions'!$A$7:$A$306,C54,'Plan versions'!$B$7:$B$306,B54)&lt;&gt;1)),"Invalid parent plan ref",IF(L54="Draft","Draft not frozen",IF(OR(NOT(ISNUMBER(H54)),NOT(ISNUMBER(I54)),J54="",K54="",M54=""),"Freeze info missing",IF(I54&lt;H54,"Verify retroactive entry","Valid input"))))))))</x:f>
      </x:c>
    </x:row>
    <x:row r="55" ht="25" customHeight="1">
      <x:c r="A55" s="3"/>
      <x:c r="B55" s="3"/>
      <x:c r="C55" s="3"/>
      <x:c r="D55" s="3"/>
      <x:c r="E55" s="3"/>
      <x:c r="F55" s="3"/>
      <x:c r="G55" s="3"/>
      <x:c r="H55" s="25"/>
      <x:c r="I55" s="25"/>
      <x:c r="J55" s="3"/>
      <x:c r="K55" s="3"/>
      <x:c r="L55" s="3"/>
      <x:c r="M55" s="3"/>
      <x:c r="N55" s="19" t="str">
        <x:f>IF(A55="","",IF(COUNTIFS('Plan versions'!$A$7:$A$306,A55)&lt;&gt;1,"Duplicate ID",IF(COUNTIFS('Cases overview'!$A$7:$A$306,B55)&lt;&gt;1,"Invalid case ref",IF(OR(D55="",E55="",F55="",G55="",L55=""),"Version info missing",IF(AND(C55&lt;&gt;"",OR(C55=A55,COUNTIFS('Plan versions'!$A$7:$A$306,C55,'Plan versions'!$B$7:$B$306,B55)&lt;&gt;1)),"Invalid parent plan ref",IF(L55="Draft","Draft not frozen",IF(OR(NOT(ISNUMBER(H55)),NOT(ISNUMBER(I55)),J55="",K55="",M55=""),"Freeze info missing",IF(I55&lt;H55,"Verify retroactive entry","Valid input"))))))))</x:f>
      </x:c>
    </x:row>
    <x:row r="56" ht="25" customHeight="1">
      <x:c r="A56" s="3"/>
      <x:c r="B56" s="3"/>
      <x:c r="C56" s="3"/>
      <x:c r="D56" s="3"/>
      <x:c r="E56" s="3"/>
      <x:c r="F56" s="3"/>
      <x:c r="G56" s="3"/>
      <x:c r="H56" s="25"/>
      <x:c r="I56" s="25"/>
      <x:c r="J56" s="3"/>
      <x:c r="K56" s="3"/>
      <x:c r="L56" s="3"/>
      <x:c r="M56" s="3"/>
      <x:c r="N56" s="19" t="str">
        <x:f>IF(A56="","",IF(COUNTIFS('Plan versions'!$A$7:$A$306,A56)&lt;&gt;1,"Duplicate ID",IF(COUNTIFS('Cases overview'!$A$7:$A$306,B56)&lt;&gt;1,"Invalid case ref",IF(OR(D56="",E56="",F56="",G56="",L56=""),"Version info missing",IF(AND(C56&lt;&gt;"",OR(C56=A56,COUNTIFS('Plan versions'!$A$7:$A$306,C56,'Plan versions'!$B$7:$B$306,B56)&lt;&gt;1)),"Invalid parent plan ref",IF(L56="Draft","Draft not frozen",IF(OR(NOT(ISNUMBER(H56)),NOT(ISNUMBER(I56)),J56="",K56="",M56=""),"Freeze info missing",IF(I56&lt;H56,"Verify retroactive entry","Valid input"))))))))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25"/>
      <x:c r="I57" s="25"/>
      <x:c r="J57" s="3"/>
      <x:c r="K57" s="3"/>
      <x:c r="L57" s="3"/>
      <x:c r="M57" s="3"/>
      <x:c r="N57" s="19" t="str">
        <x:f>IF(A57="","",IF(COUNTIFS('Plan versions'!$A$7:$A$306,A57)&lt;&gt;1,"Duplicate ID",IF(COUNTIFS('Cases overview'!$A$7:$A$306,B57)&lt;&gt;1,"Invalid case ref",IF(OR(D57="",E57="",F57="",G57="",L57=""),"Version info missing",IF(AND(C57&lt;&gt;"",OR(C57=A57,COUNTIFS('Plan versions'!$A$7:$A$306,C57,'Plan versions'!$B$7:$B$306,B57)&lt;&gt;1)),"Invalid parent plan ref",IF(L57="Draft","Draft not frozen",IF(OR(NOT(ISNUMBER(H57)),NOT(ISNUMBER(I57)),J57="",K57="",M57=""),"Freeze info missing",IF(I57&lt;H57,"Verify retroactive entry","Valid input"))))))))</x:f>
      </x:c>
    </x:row>
    <x:row r="58" ht="25" customHeight="1">
      <x:c r="A58" s="3"/>
      <x:c r="B58" s="3"/>
      <x:c r="C58" s="3"/>
      <x:c r="D58" s="3"/>
      <x:c r="E58" s="3"/>
      <x:c r="F58" s="3"/>
      <x:c r="G58" s="3"/>
      <x:c r="H58" s="25"/>
      <x:c r="I58" s="25"/>
      <x:c r="J58" s="3"/>
      <x:c r="K58" s="3"/>
      <x:c r="L58" s="3"/>
      <x:c r="M58" s="3"/>
      <x:c r="N58" s="19" t="str">
        <x:f>IF(A58="","",IF(COUNTIFS('Plan versions'!$A$7:$A$306,A58)&lt;&gt;1,"Duplicate ID",IF(COUNTIFS('Cases overview'!$A$7:$A$306,B58)&lt;&gt;1,"Invalid case ref",IF(OR(D58="",E58="",F58="",G58="",L58=""),"Version info missing",IF(AND(C58&lt;&gt;"",OR(C58=A58,COUNTIFS('Plan versions'!$A$7:$A$306,C58,'Plan versions'!$B$7:$B$306,B58)&lt;&gt;1)),"Invalid parent plan ref",IF(L58="Draft","Draft not frozen",IF(OR(NOT(ISNUMBER(H58)),NOT(ISNUMBER(I58)),J58="",K58="",M58=""),"Freeze info missing",IF(I58&lt;H58,"Verify retroactive entry","Valid input"))))))))</x:f>
      </x:c>
    </x:row>
    <x:row r="59" ht="25" customHeight="1">
      <x:c r="A59" s="3"/>
      <x:c r="B59" s="3"/>
      <x:c r="C59" s="3"/>
      <x:c r="D59" s="3"/>
      <x:c r="E59" s="3"/>
      <x:c r="F59" s="3"/>
      <x:c r="G59" s="3"/>
      <x:c r="H59" s="25"/>
      <x:c r="I59" s="25"/>
      <x:c r="J59" s="3"/>
      <x:c r="K59" s="3"/>
      <x:c r="L59" s="3"/>
      <x:c r="M59" s="3"/>
      <x:c r="N59" s="19" t="str">
        <x:f>IF(A59="","",IF(COUNTIFS('Plan versions'!$A$7:$A$306,A59)&lt;&gt;1,"Duplicate ID",IF(COUNTIFS('Cases overview'!$A$7:$A$306,B59)&lt;&gt;1,"Invalid case ref",IF(OR(D59="",E59="",F59="",G59="",L59=""),"Version info missing",IF(AND(C59&lt;&gt;"",OR(C59=A59,COUNTIFS('Plan versions'!$A$7:$A$306,C59,'Plan versions'!$B$7:$B$306,B59)&lt;&gt;1)),"Invalid parent plan ref",IF(L59="Draft","Draft not frozen",IF(OR(NOT(ISNUMBER(H59)),NOT(ISNUMBER(I59)),J59="",K59="",M59=""),"Freeze info missing",IF(I59&lt;H59,"Verify retroactive entry","Valid input"))))))))</x:f>
      </x:c>
    </x:row>
    <x:row r="60" ht="25" customHeight="1">
      <x:c r="A60" s="3"/>
      <x:c r="B60" s="3"/>
      <x:c r="C60" s="3"/>
      <x:c r="D60" s="3"/>
      <x:c r="E60" s="3"/>
      <x:c r="F60" s="3"/>
      <x:c r="G60" s="3"/>
      <x:c r="H60" s="25"/>
      <x:c r="I60" s="25"/>
      <x:c r="J60" s="3"/>
      <x:c r="K60" s="3"/>
      <x:c r="L60" s="3"/>
      <x:c r="M60" s="3"/>
      <x:c r="N60" s="19" t="str">
        <x:f>IF(A60="","",IF(COUNTIFS('Plan versions'!$A$7:$A$306,A60)&lt;&gt;1,"Duplicate ID",IF(COUNTIFS('Cases overview'!$A$7:$A$306,B60)&lt;&gt;1,"Invalid case ref",IF(OR(D60="",E60="",F60="",G60="",L60=""),"Version info missing",IF(AND(C60&lt;&gt;"",OR(C60=A60,COUNTIFS('Plan versions'!$A$7:$A$306,C60,'Plan versions'!$B$7:$B$306,B60)&lt;&gt;1)),"Invalid parent plan ref",IF(L60="Draft","Draft not frozen",IF(OR(NOT(ISNUMBER(H60)),NOT(ISNUMBER(I60)),J60="",K60="",M60=""),"Freeze info missing",IF(I60&lt;H60,"Verify retroactive entry","Valid input"))))))))</x:f>
      </x:c>
    </x:row>
    <x:row r="61" ht="25" customHeight="1">
      <x:c r="A61" s="3"/>
      <x:c r="B61" s="3"/>
      <x:c r="C61" s="3"/>
      <x:c r="D61" s="3"/>
      <x:c r="E61" s="3"/>
      <x:c r="F61" s="3"/>
      <x:c r="G61" s="3"/>
      <x:c r="H61" s="25"/>
      <x:c r="I61" s="25"/>
      <x:c r="J61" s="3"/>
      <x:c r="K61" s="3"/>
      <x:c r="L61" s="3"/>
      <x:c r="M61" s="3"/>
      <x:c r="N61" s="19" t="str">
        <x:f>IF(A61="","",IF(COUNTIFS('Plan versions'!$A$7:$A$306,A61)&lt;&gt;1,"Duplicate ID",IF(COUNTIFS('Cases overview'!$A$7:$A$306,B61)&lt;&gt;1,"Invalid case ref",IF(OR(D61="",E61="",F61="",G61="",L61=""),"Version info missing",IF(AND(C61&lt;&gt;"",OR(C61=A61,COUNTIFS('Plan versions'!$A$7:$A$306,C61,'Plan versions'!$B$7:$B$306,B61)&lt;&gt;1)),"Invalid parent plan ref",IF(L61="Draft","Draft not frozen",IF(OR(NOT(ISNUMBER(H61)),NOT(ISNUMBER(I61)),J61="",K61="",M61=""),"Freeze info missing",IF(I61&lt;H61,"Verify retroactive entry","Valid input"))))))))</x:f>
      </x:c>
    </x:row>
    <x:row r="62" ht="25" customHeight="1">
      <x:c r="A62" s="3"/>
      <x:c r="B62" s="3"/>
      <x:c r="C62" s="3"/>
      <x:c r="D62" s="3"/>
      <x:c r="E62" s="3"/>
      <x:c r="F62" s="3"/>
      <x:c r="G62" s="3"/>
      <x:c r="H62" s="25"/>
      <x:c r="I62" s="25"/>
      <x:c r="J62" s="3"/>
      <x:c r="K62" s="3"/>
      <x:c r="L62" s="3"/>
      <x:c r="M62" s="3"/>
      <x:c r="N62" s="19" t="str">
        <x:f>IF(A62="","",IF(COUNTIFS('Plan versions'!$A$7:$A$306,A62)&lt;&gt;1,"Duplicate ID",IF(COUNTIFS('Cases overview'!$A$7:$A$306,B62)&lt;&gt;1,"Invalid case ref",IF(OR(D62="",E62="",F62="",G62="",L62=""),"Version info missing",IF(AND(C62&lt;&gt;"",OR(C62=A62,COUNTIFS('Plan versions'!$A$7:$A$306,C62,'Plan versions'!$B$7:$B$306,B62)&lt;&gt;1)),"Invalid parent plan ref",IF(L62="Draft","Draft not frozen",IF(OR(NOT(ISNUMBER(H62)),NOT(ISNUMBER(I62)),J62="",K62="",M62=""),"Freeze info missing",IF(I62&lt;H62,"Verify retroactive entry","Valid input"))))))))</x:f>
      </x:c>
    </x:row>
    <x:row r="63" ht="25" customHeight="1">
      <x:c r="A63" s="3"/>
      <x:c r="B63" s="3"/>
      <x:c r="C63" s="3"/>
      <x:c r="D63" s="3"/>
      <x:c r="E63" s="3"/>
      <x:c r="F63" s="3"/>
      <x:c r="G63" s="3"/>
      <x:c r="H63" s="25"/>
      <x:c r="I63" s="25"/>
      <x:c r="J63" s="3"/>
      <x:c r="K63" s="3"/>
      <x:c r="L63" s="3"/>
      <x:c r="M63" s="3"/>
      <x:c r="N63" s="19" t="str">
        <x:f>IF(A63="","",IF(COUNTIFS('Plan versions'!$A$7:$A$306,A63)&lt;&gt;1,"Duplicate ID",IF(COUNTIFS('Cases overview'!$A$7:$A$306,B63)&lt;&gt;1,"Invalid case ref",IF(OR(D63="",E63="",F63="",G63="",L63=""),"Version info missing",IF(AND(C63&lt;&gt;"",OR(C63=A63,COUNTIFS('Plan versions'!$A$7:$A$306,C63,'Plan versions'!$B$7:$B$306,B63)&lt;&gt;1)),"Invalid parent plan ref",IF(L63="Draft","Draft not frozen",IF(OR(NOT(ISNUMBER(H63)),NOT(ISNUMBER(I63)),J63="",K63="",M63=""),"Freeze info missing",IF(I63&lt;H63,"Verify retroactive entry","Valid input"))))))))</x:f>
      </x:c>
    </x:row>
    <x:row r="64" ht="25" customHeight="1">
      <x:c r="A64" s="3"/>
      <x:c r="B64" s="3"/>
      <x:c r="C64" s="3"/>
      <x:c r="D64" s="3"/>
      <x:c r="E64" s="3"/>
      <x:c r="F64" s="3"/>
      <x:c r="G64" s="3"/>
      <x:c r="H64" s="25"/>
      <x:c r="I64" s="25"/>
      <x:c r="J64" s="3"/>
      <x:c r="K64" s="3"/>
      <x:c r="L64" s="3"/>
      <x:c r="M64" s="3"/>
      <x:c r="N64" s="19" t="str">
        <x:f>IF(A64="","",IF(COUNTIFS('Plan versions'!$A$7:$A$306,A64)&lt;&gt;1,"Duplicate ID",IF(COUNTIFS('Cases overview'!$A$7:$A$306,B64)&lt;&gt;1,"Invalid case ref",IF(OR(D64="",E64="",F64="",G64="",L64=""),"Version info missing",IF(AND(C64&lt;&gt;"",OR(C64=A64,COUNTIFS('Plan versions'!$A$7:$A$306,C64,'Plan versions'!$B$7:$B$306,B64)&lt;&gt;1)),"Invalid parent plan ref",IF(L64="Draft","Draft not frozen",IF(OR(NOT(ISNUMBER(H64)),NOT(ISNUMBER(I64)),J64="",K64="",M64=""),"Freeze info missing",IF(I64&lt;H64,"Verify retroactive entry","Valid input"))))))))</x:f>
      </x:c>
    </x:row>
    <x:row r="65" ht="25" customHeight="1">
      <x:c r="A65" s="3"/>
      <x:c r="B65" s="3"/>
      <x:c r="C65" s="3"/>
      <x:c r="D65" s="3"/>
      <x:c r="E65" s="3"/>
      <x:c r="F65" s="3"/>
      <x:c r="G65" s="3"/>
      <x:c r="H65" s="25"/>
      <x:c r="I65" s="25"/>
      <x:c r="J65" s="3"/>
      <x:c r="K65" s="3"/>
      <x:c r="L65" s="3"/>
      <x:c r="M65" s="3"/>
      <x:c r="N65" s="19" t="str">
        <x:f>IF(A65="","",IF(COUNTIFS('Plan versions'!$A$7:$A$306,A65)&lt;&gt;1,"Duplicate ID",IF(COUNTIFS('Cases overview'!$A$7:$A$306,B65)&lt;&gt;1,"Invalid case ref",IF(OR(D65="",E65="",F65="",G65="",L65=""),"Version info missing",IF(AND(C65&lt;&gt;"",OR(C65=A65,COUNTIFS('Plan versions'!$A$7:$A$306,C65,'Plan versions'!$B$7:$B$306,B65)&lt;&gt;1)),"Invalid parent plan ref",IF(L65="Draft","Draft not frozen",IF(OR(NOT(ISNUMBER(H65)),NOT(ISNUMBER(I65)),J65="",K65="",M65=""),"Freeze info missing",IF(I65&lt;H65,"Verify retroactive entry","Valid input"))))))))</x:f>
      </x:c>
    </x:row>
    <x:row r="66" ht="25" customHeight="1">
      <x:c r="A66" s="3"/>
      <x:c r="B66" s="3"/>
      <x:c r="C66" s="3"/>
      <x:c r="D66" s="3"/>
      <x:c r="E66" s="3"/>
      <x:c r="F66" s="3"/>
      <x:c r="G66" s="3"/>
      <x:c r="H66" s="25"/>
      <x:c r="I66" s="25"/>
      <x:c r="J66" s="3"/>
      <x:c r="K66" s="3"/>
      <x:c r="L66" s="3"/>
      <x:c r="M66" s="3"/>
      <x:c r="N66" s="19" t="str">
        <x:f>IF(A66="","",IF(COUNTIFS('Plan versions'!$A$7:$A$306,A66)&lt;&gt;1,"Duplicate ID",IF(COUNTIFS('Cases overview'!$A$7:$A$306,B66)&lt;&gt;1,"Invalid case ref",IF(OR(D66="",E66="",F66="",G66="",L66=""),"Version info missing",IF(AND(C66&lt;&gt;"",OR(C66=A66,COUNTIFS('Plan versions'!$A$7:$A$306,C66,'Plan versions'!$B$7:$B$306,B66)&lt;&gt;1)),"Invalid parent plan ref",IF(L66="Draft","Draft not frozen",IF(OR(NOT(ISNUMBER(H66)),NOT(ISNUMBER(I66)),J66="",K66="",M66=""),"Freeze info missing",IF(I66&lt;H66,"Verify retroactive entry","Valid input"))))))))</x:f>
      </x:c>
    </x:row>
    <x:row r="67" ht="25" customHeight="1">
      <x:c r="A67" s="3"/>
      <x:c r="B67" s="3"/>
      <x:c r="C67" s="3"/>
      <x:c r="D67" s="3"/>
      <x:c r="E67" s="3"/>
      <x:c r="F67" s="3"/>
      <x:c r="G67" s="3"/>
      <x:c r="H67" s="25"/>
      <x:c r="I67" s="25"/>
      <x:c r="J67" s="3"/>
      <x:c r="K67" s="3"/>
      <x:c r="L67" s="3"/>
      <x:c r="M67" s="3"/>
      <x:c r="N67" s="19" t="str">
        <x:f>IF(A67="","",IF(COUNTIFS('Plan versions'!$A$7:$A$306,A67)&lt;&gt;1,"Duplicate ID",IF(COUNTIFS('Cases overview'!$A$7:$A$306,B67)&lt;&gt;1,"Invalid case ref",IF(OR(D67="",E67="",F67="",G67="",L67=""),"Version info missing",IF(AND(C67&lt;&gt;"",OR(C67=A67,COUNTIFS('Plan versions'!$A$7:$A$306,C67,'Plan versions'!$B$7:$B$306,B67)&lt;&gt;1)),"Invalid parent plan ref",IF(L67="Draft","Draft not frozen",IF(OR(NOT(ISNUMBER(H67)),NOT(ISNUMBER(I67)),J67="",K67="",M67=""),"Freeze info missing",IF(I67&lt;H67,"Verify retroactive entry","Valid input"))))))))</x:f>
      </x:c>
    </x:row>
    <x:row r="68" ht="25" customHeight="1">
      <x:c r="A68" s="3"/>
      <x:c r="B68" s="3"/>
      <x:c r="C68" s="3"/>
      <x:c r="D68" s="3"/>
      <x:c r="E68" s="3"/>
      <x:c r="F68" s="3"/>
      <x:c r="G68" s="3"/>
      <x:c r="H68" s="25"/>
      <x:c r="I68" s="25"/>
      <x:c r="J68" s="3"/>
      <x:c r="K68" s="3"/>
      <x:c r="L68" s="3"/>
      <x:c r="M68" s="3"/>
      <x:c r="N68" s="19" t="str">
        <x:f>IF(A68="","",IF(COUNTIFS('Plan versions'!$A$7:$A$306,A68)&lt;&gt;1,"Duplicate ID",IF(COUNTIFS('Cases overview'!$A$7:$A$306,B68)&lt;&gt;1,"Invalid case ref",IF(OR(D68="",E68="",F68="",G68="",L68=""),"Version info missing",IF(AND(C68&lt;&gt;"",OR(C68=A68,COUNTIFS('Plan versions'!$A$7:$A$306,C68,'Plan versions'!$B$7:$B$306,B68)&lt;&gt;1)),"Invalid parent plan ref",IF(L68="Draft","Draft not frozen",IF(OR(NOT(ISNUMBER(H68)),NOT(ISNUMBER(I68)),J68="",K68="",M68=""),"Freeze info missing",IF(I68&lt;H68,"Verify retroactive entry","Valid input"))))))))</x:f>
      </x:c>
    </x:row>
    <x:row r="69" ht="25" customHeight="1">
      <x:c r="A69" s="3"/>
      <x:c r="B69" s="3"/>
      <x:c r="C69" s="3"/>
      <x:c r="D69" s="3"/>
      <x:c r="E69" s="3"/>
      <x:c r="F69" s="3"/>
      <x:c r="G69" s="3"/>
      <x:c r="H69" s="25"/>
      <x:c r="I69" s="25"/>
      <x:c r="J69" s="3"/>
      <x:c r="K69" s="3"/>
      <x:c r="L69" s="3"/>
      <x:c r="M69" s="3"/>
      <x:c r="N69" s="19" t="str">
        <x:f>IF(A69="","",IF(COUNTIFS('Plan versions'!$A$7:$A$306,A69)&lt;&gt;1,"Duplicate ID",IF(COUNTIFS('Cases overview'!$A$7:$A$306,B69)&lt;&gt;1,"Invalid case ref",IF(OR(D69="",E69="",F69="",G69="",L69=""),"Version info missing",IF(AND(C69&lt;&gt;"",OR(C69=A69,COUNTIFS('Plan versions'!$A$7:$A$306,C69,'Plan versions'!$B$7:$B$306,B69)&lt;&gt;1)),"Invalid parent plan ref",IF(L69="Draft","Draft not frozen",IF(OR(NOT(ISNUMBER(H69)),NOT(ISNUMBER(I69)),J69="",K69="",M69=""),"Freeze info missing",IF(I69&lt;H69,"Verify retroactive entry","Valid input"))))))))</x:f>
      </x:c>
    </x:row>
    <x:row r="70" ht="25" customHeight="1">
      <x:c r="A70" s="3"/>
      <x:c r="B70" s="3"/>
      <x:c r="C70" s="3"/>
      <x:c r="D70" s="3"/>
      <x:c r="E70" s="3"/>
      <x:c r="F70" s="3"/>
      <x:c r="G70" s="3"/>
      <x:c r="H70" s="25"/>
      <x:c r="I70" s="25"/>
      <x:c r="J70" s="3"/>
      <x:c r="K70" s="3"/>
      <x:c r="L70" s="3"/>
      <x:c r="M70" s="3"/>
      <x:c r="N70" s="19" t="str">
        <x:f>IF(A70="","",IF(COUNTIFS('Plan versions'!$A$7:$A$306,A70)&lt;&gt;1,"Duplicate ID",IF(COUNTIFS('Cases overview'!$A$7:$A$306,B70)&lt;&gt;1,"Invalid case ref",IF(OR(D70="",E70="",F70="",G70="",L70=""),"Version info missing",IF(AND(C70&lt;&gt;"",OR(C70=A70,COUNTIFS('Plan versions'!$A$7:$A$306,C70,'Plan versions'!$B$7:$B$306,B70)&lt;&gt;1)),"Invalid parent plan ref",IF(L70="Draft","Draft not frozen",IF(OR(NOT(ISNUMBER(H70)),NOT(ISNUMBER(I70)),J70="",K70="",M70=""),"Freeze info missing",IF(I70&lt;H70,"Verify retroactive entry","Valid input"))))))))</x:f>
      </x:c>
    </x:row>
    <x:row r="71" ht="25" customHeight="1">
      <x:c r="A71" s="3"/>
      <x:c r="B71" s="3"/>
      <x:c r="C71" s="3"/>
      <x:c r="D71" s="3"/>
      <x:c r="E71" s="3"/>
      <x:c r="F71" s="3"/>
      <x:c r="G71" s="3"/>
      <x:c r="H71" s="25"/>
      <x:c r="I71" s="25"/>
      <x:c r="J71" s="3"/>
      <x:c r="K71" s="3"/>
      <x:c r="L71" s="3"/>
      <x:c r="M71" s="3"/>
      <x:c r="N71" s="19" t="str">
        <x:f>IF(A71="","",IF(COUNTIFS('Plan versions'!$A$7:$A$306,A71)&lt;&gt;1,"Duplicate ID",IF(COUNTIFS('Cases overview'!$A$7:$A$306,B71)&lt;&gt;1,"Invalid case ref",IF(OR(D71="",E71="",F71="",G71="",L71=""),"Version info missing",IF(AND(C71&lt;&gt;"",OR(C71=A71,COUNTIFS('Plan versions'!$A$7:$A$306,C71,'Plan versions'!$B$7:$B$306,B71)&lt;&gt;1)),"Invalid parent plan ref",IF(L71="Draft","Draft not frozen",IF(OR(NOT(ISNUMBER(H71)),NOT(ISNUMBER(I71)),J71="",K71="",M71=""),"Freeze info missing",IF(I71&lt;H71,"Verify retroactive entry","Valid input"))))))))</x:f>
      </x:c>
    </x:row>
    <x:row r="72" ht="25" customHeight="1">
      <x:c r="A72" s="3"/>
      <x:c r="B72" s="3"/>
      <x:c r="C72" s="3"/>
      <x:c r="D72" s="3"/>
      <x:c r="E72" s="3"/>
      <x:c r="F72" s="3"/>
      <x:c r="G72" s="3"/>
      <x:c r="H72" s="25"/>
      <x:c r="I72" s="25"/>
      <x:c r="J72" s="3"/>
      <x:c r="K72" s="3"/>
      <x:c r="L72" s="3"/>
      <x:c r="M72" s="3"/>
      <x:c r="N72" s="19" t="str">
        <x:f>IF(A72="","",IF(COUNTIFS('Plan versions'!$A$7:$A$306,A72)&lt;&gt;1,"Duplicate ID",IF(COUNTIFS('Cases overview'!$A$7:$A$306,B72)&lt;&gt;1,"Invalid case ref",IF(OR(D72="",E72="",F72="",G72="",L72=""),"Version info missing",IF(AND(C72&lt;&gt;"",OR(C72=A72,COUNTIFS('Plan versions'!$A$7:$A$306,C72,'Plan versions'!$B$7:$B$306,B72)&lt;&gt;1)),"Invalid parent plan ref",IF(L72="Draft","Draft not frozen",IF(OR(NOT(ISNUMBER(H72)),NOT(ISNUMBER(I72)),J72="",K72="",M72=""),"Freeze info missing",IF(I72&lt;H72,"Verify retroactive entry","Valid input"))))))))</x:f>
      </x:c>
    </x:row>
    <x:row r="73" ht="25" customHeight="1">
      <x:c r="A73" s="3"/>
      <x:c r="B73" s="3"/>
      <x:c r="C73" s="3"/>
      <x:c r="D73" s="3"/>
      <x:c r="E73" s="3"/>
      <x:c r="F73" s="3"/>
      <x:c r="G73" s="3"/>
      <x:c r="H73" s="25"/>
      <x:c r="I73" s="25"/>
      <x:c r="J73" s="3"/>
      <x:c r="K73" s="3"/>
      <x:c r="L73" s="3"/>
      <x:c r="M73" s="3"/>
      <x:c r="N73" s="19" t="str">
        <x:f>IF(A73="","",IF(COUNTIFS('Plan versions'!$A$7:$A$306,A73)&lt;&gt;1,"Duplicate ID",IF(COUNTIFS('Cases overview'!$A$7:$A$306,B73)&lt;&gt;1,"Invalid case ref",IF(OR(D73="",E73="",F73="",G73="",L73=""),"Version info missing",IF(AND(C73&lt;&gt;"",OR(C73=A73,COUNTIFS('Plan versions'!$A$7:$A$306,C73,'Plan versions'!$B$7:$B$306,B73)&lt;&gt;1)),"Invalid parent plan ref",IF(L73="Draft","Draft not frozen",IF(OR(NOT(ISNUMBER(H73)),NOT(ISNUMBER(I73)),J73="",K73="",M73=""),"Freeze info missing",IF(I73&lt;H73,"Verify retroactive entry","Valid input"))))))))</x:f>
      </x:c>
    </x:row>
    <x:row r="74" ht="25" customHeight="1">
      <x:c r="A74" s="3"/>
      <x:c r="B74" s="3"/>
      <x:c r="C74" s="3"/>
      <x:c r="D74" s="3"/>
      <x:c r="E74" s="3"/>
      <x:c r="F74" s="3"/>
      <x:c r="G74" s="3"/>
      <x:c r="H74" s="25"/>
      <x:c r="I74" s="25"/>
      <x:c r="J74" s="3"/>
      <x:c r="K74" s="3"/>
      <x:c r="L74" s="3"/>
      <x:c r="M74" s="3"/>
      <x:c r="N74" s="19" t="str">
        <x:f>IF(A74="","",IF(COUNTIFS('Plan versions'!$A$7:$A$306,A74)&lt;&gt;1,"Duplicate ID",IF(COUNTIFS('Cases overview'!$A$7:$A$306,B74)&lt;&gt;1,"Invalid case ref",IF(OR(D74="",E74="",F74="",G74="",L74=""),"Version info missing",IF(AND(C74&lt;&gt;"",OR(C74=A74,COUNTIFS('Plan versions'!$A$7:$A$306,C74,'Plan versions'!$B$7:$B$306,B74)&lt;&gt;1)),"Invalid parent plan ref",IF(L74="Draft","Draft not frozen",IF(OR(NOT(ISNUMBER(H74)),NOT(ISNUMBER(I74)),J74="",K74="",M74=""),"Freeze info missing",IF(I74&lt;H74,"Verify retroactive entry","Valid input"))))))))</x:f>
      </x:c>
    </x:row>
    <x:row r="75" ht="25" customHeight="1">
      <x:c r="A75" s="3"/>
      <x:c r="B75" s="3"/>
      <x:c r="C75" s="3"/>
      <x:c r="D75" s="3"/>
      <x:c r="E75" s="3"/>
      <x:c r="F75" s="3"/>
      <x:c r="G75" s="3"/>
      <x:c r="H75" s="25"/>
      <x:c r="I75" s="25"/>
      <x:c r="J75" s="3"/>
      <x:c r="K75" s="3"/>
      <x:c r="L75" s="3"/>
      <x:c r="M75" s="3"/>
      <x:c r="N75" s="19" t="str">
        <x:f>IF(A75="","",IF(COUNTIFS('Plan versions'!$A$7:$A$306,A75)&lt;&gt;1,"Duplicate ID",IF(COUNTIFS('Cases overview'!$A$7:$A$306,B75)&lt;&gt;1,"Invalid case ref",IF(OR(D75="",E75="",F75="",G75="",L75=""),"Version info missing",IF(AND(C75&lt;&gt;"",OR(C75=A75,COUNTIFS('Plan versions'!$A$7:$A$306,C75,'Plan versions'!$B$7:$B$306,B75)&lt;&gt;1)),"Invalid parent plan ref",IF(L75="Draft","Draft not frozen",IF(OR(NOT(ISNUMBER(H75)),NOT(ISNUMBER(I75)),J75="",K75="",M75=""),"Freeze info missing",IF(I75&lt;H75,"Verify retroactive entry","Valid input"))))))))</x:f>
      </x:c>
    </x:row>
    <x:row r="76" ht="25" customHeight="1">
      <x:c r="A76" s="3"/>
      <x:c r="B76" s="3"/>
      <x:c r="C76" s="3"/>
      <x:c r="D76" s="3"/>
      <x:c r="E76" s="3"/>
      <x:c r="F76" s="3"/>
      <x:c r="G76" s="3"/>
      <x:c r="H76" s="25"/>
      <x:c r="I76" s="25"/>
      <x:c r="J76" s="3"/>
      <x:c r="K76" s="3"/>
      <x:c r="L76" s="3"/>
      <x:c r="M76" s="3"/>
      <x:c r="N76" s="19" t="str">
        <x:f>IF(A76="","",IF(COUNTIFS('Plan versions'!$A$7:$A$306,A76)&lt;&gt;1,"Duplicate ID",IF(COUNTIFS('Cases overview'!$A$7:$A$306,B76)&lt;&gt;1,"Invalid case ref",IF(OR(D76="",E76="",F76="",G76="",L76=""),"Version info missing",IF(AND(C76&lt;&gt;"",OR(C76=A76,COUNTIFS('Plan versions'!$A$7:$A$306,C76,'Plan versions'!$B$7:$B$306,B76)&lt;&gt;1)),"Invalid parent plan ref",IF(L76="Draft","Draft not frozen",IF(OR(NOT(ISNUMBER(H76)),NOT(ISNUMBER(I76)),J76="",K76="",M76=""),"Freeze info missing",IF(I76&lt;H76,"Verify retroactive entry","Valid input"))))))))</x:f>
      </x:c>
    </x:row>
    <x:row r="77" ht="25" customHeight="1">
      <x:c r="A77" s="3"/>
      <x:c r="B77" s="3"/>
      <x:c r="C77" s="3"/>
      <x:c r="D77" s="3"/>
      <x:c r="E77" s="3"/>
      <x:c r="F77" s="3"/>
      <x:c r="G77" s="3"/>
      <x:c r="H77" s="25"/>
      <x:c r="I77" s="25"/>
      <x:c r="J77" s="3"/>
      <x:c r="K77" s="3"/>
      <x:c r="L77" s="3"/>
      <x:c r="M77" s="3"/>
      <x:c r="N77" s="19" t="str">
        <x:f>IF(A77="","",IF(COUNTIFS('Plan versions'!$A$7:$A$306,A77)&lt;&gt;1,"Duplicate ID",IF(COUNTIFS('Cases overview'!$A$7:$A$306,B77)&lt;&gt;1,"Invalid case ref",IF(OR(D77="",E77="",F77="",G77="",L77=""),"Version info missing",IF(AND(C77&lt;&gt;"",OR(C77=A77,COUNTIFS('Plan versions'!$A$7:$A$306,C77,'Plan versions'!$B$7:$B$306,B77)&lt;&gt;1)),"Invalid parent plan ref",IF(L77="Draft","Draft not frozen",IF(OR(NOT(ISNUMBER(H77)),NOT(ISNUMBER(I77)),J77="",K77="",M77=""),"Freeze info missing",IF(I77&lt;H77,"Verify retroactive entry","Valid input"))))))))</x:f>
      </x:c>
    </x:row>
    <x:row r="78" ht="25" customHeight="1">
      <x:c r="A78" s="3"/>
      <x:c r="B78" s="3"/>
      <x:c r="C78" s="3"/>
      <x:c r="D78" s="3"/>
      <x:c r="E78" s="3"/>
      <x:c r="F78" s="3"/>
      <x:c r="G78" s="3"/>
      <x:c r="H78" s="25"/>
      <x:c r="I78" s="25"/>
      <x:c r="J78" s="3"/>
      <x:c r="K78" s="3"/>
      <x:c r="L78" s="3"/>
      <x:c r="M78" s="3"/>
      <x:c r="N78" s="19" t="str">
        <x:f>IF(A78="","",IF(COUNTIFS('Plan versions'!$A$7:$A$306,A78)&lt;&gt;1,"Duplicate ID",IF(COUNTIFS('Cases overview'!$A$7:$A$306,B78)&lt;&gt;1,"Invalid case ref",IF(OR(D78="",E78="",F78="",G78="",L78=""),"Version info missing",IF(AND(C78&lt;&gt;"",OR(C78=A78,COUNTIFS('Plan versions'!$A$7:$A$306,C78,'Plan versions'!$B$7:$B$306,B78)&lt;&gt;1)),"Invalid parent plan ref",IF(L78="Draft","Draft not frozen",IF(OR(NOT(ISNUMBER(H78)),NOT(ISNUMBER(I78)),J78="",K78="",M78=""),"Freeze info missing",IF(I78&lt;H78,"Verify retroactive entry","Valid input"))))))))</x:f>
      </x:c>
    </x:row>
    <x:row r="79" ht="25" customHeight="1">
      <x:c r="A79" s="3"/>
      <x:c r="B79" s="3"/>
      <x:c r="C79" s="3"/>
      <x:c r="D79" s="3"/>
      <x:c r="E79" s="3"/>
      <x:c r="F79" s="3"/>
      <x:c r="G79" s="3"/>
      <x:c r="H79" s="25"/>
      <x:c r="I79" s="25"/>
      <x:c r="J79" s="3"/>
      <x:c r="K79" s="3"/>
      <x:c r="L79" s="3"/>
      <x:c r="M79" s="3"/>
      <x:c r="N79" s="19" t="str">
        <x:f>IF(A79="","",IF(COUNTIFS('Plan versions'!$A$7:$A$306,A79)&lt;&gt;1,"Duplicate ID",IF(COUNTIFS('Cases overview'!$A$7:$A$306,B79)&lt;&gt;1,"Invalid case ref",IF(OR(D79="",E79="",F79="",G79="",L79=""),"Version info missing",IF(AND(C79&lt;&gt;"",OR(C79=A79,COUNTIFS('Plan versions'!$A$7:$A$306,C79,'Plan versions'!$B$7:$B$306,B79)&lt;&gt;1)),"Invalid parent plan ref",IF(L79="Draft","Draft not frozen",IF(OR(NOT(ISNUMBER(H79)),NOT(ISNUMBER(I79)),J79="",K79="",M79=""),"Freeze info missing",IF(I79&lt;H79,"Verify retroactive entry","Valid input"))))))))</x:f>
      </x:c>
    </x:row>
    <x:row r="80" ht="25" customHeight="1">
      <x:c r="A80" s="3"/>
      <x:c r="B80" s="3"/>
      <x:c r="C80" s="3"/>
      <x:c r="D80" s="3"/>
      <x:c r="E80" s="3"/>
      <x:c r="F80" s="3"/>
      <x:c r="G80" s="3"/>
      <x:c r="H80" s="25"/>
      <x:c r="I80" s="25"/>
      <x:c r="J80" s="3"/>
      <x:c r="K80" s="3"/>
      <x:c r="L80" s="3"/>
      <x:c r="M80" s="3"/>
      <x:c r="N80" s="19" t="str">
        <x:f>IF(A80="","",IF(COUNTIFS('Plan versions'!$A$7:$A$306,A80)&lt;&gt;1,"Duplicate ID",IF(COUNTIFS('Cases overview'!$A$7:$A$306,B80)&lt;&gt;1,"Invalid case ref",IF(OR(D80="",E80="",F80="",G80="",L80=""),"Version info missing",IF(AND(C80&lt;&gt;"",OR(C80=A80,COUNTIFS('Plan versions'!$A$7:$A$306,C80,'Plan versions'!$B$7:$B$306,B80)&lt;&gt;1)),"Invalid parent plan ref",IF(L80="Draft","Draft not frozen",IF(OR(NOT(ISNUMBER(H80)),NOT(ISNUMBER(I80)),J80="",K80="",M80=""),"Freeze info missing",IF(I80&lt;H80,"Verify retroactive entry","Valid input"))))))))</x:f>
      </x:c>
    </x:row>
    <x:row r="81" ht="25" customHeight="1">
      <x:c r="A81" s="3"/>
      <x:c r="B81" s="3"/>
      <x:c r="C81" s="3"/>
      <x:c r="D81" s="3"/>
      <x:c r="E81" s="3"/>
      <x:c r="F81" s="3"/>
      <x:c r="G81" s="3"/>
      <x:c r="H81" s="25"/>
      <x:c r="I81" s="25"/>
      <x:c r="J81" s="3"/>
      <x:c r="K81" s="3"/>
      <x:c r="L81" s="3"/>
      <x:c r="M81" s="3"/>
      <x:c r="N81" s="19" t="str">
        <x:f>IF(A81="","",IF(COUNTIFS('Plan versions'!$A$7:$A$306,A81)&lt;&gt;1,"Duplicate ID",IF(COUNTIFS('Cases overview'!$A$7:$A$306,B81)&lt;&gt;1,"Invalid case ref",IF(OR(D81="",E81="",F81="",G81="",L81=""),"Version info missing",IF(AND(C81&lt;&gt;"",OR(C81=A81,COUNTIFS('Plan versions'!$A$7:$A$306,C81,'Plan versions'!$B$7:$B$306,B81)&lt;&gt;1)),"Invalid parent plan ref",IF(L81="Draft","Draft not frozen",IF(OR(NOT(ISNUMBER(H81)),NOT(ISNUMBER(I81)),J81="",K81="",M81=""),"Freeze info missing",IF(I81&lt;H81,"Verify retroactive entry","Valid input"))))))))</x:f>
      </x:c>
    </x:row>
    <x:row r="82" ht="25" customHeight="1">
      <x:c r="A82" s="3"/>
      <x:c r="B82" s="3"/>
      <x:c r="C82" s="3"/>
      <x:c r="D82" s="3"/>
      <x:c r="E82" s="3"/>
      <x:c r="F82" s="3"/>
      <x:c r="G82" s="3"/>
      <x:c r="H82" s="25"/>
      <x:c r="I82" s="25"/>
      <x:c r="J82" s="3"/>
      <x:c r="K82" s="3"/>
      <x:c r="L82" s="3"/>
      <x:c r="M82" s="3"/>
      <x:c r="N82" s="19" t="str">
        <x:f>IF(A82="","",IF(COUNTIFS('Plan versions'!$A$7:$A$306,A82)&lt;&gt;1,"Duplicate ID",IF(COUNTIFS('Cases overview'!$A$7:$A$306,B82)&lt;&gt;1,"Invalid case ref",IF(OR(D82="",E82="",F82="",G82="",L82=""),"Version info missing",IF(AND(C82&lt;&gt;"",OR(C82=A82,COUNTIFS('Plan versions'!$A$7:$A$306,C82,'Plan versions'!$B$7:$B$306,B82)&lt;&gt;1)),"Invalid parent plan ref",IF(L82="Draft","Draft not frozen",IF(OR(NOT(ISNUMBER(H82)),NOT(ISNUMBER(I82)),J82="",K82="",M82=""),"Freeze info missing",IF(I82&lt;H82,"Verify retroactive entry","Valid input"))))))))</x:f>
      </x:c>
    </x:row>
    <x:row r="83" ht="25" customHeight="1">
      <x:c r="A83" s="3"/>
      <x:c r="B83" s="3"/>
      <x:c r="C83" s="3"/>
      <x:c r="D83" s="3"/>
      <x:c r="E83" s="3"/>
      <x:c r="F83" s="3"/>
      <x:c r="G83" s="3"/>
      <x:c r="H83" s="25"/>
      <x:c r="I83" s="25"/>
      <x:c r="J83" s="3"/>
      <x:c r="K83" s="3"/>
      <x:c r="L83" s="3"/>
      <x:c r="M83" s="3"/>
      <x:c r="N83" s="19" t="str">
        <x:f>IF(A83="","",IF(COUNTIFS('Plan versions'!$A$7:$A$306,A83)&lt;&gt;1,"Duplicate ID",IF(COUNTIFS('Cases overview'!$A$7:$A$306,B83)&lt;&gt;1,"Invalid case ref",IF(OR(D83="",E83="",F83="",G83="",L83=""),"Version info missing",IF(AND(C83&lt;&gt;"",OR(C83=A83,COUNTIFS('Plan versions'!$A$7:$A$306,C83,'Plan versions'!$B$7:$B$306,B83)&lt;&gt;1)),"Invalid parent plan ref",IF(L83="Draft","Draft not frozen",IF(OR(NOT(ISNUMBER(H83)),NOT(ISNUMBER(I83)),J83="",K83="",M83=""),"Freeze info missing",IF(I83&lt;H83,"Verify retroactive entry","Valid input"))))))))</x:f>
      </x:c>
    </x:row>
    <x:row r="84" ht="25" customHeight="1">
      <x:c r="A84" s="3"/>
      <x:c r="B84" s="3"/>
      <x:c r="C84" s="3"/>
      <x:c r="D84" s="3"/>
      <x:c r="E84" s="3"/>
      <x:c r="F84" s="3"/>
      <x:c r="G84" s="3"/>
      <x:c r="H84" s="25"/>
      <x:c r="I84" s="25"/>
      <x:c r="J84" s="3"/>
      <x:c r="K84" s="3"/>
      <x:c r="L84" s="3"/>
      <x:c r="M84" s="3"/>
      <x:c r="N84" s="19" t="str">
        <x:f>IF(A84="","",IF(COUNTIFS('Plan versions'!$A$7:$A$306,A84)&lt;&gt;1,"Duplicate ID",IF(COUNTIFS('Cases overview'!$A$7:$A$306,B84)&lt;&gt;1,"Invalid case ref",IF(OR(D84="",E84="",F84="",G84="",L84=""),"Version info missing",IF(AND(C84&lt;&gt;"",OR(C84=A84,COUNTIFS('Plan versions'!$A$7:$A$306,C84,'Plan versions'!$B$7:$B$306,B84)&lt;&gt;1)),"Invalid parent plan ref",IF(L84="Draft","Draft not frozen",IF(OR(NOT(ISNUMBER(H84)),NOT(ISNUMBER(I84)),J84="",K84="",M84=""),"Freeze info missing",IF(I84&lt;H84,"Verify retroactive entry","Valid input"))))))))</x:f>
      </x:c>
    </x:row>
    <x:row r="85" ht="25" customHeight="1">
      <x:c r="A85" s="3"/>
      <x:c r="B85" s="3"/>
      <x:c r="C85" s="3"/>
      <x:c r="D85" s="3"/>
      <x:c r="E85" s="3"/>
      <x:c r="F85" s="3"/>
      <x:c r="G85" s="3"/>
      <x:c r="H85" s="25"/>
      <x:c r="I85" s="25"/>
      <x:c r="J85" s="3"/>
      <x:c r="K85" s="3"/>
      <x:c r="L85" s="3"/>
      <x:c r="M85" s="3"/>
      <x:c r="N85" s="19" t="str">
        <x:f>IF(A85="","",IF(COUNTIFS('Plan versions'!$A$7:$A$306,A85)&lt;&gt;1,"Duplicate ID",IF(COUNTIFS('Cases overview'!$A$7:$A$306,B85)&lt;&gt;1,"Invalid case ref",IF(OR(D85="",E85="",F85="",G85="",L85=""),"Version info missing",IF(AND(C85&lt;&gt;"",OR(C85=A85,COUNTIFS('Plan versions'!$A$7:$A$306,C85,'Plan versions'!$B$7:$B$306,B85)&lt;&gt;1)),"Invalid parent plan ref",IF(L85="Draft","Draft not frozen",IF(OR(NOT(ISNUMBER(H85)),NOT(ISNUMBER(I85)),J85="",K85="",M85=""),"Freeze info missing",IF(I85&lt;H85,"Verify retroactive entry","Valid input"))))))))</x:f>
      </x:c>
    </x:row>
    <x:row r="86" ht="25" customHeight="1">
      <x:c r="A86" s="3"/>
      <x:c r="B86" s="3"/>
      <x:c r="C86" s="3"/>
      <x:c r="D86" s="3"/>
      <x:c r="E86" s="3"/>
      <x:c r="F86" s="3"/>
      <x:c r="G86" s="3"/>
      <x:c r="H86" s="25"/>
      <x:c r="I86" s="25"/>
      <x:c r="J86" s="3"/>
      <x:c r="K86" s="3"/>
      <x:c r="L86" s="3"/>
      <x:c r="M86" s="3"/>
      <x:c r="N86" s="19" t="str">
        <x:f>IF(A86="","",IF(COUNTIFS('Plan versions'!$A$7:$A$306,A86)&lt;&gt;1,"Duplicate ID",IF(COUNTIFS('Cases overview'!$A$7:$A$306,B86)&lt;&gt;1,"Invalid case ref",IF(OR(D86="",E86="",F86="",G86="",L86=""),"Version info missing",IF(AND(C86&lt;&gt;"",OR(C86=A86,COUNTIFS('Plan versions'!$A$7:$A$306,C86,'Plan versions'!$B$7:$B$306,B86)&lt;&gt;1)),"Invalid parent plan ref",IF(L86="Draft","Draft not frozen",IF(OR(NOT(ISNUMBER(H86)),NOT(ISNUMBER(I86)),J86="",K86="",M86=""),"Freeze info missing",IF(I86&lt;H86,"Verify retroactive entry","Valid input"))))))))</x:f>
      </x:c>
    </x:row>
    <x:row r="87" ht="25" customHeight="1">
      <x:c r="A87" s="3"/>
      <x:c r="B87" s="3"/>
      <x:c r="C87" s="3"/>
      <x:c r="D87" s="3"/>
      <x:c r="E87" s="3"/>
      <x:c r="F87" s="3"/>
      <x:c r="G87" s="3"/>
      <x:c r="H87" s="25"/>
      <x:c r="I87" s="25"/>
      <x:c r="J87" s="3"/>
      <x:c r="K87" s="3"/>
      <x:c r="L87" s="3"/>
      <x:c r="M87" s="3"/>
      <x:c r="N87" s="19" t="str">
        <x:f>IF(A87="","",IF(COUNTIFS('Plan versions'!$A$7:$A$306,A87)&lt;&gt;1,"Duplicate ID",IF(COUNTIFS('Cases overview'!$A$7:$A$306,B87)&lt;&gt;1,"Invalid case ref",IF(OR(D87="",E87="",F87="",G87="",L87=""),"Version info missing",IF(AND(C87&lt;&gt;"",OR(C87=A87,COUNTIFS('Plan versions'!$A$7:$A$306,C87,'Plan versions'!$B$7:$B$306,B87)&lt;&gt;1)),"Invalid parent plan ref",IF(L87="Draft","Draft not frozen",IF(OR(NOT(ISNUMBER(H87)),NOT(ISNUMBER(I87)),J87="",K87="",M87=""),"Freeze info missing",IF(I87&lt;H87,"Verify retroactive entry","Valid input"))))))))</x:f>
      </x:c>
    </x:row>
    <x:row r="88" ht="25" customHeight="1">
      <x:c r="A88" s="3"/>
      <x:c r="B88" s="3"/>
      <x:c r="C88" s="3"/>
      <x:c r="D88" s="3"/>
      <x:c r="E88" s="3"/>
      <x:c r="F88" s="3"/>
      <x:c r="G88" s="3"/>
      <x:c r="H88" s="25"/>
      <x:c r="I88" s="25"/>
      <x:c r="J88" s="3"/>
      <x:c r="K88" s="3"/>
      <x:c r="L88" s="3"/>
      <x:c r="M88" s="3"/>
      <x:c r="N88" s="19" t="str">
        <x:f>IF(A88="","",IF(COUNTIFS('Plan versions'!$A$7:$A$306,A88)&lt;&gt;1,"Duplicate ID",IF(COUNTIFS('Cases overview'!$A$7:$A$306,B88)&lt;&gt;1,"Invalid case ref",IF(OR(D88="",E88="",F88="",G88="",L88=""),"Version info missing",IF(AND(C88&lt;&gt;"",OR(C88=A88,COUNTIFS('Plan versions'!$A$7:$A$306,C88,'Plan versions'!$B$7:$B$306,B88)&lt;&gt;1)),"Invalid parent plan ref",IF(L88="Draft","Draft not frozen",IF(OR(NOT(ISNUMBER(H88)),NOT(ISNUMBER(I88)),J88="",K88="",M88=""),"Freeze info missing",IF(I88&lt;H88,"Verify retroactive entry","Valid input"))))))))</x:f>
      </x:c>
    </x:row>
    <x:row r="89" ht="25" customHeight="1">
      <x:c r="A89" s="3"/>
      <x:c r="B89" s="3"/>
      <x:c r="C89" s="3"/>
      <x:c r="D89" s="3"/>
      <x:c r="E89" s="3"/>
      <x:c r="F89" s="3"/>
      <x:c r="G89" s="3"/>
      <x:c r="H89" s="25"/>
      <x:c r="I89" s="25"/>
      <x:c r="J89" s="3"/>
      <x:c r="K89" s="3"/>
      <x:c r="L89" s="3"/>
      <x:c r="M89" s="3"/>
      <x:c r="N89" s="19" t="str">
        <x:f>IF(A89="","",IF(COUNTIFS('Plan versions'!$A$7:$A$306,A89)&lt;&gt;1,"Duplicate ID",IF(COUNTIFS('Cases overview'!$A$7:$A$306,B89)&lt;&gt;1,"Invalid case ref",IF(OR(D89="",E89="",F89="",G89="",L89=""),"Version info missing",IF(AND(C89&lt;&gt;"",OR(C89=A89,COUNTIFS('Plan versions'!$A$7:$A$306,C89,'Plan versions'!$B$7:$B$306,B89)&lt;&gt;1)),"Invalid parent plan ref",IF(L89="Draft","Draft not frozen",IF(OR(NOT(ISNUMBER(H89)),NOT(ISNUMBER(I89)),J89="",K89="",M89=""),"Freeze info missing",IF(I89&lt;H89,"Verify retroactive entry","Valid input"))))))))</x:f>
      </x:c>
    </x:row>
    <x:row r="90" ht="25" customHeight="1">
      <x:c r="A90" s="3"/>
      <x:c r="B90" s="3"/>
      <x:c r="C90" s="3"/>
      <x:c r="D90" s="3"/>
      <x:c r="E90" s="3"/>
      <x:c r="F90" s="3"/>
      <x:c r="G90" s="3"/>
      <x:c r="H90" s="25"/>
      <x:c r="I90" s="25"/>
      <x:c r="J90" s="3"/>
      <x:c r="K90" s="3"/>
      <x:c r="L90" s="3"/>
      <x:c r="M90" s="3"/>
      <x:c r="N90" s="19" t="str">
        <x:f>IF(A90="","",IF(COUNTIFS('Plan versions'!$A$7:$A$306,A90)&lt;&gt;1,"Duplicate ID",IF(COUNTIFS('Cases overview'!$A$7:$A$306,B90)&lt;&gt;1,"Invalid case ref",IF(OR(D90="",E90="",F90="",G90="",L90=""),"Version info missing",IF(AND(C90&lt;&gt;"",OR(C90=A90,COUNTIFS('Plan versions'!$A$7:$A$306,C90,'Plan versions'!$B$7:$B$306,B90)&lt;&gt;1)),"Invalid parent plan ref",IF(L90="Draft","Draft not frozen",IF(OR(NOT(ISNUMBER(H90)),NOT(ISNUMBER(I90)),J90="",K90="",M90=""),"Freeze info missing",IF(I90&lt;H90,"Verify retroactive entry","Valid input"))))))))</x:f>
      </x:c>
    </x:row>
    <x:row r="91" ht="25" customHeight="1">
      <x:c r="A91" s="3"/>
      <x:c r="B91" s="3"/>
      <x:c r="C91" s="3"/>
      <x:c r="D91" s="3"/>
      <x:c r="E91" s="3"/>
      <x:c r="F91" s="3"/>
      <x:c r="G91" s="3"/>
      <x:c r="H91" s="25"/>
      <x:c r="I91" s="25"/>
      <x:c r="J91" s="3"/>
      <x:c r="K91" s="3"/>
      <x:c r="L91" s="3"/>
      <x:c r="M91" s="3"/>
      <x:c r="N91" s="19" t="str">
        <x:f>IF(A91="","",IF(COUNTIFS('Plan versions'!$A$7:$A$306,A91)&lt;&gt;1,"Duplicate ID",IF(COUNTIFS('Cases overview'!$A$7:$A$306,B91)&lt;&gt;1,"Invalid case ref",IF(OR(D91="",E91="",F91="",G91="",L91=""),"Version info missing",IF(AND(C91&lt;&gt;"",OR(C91=A91,COUNTIFS('Plan versions'!$A$7:$A$306,C91,'Plan versions'!$B$7:$B$306,B91)&lt;&gt;1)),"Invalid parent plan ref",IF(L91="Draft","Draft not frozen",IF(OR(NOT(ISNUMBER(H91)),NOT(ISNUMBER(I91)),J91="",K91="",M91=""),"Freeze info missing",IF(I91&lt;H91,"Verify retroactive entry","Valid input"))))))))</x:f>
      </x:c>
    </x:row>
    <x:row r="92" ht="25" customHeight="1">
      <x:c r="A92" s="3"/>
      <x:c r="B92" s="3"/>
      <x:c r="C92" s="3"/>
      <x:c r="D92" s="3"/>
      <x:c r="E92" s="3"/>
      <x:c r="F92" s="3"/>
      <x:c r="G92" s="3"/>
      <x:c r="H92" s="25"/>
      <x:c r="I92" s="25"/>
      <x:c r="J92" s="3"/>
      <x:c r="K92" s="3"/>
      <x:c r="L92" s="3"/>
      <x:c r="M92" s="3"/>
      <x:c r="N92" s="19" t="str">
        <x:f>IF(A92="","",IF(COUNTIFS('Plan versions'!$A$7:$A$306,A92)&lt;&gt;1,"Duplicate ID",IF(COUNTIFS('Cases overview'!$A$7:$A$306,B92)&lt;&gt;1,"Invalid case ref",IF(OR(D92="",E92="",F92="",G92="",L92=""),"Version info missing",IF(AND(C92&lt;&gt;"",OR(C92=A92,COUNTIFS('Plan versions'!$A$7:$A$306,C92,'Plan versions'!$B$7:$B$306,B92)&lt;&gt;1)),"Invalid parent plan ref",IF(L92="Draft","Draft not frozen",IF(OR(NOT(ISNUMBER(H92)),NOT(ISNUMBER(I92)),J92="",K92="",M92=""),"Freeze info missing",IF(I92&lt;H92,"Verify retroactive entry","Valid input"))))))))</x:f>
      </x:c>
    </x:row>
    <x:row r="93" ht="25" customHeight="1">
      <x:c r="A93" s="3"/>
      <x:c r="B93" s="3"/>
      <x:c r="C93" s="3"/>
      <x:c r="D93" s="3"/>
      <x:c r="E93" s="3"/>
      <x:c r="F93" s="3"/>
      <x:c r="G93" s="3"/>
      <x:c r="H93" s="25"/>
      <x:c r="I93" s="25"/>
      <x:c r="J93" s="3"/>
      <x:c r="K93" s="3"/>
      <x:c r="L93" s="3"/>
      <x:c r="M93" s="3"/>
      <x:c r="N93" s="19" t="str">
        <x:f>IF(A93="","",IF(COUNTIFS('Plan versions'!$A$7:$A$306,A93)&lt;&gt;1,"Duplicate ID",IF(COUNTIFS('Cases overview'!$A$7:$A$306,B93)&lt;&gt;1,"Invalid case ref",IF(OR(D93="",E93="",F93="",G93="",L93=""),"Version info missing",IF(AND(C93&lt;&gt;"",OR(C93=A93,COUNTIFS('Plan versions'!$A$7:$A$306,C93,'Plan versions'!$B$7:$B$306,B93)&lt;&gt;1)),"Invalid parent plan ref",IF(L93="Draft","Draft not frozen",IF(OR(NOT(ISNUMBER(H93)),NOT(ISNUMBER(I93)),J93="",K93="",M93=""),"Freeze info missing",IF(I93&lt;H93,"Verify retroactive entry","Valid input"))))))))</x:f>
      </x:c>
    </x:row>
    <x:row r="94" ht="25" customHeight="1">
      <x:c r="A94" s="3"/>
      <x:c r="B94" s="3"/>
      <x:c r="C94" s="3"/>
      <x:c r="D94" s="3"/>
      <x:c r="E94" s="3"/>
      <x:c r="F94" s="3"/>
      <x:c r="G94" s="3"/>
      <x:c r="H94" s="25"/>
      <x:c r="I94" s="25"/>
      <x:c r="J94" s="3"/>
      <x:c r="K94" s="3"/>
      <x:c r="L94" s="3"/>
      <x:c r="M94" s="3"/>
      <x:c r="N94" s="19" t="str">
        <x:f>IF(A94="","",IF(COUNTIFS('Plan versions'!$A$7:$A$306,A94)&lt;&gt;1,"Duplicate ID",IF(COUNTIFS('Cases overview'!$A$7:$A$306,B94)&lt;&gt;1,"Invalid case ref",IF(OR(D94="",E94="",F94="",G94="",L94=""),"Version info missing",IF(AND(C94&lt;&gt;"",OR(C94=A94,COUNTIFS('Plan versions'!$A$7:$A$306,C94,'Plan versions'!$B$7:$B$306,B94)&lt;&gt;1)),"Invalid parent plan ref",IF(L94="Draft","Draft not frozen",IF(OR(NOT(ISNUMBER(H94)),NOT(ISNUMBER(I94)),J94="",K94="",M94=""),"Freeze info missing",IF(I94&lt;H94,"Verify retroactive entry","Valid input"))))))))</x:f>
      </x:c>
    </x:row>
    <x:row r="95" ht="25" customHeight="1">
      <x:c r="A95" s="3"/>
      <x:c r="B95" s="3"/>
      <x:c r="C95" s="3"/>
      <x:c r="D95" s="3"/>
      <x:c r="E95" s="3"/>
      <x:c r="F95" s="3"/>
      <x:c r="G95" s="3"/>
      <x:c r="H95" s="25"/>
      <x:c r="I95" s="25"/>
      <x:c r="J95" s="3"/>
      <x:c r="K95" s="3"/>
      <x:c r="L95" s="3"/>
      <x:c r="M95" s="3"/>
      <x:c r="N95" s="19" t="str">
        <x:f>IF(A95="","",IF(COUNTIFS('Plan versions'!$A$7:$A$306,A95)&lt;&gt;1,"Duplicate ID",IF(COUNTIFS('Cases overview'!$A$7:$A$306,B95)&lt;&gt;1,"Invalid case ref",IF(OR(D95="",E95="",F95="",G95="",L95=""),"Version info missing",IF(AND(C95&lt;&gt;"",OR(C95=A95,COUNTIFS('Plan versions'!$A$7:$A$306,C95,'Plan versions'!$B$7:$B$306,B95)&lt;&gt;1)),"Invalid parent plan ref",IF(L95="Draft","Draft not frozen",IF(OR(NOT(ISNUMBER(H95)),NOT(ISNUMBER(I95)),J95="",K95="",M95=""),"Freeze info missing",IF(I95&lt;H95,"Verify retroactive entry","Valid input"))))))))</x:f>
      </x:c>
    </x:row>
    <x:row r="96" ht="25" customHeight="1">
      <x:c r="A96" s="3"/>
      <x:c r="B96" s="3"/>
      <x:c r="C96" s="3"/>
      <x:c r="D96" s="3"/>
      <x:c r="E96" s="3"/>
      <x:c r="F96" s="3"/>
      <x:c r="G96" s="3"/>
      <x:c r="H96" s="25"/>
      <x:c r="I96" s="25"/>
      <x:c r="J96" s="3"/>
      <x:c r="K96" s="3"/>
      <x:c r="L96" s="3"/>
      <x:c r="M96" s="3"/>
      <x:c r="N96" s="19" t="str">
        <x:f>IF(A96="","",IF(COUNTIFS('Plan versions'!$A$7:$A$306,A96)&lt;&gt;1,"Duplicate ID",IF(COUNTIFS('Cases overview'!$A$7:$A$306,B96)&lt;&gt;1,"Invalid case ref",IF(OR(D96="",E96="",F96="",G96="",L96=""),"Version info missing",IF(AND(C96&lt;&gt;"",OR(C96=A96,COUNTIFS('Plan versions'!$A$7:$A$306,C96,'Plan versions'!$B$7:$B$306,B96)&lt;&gt;1)),"Invalid parent plan ref",IF(L96="Draft","Draft not frozen",IF(OR(NOT(ISNUMBER(H96)),NOT(ISNUMBER(I96)),J96="",K96="",M96=""),"Freeze info missing",IF(I96&lt;H96,"Verify retroactive entry","Valid input"))))))))</x:f>
      </x:c>
    </x:row>
    <x:row r="97" ht="25" customHeight="1">
      <x:c r="A97" s="3"/>
      <x:c r="B97" s="3"/>
      <x:c r="C97" s="3"/>
      <x:c r="D97" s="3"/>
      <x:c r="E97" s="3"/>
      <x:c r="F97" s="3"/>
      <x:c r="G97" s="3"/>
      <x:c r="H97" s="25"/>
      <x:c r="I97" s="25"/>
      <x:c r="J97" s="3"/>
      <x:c r="K97" s="3"/>
      <x:c r="L97" s="3"/>
      <x:c r="M97" s="3"/>
      <x:c r="N97" s="19" t="str">
        <x:f>IF(A97="","",IF(COUNTIFS('Plan versions'!$A$7:$A$306,A97)&lt;&gt;1,"Duplicate ID",IF(COUNTIFS('Cases overview'!$A$7:$A$306,B97)&lt;&gt;1,"Invalid case ref",IF(OR(D97="",E97="",F97="",G97="",L97=""),"Version info missing",IF(AND(C97&lt;&gt;"",OR(C97=A97,COUNTIFS('Plan versions'!$A$7:$A$306,C97,'Plan versions'!$B$7:$B$306,B97)&lt;&gt;1)),"Invalid parent plan ref",IF(L97="Draft","Draft not frozen",IF(OR(NOT(ISNUMBER(H97)),NOT(ISNUMBER(I97)),J97="",K97="",M97=""),"Freeze info missing",IF(I97&lt;H97,"Verify retroactive entry","Valid input"))))))))</x:f>
      </x:c>
    </x:row>
    <x:row r="98" ht="25" customHeight="1">
      <x:c r="A98" s="3"/>
      <x:c r="B98" s="3"/>
      <x:c r="C98" s="3"/>
      <x:c r="D98" s="3"/>
      <x:c r="E98" s="3"/>
      <x:c r="F98" s="3"/>
      <x:c r="G98" s="3"/>
      <x:c r="H98" s="25"/>
      <x:c r="I98" s="25"/>
      <x:c r="J98" s="3"/>
      <x:c r="K98" s="3"/>
      <x:c r="L98" s="3"/>
      <x:c r="M98" s="3"/>
      <x:c r="N98" s="19" t="str">
        <x:f>IF(A98="","",IF(COUNTIFS('Plan versions'!$A$7:$A$306,A98)&lt;&gt;1,"Duplicate ID",IF(COUNTIFS('Cases overview'!$A$7:$A$306,B98)&lt;&gt;1,"Invalid case ref",IF(OR(D98="",E98="",F98="",G98="",L98=""),"Version info missing",IF(AND(C98&lt;&gt;"",OR(C98=A98,COUNTIFS('Plan versions'!$A$7:$A$306,C98,'Plan versions'!$B$7:$B$306,B98)&lt;&gt;1)),"Invalid parent plan ref",IF(L98="Draft","Draft not frozen",IF(OR(NOT(ISNUMBER(H98)),NOT(ISNUMBER(I98)),J98="",K98="",M98=""),"Freeze info missing",IF(I98&lt;H98,"Verify retroactive entry","Valid input"))))))))</x:f>
      </x:c>
    </x:row>
    <x:row r="99" ht="25" customHeight="1">
      <x:c r="A99" s="3"/>
      <x:c r="B99" s="3"/>
      <x:c r="C99" s="3"/>
      <x:c r="D99" s="3"/>
      <x:c r="E99" s="3"/>
      <x:c r="F99" s="3"/>
      <x:c r="G99" s="3"/>
      <x:c r="H99" s="25"/>
      <x:c r="I99" s="25"/>
      <x:c r="J99" s="3"/>
      <x:c r="K99" s="3"/>
      <x:c r="L99" s="3"/>
      <x:c r="M99" s="3"/>
      <x:c r="N99" s="19" t="str">
        <x:f>IF(A99="","",IF(COUNTIFS('Plan versions'!$A$7:$A$306,A99)&lt;&gt;1,"Duplicate ID",IF(COUNTIFS('Cases overview'!$A$7:$A$306,B99)&lt;&gt;1,"Invalid case ref",IF(OR(D99="",E99="",F99="",G99="",L99=""),"Version info missing",IF(AND(C99&lt;&gt;"",OR(C99=A99,COUNTIFS('Plan versions'!$A$7:$A$306,C99,'Plan versions'!$B$7:$B$306,B99)&lt;&gt;1)),"Invalid parent plan ref",IF(L99="Draft","Draft not frozen",IF(OR(NOT(ISNUMBER(H99)),NOT(ISNUMBER(I99)),J99="",K99="",M99=""),"Freeze info missing",IF(I99&lt;H99,"Verify retroactive entry","Valid input"))))))))</x:f>
      </x:c>
    </x:row>
    <x:row r="100" ht="25" customHeight="1">
      <x:c r="A100" s="3"/>
      <x:c r="B100" s="3"/>
      <x:c r="C100" s="3"/>
      <x:c r="D100" s="3"/>
      <x:c r="E100" s="3"/>
      <x:c r="F100" s="3"/>
      <x:c r="G100" s="3"/>
      <x:c r="H100" s="25"/>
      <x:c r="I100" s="25"/>
      <x:c r="J100" s="3"/>
      <x:c r="K100" s="3"/>
      <x:c r="L100" s="3"/>
      <x:c r="M100" s="3"/>
      <x:c r="N100" s="19" t="str">
        <x:f>IF(A100="","",IF(COUNTIFS('Plan versions'!$A$7:$A$306,A100)&lt;&gt;1,"Duplicate ID",IF(COUNTIFS('Cases overview'!$A$7:$A$306,B100)&lt;&gt;1,"Invalid case ref",IF(OR(D100="",E100="",F100="",G100="",L100=""),"Version info missing",IF(AND(C100&lt;&gt;"",OR(C100=A100,COUNTIFS('Plan versions'!$A$7:$A$306,C100,'Plan versions'!$B$7:$B$306,B100)&lt;&gt;1)),"Invalid parent plan ref",IF(L100="Draft","Draft not frozen",IF(OR(NOT(ISNUMBER(H100)),NOT(ISNUMBER(I100)),J100="",K100="",M100=""),"Freeze info missing",IF(I100&lt;H100,"Verify retroactive entry","Valid input"))))))))</x:f>
      </x:c>
    </x:row>
    <x:row r="101" ht="25" customHeight="1">
      <x:c r="A101" s="3"/>
      <x:c r="B101" s="3"/>
      <x:c r="C101" s="3"/>
      <x:c r="D101" s="3"/>
      <x:c r="E101" s="3"/>
      <x:c r="F101" s="3"/>
      <x:c r="G101" s="3"/>
      <x:c r="H101" s="25"/>
      <x:c r="I101" s="25"/>
      <x:c r="J101" s="3"/>
      <x:c r="K101" s="3"/>
      <x:c r="L101" s="3"/>
      <x:c r="M101" s="3"/>
      <x:c r="N101" s="19" t="str">
        <x:f>IF(A101="","",IF(COUNTIFS('Plan versions'!$A$7:$A$306,A101)&lt;&gt;1,"Duplicate ID",IF(COUNTIFS('Cases overview'!$A$7:$A$306,B101)&lt;&gt;1,"Invalid case ref",IF(OR(D101="",E101="",F101="",G101="",L101=""),"Version info missing",IF(AND(C101&lt;&gt;"",OR(C101=A101,COUNTIFS('Plan versions'!$A$7:$A$306,C101,'Plan versions'!$B$7:$B$306,B101)&lt;&gt;1)),"Invalid parent plan ref",IF(L101="Draft","Draft not frozen",IF(OR(NOT(ISNUMBER(H101)),NOT(ISNUMBER(I101)),J101="",K101="",M101=""),"Freeze info missing",IF(I101&lt;H101,"Verify retroactive entry","Valid input"))))))))</x:f>
      </x:c>
    </x:row>
    <x:row r="102" ht="25" customHeight="1">
      <x:c r="A102" s="3"/>
      <x:c r="B102" s="3"/>
      <x:c r="C102" s="3"/>
      <x:c r="D102" s="3"/>
      <x:c r="E102" s="3"/>
      <x:c r="F102" s="3"/>
      <x:c r="G102" s="3"/>
      <x:c r="H102" s="25"/>
      <x:c r="I102" s="25"/>
      <x:c r="J102" s="3"/>
      <x:c r="K102" s="3"/>
      <x:c r="L102" s="3"/>
      <x:c r="M102" s="3"/>
      <x:c r="N102" s="19" t="str">
        <x:f>IF(A102="","",IF(COUNTIFS('Plan versions'!$A$7:$A$306,A102)&lt;&gt;1,"Duplicate ID",IF(COUNTIFS('Cases overview'!$A$7:$A$306,B102)&lt;&gt;1,"Invalid case ref",IF(OR(D102="",E102="",F102="",G102="",L102=""),"Version info missing",IF(AND(C102&lt;&gt;"",OR(C102=A102,COUNTIFS('Plan versions'!$A$7:$A$306,C102,'Plan versions'!$B$7:$B$306,B102)&lt;&gt;1)),"Invalid parent plan ref",IF(L102="Draft","Draft not frozen",IF(OR(NOT(ISNUMBER(H102)),NOT(ISNUMBER(I102)),J102="",K102="",M102=""),"Freeze info missing",IF(I102&lt;H102,"Verify retroactive entry","Valid input"))))))))</x:f>
      </x:c>
    </x:row>
    <x:row r="103" ht="25" customHeight="1">
      <x:c r="A103" s="3"/>
      <x:c r="B103" s="3"/>
      <x:c r="C103" s="3"/>
      <x:c r="D103" s="3"/>
      <x:c r="E103" s="3"/>
      <x:c r="F103" s="3"/>
      <x:c r="G103" s="3"/>
      <x:c r="H103" s="25"/>
      <x:c r="I103" s="25"/>
      <x:c r="J103" s="3"/>
      <x:c r="K103" s="3"/>
      <x:c r="L103" s="3"/>
      <x:c r="M103" s="3"/>
      <x:c r="N103" s="19" t="str">
        <x:f>IF(A103="","",IF(COUNTIFS('Plan versions'!$A$7:$A$306,A103)&lt;&gt;1,"Duplicate ID",IF(COUNTIFS('Cases overview'!$A$7:$A$306,B103)&lt;&gt;1,"Invalid case ref",IF(OR(D103="",E103="",F103="",G103="",L103=""),"Version info missing",IF(AND(C103&lt;&gt;"",OR(C103=A103,COUNTIFS('Plan versions'!$A$7:$A$306,C103,'Plan versions'!$B$7:$B$306,B103)&lt;&gt;1)),"Invalid parent plan ref",IF(L103="Draft","Draft not frozen",IF(OR(NOT(ISNUMBER(H103)),NOT(ISNUMBER(I103)),J103="",K103="",M103=""),"Freeze info missing",IF(I103&lt;H103,"Verify retroactive entry","Valid input"))))))))</x:f>
      </x:c>
    </x:row>
    <x:row r="104" ht="25" customHeight="1">
      <x:c r="A104" s="3"/>
      <x:c r="B104" s="3"/>
      <x:c r="C104" s="3"/>
      <x:c r="D104" s="3"/>
      <x:c r="E104" s="3"/>
      <x:c r="F104" s="3"/>
      <x:c r="G104" s="3"/>
      <x:c r="H104" s="25"/>
      <x:c r="I104" s="25"/>
      <x:c r="J104" s="3"/>
      <x:c r="K104" s="3"/>
      <x:c r="L104" s="3"/>
      <x:c r="M104" s="3"/>
      <x:c r="N104" s="19" t="str">
        <x:f>IF(A104="","",IF(COUNTIFS('Plan versions'!$A$7:$A$306,A104)&lt;&gt;1,"Duplicate ID",IF(COUNTIFS('Cases overview'!$A$7:$A$306,B104)&lt;&gt;1,"Invalid case ref",IF(OR(D104="",E104="",F104="",G104="",L104=""),"Version info missing",IF(AND(C104&lt;&gt;"",OR(C104=A104,COUNTIFS('Plan versions'!$A$7:$A$306,C104,'Plan versions'!$B$7:$B$306,B104)&lt;&gt;1)),"Invalid parent plan ref",IF(L104="Draft","Draft not frozen",IF(OR(NOT(ISNUMBER(H104)),NOT(ISNUMBER(I104)),J104="",K104="",M104=""),"Freeze info missing",IF(I104&lt;H104,"Verify retroactive entry","Valid input"))))))))</x:f>
      </x:c>
    </x:row>
    <x:row r="105" ht="25" customHeight="1">
      <x:c r="A105" s="3"/>
      <x:c r="B105" s="3"/>
      <x:c r="C105" s="3"/>
      <x:c r="D105" s="3"/>
      <x:c r="E105" s="3"/>
      <x:c r="F105" s="3"/>
      <x:c r="G105" s="3"/>
      <x:c r="H105" s="25"/>
      <x:c r="I105" s="25"/>
      <x:c r="J105" s="3"/>
      <x:c r="K105" s="3"/>
      <x:c r="L105" s="3"/>
      <x:c r="M105" s="3"/>
      <x:c r="N105" s="19" t="str">
        <x:f>IF(A105="","",IF(COUNTIFS('Plan versions'!$A$7:$A$306,A105)&lt;&gt;1,"Duplicate ID",IF(COUNTIFS('Cases overview'!$A$7:$A$306,B105)&lt;&gt;1,"Invalid case ref",IF(OR(D105="",E105="",F105="",G105="",L105=""),"Version info missing",IF(AND(C105&lt;&gt;"",OR(C105=A105,COUNTIFS('Plan versions'!$A$7:$A$306,C105,'Plan versions'!$B$7:$B$306,B105)&lt;&gt;1)),"Invalid parent plan ref",IF(L105="Draft","Draft not frozen",IF(OR(NOT(ISNUMBER(H105)),NOT(ISNUMBER(I105)),J105="",K105="",M105=""),"Freeze info missing",IF(I105&lt;H105,"Verify retroactive entry","Valid input"))))))))</x:f>
      </x:c>
    </x:row>
    <x:row r="106" ht="25" customHeight="1">
      <x:c r="A106" s="3"/>
      <x:c r="B106" s="3"/>
      <x:c r="C106" s="3"/>
      <x:c r="D106" s="3"/>
      <x:c r="E106" s="3"/>
      <x:c r="F106" s="3"/>
      <x:c r="G106" s="3"/>
      <x:c r="H106" s="25"/>
      <x:c r="I106" s="25"/>
      <x:c r="J106" s="3"/>
      <x:c r="K106" s="3"/>
      <x:c r="L106" s="3"/>
      <x:c r="M106" s="3"/>
      <x:c r="N106" s="19" t="str">
        <x:f>IF(A106="","",IF(COUNTIFS('Plan versions'!$A$7:$A$306,A106)&lt;&gt;1,"Duplicate ID",IF(COUNTIFS('Cases overview'!$A$7:$A$306,B106)&lt;&gt;1,"Invalid case ref",IF(OR(D106="",E106="",F106="",G106="",L106=""),"Version info missing",IF(AND(C106&lt;&gt;"",OR(C106=A106,COUNTIFS('Plan versions'!$A$7:$A$306,C106,'Plan versions'!$B$7:$B$306,B106)&lt;&gt;1)),"Invalid parent plan ref",IF(L106="Draft","Draft not frozen",IF(OR(NOT(ISNUMBER(H106)),NOT(ISNUMBER(I106)),J106="",K106="",M106=""),"Freeze info missing",IF(I106&lt;H106,"Verify retroactive entry","Valid input"))))))))</x:f>
      </x:c>
    </x:row>
    <x:row r="107" ht="25" customHeight="1">
      <x:c r="A107" s="3"/>
      <x:c r="B107" s="3"/>
      <x:c r="C107" s="3"/>
      <x:c r="D107" s="3"/>
      <x:c r="E107" s="3"/>
      <x:c r="F107" s="3"/>
      <x:c r="G107" s="3"/>
      <x:c r="H107" s="25"/>
      <x:c r="I107" s="25"/>
      <x:c r="J107" s="3"/>
      <x:c r="K107" s="3"/>
      <x:c r="L107" s="3"/>
      <x:c r="M107" s="3"/>
      <x:c r="N107" s="19" t="str">
        <x:f>IF(A107="","",IF(COUNTIFS('Plan versions'!$A$7:$A$306,A107)&lt;&gt;1,"Duplicate ID",IF(COUNTIFS('Cases overview'!$A$7:$A$306,B107)&lt;&gt;1,"Invalid case ref",IF(OR(D107="",E107="",F107="",G107="",L107=""),"Version info missing",IF(AND(C107&lt;&gt;"",OR(C107=A107,COUNTIFS('Plan versions'!$A$7:$A$306,C107,'Plan versions'!$B$7:$B$306,B107)&lt;&gt;1)),"Invalid parent plan ref",IF(L107="Draft","Draft not frozen",IF(OR(NOT(ISNUMBER(H107)),NOT(ISNUMBER(I107)),J107="",K107="",M107=""),"Freeze info missing",IF(I107&lt;H107,"Verify retroactive entry","Valid input"))))))))</x:f>
      </x:c>
    </x:row>
    <x:row r="108" ht="25" customHeight="1">
      <x:c r="A108" s="3"/>
      <x:c r="B108" s="3"/>
      <x:c r="C108" s="3"/>
      <x:c r="D108" s="3"/>
      <x:c r="E108" s="3"/>
      <x:c r="F108" s="3"/>
      <x:c r="G108" s="3"/>
      <x:c r="H108" s="25"/>
      <x:c r="I108" s="25"/>
      <x:c r="J108" s="3"/>
      <x:c r="K108" s="3"/>
      <x:c r="L108" s="3"/>
      <x:c r="M108" s="3"/>
      <x:c r="N108" s="19" t="str">
        <x:f>IF(A108="","",IF(COUNTIFS('Plan versions'!$A$7:$A$306,A108)&lt;&gt;1,"Duplicate ID",IF(COUNTIFS('Cases overview'!$A$7:$A$306,B108)&lt;&gt;1,"Invalid case ref",IF(OR(D108="",E108="",F108="",G108="",L108=""),"Version info missing",IF(AND(C108&lt;&gt;"",OR(C108=A108,COUNTIFS('Plan versions'!$A$7:$A$306,C108,'Plan versions'!$B$7:$B$306,B108)&lt;&gt;1)),"Invalid parent plan ref",IF(L108="Draft","Draft not frozen",IF(OR(NOT(ISNUMBER(H108)),NOT(ISNUMBER(I108)),J108="",K108="",M108=""),"Freeze info missing",IF(I108&lt;H108,"Verify retroactive entry","Valid input"))))))))</x:f>
      </x:c>
    </x:row>
    <x:row r="109" ht="25" customHeight="1">
      <x:c r="A109" s="3"/>
      <x:c r="B109" s="3"/>
      <x:c r="C109" s="3"/>
      <x:c r="D109" s="3"/>
      <x:c r="E109" s="3"/>
      <x:c r="F109" s="3"/>
      <x:c r="G109" s="3"/>
      <x:c r="H109" s="25"/>
      <x:c r="I109" s="25"/>
      <x:c r="J109" s="3"/>
      <x:c r="K109" s="3"/>
      <x:c r="L109" s="3"/>
      <x:c r="M109" s="3"/>
      <x:c r="N109" s="19" t="str">
        <x:f>IF(A109="","",IF(COUNTIFS('Plan versions'!$A$7:$A$306,A109)&lt;&gt;1,"Duplicate ID",IF(COUNTIFS('Cases overview'!$A$7:$A$306,B109)&lt;&gt;1,"Invalid case ref",IF(OR(D109="",E109="",F109="",G109="",L109=""),"Version info missing",IF(AND(C109&lt;&gt;"",OR(C109=A109,COUNTIFS('Plan versions'!$A$7:$A$306,C109,'Plan versions'!$B$7:$B$306,B109)&lt;&gt;1)),"Invalid parent plan ref",IF(L109="Draft","Draft not frozen",IF(OR(NOT(ISNUMBER(H109)),NOT(ISNUMBER(I109)),J109="",K109="",M109=""),"Freeze info missing",IF(I109&lt;H109,"Verify retroactive entry","Valid input"))))))))</x:f>
      </x:c>
    </x:row>
    <x:row r="110" ht="25" customHeight="1">
      <x:c r="A110" s="3"/>
      <x:c r="B110" s="3"/>
      <x:c r="C110" s="3"/>
      <x:c r="D110" s="3"/>
      <x:c r="E110" s="3"/>
      <x:c r="F110" s="3"/>
      <x:c r="G110" s="3"/>
      <x:c r="H110" s="25"/>
      <x:c r="I110" s="25"/>
      <x:c r="J110" s="3"/>
      <x:c r="K110" s="3"/>
      <x:c r="L110" s="3"/>
      <x:c r="M110" s="3"/>
      <x:c r="N110" s="19" t="str">
        <x:f>IF(A110="","",IF(COUNTIFS('Plan versions'!$A$7:$A$306,A110)&lt;&gt;1,"Duplicate ID",IF(COUNTIFS('Cases overview'!$A$7:$A$306,B110)&lt;&gt;1,"Invalid case ref",IF(OR(D110="",E110="",F110="",G110="",L110=""),"Version info missing",IF(AND(C110&lt;&gt;"",OR(C110=A110,COUNTIFS('Plan versions'!$A$7:$A$306,C110,'Plan versions'!$B$7:$B$306,B110)&lt;&gt;1)),"Invalid parent plan ref",IF(L110="Draft","Draft not frozen",IF(OR(NOT(ISNUMBER(H110)),NOT(ISNUMBER(I110)),J110="",K110="",M110=""),"Freeze info missing",IF(I110&lt;H110,"Verify retroactive entry","Valid input"))))))))</x:f>
      </x:c>
    </x:row>
    <x:row r="111" ht="25" customHeight="1">
      <x:c r="A111" s="3"/>
      <x:c r="B111" s="3"/>
      <x:c r="C111" s="3"/>
      <x:c r="D111" s="3"/>
      <x:c r="E111" s="3"/>
      <x:c r="F111" s="3"/>
      <x:c r="G111" s="3"/>
      <x:c r="H111" s="25"/>
      <x:c r="I111" s="25"/>
      <x:c r="J111" s="3"/>
      <x:c r="K111" s="3"/>
      <x:c r="L111" s="3"/>
      <x:c r="M111" s="3"/>
      <x:c r="N111" s="19" t="str">
        <x:f>IF(A111="","",IF(COUNTIFS('Plan versions'!$A$7:$A$306,A111)&lt;&gt;1,"Duplicate ID",IF(COUNTIFS('Cases overview'!$A$7:$A$306,B111)&lt;&gt;1,"Invalid case ref",IF(OR(D111="",E111="",F111="",G111="",L111=""),"Version info missing",IF(AND(C111&lt;&gt;"",OR(C111=A111,COUNTIFS('Plan versions'!$A$7:$A$306,C111,'Plan versions'!$B$7:$B$306,B111)&lt;&gt;1)),"Invalid parent plan ref",IF(L111="Draft","Draft not frozen",IF(OR(NOT(ISNUMBER(H111)),NOT(ISNUMBER(I111)),J111="",K111="",M111=""),"Freeze info missing",IF(I111&lt;H111,"Verify retroactive entry","Valid input"))))))))</x:f>
      </x:c>
    </x:row>
    <x:row r="112" ht="25" customHeight="1">
      <x:c r="A112" s="3"/>
      <x:c r="B112" s="3"/>
      <x:c r="C112" s="3"/>
      <x:c r="D112" s="3"/>
      <x:c r="E112" s="3"/>
      <x:c r="F112" s="3"/>
      <x:c r="G112" s="3"/>
      <x:c r="H112" s="25"/>
      <x:c r="I112" s="25"/>
      <x:c r="J112" s="3"/>
      <x:c r="K112" s="3"/>
      <x:c r="L112" s="3"/>
      <x:c r="M112" s="3"/>
      <x:c r="N112" s="19" t="str">
        <x:f>IF(A112="","",IF(COUNTIFS('Plan versions'!$A$7:$A$306,A112)&lt;&gt;1,"Duplicate ID",IF(COUNTIFS('Cases overview'!$A$7:$A$306,B112)&lt;&gt;1,"Invalid case ref",IF(OR(D112="",E112="",F112="",G112="",L112=""),"Version info missing",IF(AND(C112&lt;&gt;"",OR(C112=A112,COUNTIFS('Plan versions'!$A$7:$A$306,C112,'Plan versions'!$B$7:$B$306,B112)&lt;&gt;1)),"Invalid parent plan ref",IF(L112="Draft","Draft not frozen",IF(OR(NOT(ISNUMBER(H112)),NOT(ISNUMBER(I112)),J112="",K112="",M112=""),"Freeze info missing",IF(I112&lt;H112,"Verify retroactive entry","Valid input"))))))))</x:f>
      </x:c>
    </x:row>
    <x:row r="113" ht="25" customHeight="1">
      <x:c r="A113" s="3"/>
      <x:c r="B113" s="3"/>
      <x:c r="C113" s="3"/>
      <x:c r="D113" s="3"/>
      <x:c r="E113" s="3"/>
      <x:c r="F113" s="3"/>
      <x:c r="G113" s="3"/>
      <x:c r="H113" s="25"/>
      <x:c r="I113" s="25"/>
      <x:c r="J113" s="3"/>
      <x:c r="K113" s="3"/>
      <x:c r="L113" s="3"/>
      <x:c r="M113" s="3"/>
      <x:c r="N113" s="19" t="str">
        <x:f>IF(A113="","",IF(COUNTIFS('Plan versions'!$A$7:$A$306,A113)&lt;&gt;1,"Duplicate ID",IF(COUNTIFS('Cases overview'!$A$7:$A$306,B113)&lt;&gt;1,"Invalid case ref",IF(OR(D113="",E113="",F113="",G113="",L113=""),"Version info missing",IF(AND(C113&lt;&gt;"",OR(C113=A113,COUNTIFS('Plan versions'!$A$7:$A$306,C113,'Plan versions'!$B$7:$B$306,B113)&lt;&gt;1)),"Invalid parent plan ref",IF(L113="Draft","Draft not frozen",IF(OR(NOT(ISNUMBER(H113)),NOT(ISNUMBER(I113)),J113="",K113="",M113=""),"Freeze info missing",IF(I113&lt;H113,"Verify retroactive entry","Valid input"))))))))</x:f>
      </x:c>
    </x:row>
    <x:row r="114" ht="25" customHeight="1">
      <x:c r="A114" s="3"/>
      <x:c r="B114" s="3"/>
      <x:c r="C114" s="3"/>
      <x:c r="D114" s="3"/>
      <x:c r="E114" s="3"/>
      <x:c r="F114" s="3"/>
      <x:c r="G114" s="3"/>
      <x:c r="H114" s="25"/>
      <x:c r="I114" s="25"/>
      <x:c r="J114" s="3"/>
      <x:c r="K114" s="3"/>
      <x:c r="L114" s="3"/>
      <x:c r="M114" s="3"/>
      <x:c r="N114" s="19" t="str">
        <x:f>IF(A114="","",IF(COUNTIFS('Plan versions'!$A$7:$A$306,A114)&lt;&gt;1,"Duplicate ID",IF(COUNTIFS('Cases overview'!$A$7:$A$306,B114)&lt;&gt;1,"Invalid case ref",IF(OR(D114="",E114="",F114="",G114="",L114=""),"Version info missing",IF(AND(C114&lt;&gt;"",OR(C114=A114,COUNTIFS('Plan versions'!$A$7:$A$306,C114,'Plan versions'!$B$7:$B$306,B114)&lt;&gt;1)),"Invalid parent plan ref",IF(L114="Draft","Draft not frozen",IF(OR(NOT(ISNUMBER(H114)),NOT(ISNUMBER(I114)),J114="",K114="",M114=""),"Freeze info missing",IF(I114&lt;H114,"Verify retroactive entry","Valid input"))))))))</x:f>
      </x:c>
    </x:row>
    <x:row r="115" ht="25" customHeight="1">
      <x:c r="A115" s="3"/>
      <x:c r="B115" s="3"/>
      <x:c r="C115" s="3"/>
      <x:c r="D115" s="3"/>
      <x:c r="E115" s="3"/>
      <x:c r="F115" s="3"/>
      <x:c r="G115" s="3"/>
      <x:c r="H115" s="25"/>
      <x:c r="I115" s="25"/>
      <x:c r="J115" s="3"/>
      <x:c r="K115" s="3"/>
      <x:c r="L115" s="3"/>
      <x:c r="M115" s="3"/>
      <x:c r="N115" s="19" t="str">
        <x:f>IF(A115="","",IF(COUNTIFS('Plan versions'!$A$7:$A$306,A115)&lt;&gt;1,"Duplicate ID",IF(COUNTIFS('Cases overview'!$A$7:$A$306,B115)&lt;&gt;1,"Invalid case ref",IF(OR(D115="",E115="",F115="",G115="",L115=""),"Version info missing",IF(AND(C115&lt;&gt;"",OR(C115=A115,COUNTIFS('Plan versions'!$A$7:$A$306,C115,'Plan versions'!$B$7:$B$306,B115)&lt;&gt;1)),"Invalid parent plan ref",IF(L115="Draft","Draft not frozen",IF(OR(NOT(ISNUMBER(H115)),NOT(ISNUMBER(I115)),J115="",K115="",M115=""),"Freeze info missing",IF(I115&lt;H115,"Verify retroactive entry","Valid input"))))))))</x:f>
      </x:c>
    </x:row>
    <x:row r="116" ht="25" customHeight="1">
      <x:c r="A116" s="3"/>
      <x:c r="B116" s="3"/>
      <x:c r="C116" s="3"/>
      <x:c r="D116" s="3"/>
      <x:c r="E116" s="3"/>
      <x:c r="F116" s="3"/>
      <x:c r="G116" s="3"/>
      <x:c r="H116" s="25"/>
      <x:c r="I116" s="25"/>
      <x:c r="J116" s="3"/>
      <x:c r="K116" s="3"/>
      <x:c r="L116" s="3"/>
      <x:c r="M116" s="3"/>
      <x:c r="N116" s="19" t="str">
        <x:f>IF(A116="","",IF(COUNTIFS('Plan versions'!$A$7:$A$306,A116)&lt;&gt;1,"Duplicate ID",IF(COUNTIFS('Cases overview'!$A$7:$A$306,B116)&lt;&gt;1,"Invalid case ref",IF(OR(D116="",E116="",F116="",G116="",L116=""),"Version info missing",IF(AND(C116&lt;&gt;"",OR(C116=A116,COUNTIFS('Plan versions'!$A$7:$A$306,C116,'Plan versions'!$B$7:$B$306,B116)&lt;&gt;1)),"Invalid parent plan ref",IF(L116="Draft","Draft not frozen",IF(OR(NOT(ISNUMBER(H116)),NOT(ISNUMBER(I116)),J116="",K116="",M116=""),"Freeze info missing",IF(I116&lt;H116,"Verify retroactive entry","Valid input"))))))))</x:f>
      </x:c>
    </x:row>
    <x:row r="117" ht="25" customHeight="1">
      <x:c r="A117" s="3"/>
      <x:c r="B117" s="3"/>
      <x:c r="C117" s="3"/>
      <x:c r="D117" s="3"/>
      <x:c r="E117" s="3"/>
      <x:c r="F117" s="3"/>
      <x:c r="G117" s="3"/>
      <x:c r="H117" s="25"/>
      <x:c r="I117" s="25"/>
      <x:c r="J117" s="3"/>
      <x:c r="K117" s="3"/>
      <x:c r="L117" s="3"/>
      <x:c r="M117" s="3"/>
      <x:c r="N117" s="19" t="str">
        <x:f>IF(A117="","",IF(COUNTIFS('Plan versions'!$A$7:$A$306,A117)&lt;&gt;1,"Duplicate ID",IF(COUNTIFS('Cases overview'!$A$7:$A$306,B117)&lt;&gt;1,"Invalid case ref",IF(OR(D117="",E117="",F117="",G117="",L117=""),"Version info missing",IF(AND(C117&lt;&gt;"",OR(C117=A117,COUNTIFS('Plan versions'!$A$7:$A$306,C117,'Plan versions'!$B$7:$B$306,B117)&lt;&gt;1)),"Invalid parent plan ref",IF(L117="Draft","Draft not frozen",IF(OR(NOT(ISNUMBER(H117)),NOT(ISNUMBER(I117)),J117="",K117="",M117=""),"Freeze info missing",IF(I117&lt;H117,"Verify retroactive entry","Valid input"))))))))</x:f>
      </x:c>
    </x:row>
    <x:row r="118" ht="25" customHeight="1">
      <x:c r="A118" s="3"/>
      <x:c r="B118" s="3"/>
      <x:c r="C118" s="3"/>
      <x:c r="D118" s="3"/>
      <x:c r="E118" s="3"/>
      <x:c r="F118" s="3"/>
      <x:c r="G118" s="3"/>
      <x:c r="H118" s="25"/>
      <x:c r="I118" s="25"/>
      <x:c r="J118" s="3"/>
      <x:c r="K118" s="3"/>
      <x:c r="L118" s="3"/>
      <x:c r="M118" s="3"/>
      <x:c r="N118" s="19" t="str">
        <x:f>IF(A118="","",IF(COUNTIFS('Plan versions'!$A$7:$A$306,A118)&lt;&gt;1,"Duplicate ID",IF(COUNTIFS('Cases overview'!$A$7:$A$306,B118)&lt;&gt;1,"Invalid case ref",IF(OR(D118="",E118="",F118="",G118="",L118=""),"Version info missing",IF(AND(C118&lt;&gt;"",OR(C118=A118,COUNTIFS('Plan versions'!$A$7:$A$306,C118,'Plan versions'!$B$7:$B$306,B118)&lt;&gt;1)),"Invalid parent plan ref",IF(L118="Draft","Draft not frozen",IF(OR(NOT(ISNUMBER(H118)),NOT(ISNUMBER(I118)),J118="",K118="",M118=""),"Freeze info missing",IF(I118&lt;H118,"Verify retroactive entry","Valid input"))))))))</x:f>
      </x:c>
    </x:row>
    <x:row r="119" ht="25" customHeight="1">
      <x:c r="A119" s="3"/>
      <x:c r="B119" s="3"/>
      <x:c r="C119" s="3"/>
      <x:c r="D119" s="3"/>
      <x:c r="E119" s="3"/>
      <x:c r="F119" s="3"/>
      <x:c r="G119" s="3"/>
      <x:c r="H119" s="25"/>
      <x:c r="I119" s="25"/>
      <x:c r="J119" s="3"/>
      <x:c r="K119" s="3"/>
      <x:c r="L119" s="3"/>
      <x:c r="M119" s="3"/>
      <x:c r="N119" s="19" t="str">
        <x:f>IF(A119="","",IF(COUNTIFS('Plan versions'!$A$7:$A$306,A119)&lt;&gt;1,"Duplicate ID",IF(COUNTIFS('Cases overview'!$A$7:$A$306,B119)&lt;&gt;1,"Invalid case ref",IF(OR(D119="",E119="",F119="",G119="",L119=""),"Version info missing",IF(AND(C119&lt;&gt;"",OR(C119=A119,COUNTIFS('Plan versions'!$A$7:$A$306,C119,'Plan versions'!$B$7:$B$306,B119)&lt;&gt;1)),"Invalid parent plan ref",IF(L119="Draft","Draft not frozen",IF(OR(NOT(ISNUMBER(H119)),NOT(ISNUMBER(I119)),J119="",K119="",M119=""),"Freeze info missing",IF(I119&lt;H119,"Verify retroactive entry","Valid input"))))))))</x:f>
      </x:c>
    </x:row>
    <x:row r="120" ht="25" customHeight="1">
      <x:c r="A120" s="3"/>
      <x:c r="B120" s="3"/>
      <x:c r="C120" s="3"/>
      <x:c r="D120" s="3"/>
      <x:c r="E120" s="3"/>
      <x:c r="F120" s="3"/>
      <x:c r="G120" s="3"/>
      <x:c r="H120" s="25"/>
      <x:c r="I120" s="25"/>
      <x:c r="J120" s="3"/>
      <x:c r="K120" s="3"/>
      <x:c r="L120" s="3"/>
      <x:c r="M120" s="3"/>
      <x:c r="N120" s="19" t="str">
        <x:f>IF(A120="","",IF(COUNTIFS('Plan versions'!$A$7:$A$306,A120)&lt;&gt;1,"Duplicate ID",IF(COUNTIFS('Cases overview'!$A$7:$A$306,B120)&lt;&gt;1,"Invalid case ref",IF(OR(D120="",E120="",F120="",G120="",L120=""),"Version info missing",IF(AND(C120&lt;&gt;"",OR(C120=A120,COUNTIFS('Plan versions'!$A$7:$A$306,C120,'Plan versions'!$B$7:$B$306,B120)&lt;&gt;1)),"Invalid parent plan ref",IF(L120="Draft","Draft not frozen",IF(OR(NOT(ISNUMBER(H120)),NOT(ISNUMBER(I120)),J120="",K120="",M120=""),"Freeze info missing",IF(I120&lt;H120,"Verify retroactive entry","Valid input"))))))))</x:f>
      </x:c>
    </x:row>
    <x:row r="121" ht="25" customHeight="1">
      <x:c r="A121" s="3"/>
      <x:c r="B121" s="3"/>
      <x:c r="C121" s="3"/>
      <x:c r="D121" s="3"/>
      <x:c r="E121" s="3"/>
      <x:c r="F121" s="3"/>
      <x:c r="G121" s="3"/>
      <x:c r="H121" s="25"/>
      <x:c r="I121" s="25"/>
      <x:c r="J121" s="3"/>
      <x:c r="K121" s="3"/>
      <x:c r="L121" s="3"/>
      <x:c r="M121" s="3"/>
      <x:c r="N121" s="19" t="str">
        <x:f>IF(A121="","",IF(COUNTIFS('Plan versions'!$A$7:$A$306,A121)&lt;&gt;1,"Duplicate ID",IF(COUNTIFS('Cases overview'!$A$7:$A$306,B121)&lt;&gt;1,"Invalid case ref",IF(OR(D121="",E121="",F121="",G121="",L121=""),"Version info missing",IF(AND(C121&lt;&gt;"",OR(C121=A121,COUNTIFS('Plan versions'!$A$7:$A$306,C121,'Plan versions'!$B$7:$B$306,B121)&lt;&gt;1)),"Invalid parent plan ref",IF(L121="Draft","Draft not frozen",IF(OR(NOT(ISNUMBER(H121)),NOT(ISNUMBER(I121)),J121="",K121="",M121=""),"Freeze info missing",IF(I121&lt;H121,"Verify retroactive entry","Valid input"))))))))</x:f>
      </x:c>
    </x:row>
    <x:row r="122" ht="25" customHeight="1">
      <x:c r="A122" s="3"/>
      <x:c r="B122" s="3"/>
      <x:c r="C122" s="3"/>
      <x:c r="D122" s="3"/>
      <x:c r="E122" s="3"/>
      <x:c r="F122" s="3"/>
      <x:c r="G122" s="3"/>
      <x:c r="H122" s="25"/>
      <x:c r="I122" s="25"/>
      <x:c r="J122" s="3"/>
      <x:c r="K122" s="3"/>
      <x:c r="L122" s="3"/>
      <x:c r="M122" s="3"/>
      <x:c r="N122" s="19" t="str">
        <x:f>IF(A122="","",IF(COUNTIFS('Plan versions'!$A$7:$A$306,A122)&lt;&gt;1,"Duplicate ID",IF(COUNTIFS('Cases overview'!$A$7:$A$306,B122)&lt;&gt;1,"Invalid case ref",IF(OR(D122="",E122="",F122="",G122="",L122=""),"Version info missing",IF(AND(C122&lt;&gt;"",OR(C122=A122,COUNTIFS('Plan versions'!$A$7:$A$306,C122,'Plan versions'!$B$7:$B$306,B122)&lt;&gt;1)),"Invalid parent plan ref",IF(L122="Draft","Draft not frozen",IF(OR(NOT(ISNUMBER(H122)),NOT(ISNUMBER(I122)),J122="",K122="",M122=""),"Freeze info missing",IF(I122&lt;H122,"Verify retroactive entry","Valid input"))))))))</x:f>
      </x:c>
    </x:row>
    <x:row r="123" ht="25" customHeight="1">
      <x:c r="A123" s="3"/>
      <x:c r="B123" s="3"/>
      <x:c r="C123" s="3"/>
      <x:c r="D123" s="3"/>
      <x:c r="E123" s="3"/>
      <x:c r="F123" s="3"/>
      <x:c r="G123" s="3"/>
      <x:c r="H123" s="25"/>
      <x:c r="I123" s="25"/>
      <x:c r="J123" s="3"/>
      <x:c r="K123" s="3"/>
      <x:c r="L123" s="3"/>
      <x:c r="M123" s="3"/>
      <x:c r="N123" s="19" t="str">
        <x:f>IF(A123="","",IF(COUNTIFS('Plan versions'!$A$7:$A$306,A123)&lt;&gt;1,"Duplicate ID",IF(COUNTIFS('Cases overview'!$A$7:$A$306,B123)&lt;&gt;1,"Invalid case ref",IF(OR(D123="",E123="",F123="",G123="",L123=""),"Version info missing",IF(AND(C123&lt;&gt;"",OR(C123=A123,COUNTIFS('Plan versions'!$A$7:$A$306,C123,'Plan versions'!$B$7:$B$306,B123)&lt;&gt;1)),"Invalid parent plan ref",IF(L123="Draft","Draft not frozen",IF(OR(NOT(ISNUMBER(H123)),NOT(ISNUMBER(I123)),J123="",K123="",M123=""),"Freeze info missing",IF(I123&lt;H123,"Verify retroactive entry","Valid input"))))))))</x:f>
      </x:c>
    </x:row>
    <x:row r="124" ht="25" customHeight="1">
      <x:c r="A124" s="3"/>
      <x:c r="B124" s="3"/>
      <x:c r="C124" s="3"/>
      <x:c r="D124" s="3"/>
      <x:c r="E124" s="3"/>
      <x:c r="F124" s="3"/>
      <x:c r="G124" s="3"/>
      <x:c r="H124" s="25"/>
      <x:c r="I124" s="25"/>
      <x:c r="J124" s="3"/>
      <x:c r="K124" s="3"/>
      <x:c r="L124" s="3"/>
      <x:c r="M124" s="3"/>
      <x:c r="N124" s="19" t="str">
        <x:f>IF(A124="","",IF(COUNTIFS('Plan versions'!$A$7:$A$306,A124)&lt;&gt;1,"Duplicate ID",IF(COUNTIFS('Cases overview'!$A$7:$A$306,B124)&lt;&gt;1,"Invalid case ref",IF(OR(D124="",E124="",F124="",G124="",L124=""),"Version info missing",IF(AND(C124&lt;&gt;"",OR(C124=A124,COUNTIFS('Plan versions'!$A$7:$A$306,C124,'Plan versions'!$B$7:$B$306,B124)&lt;&gt;1)),"Invalid parent plan ref",IF(L124="Draft","Draft not frozen",IF(OR(NOT(ISNUMBER(H124)),NOT(ISNUMBER(I124)),J124="",K124="",M124=""),"Freeze info missing",IF(I124&lt;H124,"Verify retroactive entry","Valid input"))))))))</x:f>
      </x:c>
    </x:row>
    <x:row r="125" ht="25" customHeight="1">
      <x:c r="A125" s="3"/>
      <x:c r="B125" s="3"/>
      <x:c r="C125" s="3"/>
      <x:c r="D125" s="3"/>
      <x:c r="E125" s="3"/>
      <x:c r="F125" s="3"/>
      <x:c r="G125" s="3"/>
      <x:c r="H125" s="25"/>
      <x:c r="I125" s="25"/>
      <x:c r="J125" s="3"/>
      <x:c r="K125" s="3"/>
      <x:c r="L125" s="3"/>
      <x:c r="M125" s="3"/>
      <x:c r="N125" s="19" t="str">
        <x:f>IF(A125="","",IF(COUNTIFS('Plan versions'!$A$7:$A$306,A125)&lt;&gt;1,"Duplicate ID",IF(COUNTIFS('Cases overview'!$A$7:$A$306,B125)&lt;&gt;1,"Invalid case ref",IF(OR(D125="",E125="",F125="",G125="",L125=""),"Version info missing",IF(AND(C125&lt;&gt;"",OR(C125=A125,COUNTIFS('Plan versions'!$A$7:$A$306,C125,'Plan versions'!$B$7:$B$306,B125)&lt;&gt;1)),"Invalid parent plan ref",IF(L125="Draft","Draft not frozen",IF(OR(NOT(ISNUMBER(H125)),NOT(ISNUMBER(I125)),J125="",K125="",M125=""),"Freeze info missing",IF(I125&lt;H125,"Verify retroactive entry","Valid input"))))))))</x:f>
      </x:c>
    </x:row>
    <x:row r="126" ht="25" customHeight="1">
      <x:c r="A126" s="3"/>
      <x:c r="B126" s="3"/>
      <x:c r="C126" s="3"/>
      <x:c r="D126" s="3"/>
      <x:c r="E126" s="3"/>
      <x:c r="F126" s="3"/>
      <x:c r="G126" s="3"/>
      <x:c r="H126" s="25"/>
      <x:c r="I126" s="25"/>
      <x:c r="J126" s="3"/>
      <x:c r="K126" s="3"/>
      <x:c r="L126" s="3"/>
      <x:c r="M126" s="3"/>
      <x:c r="N126" s="19" t="str">
        <x:f>IF(A126="","",IF(COUNTIFS('Plan versions'!$A$7:$A$306,A126)&lt;&gt;1,"Duplicate ID",IF(COUNTIFS('Cases overview'!$A$7:$A$306,B126)&lt;&gt;1,"Invalid case ref",IF(OR(D126="",E126="",F126="",G126="",L126=""),"Version info missing",IF(AND(C126&lt;&gt;"",OR(C126=A126,COUNTIFS('Plan versions'!$A$7:$A$306,C126,'Plan versions'!$B$7:$B$306,B126)&lt;&gt;1)),"Invalid parent plan ref",IF(L126="Draft","Draft not frozen",IF(OR(NOT(ISNUMBER(H126)),NOT(ISNUMBER(I126)),J126="",K126="",M126=""),"Freeze info missing",IF(I126&lt;H126,"Verify retroactive entry","Valid input"))))))))</x:f>
      </x:c>
    </x:row>
    <x:row r="127" ht="25" customHeight="1">
      <x:c r="A127" s="3"/>
      <x:c r="B127" s="3"/>
      <x:c r="C127" s="3"/>
      <x:c r="D127" s="3"/>
      <x:c r="E127" s="3"/>
      <x:c r="F127" s="3"/>
      <x:c r="G127" s="3"/>
      <x:c r="H127" s="25"/>
      <x:c r="I127" s="25"/>
      <x:c r="J127" s="3"/>
      <x:c r="K127" s="3"/>
      <x:c r="L127" s="3"/>
      <x:c r="M127" s="3"/>
      <x:c r="N127" s="19" t="str">
        <x:f>IF(A127="","",IF(COUNTIFS('Plan versions'!$A$7:$A$306,A127)&lt;&gt;1,"Duplicate ID",IF(COUNTIFS('Cases overview'!$A$7:$A$306,B127)&lt;&gt;1,"Invalid case ref",IF(OR(D127="",E127="",F127="",G127="",L127=""),"Version info missing",IF(AND(C127&lt;&gt;"",OR(C127=A127,COUNTIFS('Plan versions'!$A$7:$A$306,C127,'Plan versions'!$B$7:$B$306,B127)&lt;&gt;1)),"Invalid parent plan ref",IF(L127="Draft","Draft not frozen",IF(OR(NOT(ISNUMBER(H127)),NOT(ISNUMBER(I127)),J127="",K127="",M127=""),"Freeze info missing",IF(I127&lt;H127,"Verify retroactive entry","Valid input"))))))))</x:f>
      </x:c>
    </x:row>
    <x:row r="128" ht="25" customHeight="1">
      <x:c r="A128" s="3"/>
      <x:c r="B128" s="3"/>
      <x:c r="C128" s="3"/>
      <x:c r="D128" s="3"/>
      <x:c r="E128" s="3"/>
      <x:c r="F128" s="3"/>
      <x:c r="G128" s="3"/>
      <x:c r="H128" s="25"/>
      <x:c r="I128" s="25"/>
      <x:c r="J128" s="3"/>
      <x:c r="K128" s="3"/>
      <x:c r="L128" s="3"/>
      <x:c r="M128" s="3"/>
      <x:c r="N128" s="19" t="str">
        <x:f>IF(A128="","",IF(COUNTIFS('Plan versions'!$A$7:$A$306,A128)&lt;&gt;1,"Duplicate ID",IF(COUNTIFS('Cases overview'!$A$7:$A$306,B128)&lt;&gt;1,"Invalid case ref",IF(OR(D128="",E128="",F128="",G128="",L128=""),"Version info missing",IF(AND(C128&lt;&gt;"",OR(C128=A128,COUNTIFS('Plan versions'!$A$7:$A$306,C128,'Plan versions'!$B$7:$B$306,B128)&lt;&gt;1)),"Invalid parent plan ref",IF(L128="Draft","Draft not frozen",IF(OR(NOT(ISNUMBER(H128)),NOT(ISNUMBER(I128)),J128="",K128="",M128=""),"Freeze info missing",IF(I128&lt;H128,"Verify retroactive entry","Valid input"))))))))</x:f>
      </x:c>
    </x:row>
    <x:row r="129" ht="25" customHeight="1">
      <x:c r="A129" s="3"/>
      <x:c r="B129" s="3"/>
      <x:c r="C129" s="3"/>
      <x:c r="D129" s="3"/>
      <x:c r="E129" s="3"/>
      <x:c r="F129" s="3"/>
      <x:c r="G129" s="3"/>
      <x:c r="H129" s="25"/>
      <x:c r="I129" s="25"/>
      <x:c r="J129" s="3"/>
      <x:c r="K129" s="3"/>
      <x:c r="L129" s="3"/>
      <x:c r="M129" s="3"/>
      <x:c r="N129" s="19" t="str">
        <x:f>IF(A129="","",IF(COUNTIFS('Plan versions'!$A$7:$A$306,A129)&lt;&gt;1,"Duplicate ID",IF(COUNTIFS('Cases overview'!$A$7:$A$306,B129)&lt;&gt;1,"Invalid case ref",IF(OR(D129="",E129="",F129="",G129="",L129=""),"Version info missing",IF(AND(C129&lt;&gt;"",OR(C129=A129,COUNTIFS('Plan versions'!$A$7:$A$306,C129,'Plan versions'!$B$7:$B$306,B129)&lt;&gt;1)),"Invalid parent plan ref",IF(L129="Draft","Draft not frozen",IF(OR(NOT(ISNUMBER(H129)),NOT(ISNUMBER(I129)),J129="",K129="",M129=""),"Freeze info missing",IF(I129&lt;H129,"Verify retroactive entry","Valid input"))))))))</x:f>
      </x:c>
    </x:row>
    <x:row r="130" ht="25" customHeight="1">
      <x:c r="A130" s="3"/>
      <x:c r="B130" s="3"/>
      <x:c r="C130" s="3"/>
      <x:c r="D130" s="3"/>
      <x:c r="E130" s="3"/>
      <x:c r="F130" s="3"/>
      <x:c r="G130" s="3"/>
      <x:c r="H130" s="25"/>
      <x:c r="I130" s="25"/>
      <x:c r="J130" s="3"/>
      <x:c r="K130" s="3"/>
      <x:c r="L130" s="3"/>
      <x:c r="M130" s="3"/>
      <x:c r="N130" s="19" t="str">
        <x:f>IF(A130="","",IF(COUNTIFS('Plan versions'!$A$7:$A$306,A130)&lt;&gt;1,"Duplicate ID",IF(COUNTIFS('Cases overview'!$A$7:$A$306,B130)&lt;&gt;1,"Invalid case ref",IF(OR(D130="",E130="",F130="",G130="",L130=""),"Version info missing",IF(AND(C130&lt;&gt;"",OR(C130=A130,COUNTIFS('Plan versions'!$A$7:$A$306,C130,'Plan versions'!$B$7:$B$306,B130)&lt;&gt;1)),"Invalid parent plan ref",IF(L130="Draft","Draft not frozen",IF(OR(NOT(ISNUMBER(H130)),NOT(ISNUMBER(I130)),J130="",K130="",M130=""),"Freeze info missing",IF(I130&lt;H130,"Verify retroactive entry","Valid input"))))))))</x:f>
      </x:c>
    </x:row>
    <x:row r="131" ht="25" customHeight="1">
      <x:c r="A131" s="3"/>
      <x:c r="B131" s="3"/>
      <x:c r="C131" s="3"/>
      <x:c r="D131" s="3"/>
      <x:c r="E131" s="3"/>
      <x:c r="F131" s="3"/>
      <x:c r="G131" s="3"/>
      <x:c r="H131" s="25"/>
      <x:c r="I131" s="25"/>
      <x:c r="J131" s="3"/>
      <x:c r="K131" s="3"/>
      <x:c r="L131" s="3"/>
      <x:c r="M131" s="3"/>
      <x:c r="N131" s="19" t="str">
        <x:f>IF(A131="","",IF(COUNTIFS('Plan versions'!$A$7:$A$306,A131)&lt;&gt;1,"Duplicate ID",IF(COUNTIFS('Cases overview'!$A$7:$A$306,B131)&lt;&gt;1,"Invalid case ref",IF(OR(D131="",E131="",F131="",G131="",L131=""),"Version info missing",IF(AND(C131&lt;&gt;"",OR(C131=A131,COUNTIFS('Plan versions'!$A$7:$A$306,C131,'Plan versions'!$B$7:$B$306,B131)&lt;&gt;1)),"Invalid parent plan ref",IF(L131="Draft","Draft not frozen",IF(OR(NOT(ISNUMBER(H131)),NOT(ISNUMBER(I131)),J131="",K131="",M131=""),"Freeze info missing",IF(I131&lt;H131,"Verify retroactive entry","Valid input"))))))))</x:f>
      </x:c>
    </x:row>
    <x:row r="132" ht="25" customHeight="1">
      <x:c r="A132" s="3"/>
      <x:c r="B132" s="3"/>
      <x:c r="C132" s="3"/>
      <x:c r="D132" s="3"/>
      <x:c r="E132" s="3"/>
      <x:c r="F132" s="3"/>
      <x:c r="G132" s="3"/>
      <x:c r="H132" s="25"/>
      <x:c r="I132" s="25"/>
      <x:c r="J132" s="3"/>
      <x:c r="K132" s="3"/>
      <x:c r="L132" s="3"/>
      <x:c r="M132" s="3"/>
      <x:c r="N132" s="19" t="str">
        <x:f>IF(A132="","",IF(COUNTIFS('Plan versions'!$A$7:$A$306,A132)&lt;&gt;1,"Duplicate ID",IF(COUNTIFS('Cases overview'!$A$7:$A$306,B132)&lt;&gt;1,"Invalid case ref",IF(OR(D132="",E132="",F132="",G132="",L132=""),"Version info missing",IF(AND(C132&lt;&gt;"",OR(C132=A132,COUNTIFS('Plan versions'!$A$7:$A$306,C132,'Plan versions'!$B$7:$B$306,B132)&lt;&gt;1)),"Invalid parent plan ref",IF(L132="Draft","Draft not frozen",IF(OR(NOT(ISNUMBER(H132)),NOT(ISNUMBER(I132)),J132="",K132="",M132=""),"Freeze info missing",IF(I132&lt;H132,"Verify retroactive entry","Valid input"))))))))</x:f>
      </x:c>
    </x:row>
    <x:row r="133" ht="25" customHeight="1">
      <x:c r="A133" s="3"/>
      <x:c r="B133" s="3"/>
      <x:c r="C133" s="3"/>
      <x:c r="D133" s="3"/>
      <x:c r="E133" s="3"/>
      <x:c r="F133" s="3"/>
      <x:c r="G133" s="3"/>
      <x:c r="H133" s="25"/>
      <x:c r="I133" s="25"/>
      <x:c r="J133" s="3"/>
      <x:c r="K133" s="3"/>
      <x:c r="L133" s="3"/>
      <x:c r="M133" s="3"/>
      <x:c r="N133" s="19" t="str">
        <x:f>IF(A133="","",IF(COUNTIFS('Plan versions'!$A$7:$A$306,A133)&lt;&gt;1,"Duplicate ID",IF(COUNTIFS('Cases overview'!$A$7:$A$306,B133)&lt;&gt;1,"Invalid case ref",IF(OR(D133="",E133="",F133="",G133="",L133=""),"Version info missing",IF(AND(C133&lt;&gt;"",OR(C133=A133,COUNTIFS('Plan versions'!$A$7:$A$306,C133,'Plan versions'!$B$7:$B$306,B133)&lt;&gt;1)),"Invalid parent plan ref",IF(L133="Draft","Draft not frozen",IF(OR(NOT(ISNUMBER(H133)),NOT(ISNUMBER(I133)),J133="",K133="",M133=""),"Freeze info missing",IF(I133&lt;H133,"Verify retroactive entry","Valid input"))))))))</x:f>
      </x:c>
    </x:row>
    <x:row r="134" ht="25" customHeight="1">
      <x:c r="A134" s="3"/>
      <x:c r="B134" s="3"/>
      <x:c r="C134" s="3"/>
      <x:c r="D134" s="3"/>
      <x:c r="E134" s="3"/>
      <x:c r="F134" s="3"/>
      <x:c r="G134" s="3"/>
      <x:c r="H134" s="25"/>
      <x:c r="I134" s="25"/>
      <x:c r="J134" s="3"/>
      <x:c r="K134" s="3"/>
      <x:c r="L134" s="3"/>
      <x:c r="M134" s="3"/>
      <x:c r="N134" s="19" t="str">
        <x:f>IF(A134="","",IF(COUNTIFS('Plan versions'!$A$7:$A$306,A134)&lt;&gt;1,"Duplicate ID",IF(COUNTIFS('Cases overview'!$A$7:$A$306,B134)&lt;&gt;1,"Invalid case ref",IF(OR(D134="",E134="",F134="",G134="",L134=""),"Version info missing",IF(AND(C134&lt;&gt;"",OR(C134=A134,COUNTIFS('Plan versions'!$A$7:$A$306,C134,'Plan versions'!$B$7:$B$306,B134)&lt;&gt;1)),"Invalid parent plan ref",IF(L134="Draft","Draft not frozen",IF(OR(NOT(ISNUMBER(H134)),NOT(ISNUMBER(I134)),J134="",K134="",M134=""),"Freeze info missing",IF(I134&lt;H134,"Verify retroactive entry","Valid input"))))))))</x:f>
      </x:c>
    </x:row>
    <x:row r="135" ht="25" customHeight="1">
      <x:c r="A135" s="3"/>
      <x:c r="B135" s="3"/>
      <x:c r="C135" s="3"/>
      <x:c r="D135" s="3"/>
      <x:c r="E135" s="3"/>
      <x:c r="F135" s="3"/>
      <x:c r="G135" s="3"/>
      <x:c r="H135" s="25"/>
      <x:c r="I135" s="25"/>
      <x:c r="J135" s="3"/>
      <x:c r="K135" s="3"/>
      <x:c r="L135" s="3"/>
      <x:c r="M135" s="3"/>
      <x:c r="N135" s="19" t="str">
        <x:f>IF(A135="","",IF(COUNTIFS('Plan versions'!$A$7:$A$306,A135)&lt;&gt;1,"Duplicate ID",IF(COUNTIFS('Cases overview'!$A$7:$A$306,B135)&lt;&gt;1,"Invalid case ref",IF(OR(D135="",E135="",F135="",G135="",L135=""),"Version info missing",IF(AND(C135&lt;&gt;"",OR(C135=A135,COUNTIFS('Plan versions'!$A$7:$A$306,C135,'Plan versions'!$B$7:$B$306,B135)&lt;&gt;1)),"Invalid parent plan ref",IF(L135="Draft","Draft not frozen",IF(OR(NOT(ISNUMBER(H135)),NOT(ISNUMBER(I135)),J135="",K135="",M135=""),"Freeze info missing",IF(I135&lt;H135,"Verify retroactive entry","Valid input"))))))))</x:f>
      </x:c>
    </x:row>
    <x:row r="136" ht="25" customHeight="1">
      <x:c r="A136" s="3"/>
      <x:c r="B136" s="3"/>
      <x:c r="C136" s="3"/>
      <x:c r="D136" s="3"/>
      <x:c r="E136" s="3"/>
      <x:c r="F136" s="3"/>
      <x:c r="G136" s="3"/>
      <x:c r="H136" s="25"/>
      <x:c r="I136" s="25"/>
      <x:c r="J136" s="3"/>
      <x:c r="K136" s="3"/>
      <x:c r="L136" s="3"/>
      <x:c r="M136" s="3"/>
      <x:c r="N136" s="19" t="str">
        <x:f>IF(A136="","",IF(COUNTIFS('Plan versions'!$A$7:$A$306,A136)&lt;&gt;1,"Duplicate ID",IF(COUNTIFS('Cases overview'!$A$7:$A$306,B136)&lt;&gt;1,"Invalid case ref",IF(OR(D136="",E136="",F136="",G136="",L136=""),"Version info missing",IF(AND(C136&lt;&gt;"",OR(C136=A136,COUNTIFS('Plan versions'!$A$7:$A$306,C136,'Plan versions'!$B$7:$B$306,B136)&lt;&gt;1)),"Invalid parent plan ref",IF(L136="Draft","Draft not frozen",IF(OR(NOT(ISNUMBER(H136)),NOT(ISNUMBER(I136)),J136="",K136="",M136=""),"Freeze info missing",IF(I136&lt;H136,"Verify retroactive entry","Valid input"))))))))</x:f>
      </x:c>
    </x:row>
    <x:row r="137" ht="25" customHeight="1">
      <x:c r="A137" s="3"/>
      <x:c r="B137" s="3"/>
      <x:c r="C137" s="3"/>
      <x:c r="D137" s="3"/>
      <x:c r="E137" s="3"/>
      <x:c r="F137" s="3"/>
      <x:c r="G137" s="3"/>
      <x:c r="H137" s="25"/>
      <x:c r="I137" s="25"/>
      <x:c r="J137" s="3"/>
      <x:c r="K137" s="3"/>
      <x:c r="L137" s="3"/>
      <x:c r="M137" s="3"/>
      <x:c r="N137" s="19" t="str">
        <x:f>IF(A137="","",IF(COUNTIFS('Plan versions'!$A$7:$A$306,A137)&lt;&gt;1,"Duplicate ID",IF(COUNTIFS('Cases overview'!$A$7:$A$306,B137)&lt;&gt;1,"Invalid case ref",IF(OR(D137="",E137="",F137="",G137="",L137=""),"Version info missing",IF(AND(C137&lt;&gt;"",OR(C137=A137,COUNTIFS('Plan versions'!$A$7:$A$306,C137,'Plan versions'!$B$7:$B$306,B137)&lt;&gt;1)),"Invalid parent plan ref",IF(L137="Draft","Draft not frozen",IF(OR(NOT(ISNUMBER(H137)),NOT(ISNUMBER(I137)),J137="",K137="",M137=""),"Freeze info missing",IF(I137&lt;H137,"Verify retroactive entry","Valid input"))))))))</x:f>
      </x:c>
    </x:row>
    <x:row r="138" ht="25" customHeight="1">
      <x:c r="A138" s="3"/>
      <x:c r="B138" s="3"/>
      <x:c r="C138" s="3"/>
      <x:c r="D138" s="3"/>
      <x:c r="E138" s="3"/>
      <x:c r="F138" s="3"/>
      <x:c r="G138" s="3"/>
      <x:c r="H138" s="25"/>
      <x:c r="I138" s="25"/>
      <x:c r="J138" s="3"/>
      <x:c r="K138" s="3"/>
      <x:c r="L138" s="3"/>
      <x:c r="M138" s="3"/>
      <x:c r="N138" s="19" t="str">
        <x:f>IF(A138="","",IF(COUNTIFS('Plan versions'!$A$7:$A$306,A138)&lt;&gt;1,"Duplicate ID",IF(COUNTIFS('Cases overview'!$A$7:$A$306,B138)&lt;&gt;1,"Invalid case ref",IF(OR(D138="",E138="",F138="",G138="",L138=""),"Version info missing",IF(AND(C138&lt;&gt;"",OR(C138=A138,COUNTIFS('Plan versions'!$A$7:$A$306,C138,'Plan versions'!$B$7:$B$306,B138)&lt;&gt;1)),"Invalid parent plan ref",IF(L138="Draft","Draft not frozen",IF(OR(NOT(ISNUMBER(H138)),NOT(ISNUMBER(I138)),J138="",K138="",M138=""),"Freeze info missing",IF(I138&lt;H138,"Verify retroactive entry","Valid input"))))))))</x:f>
      </x:c>
    </x:row>
    <x:row r="139" ht="25" customHeight="1">
      <x:c r="A139" s="3"/>
      <x:c r="B139" s="3"/>
      <x:c r="C139" s="3"/>
      <x:c r="D139" s="3"/>
      <x:c r="E139" s="3"/>
      <x:c r="F139" s="3"/>
      <x:c r="G139" s="3"/>
      <x:c r="H139" s="25"/>
      <x:c r="I139" s="25"/>
      <x:c r="J139" s="3"/>
      <x:c r="K139" s="3"/>
      <x:c r="L139" s="3"/>
      <x:c r="M139" s="3"/>
      <x:c r="N139" s="19" t="str">
        <x:f>IF(A139="","",IF(COUNTIFS('Plan versions'!$A$7:$A$306,A139)&lt;&gt;1,"Duplicate ID",IF(COUNTIFS('Cases overview'!$A$7:$A$306,B139)&lt;&gt;1,"Invalid case ref",IF(OR(D139="",E139="",F139="",G139="",L139=""),"Version info missing",IF(AND(C139&lt;&gt;"",OR(C139=A139,COUNTIFS('Plan versions'!$A$7:$A$306,C139,'Plan versions'!$B$7:$B$306,B139)&lt;&gt;1)),"Invalid parent plan ref",IF(L139="Draft","Draft not frozen",IF(OR(NOT(ISNUMBER(H139)),NOT(ISNUMBER(I139)),J139="",K139="",M139=""),"Freeze info missing",IF(I139&lt;H139,"Verify retroactive entry","Valid input"))))))))</x:f>
      </x:c>
    </x:row>
    <x:row r="140" ht="25" customHeight="1">
      <x:c r="A140" s="3"/>
      <x:c r="B140" s="3"/>
      <x:c r="C140" s="3"/>
      <x:c r="D140" s="3"/>
      <x:c r="E140" s="3"/>
      <x:c r="F140" s="3"/>
      <x:c r="G140" s="3"/>
      <x:c r="H140" s="25"/>
      <x:c r="I140" s="25"/>
      <x:c r="J140" s="3"/>
      <x:c r="K140" s="3"/>
      <x:c r="L140" s="3"/>
      <x:c r="M140" s="3"/>
      <x:c r="N140" s="19" t="str">
        <x:f>IF(A140="","",IF(COUNTIFS('Plan versions'!$A$7:$A$306,A140)&lt;&gt;1,"Duplicate ID",IF(COUNTIFS('Cases overview'!$A$7:$A$306,B140)&lt;&gt;1,"Invalid case ref",IF(OR(D140="",E140="",F140="",G140="",L140=""),"Version info missing",IF(AND(C140&lt;&gt;"",OR(C140=A140,COUNTIFS('Plan versions'!$A$7:$A$306,C140,'Plan versions'!$B$7:$B$306,B140)&lt;&gt;1)),"Invalid parent plan ref",IF(L140="Draft","Draft not frozen",IF(OR(NOT(ISNUMBER(H140)),NOT(ISNUMBER(I140)),J140="",K140="",M140=""),"Freeze info missing",IF(I140&lt;H140,"Verify retroactive entry","Valid input"))))))))</x:f>
      </x:c>
    </x:row>
    <x:row r="141" ht="25" customHeight="1">
      <x:c r="A141" s="3"/>
      <x:c r="B141" s="3"/>
      <x:c r="C141" s="3"/>
      <x:c r="D141" s="3"/>
      <x:c r="E141" s="3"/>
      <x:c r="F141" s="3"/>
      <x:c r="G141" s="3"/>
      <x:c r="H141" s="25"/>
      <x:c r="I141" s="25"/>
      <x:c r="J141" s="3"/>
      <x:c r="K141" s="3"/>
      <x:c r="L141" s="3"/>
      <x:c r="M141" s="3"/>
      <x:c r="N141" s="19" t="str">
        <x:f>IF(A141="","",IF(COUNTIFS('Plan versions'!$A$7:$A$306,A141)&lt;&gt;1,"Duplicate ID",IF(COUNTIFS('Cases overview'!$A$7:$A$306,B141)&lt;&gt;1,"Invalid case ref",IF(OR(D141="",E141="",F141="",G141="",L141=""),"Version info missing",IF(AND(C141&lt;&gt;"",OR(C141=A141,COUNTIFS('Plan versions'!$A$7:$A$306,C141,'Plan versions'!$B$7:$B$306,B141)&lt;&gt;1)),"Invalid parent plan ref",IF(L141="Draft","Draft not frozen",IF(OR(NOT(ISNUMBER(H141)),NOT(ISNUMBER(I141)),J141="",K141="",M141=""),"Freeze info missing",IF(I141&lt;H141,"Verify retroactive entry","Valid input"))))))))</x:f>
      </x:c>
    </x:row>
    <x:row r="142" ht="25" customHeight="1">
      <x:c r="A142" s="3"/>
      <x:c r="B142" s="3"/>
      <x:c r="C142" s="3"/>
      <x:c r="D142" s="3"/>
      <x:c r="E142" s="3"/>
      <x:c r="F142" s="3"/>
      <x:c r="G142" s="3"/>
      <x:c r="H142" s="25"/>
      <x:c r="I142" s="25"/>
      <x:c r="J142" s="3"/>
      <x:c r="K142" s="3"/>
      <x:c r="L142" s="3"/>
      <x:c r="M142" s="3"/>
      <x:c r="N142" s="19" t="str">
        <x:f>IF(A142="","",IF(COUNTIFS('Plan versions'!$A$7:$A$306,A142)&lt;&gt;1,"Duplicate ID",IF(COUNTIFS('Cases overview'!$A$7:$A$306,B142)&lt;&gt;1,"Invalid case ref",IF(OR(D142="",E142="",F142="",G142="",L142=""),"Version info missing",IF(AND(C142&lt;&gt;"",OR(C142=A142,COUNTIFS('Plan versions'!$A$7:$A$306,C142,'Plan versions'!$B$7:$B$306,B142)&lt;&gt;1)),"Invalid parent plan ref",IF(L142="Draft","Draft not frozen",IF(OR(NOT(ISNUMBER(H142)),NOT(ISNUMBER(I142)),J142="",K142="",M142=""),"Freeze info missing",IF(I142&lt;H142,"Verify retroactive entry","Valid input"))))))))</x:f>
      </x:c>
    </x:row>
    <x:row r="143" ht="25" customHeight="1">
      <x:c r="A143" s="3"/>
      <x:c r="B143" s="3"/>
      <x:c r="C143" s="3"/>
      <x:c r="D143" s="3"/>
      <x:c r="E143" s="3"/>
      <x:c r="F143" s="3"/>
      <x:c r="G143" s="3"/>
      <x:c r="H143" s="25"/>
      <x:c r="I143" s="25"/>
      <x:c r="J143" s="3"/>
      <x:c r="K143" s="3"/>
      <x:c r="L143" s="3"/>
      <x:c r="M143" s="3"/>
      <x:c r="N143" s="19" t="str">
        <x:f>IF(A143="","",IF(COUNTIFS('Plan versions'!$A$7:$A$306,A143)&lt;&gt;1,"Duplicate ID",IF(COUNTIFS('Cases overview'!$A$7:$A$306,B143)&lt;&gt;1,"Invalid case ref",IF(OR(D143="",E143="",F143="",G143="",L143=""),"Version info missing",IF(AND(C143&lt;&gt;"",OR(C143=A143,COUNTIFS('Plan versions'!$A$7:$A$306,C143,'Plan versions'!$B$7:$B$306,B143)&lt;&gt;1)),"Invalid parent plan ref",IF(L143="Draft","Draft not frozen",IF(OR(NOT(ISNUMBER(H143)),NOT(ISNUMBER(I143)),J143="",K143="",M143=""),"Freeze info missing",IF(I143&lt;H143,"Verify retroactive entry","Valid input"))))))))</x:f>
      </x:c>
    </x:row>
    <x:row r="144" ht="25" customHeight="1">
      <x:c r="A144" s="3"/>
      <x:c r="B144" s="3"/>
      <x:c r="C144" s="3"/>
      <x:c r="D144" s="3"/>
      <x:c r="E144" s="3"/>
      <x:c r="F144" s="3"/>
      <x:c r="G144" s="3"/>
      <x:c r="H144" s="25"/>
      <x:c r="I144" s="25"/>
      <x:c r="J144" s="3"/>
      <x:c r="K144" s="3"/>
      <x:c r="L144" s="3"/>
      <x:c r="M144" s="3"/>
      <x:c r="N144" s="19" t="str">
        <x:f>IF(A144="","",IF(COUNTIFS('Plan versions'!$A$7:$A$306,A144)&lt;&gt;1,"Duplicate ID",IF(COUNTIFS('Cases overview'!$A$7:$A$306,B144)&lt;&gt;1,"Invalid case ref",IF(OR(D144="",E144="",F144="",G144="",L144=""),"Version info missing",IF(AND(C144&lt;&gt;"",OR(C144=A144,COUNTIFS('Plan versions'!$A$7:$A$306,C144,'Plan versions'!$B$7:$B$306,B144)&lt;&gt;1)),"Invalid parent plan ref",IF(L144="Draft","Draft not frozen",IF(OR(NOT(ISNUMBER(H144)),NOT(ISNUMBER(I144)),J144="",K144="",M144=""),"Freeze info missing",IF(I144&lt;H144,"Verify retroactive entry","Valid input"))))))))</x:f>
      </x:c>
    </x:row>
    <x:row r="145" ht="25" customHeight="1">
      <x:c r="A145" s="3"/>
      <x:c r="B145" s="3"/>
      <x:c r="C145" s="3"/>
      <x:c r="D145" s="3"/>
      <x:c r="E145" s="3"/>
      <x:c r="F145" s="3"/>
      <x:c r="G145" s="3"/>
      <x:c r="H145" s="25"/>
      <x:c r="I145" s="25"/>
      <x:c r="J145" s="3"/>
      <x:c r="K145" s="3"/>
      <x:c r="L145" s="3"/>
      <x:c r="M145" s="3"/>
      <x:c r="N145" s="19" t="str">
        <x:f>IF(A145="","",IF(COUNTIFS('Plan versions'!$A$7:$A$306,A145)&lt;&gt;1,"Duplicate ID",IF(COUNTIFS('Cases overview'!$A$7:$A$306,B145)&lt;&gt;1,"Invalid case ref",IF(OR(D145="",E145="",F145="",G145="",L145=""),"Version info missing",IF(AND(C145&lt;&gt;"",OR(C145=A145,COUNTIFS('Plan versions'!$A$7:$A$306,C145,'Plan versions'!$B$7:$B$306,B145)&lt;&gt;1)),"Invalid parent plan ref",IF(L145="Draft","Draft not frozen",IF(OR(NOT(ISNUMBER(H145)),NOT(ISNUMBER(I145)),J145="",K145="",M145=""),"Freeze info missing",IF(I145&lt;H145,"Verify retroactive entry","Valid input"))))))))</x:f>
      </x:c>
    </x:row>
    <x:row r="146" ht="25" customHeight="1">
      <x:c r="A146" s="3"/>
      <x:c r="B146" s="3"/>
      <x:c r="C146" s="3"/>
      <x:c r="D146" s="3"/>
      <x:c r="E146" s="3"/>
      <x:c r="F146" s="3"/>
      <x:c r="G146" s="3"/>
      <x:c r="H146" s="25"/>
      <x:c r="I146" s="25"/>
      <x:c r="J146" s="3"/>
      <x:c r="K146" s="3"/>
      <x:c r="L146" s="3"/>
      <x:c r="M146" s="3"/>
      <x:c r="N146" s="19" t="str">
        <x:f>IF(A146="","",IF(COUNTIFS('Plan versions'!$A$7:$A$306,A146)&lt;&gt;1,"Duplicate ID",IF(COUNTIFS('Cases overview'!$A$7:$A$306,B146)&lt;&gt;1,"Invalid case ref",IF(OR(D146="",E146="",F146="",G146="",L146=""),"Version info missing",IF(AND(C146&lt;&gt;"",OR(C146=A146,COUNTIFS('Plan versions'!$A$7:$A$306,C146,'Plan versions'!$B$7:$B$306,B146)&lt;&gt;1)),"Invalid parent plan ref",IF(L146="Draft","Draft not frozen",IF(OR(NOT(ISNUMBER(H146)),NOT(ISNUMBER(I146)),J146="",K146="",M146=""),"Freeze info missing",IF(I146&lt;H146,"Verify retroactive entry","Valid input"))))))))</x:f>
      </x:c>
    </x:row>
    <x:row r="147" ht="25" customHeight="1">
      <x:c r="A147" s="3"/>
      <x:c r="B147" s="3"/>
      <x:c r="C147" s="3"/>
      <x:c r="D147" s="3"/>
      <x:c r="E147" s="3"/>
      <x:c r="F147" s="3"/>
      <x:c r="G147" s="3"/>
      <x:c r="H147" s="25"/>
      <x:c r="I147" s="25"/>
      <x:c r="J147" s="3"/>
      <x:c r="K147" s="3"/>
      <x:c r="L147" s="3"/>
      <x:c r="M147" s="3"/>
      <x:c r="N147" s="19" t="str">
        <x:f>IF(A147="","",IF(COUNTIFS('Plan versions'!$A$7:$A$306,A147)&lt;&gt;1,"Duplicate ID",IF(COUNTIFS('Cases overview'!$A$7:$A$306,B147)&lt;&gt;1,"Invalid case ref",IF(OR(D147="",E147="",F147="",G147="",L147=""),"Version info missing",IF(AND(C147&lt;&gt;"",OR(C147=A147,COUNTIFS('Plan versions'!$A$7:$A$306,C147,'Plan versions'!$B$7:$B$306,B147)&lt;&gt;1)),"Invalid parent plan ref",IF(L147="Draft","Draft not frozen",IF(OR(NOT(ISNUMBER(H147)),NOT(ISNUMBER(I147)),J147="",K147="",M147=""),"Freeze info missing",IF(I147&lt;H147,"Verify retroactive entry","Valid input"))))))))</x:f>
      </x:c>
    </x:row>
    <x:row r="148" ht="25" customHeight="1">
      <x:c r="A148" s="3"/>
      <x:c r="B148" s="3"/>
      <x:c r="C148" s="3"/>
      <x:c r="D148" s="3"/>
      <x:c r="E148" s="3"/>
      <x:c r="F148" s="3"/>
      <x:c r="G148" s="3"/>
      <x:c r="H148" s="25"/>
      <x:c r="I148" s="25"/>
      <x:c r="J148" s="3"/>
      <x:c r="K148" s="3"/>
      <x:c r="L148" s="3"/>
      <x:c r="M148" s="3"/>
      <x:c r="N148" s="19" t="str">
        <x:f>IF(A148="","",IF(COUNTIFS('Plan versions'!$A$7:$A$306,A148)&lt;&gt;1,"Duplicate ID",IF(COUNTIFS('Cases overview'!$A$7:$A$306,B148)&lt;&gt;1,"Invalid case ref",IF(OR(D148="",E148="",F148="",G148="",L148=""),"Version info missing",IF(AND(C148&lt;&gt;"",OR(C148=A148,COUNTIFS('Plan versions'!$A$7:$A$306,C148,'Plan versions'!$B$7:$B$306,B148)&lt;&gt;1)),"Invalid parent plan ref",IF(L148="Draft","Draft not frozen",IF(OR(NOT(ISNUMBER(H148)),NOT(ISNUMBER(I148)),J148="",K148="",M148=""),"Freeze info missing",IF(I148&lt;H148,"Verify retroactive entry","Valid input"))))))))</x:f>
      </x:c>
    </x:row>
    <x:row r="149" ht="25" customHeight="1">
      <x:c r="A149" s="3"/>
      <x:c r="B149" s="3"/>
      <x:c r="C149" s="3"/>
      <x:c r="D149" s="3"/>
      <x:c r="E149" s="3"/>
      <x:c r="F149" s="3"/>
      <x:c r="G149" s="3"/>
      <x:c r="H149" s="25"/>
      <x:c r="I149" s="25"/>
      <x:c r="J149" s="3"/>
      <x:c r="K149" s="3"/>
      <x:c r="L149" s="3"/>
      <x:c r="M149" s="3"/>
      <x:c r="N149" s="19" t="str">
        <x:f>IF(A149="","",IF(COUNTIFS('Plan versions'!$A$7:$A$306,A149)&lt;&gt;1,"Duplicate ID",IF(COUNTIFS('Cases overview'!$A$7:$A$306,B149)&lt;&gt;1,"Invalid case ref",IF(OR(D149="",E149="",F149="",G149="",L149=""),"Version info missing",IF(AND(C149&lt;&gt;"",OR(C149=A149,COUNTIFS('Plan versions'!$A$7:$A$306,C149,'Plan versions'!$B$7:$B$306,B149)&lt;&gt;1)),"Invalid parent plan ref",IF(L149="Draft","Draft not frozen",IF(OR(NOT(ISNUMBER(H149)),NOT(ISNUMBER(I149)),J149="",K149="",M149=""),"Freeze info missing",IF(I149&lt;H149,"Verify retroactive entry","Valid input"))))))))</x:f>
      </x:c>
    </x:row>
    <x:row r="150" ht="25" customHeight="1">
      <x:c r="A150" s="3"/>
      <x:c r="B150" s="3"/>
      <x:c r="C150" s="3"/>
      <x:c r="D150" s="3"/>
      <x:c r="E150" s="3"/>
      <x:c r="F150" s="3"/>
      <x:c r="G150" s="3"/>
      <x:c r="H150" s="25"/>
      <x:c r="I150" s="25"/>
      <x:c r="J150" s="3"/>
      <x:c r="K150" s="3"/>
      <x:c r="L150" s="3"/>
      <x:c r="M150" s="3"/>
      <x:c r="N150" s="19" t="str">
        <x:f>IF(A150="","",IF(COUNTIFS('Plan versions'!$A$7:$A$306,A150)&lt;&gt;1,"Duplicate ID",IF(COUNTIFS('Cases overview'!$A$7:$A$306,B150)&lt;&gt;1,"Invalid case ref",IF(OR(D150="",E150="",F150="",G150="",L150=""),"Version info missing",IF(AND(C150&lt;&gt;"",OR(C150=A150,COUNTIFS('Plan versions'!$A$7:$A$306,C150,'Plan versions'!$B$7:$B$306,B150)&lt;&gt;1)),"Invalid parent plan ref",IF(L150="Draft","Draft not frozen",IF(OR(NOT(ISNUMBER(H150)),NOT(ISNUMBER(I150)),J150="",K150="",M150=""),"Freeze info missing",IF(I150&lt;H150,"Verify retroactive entry","Valid input"))))))))</x:f>
      </x:c>
    </x:row>
    <x:row r="151" ht="25" customHeight="1">
      <x:c r="A151" s="3"/>
      <x:c r="B151" s="3"/>
      <x:c r="C151" s="3"/>
      <x:c r="D151" s="3"/>
      <x:c r="E151" s="3"/>
      <x:c r="F151" s="3"/>
      <x:c r="G151" s="3"/>
      <x:c r="H151" s="25"/>
      <x:c r="I151" s="25"/>
      <x:c r="J151" s="3"/>
      <x:c r="K151" s="3"/>
      <x:c r="L151" s="3"/>
      <x:c r="M151" s="3"/>
      <x:c r="N151" s="19" t="str">
        <x:f>IF(A151="","",IF(COUNTIFS('Plan versions'!$A$7:$A$306,A151)&lt;&gt;1,"Duplicate ID",IF(COUNTIFS('Cases overview'!$A$7:$A$306,B151)&lt;&gt;1,"Invalid case ref",IF(OR(D151="",E151="",F151="",G151="",L151=""),"Version info missing",IF(AND(C151&lt;&gt;"",OR(C151=A151,COUNTIFS('Plan versions'!$A$7:$A$306,C151,'Plan versions'!$B$7:$B$306,B151)&lt;&gt;1)),"Invalid parent plan ref",IF(L151="Draft","Draft not frozen",IF(OR(NOT(ISNUMBER(H151)),NOT(ISNUMBER(I151)),J151="",K151="",M151=""),"Freeze info missing",IF(I151&lt;H151,"Verify retroactive entry","Valid input"))))))))</x:f>
      </x:c>
    </x:row>
    <x:row r="152" ht="25" customHeight="1">
      <x:c r="A152" s="3"/>
      <x:c r="B152" s="3"/>
      <x:c r="C152" s="3"/>
      <x:c r="D152" s="3"/>
      <x:c r="E152" s="3"/>
      <x:c r="F152" s="3"/>
      <x:c r="G152" s="3"/>
      <x:c r="H152" s="25"/>
      <x:c r="I152" s="25"/>
      <x:c r="J152" s="3"/>
      <x:c r="K152" s="3"/>
      <x:c r="L152" s="3"/>
      <x:c r="M152" s="3"/>
      <x:c r="N152" s="19" t="str">
        <x:f>IF(A152="","",IF(COUNTIFS('Plan versions'!$A$7:$A$306,A152)&lt;&gt;1,"Duplicate ID",IF(COUNTIFS('Cases overview'!$A$7:$A$306,B152)&lt;&gt;1,"Invalid case ref",IF(OR(D152="",E152="",F152="",G152="",L152=""),"Version info missing",IF(AND(C152&lt;&gt;"",OR(C152=A152,COUNTIFS('Plan versions'!$A$7:$A$306,C152,'Plan versions'!$B$7:$B$306,B152)&lt;&gt;1)),"Invalid parent plan ref",IF(L152="Draft","Draft not frozen",IF(OR(NOT(ISNUMBER(H152)),NOT(ISNUMBER(I152)),J152="",K152="",M152=""),"Freeze info missing",IF(I152&lt;H152,"Verify retroactive entry","Valid input"))))))))</x:f>
      </x:c>
    </x:row>
    <x:row r="153" ht="25" customHeight="1">
      <x:c r="A153" s="3"/>
      <x:c r="B153" s="3"/>
      <x:c r="C153" s="3"/>
      <x:c r="D153" s="3"/>
      <x:c r="E153" s="3"/>
      <x:c r="F153" s="3"/>
      <x:c r="G153" s="3"/>
      <x:c r="H153" s="25"/>
      <x:c r="I153" s="25"/>
      <x:c r="J153" s="3"/>
      <x:c r="K153" s="3"/>
      <x:c r="L153" s="3"/>
      <x:c r="M153" s="3"/>
      <x:c r="N153" s="19" t="str">
        <x:f>IF(A153="","",IF(COUNTIFS('Plan versions'!$A$7:$A$306,A153)&lt;&gt;1,"Duplicate ID",IF(COUNTIFS('Cases overview'!$A$7:$A$306,B153)&lt;&gt;1,"Invalid case ref",IF(OR(D153="",E153="",F153="",G153="",L153=""),"Version info missing",IF(AND(C153&lt;&gt;"",OR(C153=A153,COUNTIFS('Plan versions'!$A$7:$A$306,C153,'Plan versions'!$B$7:$B$306,B153)&lt;&gt;1)),"Invalid parent plan ref",IF(L153="Draft","Draft not frozen",IF(OR(NOT(ISNUMBER(H153)),NOT(ISNUMBER(I153)),J153="",K153="",M153=""),"Freeze info missing",IF(I153&lt;H153,"Verify retroactive entry","Valid input"))))))))</x:f>
      </x:c>
    </x:row>
    <x:row r="154" ht="25" customHeight="1">
      <x:c r="A154" s="3"/>
      <x:c r="B154" s="3"/>
      <x:c r="C154" s="3"/>
      <x:c r="D154" s="3"/>
      <x:c r="E154" s="3"/>
      <x:c r="F154" s="3"/>
      <x:c r="G154" s="3"/>
      <x:c r="H154" s="25"/>
      <x:c r="I154" s="25"/>
      <x:c r="J154" s="3"/>
      <x:c r="K154" s="3"/>
      <x:c r="L154" s="3"/>
      <x:c r="M154" s="3"/>
      <x:c r="N154" s="19" t="str">
        <x:f>IF(A154="","",IF(COUNTIFS('Plan versions'!$A$7:$A$306,A154)&lt;&gt;1,"Duplicate ID",IF(COUNTIFS('Cases overview'!$A$7:$A$306,B154)&lt;&gt;1,"Invalid case ref",IF(OR(D154="",E154="",F154="",G154="",L154=""),"Version info missing",IF(AND(C154&lt;&gt;"",OR(C154=A154,COUNTIFS('Plan versions'!$A$7:$A$306,C154,'Plan versions'!$B$7:$B$306,B154)&lt;&gt;1)),"Invalid parent plan ref",IF(L154="Draft","Draft not frozen",IF(OR(NOT(ISNUMBER(H154)),NOT(ISNUMBER(I154)),J154="",K154="",M154=""),"Freeze info missing",IF(I154&lt;H154,"Verify retroactive entry","Valid input"))))))))</x:f>
      </x:c>
    </x:row>
    <x:row r="155" ht="25" customHeight="1">
      <x:c r="A155" s="3"/>
      <x:c r="B155" s="3"/>
      <x:c r="C155" s="3"/>
      <x:c r="D155" s="3"/>
      <x:c r="E155" s="3"/>
      <x:c r="F155" s="3"/>
      <x:c r="G155" s="3"/>
      <x:c r="H155" s="25"/>
      <x:c r="I155" s="25"/>
      <x:c r="J155" s="3"/>
      <x:c r="K155" s="3"/>
      <x:c r="L155" s="3"/>
      <x:c r="M155" s="3"/>
      <x:c r="N155" s="19" t="str">
        <x:f>IF(A155="","",IF(COUNTIFS('Plan versions'!$A$7:$A$306,A155)&lt;&gt;1,"Duplicate ID",IF(COUNTIFS('Cases overview'!$A$7:$A$306,B155)&lt;&gt;1,"Invalid case ref",IF(OR(D155="",E155="",F155="",G155="",L155=""),"Version info missing",IF(AND(C155&lt;&gt;"",OR(C155=A155,COUNTIFS('Plan versions'!$A$7:$A$306,C155,'Plan versions'!$B$7:$B$306,B155)&lt;&gt;1)),"Invalid parent plan ref",IF(L155="Draft","Draft not frozen",IF(OR(NOT(ISNUMBER(H155)),NOT(ISNUMBER(I155)),J155="",K155="",M155=""),"Freeze info missing",IF(I155&lt;H155,"Verify retroactive entry","Valid input"))))))))</x:f>
      </x:c>
    </x:row>
    <x:row r="156" ht="25" customHeight="1">
      <x:c r="A156" s="3"/>
      <x:c r="B156" s="3"/>
      <x:c r="C156" s="3"/>
      <x:c r="D156" s="3"/>
      <x:c r="E156" s="3"/>
      <x:c r="F156" s="3"/>
      <x:c r="G156" s="3"/>
      <x:c r="H156" s="25"/>
      <x:c r="I156" s="25"/>
      <x:c r="J156" s="3"/>
      <x:c r="K156" s="3"/>
      <x:c r="L156" s="3"/>
      <x:c r="M156" s="3"/>
      <x:c r="N156" s="19" t="str">
        <x:f>IF(A156="","",IF(COUNTIFS('Plan versions'!$A$7:$A$306,A156)&lt;&gt;1,"Duplicate ID",IF(COUNTIFS('Cases overview'!$A$7:$A$306,B156)&lt;&gt;1,"Invalid case ref",IF(OR(D156="",E156="",F156="",G156="",L156=""),"Version info missing",IF(AND(C156&lt;&gt;"",OR(C156=A156,COUNTIFS('Plan versions'!$A$7:$A$306,C156,'Plan versions'!$B$7:$B$306,B156)&lt;&gt;1)),"Invalid parent plan ref",IF(L156="Draft","Draft not frozen",IF(OR(NOT(ISNUMBER(H156)),NOT(ISNUMBER(I156)),J156="",K156="",M156=""),"Freeze info missing",IF(I156&lt;H156,"Verify retroactive entry","Valid input"))))))))</x:f>
      </x:c>
    </x:row>
    <x:row r="157" ht="25" customHeight="1">
      <x:c r="A157" s="3"/>
      <x:c r="B157" s="3"/>
      <x:c r="C157" s="3"/>
      <x:c r="D157" s="3"/>
      <x:c r="E157" s="3"/>
      <x:c r="F157" s="3"/>
      <x:c r="G157" s="3"/>
      <x:c r="H157" s="25"/>
      <x:c r="I157" s="25"/>
      <x:c r="J157" s="3"/>
      <x:c r="K157" s="3"/>
      <x:c r="L157" s="3"/>
      <x:c r="M157" s="3"/>
      <x:c r="N157" s="19" t="str">
        <x:f>IF(A157="","",IF(COUNTIFS('Plan versions'!$A$7:$A$306,A157)&lt;&gt;1,"Duplicate ID",IF(COUNTIFS('Cases overview'!$A$7:$A$306,B157)&lt;&gt;1,"Invalid case ref",IF(OR(D157="",E157="",F157="",G157="",L157=""),"Version info missing",IF(AND(C157&lt;&gt;"",OR(C157=A157,COUNTIFS('Plan versions'!$A$7:$A$306,C157,'Plan versions'!$B$7:$B$306,B157)&lt;&gt;1)),"Invalid parent plan ref",IF(L157="Draft","Draft not frozen",IF(OR(NOT(ISNUMBER(H157)),NOT(ISNUMBER(I157)),J157="",K157="",M157=""),"Freeze info missing",IF(I157&lt;H157,"Verify retroactive entry","Valid input"))))))))</x:f>
      </x:c>
    </x:row>
    <x:row r="158" ht="25" customHeight="1">
      <x:c r="A158" s="3"/>
      <x:c r="B158" s="3"/>
      <x:c r="C158" s="3"/>
      <x:c r="D158" s="3"/>
      <x:c r="E158" s="3"/>
      <x:c r="F158" s="3"/>
      <x:c r="G158" s="3"/>
      <x:c r="H158" s="25"/>
      <x:c r="I158" s="25"/>
      <x:c r="J158" s="3"/>
      <x:c r="K158" s="3"/>
      <x:c r="L158" s="3"/>
      <x:c r="M158" s="3"/>
      <x:c r="N158" s="19" t="str">
        <x:f>IF(A158="","",IF(COUNTIFS('Plan versions'!$A$7:$A$306,A158)&lt;&gt;1,"Duplicate ID",IF(COUNTIFS('Cases overview'!$A$7:$A$306,B158)&lt;&gt;1,"Invalid case ref",IF(OR(D158="",E158="",F158="",G158="",L158=""),"Version info missing",IF(AND(C158&lt;&gt;"",OR(C158=A158,COUNTIFS('Plan versions'!$A$7:$A$306,C158,'Plan versions'!$B$7:$B$306,B158)&lt;&gt;1)),"Invalid parent plan ref",IF(L158="Draft","Draft not frozen",IF(OR(NOT(ISNUMBER(H158)),NOT(ISNUMBER(I158)),J158="",K158="",M158=""),"Freeze info missing",IF(I158&lt;H158,"Verify retroactive entry","Valid input"))))))))</x:f>
      </x:c>
    </x:row>
    <x:row r="159" ht="25" customHeight="1">
      <x:c r="A159" s="3"/>
      <x:c r="B159" s="3"/>
      <x:c r="C159" s="3"/>
      <x:c r="D159" s="3"/>
      <x:c r="E159" s="3"/>
      <x:c r="F159" s="3"/>
      <x:c r="G159" s="3"/>
      <x:c r="H159" s="25"/>
      <x:c r="I159" s="25"/>
      <x:c r="J159" s="3"/>
      <x:c r="K159" s="3"/>
      <x:c r="L159" s="3"/>
      <x:c r="M159" s="3"/>
      <x:c r="N159" s="19" t="str">
        <x:f>IF(A159="","",IF(COUNTIFS('Plan versions'!$A$7:$A$306,A159)&lt;&gt;1,"Duplicate ID",IF(COUNTIFS('Cases overview'!$A$7:$A$306,B159)&lt;&gt;1,"Invalid case ref",IF(OR(D159="",E159="",F159="",G159="",L159=""),"Version info missing",IF(AND(C159&lt;&gt;"",OR(C159=A159,COUNTIFS('Plan versions'!$A$7:$A$306,C159,'Plan versions'!$B$7:$B$306,B159)&lt;&gt;1)),"Invalid parent plan ref",IF(L159="Draft","Draft not frozen",IF(OR(NOT(ISNUMBER(H159)),NOT(ISNUMBER(I159)),J159="",K159="",M159=""),"Freeze info missing",IF(I159&lt;H159,"Verify retroactive entry","Valid input"))))))))</x:f>
      </x:c>
    </x:row>
    <x:row r="160" ht="25" customHeight="1">
      <x:c r="A160" s="3"/>
      <x:c r="B160" s="3"/>
      <x:c r="C160" s="3"/>
      <x:c r="D160" s="3"/>
      <x:c r="E160" s="3"/>
      <x:c r="F160" s="3"/>
      <x:c r="G160" s="3"/>
      <x:c r="H160" s="25"/>
      <x:c r="I160" s="25"/>
      <x:c r="J160" s="3"/>
      <x:c r="K160" s="3"/>
      <x:c r="L160" s="3"/>
      <x:c r="M160" s="3"/>
      <x:c r="N160" s="19" t="str">
        <x:f>IF(A160="","",IF(COUNTIFS('Plan versions'!$A$7:$A$306,A160)&lt;&gt;1,"Duplicate ID",IF(COUNTIFS('Cases overview'!$A$7:$A$306,B160)&lt;&gt;1,"Invalid case ref",IF(OR(D160="",E160="",F160="",G160="",L160=""),"Version info missing",IF(AND(C160&lt;&gt;"",OR(C160=A160,COUNTIFS('Plan versions'!$A$7:$A$306,C160,'Plan versions'!$B$7:$B$306,B160)&lt;&gt;1)),"Invalid parent plan ref",IF(L160="Draft","Draft not frozen",IF(OR(NOT(ISNUMBER(H160)),NOT(ISNUMBER(I160)),J160="",K160="",M160=""),"Freeze info missing",IF(I160&lt;H160,"Verify retroactive entry","Valid input"))))))))</x:f>
      </x:c>
    </x:row>
    <x:row r="161" ht="25" customHeight="1">
      <x:c r="A161" s="3"/>
      <x:c r="B161" s="3"/>
      <x:c r="C161" s="3"/>
      <x:c r="D161" s="3"/>
      <x:c r="E161" s="3"/>
      <x:c r="F161" s="3"/>
      <x:c r="G161" s="3"/>
      <x:c r="H161" s="25"/>
      <x:c r="I161" s="25"/>
      <x:c r="J161" s="3"/>
      <x:c r="K161" s="3"/>
      <x:c r="L161" s="3"/>
      <x:c r="M161" s="3"/>
      <x:c r="N161" s="19" t="str">
        <x:f>IF(A161="","",IF(COUNTIFS('Plan versions'!$A$7:$A$306,A161)&lt;&gt;1,"Duplicate ID",IF(COUNTIFS('Cases overview'!$A$7:$A$306,B161)&lt;&gt;1,"Invalid case ref",IF(OR(D161="",E161="",F161="",G161="",L161=""),"Version info missing",IF(AND(C161&lt;&gt;"",OR(C161=A161,COUNTIFS('Plan versions'!$A$7:$A$306,C161,'Plan versions'!$B$7:$B$306,B161)&lt;&gt;1)),"Invalid parent plan ref",IF(L161="Draft","Draft not frozen",IF(OR(NOT(ISNUMBER(H161)),NOT(ISNUMBER(I161)),J161="",K161="",M161=""),"Freeze info missing",IF(I161&lt;H161,"Verify retroactive entry","Valid input"))))))))</x:f>
      </x:c>
    </x:row>
    <x:row r="162" ht="25" customHeight="1">
      <x:c r="A162" s="3"/>
      <x:c r="B162" s="3"/>
      <x:c r="C162" s="3"/>
      <x:c r="D162" s="3"/>
      <x:c r="E162" s="3"/>
      <x:c r="F162" s="3"/>
      <x:c r="G162" s="3"/>
      <x:c r="H162" s="25"/>
      <x:c r="I162" s="25"/>
      <x:c r="J162" s="3"/>
      <x:c r="K162" s="3"/>
      <x:c r="L162" s="3"/>
      <x:c r="M162" s="3"/>
      <x:c r="N162" s="19" t="str">
        <x:f>IF(A162="","",IF(COUNTIFS('Plan versions'!$A$7:$A$306,A162)&lt;&gt;1,"Duplicate ID",IF(COUNTIFS('Cases overview'!$A$7:$A$306,B162)&lt;&gt;1,"Invalid case ref",IF(OR(D162="",E162="",F162="",G162="",L162=""),"Version info missing",IF(AND(C162&lt;&gt;"",OR(C162=A162,COUNTIFS('Plan versions'!$A$7:$A$306,C162,'Plan versions'!$B$7:$B$306,B162)&lt;&gt;1)),"Invalid parent plan ref",IF(L162="Draft","Draft not frozen",IF(OR(NOT(ISNUMBER(H162)),NOT(ISNUMBER(I162)),J162="",K162="",M162=""),"Freeze info missing",IF(I162&lt;H162,"Verify retroactive entry","Valid input"))))))))</x:f>
      </x:c>
    </x:row>
    <x:row r="163" ht="25" customHeight="1">
      <x:c r="A163" s="3"/>
      <x:c r="B163" s="3"/>
      <x:c r="C163" s="3"/>
      <x:c r="D163" s="3"/>
      <x:c r="E163" s="3"/>
      <x:c r="F163" s="3"/>
      <x:c r="G163" s="3"/>
      <x:c r="H163" s="25"/>
      <x:c r="I163" s="25"/>
      <x:c r="J163" s="3"/>
      <x:c r="K163" s="3"/>
      <x:c r="L163" s="3"/>
      <x:c r="M163" s="3"/>
      <x:c r="N163" s="19" t="str">
        <x:f>IF(A163="","",IF(COUNTIFS('Plan versions'!$A$7:$A$306,A163)&lt;&gt;1,"Duplicate ID",IF(COUNTIFS('Cases overview'!$A$7:$A$306,B163)&lt;&gt;1,"Invalid case ref",IF(OR(D163="",E163="",F163="",G163="",L163=""),"Version info missing",IF(AND(C163&lt;&gt;"",OR(C163=A163,COUNTIFS('Plan versions'!$A$7:$A$306,C163,'Plan versions'!$B$7:$B$306,B163)&lt;&gt;1)),"Invalid parent plan ref",IF(L163="Draft","Draft not frozen",IF(OR(NOT(ISNUMBER(H163)),NOT(ISNUMBER(I163)),J163="",K163="",M163=""),"Freeze info missing",IF(I163&lt;H163,"Verify retroactive entry","Valid input"))))))))</x:f>
      </x:c>
    </x:row>
    <x:row r="164" ht="25" customHeight="1">
      <x:c r="A164" s="3"/>
      <x:c r="B164" s="3"/>
      <x:c r="C164" s="3"/>
      <x:c r="D164" s="3"/>
      <x:c r="E164" s="3"/>
      <x:c r="F164" s="3"/>
      <x:c r="G164" s="3"/>
      <x:c r="H164" s="25"/>
      <x:c r="I164" s="25"/>
      <x:c r="J164" s="3"/>
      <x:c r="K164" s="3"/>
      <x:c r="L164" s="3"/>
      <x:c r="M164" s="3"/>
      <x:c r="N164" s="19" t="str">
        <x:f>IF(A164="","",IF(COUNTIFS('Plan versions'!$A$7:$A$306,A164)&lt;&gt;1,"Duplicate ID",IF(COUNTIFS('Cases overview'!$A$7:$A$306,B164)&lt;&gt;1,"Invalid case ref",IF(OR(D164="",E164="",F164="",G164="",L164=""),"Version info missing",IF(AND(C164&lt;&gt;"",OR(C164=A164,COUNTIFS('Plan versions'!$A$7:$A$306,C164,'Plan versions'!$B$7:$B$306,B164)&lt;&gt;1)),"Invalid parent plan ref",IF(L164="Draft","Draft not frozen",IF(OR(NOT(ISNUMBER(H164)),NOT(ISNUMBER(I164)),J164="",K164="",M164=""),"Freeze info missing",IF(I164&lt;H164,"Verify retroactive entry","Valid input"))))))))</x:f>
      </x:c>
    </x:row>
    <x:row r="165" ht="25" customHeight="1">
      <x:c r="A165" s="3"/>
      <x:c r="B165" s="3"/>
      <x:c r="C165" s="3"/>
      <x:c r="D165" s="3"/>
      <x:c r="E165" s="3"/>
      <x:c r="F165" s="3"/>
      <x:c r="G165" s="3"/>
      <x:c r="H165" s="25"/>
      <x:c r="I165" s="25"/>
      <x:c r="J165" s="3"/>
      <x:c r="K165" s="3"/>
      <x:c r="L165" s="3"/>
      <x:c r="M165" s="3"/>
      <x:c r="N165" s="19" t="str">
        <x:f>IF(A165="","",IF(COUNTIFS('Plan versions'!$A$7:$A$306,A165)&lt;&gt;1,"Duplicate ID",IF(COUNTIFS('Cases overview'!$A$7:$A$306,B165)&lt;&gt;1,"Invalid case ref",IF(OR(D165="",E165="",F165="",G165="",L165=""),"Version info missing",IF(AND(C165&lt;&gt;"",OR(C165=A165,COUNTIFS('Plan versions'!$A$7:$A$306,C165,'Plan versions'!$B$7:$B$306,B165)&lt;&gt;1)),"Invalid parent plan ref",IF(L165="Draft","Draft not frozen",IF(OR(NOT(ISNUMBER(H165)),NOT(ISNUMBER(I165)),J165="",K165="",M165=""),"Freeze info missing",IF(I165&lt;H165,"Verify retroactive entry","Valid input"))))))))</x:f>
      </x:c>
    </x:row>
    <x:row r="166" ht="25" customHeight="1">
      <x:c r="A166" s="3"/>
      <x:c r="B166" s="3"/>
      <x:c r="C166" s="3"/>
      <x:c r="D166" s="3"/>
      <x:c r="E166" s="3"/>
      <x:c r="F166" s="3"/>
      <x:c r="G166" s="3"/>
      <x:c r="H166" s="25"/>
      <x:c r="I166" s="25"/>
      <x:c r="J166" s="3"/>
      <x:c r="K166" s="3"/>
      <x:c r="L166" s="3"/>
      <x:c r="M166" s="3"/>
      <x:c r="N166" s="19" t="str">
        <x:f>IF(A166="","",IF(COUNTIFS('Plan versions'!$A$7:$A$306,A166)&lt;&gt;1,"Duplicate ID",IF(COUNTIFS('Cases overview'!$A$7:$A$306,B166)&lt;&gt;1,"Invalid case ref",IF(OR(D166="",E166="",F166="",G166="",L166=""),"Version info missing",IF(AND(C166&lt;&gt;"",OR(C166=A166,COUNTIFS('Plan versions'!$A$7:$A$306,C166,'Plan versions'!$B$7:$B$306,B166)&lt;&gt;1)),"Invalid parent plan ref",IF(L166="Draft","Draft not frozen",IF(OR(NOT(ISNUMBER(H166)),NOT(ISNUMBER(I166)),J166="",K166="",M166=""),"Freeze info missing",IF(I166&lt;H166,"Verify retroactive entry","Valid input"))))))))</x:f>
      </x:c>
    </x:row>
    <x:row r="167" ht="25" customHeight="1">
      <x:c r="A167" s="3"/>
      <x:c r="B167" s="3"/>
      <x:c r="C167" s="3"/>
      <x:c r="D167" s="3"/>
      <x:c r="E167" s="3"/>
      <x:c r="F167" s="3"/>
      <x:c r="G167" s="3"/>
      <x:c r="H167" s="25"/>
      <x:c r="I167" s="25"/>
      <x:c r="J167" s="3"/>
      <x:c r="K167" s="3"/>
      <x:c r="L167" s="3"/>
      <x:c r="M167" s="3"/>
      <x:c r="N167" s="19" t="str">
        <x:f>IF(A167="","",IF(COUNTIFS('Plan versions'!$A$7:$A$306,A167)&lt;&gt;1,"Duplicate ID",IF(COUNTIFS('Cases overview'!$A$7:$A$306,B167)&lt;&gt;1,"Invalid case ref",IF(OR(D167="",E167="",F167="",G167="",L167=""),"Version info missing",IF(AND(C167&lt;&gt;"",OR(C167=A167,COUNTIFS('Plan versions'!$A$7:$A$306,C167,'Plan versions'!$B$7:$B$306,B167)&lt;&gt;1)),"Invalid parent plan ref",IF(L167="Draft","Draft not frozen",IF(OR(NOT(ISNUMBER(H167)),NOT(ISNUMBER(I167)),J167="",K167="",M167=""),"Freeze info missing",IF(I167&lt;H167,"Verify retroactive entry","Valid input"))))))))</x:f>
      </x:c>
    </x:row>
    <x:row r="168" ht="25" customHeight="1">
      <x:c r="A168" s="3"/>
      <x:c r="B168" s="3"/>
      <x:c r="C168" s="3"/>
      <x:c r="D168" s="3"/>
      <x:c r="E168" s="3"/>
      <x:c r="F168" s="3"/>
      <x:c r="G168" s="3"/>
      <x:c r="H168" s="25"/>
      <x:c r="I168" s="25"/>
      <x:c r="J168" s="3"/>
      <x:c r="K168" s="3"/>
      <x:c r="L168" s="3"/>
      <x:c r="M168" s="3"/>
      <x:c r="N168" s="19" t="str">
        <x:f>IF(A168="","",IF(COUNTIFS('Plan versions'!$A$7:$A$306,A168)&lt;&gt;1,"Duplicate ID",IF(COUNTIFS('Cases overview'!$A$7:$A$306,B168)&lt;&gt;1,"Invalid case ref",IF(OR(D168="",E168="",F168="",G168="",L168=""),"Version info missing",IF(AND(C168&lt;&gt;"",OR(C168=A168,COUNTIFS('Plan versions'!$A$7:$A$306,C168,'Plan versions'!$B$7:$B$306,B168)&lt;&gt;1)),"Invalid parent plan ref",IF(L168="Draft","Draft not frozen",IF(OR(NOT(ISNUMBER(H168)),NOT(ISNUMBER(I168)),J168="",K168="",M168=""),"Freeze info missing",IF(I168&lt;H168,"Verify retroactive entry","Valid input"))))))))</x:f>
      </x:c>
    </x:row>
    <x:row r="169" ht="25" customHeight="1">
      <x:c r="A169" s="3"/>
      <x:c r="B169" s="3"/>
      <x:c r="C169" s="3"/>
      <x:c r="D169" s="3"/>
      <x:c r="E169" s="3"/>
      <x:c r="F169" s="3"/>
      <x:c r="G169" s="3"/>
      <x:c r="H169" s="25"/>
      <x:c r="I169" s="25"/>
      <x:c r="J169" s="3"/>
      <x:c r="K169" s="3"/>
      <x:c r="L169" s="3"/>
      <x:c r="M169" s="3"/>
      <x:c r="N169" s="19" t="str">
        <x:f>IF(A169="","",IF(COUNTIFS('Plan versions'!$A$7:$A$306,A169)&lt;&gt;1,"Duplicate ID",IF(COUNTIFS('Cases overview'!$A$7:$A$306,B169)&lt;&gt;1,"Invalid case ref",IF(OR(D169="",E169="",F169="",G169="",L169=""),"Version info missing",IF(AND(C169&lt;&gt;"",OR(C169=A169,COUNTIFS('Plan versions'!$A$7:$A$306,C169,'Plan versions'!$B$7:$B$306,B169)&lt;&gt;1)),"Invalid parent plan ref",IF(L169="Draft","Draft not frozen",IF(OR(NOT(ISNUMBER(H169)),NOT(ISNUMBER(I169)),J169="",K169="",M169=""),"Freeze info missing",IF(I169&lt;H169,"Verify retroactive entry","Valid input"))))))))</x:f>
      </x:c>
    </x:row>
    <x:row r="170" ht="25" customHeight="1">
      <x:c r="A170" s="3"/>
      <x:c r="B170" s="3"/>
      <x:c r="C170" s="3"/>
      <x:c r="D170" s="3"/>
      <x:c r="E170" s="3"/>
      <x:c r="F170" s="3"/>
      <x:c r="G170" s="3"/>
      <x:c r="H170" s="25"/>
      <x:c r="I170" s="25"/>
      <x:c r="J170" s="3"/>
      <x:c r="K170" s="3"/>
      <x:c r="L170" s="3"/>
      <x:c r="M170" s="3"/>
      <x:c r="N170" s="19" t="str">
        <x:f>IF(A170="","",IF(COUNTIFS('Plan versions'!$A$7:$A$306,A170)&lt;&gt;1,"Duplicate ID",IF(COUNTIFS('Cases overview'!$A$7:$A$306,B170)&lt;&gt;1,"Invalid case ref",IF(OR(D170="",E170="",F170="",G170="",L170=""),"Version info missing",IF(AND(C170&lt;&gt;"",OR(C170=A170,COUNTIFS('Plan versions'!$A$7:$A$306,C170,'Plan versions'!$B$7:$B$306,B170)&lt;&gt;1)),"Invalid parent plan ref",IF(L170="Draft","Draft not frozen",IF(OR(NOT(ISNUMBER(H170)),NOT(ISNUMBER(I170)),J170="",K170="",M170=""),"Freeze info missing",IF(I170&lt;H170,"Verify retroactive entry","Valid input"))))))))</x:f>
      </x:c>
    </x:row>
    <x:row r="171" ht="25" customHeight="1">
      <x:c r="A171" s="3"/>
      <x:c r="B171" s="3"/>
      <x:c r="C171" s="3"/>
      <x:c r="D171" s="3"/>
      <x:c r="E171" s="3"/>
      <x:c r="F171" s="3"/>
      <x:c r="G171" s="3"/>
      <x:c r="H171" s="25"/>
      <x:c r="I171" s="25"/>
      <x:c r="J171" s="3"/>
      <x:c r="K171" s="3"/>
      <x:c r="L171" s="3"/>
      <x:c r="M171" s="3"/>
      <x:c r="N171" s="19" t="str">
        <x:f>IF(A171="","",IF(COUNTIFS('Plan versions'!$A$7:$A$306,A171)&lt;&gt;1,"Duplicate ID",IF(COUNTIFS('Cases overview'!$A$7:$A$306,B171)&lt;&gt;1,"Invalid case ref",IF(OR(D171="",E171="",F171="",G171="",L171=""),"Version info missing",IF(AND(C171&lt;&gt;"",OR(C171=A171,COUNTIFS('Plan versions'!$A$7:$A$306,C171,'Plan versions'!$B$7:$B$306,B171)&lt;&gt;1)),"Invalid parent plan ref",IF(L171="Draft","Draft not frozen",IF(OR(NOT(ISNUMBER(H171)),NOT(ISNUMBER(I171)),J171="",K171="",M171=""),"Freeze info missing",IF(I171&lt;H171,"Verify retroactive entry","Valid input"))))))))</x:f>
      </x:c>
    </x:row>
    <x:row r="172" ht="25" customHeight="1">
      <x:c r="A172" s="3"/>
      <x:c r="B172" s="3"/>
      <x:c r="C172" s="3"/>
      <x:c r="D172" s="3"/>
      <x:c r="E172" s="3"/>
      <x:c r="F172" s="3"/>
      <x:c r="G172" s="3"/>
      <x:c r="H172" s="25"/>
      <x:c r="I172" s="25"/>
      <x:c r="J172" s="3"/>
      <x:c r="K172" s="3"/>
      <x:c r="L172" s="3"/>
      <x:c r="M172" s="3"/>
      <x:c r="N172" s="19" t="str">
        <x:f>IF(A172="","",IF(COUNTIFS('Plan versions'!$A$7:$A$306,A172)&lt;&gt;1,"Duplicate ID",IF(COUNTIFS('Cases overview'!$A$7:$A$306,B172)&lt;&gt;1,"Invalid case ref",IF(OR(D172="",E172="",F172="",G172="",L172=""),"Version info missing",IF(AND(C172&lt;&gt;"",OR(C172=A172,COUNTIFS('Plan versions'!$A$7:$A$306,C172,'Plan versions'!$B$7:$B$306,B172)&lt;&gt;1)),"Invalid parent plan ref",IF(L172="Draft","Draft not frozen",IF(OR(NOT(ISNUMBER(H172)),NOT(ISNUMBER(I172)),J172="",K172="",M172=""),"Freeze info missing",IF(I172&lt;H172,"Verify retroactive entry","Valid input"))))))))</x:f>
      </x:c>
    </x:row>
    <x:row r="173" ht="25" customHeight="1">
      <x:c r="A173" s="3"/>
      <x:c r="B173" s="3"/>
      <x:c r="C173" s="3"/>
      <x:c r="D173" s="3"/>
      <x:c r="E173" s="3"/>
      <x:c r="F173" s="3"/>
      <x:c r="G173" s="3"/>
      <x:c r="H173" s="25"/>
      <x:c r="I173" s="25"/>
      <x:c r="J173" s="3"/>
      <x:c r="K173" s="3"/>
      <x:c r="L173" s="3"/>
      <x:c r="M173" s="3"/>
      <x:c r="N173" s="19" t="str">
        <x:f>IF(A173="","",IF(COUNTIFS('Plan versions'!$A$7:$A$306,A173)&lt;&gt;1,"Duplicate ID",IF(COUNTIFS('Cases overview'!$A$7:$A$306,B173)&lt;&gt;1,"Invalid case ref",IF(OR(D173="",E173="",F173="",G173="",L173=""),"Version info missing",IF(AND(C173&lt;&gt;"",OR(C173=A173,COUNTIFS('Plan versions'!$A$7:$A$306,C173,'Plan versions'!$B$7:$B$306,B173)&lt;&gt;1)),"Invalid parent plan ref",IF(L173="Draft","Draft not frozen",IF(OR(NOT(ISNUMBER(H173)),NOT(ISNUMBER(I173)),J173="",K173="",M173=""),"Freeze info missing",IF(I173&lt;H173,"Verify retroactive entry","Valid input"))))))))</x:f>
      </x:c>
    </x:row>
    <x:row r="174" ht="25" customHeight="1">
      <x:c r="A174" s="3"/>
      <x:c r="B174" s="3"/>
      <x:c r="C174" s="3"/>
      <x:c r="D174" s="3"/>
      <x:c r="E174" s="3"/>
      <x:c r="F174" s="3"/>
      <x:c r="G174" s="3"/>
      <x:c r="H174" s="25"/>
      <x:c r="I174" s="25"/>
      <x:c r="J174" s="3"/>
      <x:c r="K174" s="3"/>
      <x:c r="L174" s="3"/>
      <x:c r="M174" s="3"/>
      <x:c r="N174" s="19" t="str">
        <x:f>IF(A174="","",IF(COUNTIFS('Plan versions'!$A$7:$A$306,A174)&lt;&gt;1,"Duplicate ID",IF(COUNTIFS('Cases overview'!$A$7:$A$306,B174)&lt;&gt;1,"Invalid case ref",IF(OR(D174="",E174="",F174="",G174="",L174=""),"Version info missing",IF(AND(C174&lt;&gt;"",OR(C174=A174,COUNTIFS('Plan versions'!$A$7:$A$306,C174,'Plan versions'!$B$7:$B$306,B174)&lt;&gt;1)),"Invalid parent plan ref",IF(L174="Draft","Draft not frozen",IF(OR(NOT(ISNUMBER(H174)),NOT(ISNUMBER(I174)),J174="",K174="",M174=""),"Freeze info missing",IF(I174&lt;H174,"Verify retroactive entry","Valid input"))))))))</x:f>
      </x:c>
    </x:row>
    <x:row r="175" ht="25" customHeight="1">
      <x:c r="A175" s="3"/>
      <x:c r="B175" s="3"/>
      <x:c r="C175" s="3"/>
      <x:c r="D175" s="3"/>
      <x:c r="E175" s="3"/>
      <x:c r="F175" s="3"/>
      <x:c r="G175" s="3"/>
      <x:c r="H175" s="25"/>
      <x:c r="I175" s="25"/>
      <x:c r="J175" s="3"/>
      <x:c r="K175" s="3"/>
      <x:c r="L175" s="3"/>
      <x:c r="M175" s="3"/>
      <x:c r="N175" s="19" t="str">
        <x:f>IF(A175="","",IF(COUNTIFS('Plan versions'!$A$7:$A$306,A175)&lt;&gt;1,"Duplicate ID",IF(COUNTIFS('Cases overview'!$A$7:$A$306,B175)&lt;&gt;1,"Invalid case ref",IF(OR(D175="",E175="",F175="",G175="",L175=""),"Version info missing",IF(AND(C175&lt;&gt;"",OR(C175=A175,COUNTIFS('Plan versions'!$A$7:$A$306,C175,'Plan versions'!$B$7:$B$306,B175)&lt;&gt;1)),"Invalid parent plan ref",IF(L175="Draft","Draft not frozen",IF(OR(NOT(ISNUMBER(H175)),NOT(ISNUMBER(I175)),J175="",K175="",M175=""),"Freeze info missing",IF(I175&lt;H175,"Verify retroactive entry","Valid input"))))))))</x:f>
      </x:c>
    </x:row>
    <x:row r="176" ht="25" customHeight="1">
      <x:c r="A176" s="3"/>
      <x:c r="B176" s="3"/>
      <x:c r="C176" s="3"/>
      <x:c r="D176" s="3"/>
      <x:c r="E176" s="3"/>
      <x:c r="F176" s="3"/>
      <x:c r="G176" s="3"/>
      <x:c r="H176" s="25"/>
      <x:c r="I176" s="25"/>
      <x:c r="J176" s="3"/>
      <x:c r="K176" s="3"/>
      <x:c r="L176" s="3"/>
      <x:c r="M176" s="3"/>
      <x:c r="N176" s="19" t="str">
        <x:f>IF(A176="","",IF(COUNTIFS('Plan versions'!$A$7:$A$306,A176)&lt;&gt;1,"Duplicate ID",IF(COUNTIFS('Cases overview'!$A$7:$A$306,B176)&lt;&gt;1,"Invalid case ref",IF(OR(D176="",E176="",F176="",G176="",L176=""),"Version info missing",IF(AND(C176&lt;&gt;"",OR(C176=A176,COUNTIFS('Plan versions'!$A$7:$A$306,C176,'Plan versions'!$B$7:$B$306,B176)&lt;&gt;1)),"Invalid parent plan ref",IF(L176="Draft","Draft not frozen",IF(OR(NOT(ISNUMBER(H176)),NOT(ISNUMBER(I176)),J176="",K176="",M176=""),"Freeze info missing",IF(I176&lt;H176,"Verify retroactive entry","Valid input"))))))))</x:f>
      </x:c>
    </x:row>
    <x:row r="177" ht="25" customHeight="1">
      <x:c r="A177" s="3"/>
      <x:c r="B177" s="3"/>
      <x:c r="C177" s="3"/>
      <x:c r="D177" s="3"/>
      <x:c r="E177" s="3"/>
      <x:c r="F177" s="3"/>
      <x:c r="G177" s="3"/>
      <x:c r="H177" s="25"/>
      <x:c r="I177" s="25"/>
      <x:c r="J177" s="3"/>
      <x:c r="K177" s="3"/>
      <x:c r="L177" s="3"/>
      <x:c r="M177" s="3"/>
      <x:c r="N177" s="19" t="str">
        <x:f>IF(A177="","",IF(COUNTIFS('Plan versions'!$A$7:$A$306,A177)&lt;&gt;1,"Duplicate ID",IF(COUNTIFS('Cases overview'!$A$7:$A$306,B177)&lt;&gt;1,"Invalid case ref",IF(OR(D177="",E177="",F177="",G177="",L177=""),"Version info missing",IF(AND(C177&lt;&gt;"",OR(C177=A177,COUNTIFS('Plan versions'!$A$7:$A$306,C177,'Plan versions'!$B$7:$B$306,B177)&lt;&gt;1)),"Invalid parent plan ref",IF(L177="Draft","Draft not frozen",IF(OR(NOT(ISNUMBER(H177)),NOT(ISNUMBER(I177)),J177="",K177="",M177=""),"Freeze info missing",IF(I177&lt;H177,"Verify retroactive entry","Valid input"))))))))</x:f>
      </x:c>
    </x:row>
    <x:row r="178" ht="25" customHeight="1">
      <x:c r="A178" s="3"/>
      <x:c r="B178" s="3"/>
      <x:c r="C178" s="3"/>
      <x:c r="D178" s="3"/>
      <x:c r="E178" s="3"/>
      <x:c r="F178" s="3"/>
      <x:c r="G178" s="3"/>
      <x:c r="H178" s="25"/>
      <x:c r="I178" s="25"/>
      <x:c r="J178" s="3"/>
      <x:c r="K178" s="3"/>
      <x:c r="L178" s="3"/>
      <x:c r="M178" s="3"/>
      <x:c r="N178" s="19" t="str">
        <x:f>IF(A178="","",IF(COUNTIFS('Plan versions'!$A$7:$A$306,A178)&lt;&gt;1,"Duplicate ID",IF(COUNTIFS('Cases overview'!$A$7:$A$306,B178)&lt;&gt;1,"Invalid case ref",IF(OR(D178="",E178="",F178="",G178="",L178=""),"Version info missing",IF(AND(C178&lt;&gt;"",OR(C178=A178,COUNTIFS('Plan versions'!$A$7:$A$306,C178,'Plan versions'!$B$7:$B$306,B178)&lt;&gt;1)),"Invalid parent plan ref",IF(L178="Draft","Draft not frozen",IF(OR(NOT(ISNUMBER(H178)),NOT(ISNUMBER(I178)),J178="",K178="",M178=""),"Freeze info missing",IF(I178&lt;H178,"Verify retroactive entry","Valid input"))))))))</x:f>
      </x:c>
    </x:row>
    <x:row r="179" ht="25" customHeight="1">
      <x:c r="A179" s="3"/>
      <x:c r="B179" s="3"/>
      <x:c r="C179" s="3"/>
      <x:c r="D179" s="3"/>
      <x:c r="E179" s="3"/>
      <x:c r="F179" s="3"/>
      <x:c r="G179" s="3"/>
      <x:c r="H179" s="25"/>
      <x:c r="I179" s="25"/>
      <x:c r="J179" s="3"/>
      <x:c r="K179" s="3"/>
      <x:c r="L179" s="3"/>
      <x:c r="M179" s="3"/>
      <x:c r="N179" s="19" t="str">
        <x:f>IF(A179="","",IF(COUNTIFS('Plan versions'!$A$7:$A$306,A179)&lt;&gt;1,"Duplicate ID",IF(COUNTIFS('Cases overview'!$A$7:$A$306,B179)&lt;&gt;1,"Invalid case ref",IF(OR(D179="",E179="",F179="",G179="",L179=""),"Version info missing",IF(AND(C179&lt;&gt;"",OR(C179=A179,COUNTIFS('Plan versions'!$A$7:$A$306,C179,'Plan versions'!$B$7:$B$306,B179)&lt;&gt;1)),"Invalid parent plan ref",IF(L179="Draft","Draft not frozen",IF(OR(NOT(ISNUMBER(H179)),NOT(ISNUMBER(I179)),J179="",K179="",M179=""),"Freeze info missing",IF(I179&lt;H179,"Verify retroactive entry","Valid input"))))))))</x:f>
      </x:c>
    </x:row>
    <x:row r="180" ht="25" customHeight="1">
      <x:c r="A180" s="3"/>
      <x:c r="B180" s="3"/>
      <x:c r="C180" s="3"/>
      <x:c r="D180" s="3"/>
      <x:c r="E180" s="3"/>
      <x:c r="F180" s="3"/>
      <x:c r="G180" s="3"/>
      <x:c r="H180" s="25"/>
      <x:c r="I180" s="25"/>
      <x:c r="J180" s="3"/>
      <x:c r="K180" s="3"/>
      <x:c r="L180" s="3"/>
      <x:c r="M180" s="3"/>
      <x:c r="N180" s="19" t="str">
        <x:f>IF(A180="","",IF(COUNTIFS('Plan versions'!$A$7:$A$306,A180)&lt;&gt;1,"Duplicate ID",IF(COUNTIFS('Cases overview'!$A$7:$A$306,B180)&lt;&gt;1,"Invalid case ref",IF(OR(D180="",E180="",F180="",G180="",L180=""),"Version info missing",IF(AND(C180&lt;&gt;"",OR(C180=A180,COUNTIFS('Plan versions'!$A$7:$A$306,C180,'Plan versions'!$B$7:$B$306,B180)&lt;&gt;1)),"Invalid parent plan ref",IF(L180="Draft","Draft not frozen",IF(OR(NOT(ISNUMBER(H180)),NOT(ISNUMBER(I180)),J180="",K180="",M180=""),"Freeze info missing",IF(I180&lt;H180,"Verify retroactive entry","Valid input"))))))))</x:f>
      </x:c>
    </x:row>
    <x:row r="181" ht="25" customHeight="1">
      <x:c r="A181" s="3"/>
      <x:c r="B181" s="3"/>
      <x:c r="C181" s="3"/>
      <x:c r="D181" s="3"/>
      <x:c r="E181" s="3"/>
      <x:c r="F181" s="3"/>
      <x:c r="G181" s="3"/>
      <x:c r="H181" s="25"/>
      <x:c r="I181" s="25"/>
      <x:c r="J181" s="3"/>
      <x:c r="K181" s="3"/>
      <x:c r="L181" s="3"/>
      <x:c r="M181" s="3"/>
      <x:c r="N181" s="19" t="str">
        <x:f>IF(A181="","",IF(COUNTIFS('Plan versions'!$A$7:$A$306,A181)&lt;&gt;1,"Duplicate ID",IF(COUNTIFS('Cases overview'!$A$7:$A$306,B181)&lt;&gt;1,"Invalid case ref",IF(OR(D181="",E181="",F181="",G181="",L181=""),"Version info missing",IF(AND(C181&lt;&gt;"",OR(C181=A181,COUNTIFS('Plan versions'!$A$7:$A$306,C181,'Plan versions'!$B$7:$B$306,B181)&lt;&gt;1)),"Invalid parent plan ref",IF(L181="Draft","Draft not frozen",IF(OR(NOT(ISNUMBER(H181)),NOT(ISNUMBER(I181)),J181="",K181="",M181=""),"Freeze info missing",IF(I181&lt;H181,"Verify retroactive entry","Valid input"))))))))</x:f>
      </x:c>
    </x:row>
    <x:row r="182" ht="25" customHeight="1">
      <x:c r="A182" s="3"/>
      <x:c r="B182" s="3"/>
      <x:c r="C182" s="3"/>
      <x:c r="D182" s="3"/>
      <x:c r="E182" s="3"/>
      <x:c r="F182" s="3"/>
      <x:c r="G182" s="3"/>
      <x:c r="H182" s="25"/>
      <x:c r="I182" s="25"/>
      <x:c r="J182" s="3"/>
      <x:c r="K182" s="3"/>
      <x:c r="L182" s="3"/>
      <x:c r="M182" s="3"/>
      <x:c r="N182" s="19" t="str">
        <x:f>IF(A182="","",IF(COUNTIFS('Plan versions'!$A$7:$A$306,A182)&lt;&gt;1,"Duplicate ID",IF(COUNTIFS('Cases overview'!$A$7:$A$306,B182)&lt;&gt;1,"Invalid case ref",IF(OR(D182="",E182="",F182="",G182="",L182=""),"Version info missing",IF(AND(C182&lt;&gt;"",OR(C182=A182,COUNTIFS('Plan versions'!$A$7:$A$306,C182,'Plan versions'!$B$7:$B$306,B182)&lt;&gt;1)),"Invalid parent plan ref",IF(L182="Draft","Draft not frozen",IF(OR(NOT(ISNUMBER(H182)),NOT(ISNUMBER(I182)),J182="",K182="",M182=""),"Freeze info missing",IF(I182&lt;H182,"Verify retroactive entry","Valid input"))))))))</x:f>
      </x:c>
    </x:row>
    <x:row r="183" ht="25" customHeight="1">
      <x:c r="A183" s="3"/>
      <x:c r="B183" s="3"/>
      <x:c r="C183" s="3"/>
      <x:c r="D183" s="3"/>
      <x:c r="E183" s="3"/>
      <x:c r="F183" s="3"/>
      <x:c r="G183" s="3"/>
      <x:c r="H183" s="25"/>
      <x:c r="I183" s="25"/>
      <x:c r="J183" s="3"/>
      <x:c r="K183" s="3"/>
      <x:c r="L183" s="3"/>
      <x:c r="M183" s="3"/>
      <x:c r="N183" s="19" t="str">
        <x:f>IF(A183="","",IF(COUNTIFS('Plan versions'!$A$7:$A$306,A183)&lt;&gt;1,"Duplicate ID",IF(COUNTIFS('Cases overview'!$A$7:$A$306,B183)&lt;&gt;1,"Invalid case ref",IF(OR(D183="",E183="",F183="",G183="",L183=""),"Version info missing",IF(AND(C183&lt;&gt;"",OR(C183=A183,COUNTIFS('Plan versions'!$A$7:$A$306,C183,'Plan versions'!$B$7:$B$306,B183)&lt;&gt;1)),"Invalid parent plan ref",IF(L183="Draft","Draft not frozen",IF(OR(NOT(ISNUMBER(H183)),NOT(ISNUMBER(I183)),J183="",K183="",M183=""),"Freeze info missing",IF(I183&lt;H183,"Verify retroactive entry","Valid input"))))))))</x:f>
      </x:c>
    </x:row>
    <x:row r="184" ht="25" customHeight="1">
      <x:c r="A184" s="3"/>
      <x:c r="B184" s="3"/>
      <x:c r="C184" s="3"/>
      <x:c r="D184" s="3"/>
      <x:c r="E184" s="3"/>
      <x:c r="F184" s="3"/>
      <x:c r="G184" s="3"/>
      <x:c r="H184" s="25"/>
      <x:c r="I184" s="25"/>
      <x:c r="J184" s="3"/>
      <x:c r="K184" s="3"/>
      <x:c r="L184" s="3"/>
      <x:c r="M184" s="3"/>
      <x:c r="N184" s="19" t="str">
        <x:f>IF(A184="","",IF(COUNTIFS('Plan versions'!$A$7:$A$306,A184)&lt;&gt;1,"Duplicate ID",IF(COUNTIFS('Cases overview'!$A$7:$A$306,B184)&lt;&gt;1,"Invalid case ref",IF(OR(D184="",E184="",F184="",G184="",L184=""),"Version info missing",IF(AND(C184&lt;&gt;"",OR(C184=A184,COUNTIFS('Plan versions'!$A$7:$A$306,C184,'Plan versions'!$B$7:$B$306,B184)&lt;&gt;1)),"Invalid parent plan ref",IF(L184="Draft","Draft not frozen",IF(OR(NOT(ISNUMBER(H184)),NOT(ISNUMBER(I184)),J184="",K184="",M184=""),"Freeze info missing",IF(I184&lt;H184,"Verify retroactive entry","Valid input"))))))))</x:f>
      </x:c>
    </x:row>
    <x:row r="185" ht="25" customHeight="1">
      <x:c r="A185" s="3"/>
      <x:c r="B185" s="3"/>
      <x:c r="C185" s="3"/>
      <x:c r="D185" s="3"/>
      <x:c r="E185" s="3"/>
      <x:c r="F185" s="3"/>
      <x:c r="G185" s="3"/>
      <x:c r="H185" s="25"/>
      <x:c r="I185" s="25"/>
      <x:c r="J185" s="3"/>
      <x:c r="K185" s="3"/>
      <x:c r="L185" s="3"/>
      <x:c r="M185" s="3"/>
      <x:c r="N185" s="19" t="str">
        <x:f>IF(A185="","",IF(COUNTIFS('Plan versions'!$A$7:$A$306,A185)&lt;&gt;1,"Duplicate ID",IF(COUNTIFS('Cases overview'!$A$7:$A$306,B185)&lt;&gt;1,"Invalid case ref",IF(OR(D185="",E185="",F185="",G185="",L185=""),"Version info missing",IF(AND(C185&lt;&gt;"",OR(C185=A185,COUNTIFS('Plan versions'!$A$7:$A$306,C185,'Plan versions'!$B$7:$B$306,B185)&lt;&gt;1)),"Invalid parent plan ref",IF(L185="Draft","Draft not frozen",IF(OR(NOT(ISNUMBER(H185)),NOT(ISNUMBER(I185)),J185="",K185="",M185=""),"Freeze info missing",IF(I185&lt;H185,"Verify retroactive entry","Valid input"))))))))</x:f>
      </x:c>
    </x:row>
    <x:row r="186" ht="25" customHeight="1">
      <x:c r="A186" s="3"/>
      <x:c r="B186" s="3"/>
      <x:c r="C186" s="3"/>
      <x:c r="D186" s="3"/>
      <x:c r="E186" s="3"/>
      <x:c r="F186" s="3"/>
      <x:c r="G186" s="3"/>
      <x:c r="H186" s="25"/>
      <x:c r="I186" s="25"/>
      <x:c r="J186" s="3"/>
      <x:c r="K186" s="3"/>
      <x:c r="L186" s="3"/>
      <x:c r="M186" s="3"/>
      <x:c r="N186" s="19" t="str">
        <x:f>IF(A186="","",IF(COUNTIFS('Plan versions'!$A$7:$A$306,A186)&lt;&gt;1,"Duplicate ID",IF(COUNTIFS('Cases overview'!$A$7:$A$306,B186)&lt;&gt;1,"Invalid case ref",IF(OR(D186="",E186="",F186="",G186="",L186=""),"Version info missing",IF(AND(C186&lt;&gt;"",OR(C186=A186,COUNTIFS('Plan versions'!$A$7:$A$306,C186,'Plan versions'!$B$7:$B$306,B186)&lt;&gt;1)),"Invalid parent plan ref",IF(L186="Draft","Draft not frozen",IF(OR(NOT(ISNUMBER(H186)),NOT(ISNUMBER(I186)),J186="",K186="",M186=""),"Freeze info missing",IF(I186&lt;H186,"Verify retroactive entry","Valid input"))))))))</x:f>
      </x:c>
    </x:row>
    <x:row r="187" ht="25" customHeight="1">
      <x:c r="A187" s="3"/>
      <x:c r="B187" s="3"/>
      <x:c r="C187" s="3"/>
      <x:c r="D187" s="3"/>
      <x:c r="E187" s="3"/>
      <x:c r="F187" s="3"/>
      <x:c r="G187" s="3"/>
      <x:c r="H187" s="25"/>
      <x:c r="I187" s="25"/>
      <x:c r="J187" s="3"/>
      <x:c r="K187" s="3"/>
      <x:c r="L187" s="3"/>
      <x:c r="M187" s="3"/>
      <x:c r="N187" s="19" t="str">
        <x:f>IF(A187="","",IF(COUNTIFS('Plan versions'!$A$7:$A$306,A187)&lt;&gt;1,"Duplicate ID",IF(COUNTIFS('Cases overview'!$A$7:$A$306,B187)&lt;&gt;1,"Invalid case ref",IF(OR(D187="",E187="",F187="",G187="",L187=""),"Version info missing",IF(AND(C187&lt;&gt;"",OR(C187=A187,COUNTIFS('Plan versions'!$A$7:$A$306,C187,'Plan versions'!$B$7:$B$306,B187)&lt;&gt;1)),"Invalid parent plan ref",IF(L187="Draft","Draft not frozen",IF(OR(NOT(ISNUMBER(H187)),NOT(ISNUMBER(I187)),J187="",K187="",M187=""),"Freeze info missing",IF(I187&lt;H187,"Verify retroactive entry","Valid input"))))))))</x:f>
      </x:c>
    </x:row>
    <x:row r="188" ht="25" customHeight="1">
      <x:c r="A188" s="3"/>
      <x:c r="B188" s="3"/>
      <x:c r="C188" s="3"/>
      <x:c r="D188" s="3"/>
      <x:c r="E188" s="3"/>
      <x:c r="F188" s="3"/>
      <x:c r="G188" s="3"/>
      <x:c r="H188" s="25"/>
      <x:c r="I188" s="25"/>
      <x:c r="J188" s="3"/>
      <x:c r="K188" s="3"/>
      <x:c r="L188" s="3"/>
      <x:c r="M188" s="3"/>
      <x:c r="N188" s="19" t="str">
        <x:f>IF(A188="","",IF(COUNTIFS('Plan versions'!$A$7:$A$306,A188)&lt;&gt;1,"Duplicate ID",IF(COUNTIFS('Cases overview'!$A$7:$A$306,B188)&lt;&gt;1,"Invalid case ref",IF(OR(D188="",E188="",F188="",G188="",L188=""),"Version info missing",IF(AND(C188&lt;&gt;"",OR(C188=A188,COUNTIFS('Plan versions'!$A$7:$A$306,C188,'Plan versions'!$B$7:$B$306,B188)&lt;&gt;1)),"Invalid parent plan ref",IF(L188="Draft","Draft not frozen",IF(OR(NOT(ISNUMBER(H188)),NOT(ISNUMBER(I188)),J188="",K188="",M188=""),"Freeze info missing",IF(I188&lt;H188,"Verify retroactive entry","Valid input"))))))))</x:f>
      </x:c>
    </x:row>
    <x:row r="189" ht="25" customHeight="1">
      <x:c r="A189" s="3"/>
      <x:c r="B189" s="3"/>
      <x:c r="C189" s="3"/>
      <x:c r="D189" s="3"/>
      <x:c r="E189" s="3"/>
      <x:c r="F189" s="3"/>
      <x:c r="G189" s="3"/>
      <x:c r="H189" s="25"/>
      <x:c r="I189" s="25"/>
      <x:c r="J189" s="3"/>
      <x:c r="K189" s="3"/>
      <x:c r="L189" s="3"/>
      <x:c r="M189" s="3"/>
      <x:c r="N189" s="19" t="str">
        <x:f>IF(A189="","",IF(COUNTIFS('Plan versions'!$A$7:$A$306,A189)&lt;&gt;1,"Duplicate ID",IF(COUNTIFS('Cases overview'!$A$7:$A$306,B189)&lt;&gt;1,"Invalid case ref",IF(OR(D189="",E189="",F189="",G189="",L189=""),"Version info missing",IF(AND(C189&lt;&gt;"",OR(C189=A189,COUNTIFS('Plan versions'!$A$7:$A$306,C189,'Plan versions'!$B$7:$B$306,B189)&lt;&gt;1)),"Invalid parent plan ref",IF(L189="Draft","Draft not frozen",IF(OR(NOT(ISNUMBER(H189)),NOT(ISNUMBER(I189)),J189="",K189="",M189=""),"Freeze info missing",IF(I189&lt;H189,"Verify retroactive entry","Valid input"))))))))</x:f>
      </x:c>
    </x:row>
    <x:row r="190" ht="25" customHeight="1">
      <x:c r="A190" s="3"/>
      <x:c r="B190" s="3"/>
      <x:c r="C190" s="3"/>
      <x:c r="D190" s="3"/>
      <x:c r="E190" s="3"/>
      <x:c r="F190" s="3"/>
      <x:c r="G190" s="3"/>
      <x:c r="H190" s="25"/>
      <x:c r="I190" s="25"/>
      <x:c r="J190" s="3"/>
      <x:c r="K190" s="3"/>
      <x:c r="L190" s="3"/>
      <x:c r="M190" s="3"/>
      <x:c r="N190" s="19" t="str">
        <x:f>IF(A190="","",IF(COUNTIFS('Plan versions'!$A$7:$A$306,A190)&lt;&gt;1,"Duplicate ID",IF(COUNTIFS('Cases overview'!$A$7:$A$306,B190)&lt;&gt;1,"Invalid case ref",IF(OR(D190="",E190="",F190="",G190="",L190=""),"Version info missing",IF(AND(C190&lt;&gt;"",OR(C190=A190,COUNTIFS('Plan versions'!$A$7:$A$306,C190,'Plan versions'!$B$7:$B$306,B190)&lt;&gt;1)),"Invalid parent plan ref",IF(L190="Draft","Draft not frozen",IF(OR(NOT(ISNUMBER(H190)),NOT(ISNUMBER(I190)),J190="",K190="",M190=""),"Freeze info missing",IF(I190&lt;H190,"Verify retroactive entry","Valid input"))))))))</x:f>
      </x:c>
    </x:row>
    <x:row r="191" ht="25" customHeight="1">
      <x:c r="A191" s="3"/>
      <x:c r="B191" s="3"/>
      <x:c r="C191" s="3"/>
      <x:c r="D191" s="3"/>
      <x:c r="E191" s="3"/>
      <x:c r="F191" s="3"/>
      <x:c r="G191" s="3"/>
      <x:c r="H191" s="25"/>
      <x:c r="I191" s="25"/>
      <x:c r="J191" s="3"/>
      <x:c r="K191" s="3"/>
      <x:c r="L191" s="3"/>
      <x:c r="M191" s="3"/>
      <x:c r="N191" s="19" t="str">
        <x:f>IF(A191="","",IF(COUNTIFS('Plan versions'!$A$7:$A$306,A191)&lt;&gt;1,"Duplicate ID",IF(COUNTIFS('Cases overview'!$A$7:$A$306,B191)&lt;&gt;1,"Invalid case ref",IF(OR(D191="",E191="",F191="",G191="",L191=""),"Version info missing",IF(AND(C191&lt;&gt;"",OR(C191=A191,COUNTIFS('Plan versions'!$A$7:$A$306,C191,'Plan versions'!$B$7:$B$306,B191)&lt;&gt;1)),"Invalid parent plan ref",IF(L191="Draft","Draft not frozen",IF(OR(NOT(ISNUMBER(H191)),NOT(ISNUMBER(I191)),J191="",K191="",M191=""),"Freeze info missing",IF(I191&lt;H191,"Verify retroactive entry","Valid input"))))))))</x:f>
      </x:c>
    </x:row>
    <x:row r="192" ht="25" customHeight="1">
      <x:c r="A192" s="3"/>
      <x:c r="B192" s="3"/>
      <x:c r="C192" s="3"/>
      <x:c r="D192" s="3"/>
      <x:c r="E192" s="3"/>
      <x:c r="F192" s="3"/>
      <x:c r="G192" s="3"/>
      <x:c r="H192" s="25"/>
      <x:c r="I192" s="25"/>
      <x:c r="J192" s="3"/>
      <x:c r="K192" s="3"/>
      <x:c r="L192" s="3"/>
      <x:c r="M192" s="3"/>
      <x:c r="N192" s="19" t="str">
        <x:f>IF(A192="","",IF(COUNTIFS('Plan versions'!$A$7:$A$306,A192)&lt;&gt;1,"Duplicate ID",IF(COUNTIFS('Cases overview'!$A$7:$A$306,B192)&lt;&gt;1,"Invalid case ref",IF(OR(D192="",E192="",F192="",G192="",L192=""),"Version info missing",IF(AND(C192&lt;&gt;"",OR(C192=A192,COUNTIFS('Plan versions'!$A$7:$A$306,C192,'Plan versions'!$B$7:$B$306,B192)&lt;&gt;1)),"Invalid parent plan ref",IF(L192="Draft","Draft not frozen",IF(OR(NOT(ISNUMBER(H192)),NOT(ISNUMBER(I192)),J192="",K192="",M192=""),"Freeze info missing",IF(I192&lt;H192,"Verify retroactive entry","Valid input"))))))))</x:f>
      </x:c>
    </x:row>
    <x:row r="193" ht="25" customHeight="1">
      <x:c r="A193" s="3"/>
      <x:c r="B193" s="3"/>
      <x:c r="C193" s="3"/>
      <x:c r="D193" s="3"/>
      <x:c r="E193" s="3"/>
      <x:c r="F193" s="3"/>
      <x:c r="G193" s="3"/>
      <x:c r="H193" s="25"/>
      <x:c r="I193" s="25"/>
      <x:c r="J193" s="3"/>
      <x:c r="K193" s="3"/>
      <x:c r="L193" s="3"/>
      <x:c r="M193" s="3"/>
      <x:c r="N193" s="19" t="str">
        <x:f>IF(A193="","",IF(COUNTIFS('Plan versions'!$A$7:$A$306,A193)&lt;&gt;1,"Duplicate ID",IF(COUNTIFS('Cases overview'!$A$7:$A$306,B193)&lt;&gt;1,"Invalid case ref",IF(OR(D193="",E193="",F193="",G193="",L193=""),"Version info missing",IF(AND(C193&lt;&gt;"",OR(C193=A193,COUNTIFS('Plan versions'!$A$7:$A$306,C193,'Plan versions'!$B$7:$B$306,B193)&lt;&gt;1)),"Invalid parent plan ref",IF(L193="Draft","Draft not frozen",IF(OR(NOT(ISNUMBER(H193)),NOT(ISNUMBER(I193)),J193="",K193="",M193=""),"Freeze info missing",IF(I193&lt;H193,"Verify retroactive entry","Valid input"))))))))</x:f>
      </x:c>
    </x:row>
    <x:row r="194" ht="25" customHeight="1">
      <x:c r="A194" s="3"/>
      <x:c r="B194" s="3"/>
      <x:c r="C194" s="3"/>
      <x:c r="D194" s="3"/>
      <x:c r="E194" s="3"/>
      <x:c r="F194" s="3"/>
      <x:c r="G194" s="3"/>
      <x:c r="H194" s="25"/>
      <x:c r="I194" s="25"/>
      <x:c r="J194" s="3"/>
      <x:c r="K194" s="3"/>
      <x:c r="L194" s="3"/>
      <x:c r="M194" s="3"/>
      <x:c r="N194" s="19" t="str">
        <x:f>IF(A194="","",IF(COUNTIFS('Plan versions'!$A$7:$A$306,A194)&lt;&gt;1,"Duplicate ID",IF(COUNTIFS('Cases overview'!$A$7:$A$306,B194)&lt;&gt;1,"Invalid case ref",IF(OR(D194="",E194="",F194="",G194="",L194=""),"Version info missing",IF(AND(C194&lt;&gt;"",OR(C194=A194,COUNTIFS('Plan versions'!$A$7:$A$306,C194,'Plan versions'!$B$7:$B$306,B194)&lt;&gt;1)),"Invalid parent plan ref",IF(L194="Draft","Draft not frozen",IF(OR(NOT(ISNUMBER(H194)),NOT(ISNUMBER(I194)),J194="",K194="",M194=""),"Freeze info missing",IF(I194&lt;H194,"Verify retroactive entry","Valid input"))))))))</x:f>
      </x:c>
    </x:row>
    <x:row r="195" ht="25" customHeight="1">
      <x:c r="A195" s="3"/>
      <x:c r="B195" s="3"/>
      <x:c r="C195" s="3"/>
      <x:c r="D195" s="3"/>
      <x:c r="E195" s="3"/>
      <x:c r="F195" s="3"/>
      <x:c r="G195" s="3"/>
      <x:c r="H195" s="25"/>
      <x:c r="I195" s="25"/>
      <x:c r="J195" s="3"/>
      <x:c r="K195" s="3"/>
      <x:c r="L195" s="3"/>
      <x:c r="M195" s="3"/>
      <x:c r="N195" s="19" t="str">
        <x:f>IF(A195="","",IF(COUNTIFS('Plan versions'!$A$7:$A$306,A195)&lt;&gt;1,"Duplicate ID",IF(COUNTIFS('Cases overview'!$A$7:$A$306,B195)&lt;&gt;1,"Invalid case ref",IF(OR(D195="",E195="",F195="",G195="",L195=""),"Version info missing",IF(AND(C195&lt;&gt;"",OR(C195=A195,COUNTIFS('Plan versions'!$A$7:$A$306,C195,'Plan versions'!$B$7:$B$306,B195)&lt;&gt;1)),"Invalid parent plan ref",IF(L195="Draft","Draft not frozen",IF(OR(NOT(ISNUMBER(H195)),NOT(ISNUMBER(I195)),J195="",K195="",M195=""),"Freeze info missing",IF(I195&lt;H195,"Verify retroactive entry","Valid input"))))))))</x:f>
      </x:c>
    </x:row>
    <x:row r="196" ht="25" customHeight="1">
      <x:c r="A196" s="3"/>
      <x:c r="B196" s="3"/>
      <x:c r="C196" s="3"/>
      <x:c r="D196" s="3"/>
      <x:c r="E196" s="3"/>
      <x:c r="F196" s="3"/>
      <x:c r="G196" s="3"/>
      <x:c r="H196" s="25"/>
      <x:c r="I196" s="25"/>
      <x:c r="J196" s="3"/>
      <x:c r="K196" s="3"/>
      <x:c r="L196" s="3"/>
      <x:c r="M196" s="3"/>
      <x:c r="N196" s="19" t="str">
        <x:f>IF(A196="","",IF(COUNTIFS('Plan versions'!$A$7:$A$306,A196)&lt;&gt;1,"Duplicate ID",IF(COUNTIFS('Cases overview'!$A$7:$A$306,B196)&lt;&gt;1,"Invalid case ref",IF(OR(D196="",E196="",F196="",G196="",L196=""),"Version info missing",IF(AND(C196&lt;&gt;"",OR(C196=A196,COUNTIFS('Plan versions'!$A$7:$A$306,C196,'Plan versions'!$B$7:$B$306,B196)&lt;&gt;1)),"Invalid parent plan ref",IF(L196="Draft","Draft not frozen",IF(OR(NOT(ISNUMBER(H196)),NOT(ISNUMBER(I196)),J196="",K196="",M196=""),"Freeze info missing",IF(I196&lt;H196,"Verify retroactive entry","Valid input"))))))))</x:f>
      </x:c>
    </x:row>
    <x:row r="197" ht="25" customHeight="1">
      <x:c r="A197" s="3"/>
      <x:c r="B197" s="3"/>
      <x:c r="C197" s="3"/>
      <x:c r="D197" s="3"/>
      <x:c r="E197" s="3"/>
      <x:c r="F197" s="3"/>
      <x:c r="G197" s="3"/>
      <x:c r="H197" s="25"/>
      <x:c r="I197" s="25"/>
      <x:c r="J197" s="3"/>
      <x:c r="K197" s="3"/>
      <x:c r="L197" s="3"/>
      <x:c r="M197" s="3"/>
      <x:c r="N197" s="19" t="str">
        <x:f>IF(A197="","",IF(COUNTIFS('Plan versions'!$A$7:$A$306,A197)&lt;&gt;1,"Duplicate ID",IF(COUNTIFS('Cases overview'!$A$7:$A$306,B197)&lt;&gt;1,"Invalid case ref",IF(OR(D197="",E197="",F197="",G197="",L197=""),"Version info missing",IF(AND(C197&lt;&gt;"",OR(C197=A197,COUNTIFS('Plan versions'!$A$7:$A$306,C197,'Plan versions'!$B$7:$B$306,B197)&lt;&gt;1)),"Invalid parent plan ref",IF(L197="Draft","Draft not frozen",IF(OR(NOT(ISNUMBER(H197)),NOT(ISNUMBER(I197)),J197="",K197="",M197=""),"Freeze info missing",IF(I197&lt;H197,"Verify retroactive entry","Valid input"))))))))</x:f>
      </x:c>
    </x:row>
    <x:row r="198" ht="25" customHeight="1">
      <x:c r="A198" s="3"/>
      <x:c r="B198" s="3"/>
      <x:c r="C198" s="3"/>
      <x:c r="D198" s="3"/>
      <x:c r="E198" s="3"/>
      <x:c r="F198" s="3"/>
      <x:c r="G198" s="3"/>
      <x:c r="H198" s="25"/>
      <x:c r="I198" s="25"/>
      <x:c r="J198" s="3"/>
      <x:c r="K198" s="3"/>
      <x:c r="L198" s="3"/>
      <x:c r="M198" s="3"/>
      <x:c r="N198" s="19" t="str">
        <x:f>IF(A198="","",IF(COUNTIFS('Plan versions'!$A$7:$A$306,A198)&lt;&gt;1,"Duplicate ID",IF(COUNTIFS('Cases overview'!$A$7:$A$306,B198)&lt;&gt;1,"Invalid case ref",IF(OR(D198="",E198="",F198="",G198="",L198=""),"Version info missing",IF(AND(C198&lt;&gt;"",OR(C198=A198,COUNTIFS('Plan versions'!$A$7:$A$306,C198,'Plan versions'!$B$7:$B$306,B198)&lt;&gt;1)),"Invalid parent plan ref",IF(L198="Draft","Draft not frozen",IF(OR(NOT(ISNUMBER(H198)),NOT(ISNUMBER(I198)),J198="",K198="",M198=""),"Freeze info missing",IF(I198&lt;H198,"Verify retroactive entry","Valid input"))))))))</x:f>
      </x:c>
    </x:row>
    <x:row r="199" ht="25" customHeight="1">
      <x:c r="A199" s="3"/>
      <x:c r="B199" s="3"/>
      <x:c r="C199" s="3"/>
      <x:c r="D199" s="3"/>
      <x:c r="E199" s="3"/>
      <x:c r="F199" s="3"/>
      <x:c r="G199" s="3"/>
      <x:c r="H199" s="25"/>
      <x:c r="I199" s="25"/>
      <x:c r="J199" s="3"/>
      <x:c r="K199" s="3"/>
      <x:c r="L199" s="3"/>
      <x:c r="M199" s="3"/>
      <x:c r="N199" s="19" t="str">
        <x:f>IF(A199="","",IF(COUNTIFS('Plan versions'!$A$7:$A$306,A199)&lt;&gt;1,"Duplicate ID",IF(COUNTIFS('Cases overview'!$A$7:$A$306,B199)&lt;&gt;1,"Invalid case ref",IF(OR(D199="",E199="",F199="",G199="",L199=""),"Version info missing",IF(AND(C199&lt;&gt;"",OR(C199=A199,COUNTIFS('Plan versions'!$A$7:$A$306,C199,'Plan versions'!$B$7:$B$306,B199)&lt;&gt;1)),"Invalid parent plan ref",IF(L199="Draft","Draft not frozen",IF(OR(NOT(ISNUMBER(H199)),NOT(ISNUMBER(I199)),J199="",K199="",M199=""),"Freeze info missing",IF(I199&lt;H199,"Verify retroactive entry","Valid input"))))))))</x:f>
      </x:c>
    </x:row>
    <x:row r="200" ht="25" customHeight="1">
      <x:c r="A200" s="3"/>
      <x:c r="B200" s="3"/>
      <x:c r="C200" s="3"/>
      <x:c r="D200" s="3"/>
      <x:c r="E200" s="3"/>
      <x:c r="F200" s="3"/>
      <x:c r="G200" s="3"/>
      <x:c r="H200" s="25"/>
      <x:c r="I200" s="25"/>
      <x:c r="J200" s="3"/>
      <x:c r="K200" s="3"/>
      <x:c r="L200" s="3"/>
      <x:c r="M200" s="3"/>
      <x:c r="N200" s="19" t="str">
        <x:f>IF(A200="","",IF(COUNTIFS('Plan versions'!$A$7:$A$306,A200)&lt;&gt;1,"Duplicate ID",IF(COUNTIFS('Cases overview'!$A$7:$A$306,B200)&lt;&gt;1,"Invalid case ref",IF(OR(D200="",E200="",F200="",G200="",L200=""),"Version info missing",IF(AND(C200&lt;&gt;"",OR(C200=A200,COUNTIFS('Plan versions'!$A$7:$A$306,C200,'Plan versions'!$B$7:$B$306,B200)&lt;&gt;1)),"Invalid parent plan ref",IF(L200="Draft","Draft not frozen",IF(OR(NOT(ISNUMBER(H200)),NOT(ISNUMBER(I200)),J200="",K200="",M200=""),"Freeze info missing",IF(I200&lt;H200,"Verify retroactive entry","Valid input"))))))))</x:f>
      </x:c>
    </x:row>
    <x:row r="201" ht="25" customHeight="1">
      <x:c r="A201" s="3"/>
      <x:c r="B201" s="3"/>
      <x:c r="C201" s="3"/>
      <x:c r="D201" s="3"/>
      <x:c r="E201" s="3"/>
      <x:c r="F201" s="3"/>
      <x:c r="G201" s="3"/>
      <x:c r="H201" s="25"/>
      <x:c r="I201" s="25"/>
      <x:c r="J201" s="3"/>
      <x:c r="K201" s="3"/>
      <x:c r="L201" s="3"/>
      <x:c r="M201" s="3"/>
      <x:c r="N201" s="19" t="str">
        <x:f>IF(A201="","",IF(COUNTIFS('Plan versions'!$A$7:$A$306,A201)&lt;&gt;1,"Duplicate ID",IF(COUNTIFS('Cases overview'!$A$7:$A$306,B201)&lt;&gt;1,"Invalid case ref",IF(OR(D201="",E201="",F201="",G201="",L201=""),"Version info missing",IF(AND(C201&lt;&gt;"",OR(C201=A201,COUNTIFS('Plan versions'!$A$7:$A$306,C201,'Plan versions'!$B$7:$B$306,B201)&lt;&gt;1)),"Invalid parent plan ref",IF(L201="Draft","Draft not frozen",IF(OR(NOT(ISNUMBER(H201)),NOT(ISNUMBER(I201)),J201="",K201="",M201=""),"Freeze info missing",IF(I201&lt;H201,"Verify retroactive entry","Valid input"))))))))</x:f>
      </x:c>
    </x:row>
    <x:row r="202" ht="25" customHeight="1">
      <x:c r="A202" s="3"/>
      <x:c r="B202" s="3"/>
      <x:c r="C202" s="3"/>
      <x:c r="D202" s="3"/>
      <x:c r="E202" s="3"/>
      <x:c r="F202" s="3"/>
      <x:c r="G202" s="3"/>
      <x:c r="H202" s="25"/>
      <x:c r="I202" s="25"/>
      <x:c r="J202" s="3"/>
      <x:c r="K202" s="3"/>
      <x:c r="L202" s="3"/>
      <x:c r="M202" s="3"/>
      <x:c r="N202" s="19" t="str">
        <x:f>IF(A202="","",IF(COUNTIFS('Plan versions'!$A$7:$A$306,A202)&lt;&gt;1,"Duplicate ID",IF(COUNTIFS('Cases overview'!$A$7:$A$306,B202)&lt;&gt;1,"Invalid case ref",IF(OR(D202="",E202="",F202="",G202="",L202=""),"Version info missing",IF(AND(C202&lt;&gt;"",OR(C202=A202,COUNTIFS('Plan versions'!$A$7:$A$306,C202,'Plan versions'!$B$7:$B$306,B202)&lt;&gt;1)),"Invalid parent plan ref",IF(L202="Draft","Draft not frozen",IF(OR(NOT(ISNUMBER(H202)),NOT(ISNUMBER(I202)),J202="",K202="",M202=""),"Freeze info missing",IF(I202&lt;H202,"Verify retroactive entry","Valid input"))))))))</x:f>
      </x:c>
    </x:row>
    <x:row r="203" ht="25" customHeight="1">
      <x:c r="A203" s="3"/>
      <x:c r="B203" s="3"/>
      <x:c r="C203" s="3"/>
      <x:c r="D203" s="3"/>
      <x:c r="E203" s="3"/>
      <x:c r="F203" s="3"/>
      <x:c r="G203" s="3"/>
      <x:c r="H203" s="25"/>
      <x:c r="I203" s="25"/>
      <x:c r="J203" s="3"/>
      <x:c r="K203" s="3"/>
      <x:c r="L203" s="3"/>
      <x:c r="M203" s="3"/>
      <x:c r="N203" s="19" t="str">
        <x:f>IF(A203="","",IF(COUNTIFS('Plan versions'!$A$7:$A$306,A203)&lt;&gt;1,"Duplicate ID",IF(COUNTIFS('Cases overview'!$A$7:$A$306,B203)&lt;&gt;1,"Invalid case ref",IF(OR(D203="",E203="",F203="",G203="",L203=""),"Version info missing",IF(AND(C203&lt;&gt;"",OR(C203=A203,COUNTIFS('Plan versions'!$A$7:$A$306,C203,'Plan versions'!$B$7:$B$306,B203)&lt;&gt;1)),"Invalid parent plan ref",IF(L203="Draft","Draft not frozen",IF(OR(NOT(ISNUMBER(H203)),NOT(ISNUMBER(I203)),J203="",K203="",M203=""),"Freeze info missing",IF(I203&lt;H203,"Verify retroactive entry","Valid input"))))))))</x:f>
      </x:c>
    </x:row>
    <x:row r="204" ht="25" customHeight="1">
      <x:c r="A204" s="3"/>
      <x:c r="B204" s="3"/>
      <x:c r="C204" s="3"/>
      <x:c r="D204" s="3"/>
      <x:c r="E204" s="3"/>
      <x:c r="F204" s="3"/>
      <x:c r="G204" s="3"/>
      <x:c r="H204" s="25"/>
      <x:c r="I204" s="25"/>
      <x:c r="J204" s="3"/>
      <x:c r="K204" s="3"/>
      <x:c r="L204" s="3"/>
      <x:c r="M204" s="3"/>
      <x:c r="N204" s="19" t="str">
        <x:f>IF(A204="","",IF(COUNTIFS('Plan versions'!$A$7:$A$306,A204)&lt;&gt;1,"Duplicate ID",IF(COUNTIFS('Cases overview'!$A$7:$A$306,B204)&lt;&gt;1,"Invalid case ref",IF(OR(D204="",E204="",F204="",G204="",L204=""),"Version info missing",IF(AND(C204&lt;&gt;"",OR(C204=A204,COUNTIFS('Plan versions'!$A$7:$A$306,C204,'Plan versions'!$B$7:$B$306,B204)&lt;&gt;1)),"Invalid parent plan ref",IF(L204="Draft","Draft not frozen",IF(OR(NOT(ISNUMBER(H204)),NOT(ISNUMBER(I204)),J204="",K204="",M204=""),"Freeze info missing",IF(I204&lt;H204,"Verify retroactive entry","Valid input"))))))))</x:f>
      </x:c>
    </x:row>
    <x:row r="205" ht="25" customHeight="1">
      <x:c r="A205" s="3"/>
      <x:c r="B205" s="3"/>
      <x:c r="C205" s="3"/>
      <x:c r="D205" s="3"/>
      <x:c r="E205" s="3"/>
      <x:c r="F205" s="3"/>
      <x:c r="G205" s="3"/>
      <x:c r="H205" s="25"/>
      <x:c r="I205" s="25"/>
      <x:c r="J205" s="3"/>
      <x:c r="K205" s="3"/>
      <x:c r="L205" s="3"/>
      <x:c r="M205" s="3"/>
      <x:c r="N205" s="19" t="str">
        <x:f>IF(A205="","",IF(COUNTIFS('Plan versions'!$A$7:$A$306,A205)&lt;&gt;1,"Duplicate ID",IF(COUNTIFS('Cases overview'!$A$7:$A$306,B205)&lt;&gt;1,"Invalid case ref",IF(OR(D205="",E205="",F205="",G205="",L205=""),"Version info missing",IF(AND(C205&lt;&gt;"",OR(C205=A205,COUNTIFS('Plan versions'!$A$7:$A$306,C205,'Plan versions'!$B$7:$B$306,B205)&lt;&gt;1)),"Invalid parent plan ref",IF(L205="Draft","Draft not frozen",IF(OR(NOT(ISNUMBER(H205)),NOT(ISNUMBER(I205)),J205="",K205="",M205=""),"Freeze info missing",IF(I205&lt;H205,"Verify retroactive entry","Valid input"))))))))</x:f>
      </x:c>
    </x:row>
    <x:row r="206" ht="25" customHeight="1">
      <x:c r="A206" s="3"/>
      <x:c r="B206" s="3"/>
      <x:c r="C206" s="3"/>
      <x:c r="D206" s="3"/>
      <x:c r="E206" s="3"/>
      <x:c r="F206" s="3"/>
      <x:c r="G206" s="3"/>
      <x:c r="H206" s="25"/>
      <x:c r="I206" s="25"/>
      <x:c r="J206" s="3"/>
      <x:c r="K206" s="3"/>
      <x:c r="L206" s="3"/>
      <x:c r="M206" s="3"/>
      <x:c r="N206" s="19" t="str">
        <x:f>IF(A206="","",IF(COUNTIFS('Plan versions'!$A$7:$A$306,A206)&lt;&gt;1,"Duplicate ID",IF(COUNTIFS('Cases overview'!$A$7:$A$306,B206)&lt;&gt;1,"Invalid case ref",IF(OR(D206="",E206="",F206="",G206="",L206=""),"Version info missing",IF(AND(C206&lt;&gt;"",OR(C206=A206,COUNTIFS('Plan versions'!$A$7:$A$306,C206,'Plan versions'!$B$7:$B$306,B206)&lt;&gt;1)),"Invalid parent plan ref",IF(L206="Draft","Draft not frozen",IF(OR(NOT(ISNUMBER(H206)),NOT(ISNUMBER(I206)),J206="",K206="",M206=""),"Freeze info missing",IF(I206&lt;H206,"Verify retroactive entry","Valid input"))))))))</x:f>
      </x:c>
    </x:row>
    <x:row r="207" ht="25" customHeight="1">
      <x:c r="A207" s="3"/>
      <x:c r="B207" s="3"/>
      <x:c r="C207" s="3"/>
      <x:c r="D207" s="3"/>
      <x:c r="E207" s="3"/>
      <x:c r="F207" s="3"/>
      <x:c r="G207" s="3"/>
      <x:c r="H207" s="25"/>
      <x:c r="I207" s="25"/>
      <x:c r="J207" s="3"/>
      <x:c r="K207" s="3"/>
      <x:c r="L207" s="3"/>
      <x:c r="M207" s="3"/>
      <x:c r="N207" s="19" t="str">
        <x:f>IF(A207="","",IF(COUNTIFS('Plan versions'!$A$7:$A$306,A207)&lt;&gt;1,"Duplicate ID",IF(COUNTIFS('Cases overview'!$A$7:$A$306,B207)&lt;&gt;1,"Invalid case ref",IF(OR(D207="",E207="",F207="",G207="",L207=""),"Version info missing",IF(AND(C207&lt;&gt;"",OR(C207=A207,COUNTIFS('Plan versions'!$A$7:$A$306,C207,'Plan versions'!$B$7:$B$306,B207)&lt;&gt;1)),"Invalid parent plan ref",IF(L207="Draft","Draft not frozen",IF(OR(NOT(ISNUMBER(H207)),NOT(ISNUMBER(I207)),J207="",K207="",M207=""),"Freeze info missing",IF(I207&lt;H207,"Verify retroactive entry","Valid input"))))))))</x:f>
      </x:c>
    </x:row>
    <x:row r="208" ht="25" customHeight="1">
      <x:c r="A208" s="3"/>
      <x:c r="B208" s="3"/>
      <x:c r="C208" s="3"/>
      <x:c r="D208" s="3"/>
      <x:c r="E208" s="3"/>
      <x:c r="F208" s="3"/>
      <x:c r="G208" s="3"/>
      <x:c r="H208" s="25"/>
      <x:c r="I208" s="25"/>
      <x:c r="J208" s="3"/>
      <x:c r="K208" s="3"/>
      <x:c r="L208" s="3"/>
      <x:c r="M208" s="3"/>
      <x:c r="N208" s="19" t="str">
        <x:f>IF(A208="","",IF(COUNTIFS('Plan versions'!$A$7:$A$306,A208)&lt;&gt;1,"Duplicate ID",IF(COUNTIFS('Cases overview'!$A$7:$A$306,B208)&lt;&gt;1,"Invalid case ref",IF(OR(D208="",E208="",F208="",G208="",L208=""),"Version info missing",IF(AND(C208&lt;&gt;"",OR(C208=A208,COUNTIFS('Plan versions'!$A$7:$A$306,C208,'Plan versions'!$B$7:$B$306,B208)&lt;&gt;1)),"Invalid parent plan ref",IF(L208="Draft","Draft not frozen",IF(OR(NOT(ISNUMBER(H208)),NOT(ISNUMBER(I208)),J208="",K208="",M208=""),"Freeze info missing",IF(I208&lt;H208,"Verify retroactive entry","Valid input"))))))))</x:f>
      </x:c>
    </x:row>
    <x:row r="209" ht="25" customHeight="1">
      <x:c r="A209" s="3"/>
      <x:c r="B209" s="3"/>
      <x:c r="C209" s="3"/>
      <x:c r="D209" s="3"/>
      <x:c r="E209" s="3"/>
      <x:c r="F209" s="3"/>
      <x:c r="G209" s="3"/>
      <x:c r="H209" s="25"/>
      <x:c r="I209" s="25"/>
      <x:c r="J209" s="3"/>
      <x:c r="K209" s="3"/>
      <x:c r="L209" s="3"/>
      <x:c r="M209" s="3"/>
      <x:c r="N209" s="19" t="str">
        <x:f>IF(A209="","",IF(COUNTIFS('Plan versions'!$A$7:$A$306,A209)&lt;&gt;1,"Duplicate ID",IF(COUNTIFS('Cases overview'!$A$7:$A$306,B209)&lt;&gt;1,"Invalid case ref",IF(OR(D209="",E209="",F209="",G209="",L209=""),"Version info missing",IF(AND(C209&lt;&gt;"",OR(C209=A209,COUNTIFS('Plan versions'!$A$7:$A$306,C209,'Plan versions'!$B$7:$B$306,B209)&lt;&gt;1)),"Invalid parent plan ref",IF(L209="Draft","Draft not frozen",IF(OR(NOT(ISNUMBER(H209)),NOT(ISNUMBER(I209)),J209="",K209="",M209=""),"Freeze info missing",IF(I209&lt;H209,"Verify retroactive entry","Valid input"))))))))</x:f>
      </x:c>
    </x:row>
    <x:row r="210" ht="25" customHeight="1">
      <x:c r="A210" s="3"/>
      <x:c r="B210" s="3"/>
      <x:c r="C210" s="3"/>
      <x:c r="D210" s="3"/>
      <x:c r="E210" s="3"/>
      <x:c r="F210" s="3"/>
      <x:c r="G210" s="3"/>
      <x:c r="H210" s="25"/>
      <x:c r="I210" s="25"/>
      <x:c r="J210" s="3"/>
      <x:c r="K210" s="3"/>
      <x:c r="L210" s="3"/>
      <x:c r="M210" s="3"/>
      <x:c r="N210" s="19" t="str">
        <x:f>IF(A210="","",IF(COUNTIFS('Plan versions'!$A$7:$A$306,A210)&lt;&gt;1,"Duplicate ID",IF(COUNTIFS('Cases overview'!$A$7:$A$306,B210)&lt;&gt;1,"Invalid case ref",IF(OR(D210="",E210="",F210="",G210="",L210=""),"Version info missing",IF(AND(C210&lt;&gt;"",OR(C210=A210,COUNTIFS('Plan versions'!$A$7:$A$306,C210,'Plan versions'!$B$7:$B$306,B210)&lt;&gt;1)),"Invalid parent plan ref",IF(L210="Draft","Draft not frozen",IF(OR(NOT(ISNUMBER(H210)),NOT(ISNUMBER(I210)),J210="",K210="",M210=""),"Freeze info missing",IF(I210&lt;H210,"Verify retroactive entry","Valid input"))))))))</x:f>
      </x:c>
    </x:row>
    <x:row r="211" ht="25" customHeight="1">
      <x:c r="A211" s="3"/>
      <x:c r="B211" s="3"/>
      <x:c r="C211" s="3"/>
      <x:c r="D211" s="3"/>
      <x:c r="E211" s="3"/>
      <x:c r="F211" s="3"/>
      <x:c r="G211" s="3"/>
      <x:c r="H211" s="25"/>
      <x:c r="I211" s="25"/>
      <x:c r="J211" s="3"/>
      <x:c r="K211" s="3"/>
      <x:c r="L211" s="3"/>
      <x:c r="M211" s="3"/>
      <x:c r="N211" s="19" t="str">
        <x:f>IF(A211="","",IF(COUNTIFS('Plan versions'!$A$7:$A$306,A211)&lt;&gt;1,"Duplicate ID",IF(COUNTIFS('Cases overview'!$A$7:$A$306,B211)&lt;&gt;1,"Invalid case ref",IF(OR(D211="",E211="",F211="",G211="",L211=""),"Version info missing",IF(AND(C211&lt;&gt;"",OR(C211=A211,COUNTIFS('Plan versions'!$A$7:$A$306,C211,'Plan versions'!$B$7:$B$306,B211)&lt;&gt;1)),"Invalid parent plan ref",IF(L211="Draft","Draft not frozen",IF(OR(NOT(ISNUMBER(H211)),NOT(ISNUMBER(I211)),J211="",K211="",M211=""),"Freeze info missing",IF(I211&lt;H211,"Verify retroactive entry","Valid input"))))))))</x:f>
      </x:c>
    </x:row>
    <x:row r="212" ht="25" customHeight="1">
      <x:c r="A212" s="3"/>
      <x:c r="B212" s="3"/>
      <x:c r="C212" s="3"/>
      <x:c r="D212" s="3"/>
      <x:c r="E212" s="3"/>
      <x:c r="F212" s="3"/>
      <x:c r="G212" s="3"/>
      <x:c r="H212" s="25"/>
      <x:c r="I212" s="25"/>
      <x:c r="J212" s="3"/>
      <x:c r="K212" s="3"/>
      <x:c r="L212" s="3"/>
      <x:c r="M212" s="3"/>
      <x:c r="N212" s="19" t="str">
        <x:f>IF(A212="","",IF(COUNTIFS('Plan versions'!$A$7:$A$306,A212)&lt;&gt;1,"Duplicate ID",IF(COUNTIFS('Cases overview'!$A$7:$A$306,B212)&lt;&gt;1,"Invalid case ref",IF(OR(D212="",E212="",F212="",G212="",L212=""),"Version info missing",IF(AND(C212&lt;&gt;"",OR(C212=A212,COUNTIFS('Plan versions'!$A$7:$A$306,C212,'Plan versions'!$B$7:$B$306,B212)&lt;&gt;1)),"Invalid parent plan ref",IF(L212="Draft","Draft not frozen",IF(OR(NOT(ISNUMBER(H212)),NOT(ISNUMBER(I212)),J212="",K212="",M212=""),"Freeze info missing",IF(I212&lt;H212,"Verify retroactive entry","Valid input"))))))))</x:f>
      </x:c>
    </x:row>
    <x:row r="213" ht="25" customHeight="1">
      <x:c r="A213" s="3"/>
      <x:c r="B213" s="3"/>
      <x:c r="C213" s="3"/>
      <x:c r="D213" s="3"/>
      <x:c r="E213" s="3"/>
      <x:c r="F213" s="3"/>
      <x:c r="G213" s="3"/>
      <x:c r="H213" s="25"/>
      <x:c r="I213" s="25"/>
      <x:c r="J213" s="3"/>
      <x:c r="K213" s="3"/>
      <x:c r="L213" s="3"/>
      <x:c r="M213" s="3"/>
      <x:c r="N213" s="19" t="str">
        <x:f>IF(A213="","",IF(COUNTIFS('Plan versions'!$A$7:$A$306,A213)&lt;&gt;1,"Duplicate ID",IF(COUNTIFS('Cases overview'!$A$7:$A$306,B213)&lt;&gt;1,"Invalid case ref",IF(OR(D213="",E213="",F213="",G213="",L213=""),"Version info missing",IF(AND(C213&lt;&gt;"",OR(C213=A213,COUNTIFS('Plan versions'!$A$7:$A$306,C213,'Plan versions'!$B$7:$B$306,B213)&lt;&gt;1)),"Invalid parent plan ref",IF(L213="Draft","Draft not frozen",IF(OR(NOT(ISNUMBER(H213)),NOT(ISNUMBER(I213)),J213="",K213="",M213=""),"Freeze info missing",IF(I213&lt;H213,"Verify retroactive entry","Valid input"))))))))</x:f>
      </x:c>
    </x:row>
    <x:row r="214" ht="25" customHeight="1">
      <x:c r="A214" s="3"/>
      <x:c r="B214" s="3"/>
      <x:c r="C214" s="3"/>
      <x:c r="D214" s="3"/>
      <x:c r="E214" s="3"/>
      <x:c r="F214" s="3"/>
      <x:c r="G214" s="3"/>
      <x:c r="H214" s="25"/>
      <x:c r="I214" s="25"/>
      <x:c r="J214" s="3"/>
      <x:c r="K214" s="3"/>
      <x:c r="L214" s="3"/>
      <x:c r="M214" s="3"/>
      <x:c r="N214" s="19" t="str">
        <x:f>IF(A214="","",IF(COUNTIFS('Plan versions'!$A$7:$A$306,A214)&lt;&gt;1,"Duplicate ID",IF(COUNTIFS('Cases overview'!$A$7:$A$306,B214)&lt;&gt;1,"Invalid case ref",IF(OR(D214="",E214="",F214="",G214="",L214=""),"Version info missing",IF(AND(C214&lt;&gt;"",OR(C214=A214,COUNTIFS('Plan versions'!$A$7:$A$306,C214,'Plan versions'!$B$7:$B$306,B214)&lt;&gt;1)),"Invalid parent plan ref",IF(L214="Draft","Draft not frozen",IF(OR(NOT(ISNUMBER(H214)),NOT(ISNUMBER(I214)),J214="",K214="",M214=""),"Freeze info missing",IF(I214&lt;H214,"Verify retroactive entry","Valid input"))))))))</x:f>
      </x:c>
    </x:row>
    <x:row r="215" ht="25" customHeight="1">
      <x:c r="A215" s="3"/>
      <x:c r="B215" s="3"/>
      <x:c r="C215" s="3"/>
      <x:c r="D215" s="3"/>
      <x:c r="E215" s="3"/>
      <x:c r="F215" s="3"/>
      <x:c r="G215" s="3"/>
      <x:c r="H215" s="25"/>
      <x:c r="I215" s="25"/>
      <x:c r="J215" s="3"/>
      <x:c r="K215" s="3"/>
      <x:c r="L215" s="3"/>
      <x:c r="M215" s="3"/>
      <x:c r="N215" s="19" t="str">
        <x:f>IF(A215="","",IF(COUNTIFS('Plan versions'!$A$7:$A$306,A215)&lt;&gt;1,"Duplicate ID",IF(COUNTIFS('Cases overview'!$A$7:$A$306,B215)&lt;&gt;1,"Invalid case ref",IF(OR(D215="",E215="",F215="",G215="",L215=""),"Version info missing",IF(AND(C215&lt;&gt;"",OR(C215=A215,COUNTIFS('Plan versions'!$A$7:$A$306,C215,'Plan versions'!$B$7:$B$306,B215)&lt;&gt;1)),"Invalid parent plan ref",IF(L215="Draft","Draft not frozen",IF(OR(NOT(ISNUMBER(H215)),NOT(ISNUMBER(I215)),J215="",K215="",M215=""),"Freeze info missing",IF(I215&lt;H215,"Verify retroactive entry","Valid input"))))))))</x:f>
      </x:c>
    </x:row>
    <x:row r="216" ht="25" customHeight="1">
      <x:c r="A216" s="3"/>
      <x:c r="B216" s="3"/>
      <x:c r="C216" s="3"/>
      <x:c r="D216" s="3"/>
      <x:c r="E216" s="3"/>
      <x:c r="F216" s="3"/>
      <x:c r="G216" s="3"/>
      <x:c r="H216" s="25"/>
      <x:c r="I216" s="25"/>
      <x:c r="J216" s="3"/>
      <x:c r="K216" s="3"/>
      <x:c r="L216" s="3"/>
      <x:c r="M216" s="3"/>
      <x:c r="N216" s="19" t="str">
        <x:f>IF(A216="","",IF(COUNTIFS('Plan versions'!$A$7:$A$306,A216)&lt;&gt;1,"Duplicate ID",IF(COUNTIFS('Cases overview'!$A$7:$A$306,B216)&lt;&gt;1,"Invalid case ref",IF(OR(D216="",E216="",F216="",G216="",L216=""),"Version info missing",IF(AND(C216&lt;&gt;"",OR(C216=A216,COUNTIFS('Plan versions'!$A$7:$A$306,C216,'Plan versions'!$B$7:$B$306,B216)&lt;&gt;1)),"Invalid parent plan ref",IF(L216="Draft","Draft not frozen",IF(OR(NOT(ISNUMBER(H216)),NOT(ISNUMBER(I216)),J216="",K216="",M216=""),"Freeze info missing",IF(I216&lt;H216,"Verify retroactive entry","Valid input"))))))))</x:f>
      </x:c>
    </x:row>
    <x:row r="217" ht="25" customHeight="1">
      <x:c r="A217" s="3"/>
      <x:c r="B217" s="3"/>
      <x:c r="C217" s="3"/>
      <x:c r="D217" s="3"/>
      <x:c r="E217" s="3"/>
      <x:c r="F217" s="3"/>
      <x:c r="G217" s="3"/>
      <x:c r="H217" s="25"/>
      <x:c r="I217" s="25"/>
      <x:c r="J217" s="3"/>
      <x:c r="K217" s="3"/>
      <x:c r="L217" s="3"/>
      <x:c r="M217" s="3"/>
      <x:c r="N217" s="19" t="str">
        <x:f>IF(A217="","",IF(COUNTIFS('Plan versions'!$A$7:$A$306,A217)&lt;&gt;1,"Duplicate ID",IF(COUNTIFS('Cases overview'!$A$7:$A$306,B217)&lt;&gt;1,"Invalid case ref",IF(OR(D217="",E217="",F217="",G217="",L217=""),"Version info missing",IF(AND(C217&lt;&gt;"",OR(C217=A217,COUNTIFS('Plan versions'!$A$7:$A$306,C217,'Plan versions'!$B$7:$B$306,B217)&lt;&gt;1)),"Invalid parent plan ref",IF(L217="Draft","Draft not frozen",IF(OR(NOT(ISNUMBER(H217)),NOT(ISNUMBER(I217)),J217="",K217="",M217=""),"Freeze info missing",IF(I217&lt;H217,"Verify retroactive entry","Valid input"))))))))</x:f>
      </x:c>
    </x:row>
    <x:row r="218" ht="25" customHeight="1">
      <x:c r="A218" s="3"/>
      <x:c r="B218" s="3"/>
      <x:c r="C218" s="3"/>
      <x:c r="D218" s="3"/>
      <x:c r="E218" s="3"/>
      <x:c r="F218" s="3"/>
      <x:c r="G218" s="3"/>
      <x:c r="H218" s="25"/>
      <x:c r="I218" s="25"/>
      <x:c r="J218" s="3"/>
      <x:c r="K218" s="3"/>
      <x:c r="L218" s="3"/>
      <x:c r="M218" s="3"/>
      <x:c r="N218" s="19" t="str">
        <x:f>IF(A218="","",IF(COUNTIFS('Plan versions'!$A$7:$A$306,A218)&lt;&gt;1,"Duplicate ID",IF(COUNTIFS('Cases overview'!$A$7:$A$306,B218)&lt;&gt;1,"Invalid case ref",IF(OR(D218="",E218="",F218="",G218="",L218=""),"Version info missing",IF(AND(C218&lt;&gt;"",OR(C218=A218,COUNTIFS('Plan versions'!$A$7:$A$306,C218,'Plan versions'!$B$7:$B$306,B218)&lt;&gt;1)),"Invalid parent plan ref",IF(L218="Draft","Draft not frozen",IF(OR(NOT(ISNUMBER(H218)),NOT(ISNUMBER(I218)),J218="",K218="",M218=""),"Freeze info missing",IF(I218&lt;H218,"Verify retroactive entry","Valid input"))))))))</x:f>
      </x:c>
    </x:row>
    <x:row r="219" ht="25" customHeight="1">
      <x:c r="A219" s="3"/>
      <x:c r="B219" s="3"/>
      <x:c r="C219" s="3"/>
      <x:c r="D219" s="3"/>
      <x:c r="E219" s="3"/>
      <x:c r="F219" s="3"/>
      <x:c r="G219" s="3"/>
      <x:c r="H219" s="25"/>
      <x:c r="I219" s="25"/>
      <x:c r="J219" s="3"/>
      <x:c r="K219" s="3"/>
      <x:c r="L219" s="3"/>
      <x:c r="M219" s="3"/>
      <x:c r="N219" s="19" t="str">
        <x:f>IF(A219="","",IF(COUNTIFS('Plan versions'!$A$7:$A$306,A219)&lt;&gt;1,"Duplicate ID",IF(COUNTIFS('Cases overview'!$A$7:$A$306,B219)&lt;&gt;1,"Invalid case ref",IF(OR(D219="",E219="",F219="",G219="",L219=""),"Version info missing",IF(AND(C219&lt;&gt;"",OR(C219=A219,COUNTIFS('Plan versions'!$A$7:$A$306,C219,'Plan versions'!$B$7:$B$306,B219)&lt;&gt;1)),"Invalid parent plan ref",IF(L219="Draft","Draft not frozen",IF(OR(NOT(ISNUMBER(H219)),NOT(ISNUMBER(I219)),J219="",K219="",M219=""),"Freeze info missing",IF(I219&lt;H219,"Verify retroactive entry","Valid input"))))))))</x:f>
      </x:c>
    </x:row>
    <x:row r="220" ht="25" customHeight="1">
      <x:c r="A220" s="3"/>
      <x:c r="B220" s="3"/>
      <x:c r="C220" s="3"/>
      <x:c r="D220" s="3"/>
      <x:c r="E220" s="3"/>
      <x:c r="F220" s="3"/>
      <x:c r="G220" s="3"/>
      <x:c r="H220" s="25"/>
      <x:c r="I220" s="25"/>
      <x:c r="J220" s="3"/>
      <x:c r="K220" s="3"/>
      <x:c r="L220" s="3"/>
      <x:c r="M220" s="3"/>
      <x:c r="N220" s="19" t="str">
        <x:f>IF(A220="","",IF(COUNTIFS('Plan versions'!$A$7:$A$306,A220)&lt;&gt;1,"Duplicate ID",IF(COUNTIFS('Cases overview'!$A$7:$A$306,B220)&lt;&gt;1,"Invalid case ref",IF(OR(D220="",E220="",F220="",G220="",L220=""),"Version info missing",IF(AND(C220&lt;&gt;"",OR(C220=A220,COUNTIFS('Plan versions'!$A$7:$A$306,C220,'Plan versions'!$B$7:$B$306,B220)&lt;&gt;1)),"Invalid parent plan ref",IF(L220="Draft","Draft not frozen",IF(OR(NOT(ISNUMBER(H220)),NOT(ISNUMBER(I220)),J220="",K220="",M220=""),"Freeze info missing",IF(I220&lt;H220,"Verify retroactive entry","Valid input"))))))))</x:f>
      </x:c>
    </x:row>
    <x:row r="221" ht="25" customHeight="1">
      <x:c r="A221" s="3"/>
      <x:c r="B221" s="3"/>
      <x:c r="C221" s="3"/>
      <x:c r="D221" s="3"/>
      <x:c r="E221" s="3"/>
      <x:c r="F221" s="3"/>
      <x:c r="G221" s="3"/>
      <x:c r="H221" s="25"/>
      <x:c r="I221" s="25"/>
      <x:c r="J221" s="3"/>
      <x:c r="K221" s="3"/>
      <x:c r="L221" s="3"/>
      <x:c r="M221" s="3"/>
      <x:c r="N221" s="19" t="str">
        <x:f>IF(A221="","",IF(COUNTIFS('Plan versions'!$A$7:$A$306,A221)&lt;&gt;1,"Duplicate ID",IF(COUNTIFS('Cases overview'!$A$7:$A$306,B221)&lt;&gt;1,"Invalid case ref",IF(OR(D221="",E221="",F221="",G221="",L221=""),"Version info missing",IF(AND(C221&lt;&gt;"",OR(C221=A221,COUNTIFS('Plan versions'!$A$7:$A$306,C221,'Plan versions'!$B$7:$B$306,B221)&lt;&gt;1)),"Invalid parent plan ref",IF(L221="Draft","Draft not frozen",IF(OR(NOT(ISNUMBER(H221)),NOT(ISNUMBER(I221)),J221="",K221="",M221=""),"Freeze info missing",IF(I221&lt;H221,"Verify retroactive entry","Valid input"))))))))</x:f>
      </x:c>
    </x:row>
    <x:row r="222" ht="25" customHeight="1">
      <x:c r="A222" s="3"/>
      <x:c r="B222" s="3"/>
      <x:c r="C222" s="3"/>
      <x:c r="D222" s="3"/>
      <x:c r="E222" s="3"/>
      <x:c r="F222" s="3"/>
      <x:c r="G222" s="3"/>
      <x:c r="H222" s="25"/>
      <x:c r="I222" s="25"/>
      <x:c r="J222" s="3"/>
      <x:c r="K222" s="3"/>
      <x:c r="L222" s="3"/>
      <x:c r="M222" s="3"/>
      <x:c r="N222" s="19" t="str">
        <x:f>IF(A222="","",IF(COUNTIFS('Plan versions'!$A$7:$A$306,A222)&lt;&gt;1,"Duplicate ID",IF(COUNTIFS('Cases overview'!$A$7:$A$306,B222)&lt;&gt;1,"Invalid case ref",IF(OR(D222="",E222="",F222="",G222="",L222=""),"Version info missing",IF(AND(C222&lt;&gt;"",OR(C222=A222,COUNTIFS('Plan versions'!$A$7:$A$306,C222,'Plan versions'!$B$7:$B$306,B222)&lt;&gt;1)),"Invalid parent plan ref",IF(L222="Draft","Draft not frozen",IF(OR(NOT(ISNUMBER(H222)),NOT(ISNUMBER(I222)),J222="",K222="",M222=""),"Freeze info missing",IF(I222&lt;H222,"Verify retroactive entry","Valid input"))))))))</x:f>
      </x:c>
    </x:row>
    <x:row r="223" ht="25" customHeight="1">
      <x:c r="A223" s="3"/>
      <x:c r="B223" s="3"/>
      <x:c r="C223" s="3"/>
      <x:c r="D223" s="3"/>
      <x:c r="E223" s="3"/>
      <x:c r="F223" s="3"/>
      <x:c r="G223" s="3"/>
      <x:c r="H223" s="25"/>
      <x:c r="I223" s="25"/>
      <x:c r="J223" s="3"/>
      <x:c r="K223" s="3"/>
      <x:c r="L223" s="3"/>
      <x:c r="M223" s="3"/>
      <x:c r="N223" s="19" t="str">
        <x:f>IF(A223="","",IF(COUNTIFS('Plan versions'!$A$7:$A$306,A223)&lt;&gt;1,"Duplicate ID",IF(COUNTIFS('Cases overview'!$A$7:$A$306,B223)&lt;&gt;1,"Invalid case ref",IF(OR(D223="",E223="",F223="",G223="",L223=""),"Version info missing",IF(AND(C223&lt;&gt;"",OR(C223=A223,COUNTIFS('Plan versions'!$A$7:$A$306,C223,'Plan versions'!$B$7:$B$306,B223)&lt;&gt;1)),"Invalid parent plan ref",IF(L223="Draft","Draft not frozen",IF(OR(NOT(ISNUMBER(H223)),NOT(ISNUMBER(I223)),J223="",K223="",M223=""),"Freeze info missing",IF(I223&lt;H223,"Verify retroactive entry","Valid input"))))))))</x:f>
      </x:c>
    </x:row>
    <x:row r="224" ht="25" customHeight="1">
      <x:c r="A224" s="3"/>
      <x:c r="B224" s="3"/>
      <x:c r="C224" s="3"/>
      <x:c r="D224" s="3"/>
      <x:c r="E224" s="3"/>
      <x:c r="F224" s="3"/>
      <x:c r="G224" s="3"/>
      <x:c r="H224" s="25"/>
      <x:c r="I224" s="25"/>
      <x:c r="J224" s="3"/>
      <x:c r="K224" s="3"/>
      <x:c r="L224" s="3"/>
      <x:c r="M224" s="3"/>
      <x:c r="N224" s="19" t="str">
        <x:f>IF(A224="","",IF(COUNTIFS('Plan versions'!$A$7:$A$306,A224)&lt;&gt;1,"Duplicate ID",IF(COUNTIFS('Cases overview'!$A$7:$A$306,B224)&lt;&gt;1,"Invalid case ref",IF(OR(D224="",E224="",F224="",G224="",L224=""),"Version info missing",IF(AND(C224&lt;&gt;"",OR(C224=A224,COUNTIFS('Plan versions'!$A$7:$A$306,C224,'Plan versions'!$B$7:$B$306,B224)&lt;&gt;1)),"Invalid parent plan ref",IF(L224="Draft","Draft not frozen",IF(OR(NOT(ISNUMBER(H224)),NOT(ISNUMBER(I224)),J224="",K224="",M224=""),"Freeze info missing",IF(I224&lt;H224,"Verify retroactive entry","Valid input"))))))))</x:f>
      </x:c>
    </x:row>
    <x:row r="225" ht="25" customHeight="1">
      <x:c r="A225" s="3"/>
      <x:c r="B225" s="3"/>
      <x:c r="C225" s="3"/>
      <x:c r="D225" s="3"/>
      <x:c r="E225" s="3"/>
      <x:c r="F225" s="3"/>
      <x:c r="G225" s="3"/>
      <x:c r="H225" s="25"/>
      <x:c r="I225" s="25"/>
      <x:c r="J225" s="3"/>
      <x:c r="K225" s="3"/>
      <x:c r="L225" s="3"/>
      <x:c r="M225" s="3"/>
      <x:c r="N225" s="19" t="str">
        <x:f>IF(A225="","",IF(COUNTIFS('Plan versions'!$A$7:$A$306,A225)&lt;&gt;1,"Duplicate ID",IF(COUNTIFS('Cases overview'!$A$7:$A$306,B225)&lt;&gt;1,"Invalid case ref",IF(OR(D225="",E225="",F225="",G225="",L225=""),"Version info missing",IF(AND(C225&lt;&gt;"",OR(C225=A225,COUNTIFS('Plan versions'!$A$7:$A$306,C225,'Plan versions'!$B$7:$B$306,B225)&lt;&gt;1)),"Invalid parent plan ref",IF(L225="Draft","Draft not frozen",IF(OR(NOT(ISNUMBER(H225)),NOT(ISNUMBER(I225)),J225="",K225="",M225=""),"Freeze info missing",IF(I225&lt;H225,"Verify retroactive entry","Valid input"))))))))</x:f>
      </x:c>
    </x:row>
    <x:row r="226" ht="25" customHeight="1">
      <x:c r="A226" s="3"/>
      <x:c r="B226" s="3"/>
      <x:c r="C226" s="3"/>
      <x:c r="D226" s="3"/>
      <x:c r="E226" s="3"/>
      <x:c r="F226" s="3"/>
      <x:c r="G226" s="3"/>
      <x:c r="H226" s="25"/>
      <x:c r="I226" s="25"/>
      <x:c r="J226" s="3"/>
      <x:c r="K226" s="3"/>
      <x:c r="L226" s="3"/>
      <x:c r="M226" s="3"/>
      <x:c r="N226" s="19" t="str">
        <x:f>IF(A226="","",IF(COUNTIFS('Plan versions'!$A$7:$A$306,A226)&lt;&gt;1,"Duplicate ID",IF(COUNTIFS('Cases overview'!$A$7:$A$306,B226)&lt;&gt;1,"Invalid case ref",IF(OR(D226="",E226="",F226="",G226="",L226=""),"Version info missing",IF(AND(C226&lt;&gt;"",OR(C226=A226,COUNTIFS('Plan versions'!$A$7:$A$306,C226,'Plan versions'!$B$7:$B$306,B226)&lt;&gt;1)),"Invalid parent plan ref",IF(L226="Draft","Draft not frozen",IF(OR(NOT(ISNUMBER(H226)),NOT(ISNUMBER(I226)),J226="",K226="",M226=""),"Freeze info missing",IF(I226&lt;H226,"Verify retroactive entry","Valid input"))))))))</x:f>
      </x:c>
    </x:row>
    <x:row r="227" ht="25" customHeight="1">
      <x:c r="A227" s="3"/>
      <x:c r="B227" s="3"/>
      <x:c r="C227" s="3"/>
      <x:c r="D227" s="3"/>
      <x:c r="E227" s="3"/>
      <x:c r="F227" s="3"/>
      <x:c r="G227" s="3"/>
      <x:c r="H227" s="25"/>
      <x:c r="I227" s="25"/>
      <x:c r="J227" s="3"/>
      <x:c r="K227" s="3"/>
      <x:c r="L227" s="3"/>
      <x:c r="M227" s="3"/>
      <x:c r="N227" s="19" t="str">
        <x:f>IF(A227="","",IF(COUNTIFS('Plan versions'!$A$7:$A$306,A227)&lt;&gt;1,"Duplicate ID",IF(COUNTIFS('Cases overview'!$A$7:$A$306,B227)&lt;&gt;1,"Invalid case ref",IF(OR(D227="",E227="",F227="",G227="",L227=""),"Version info missing",IF(AND(C227&lt;&gt;"",OR(C227=A227,COUNTIFS('Plan versions'!$A$7:$A$306,C227,'Plan versions'!$B$7:$B$306,B227)&lt;&gt;1)),"Invalid parent plan ref",IF(L227="Draft","Draft not frozen",IF(OR(NOT(ISNUMBER(H227)),NOT(ISNUMBER(I227)),J227="",K227="",M227=""),"Freeze info missing",IF(I227&lt;H227,"Verify retroactive entry","Valid input"))))))))</x:f>
      </x:c>
    </x:row>
    <x:row r="228" ht="25" customHeight="1">
      <x:c r="A228" s="3"/>
      <x:c r="B228" s="3"/>
      <x:c r="C228" s="3"/>
      <x:c r="D228" s="3"/>
      <x:c r="E228" s="3"/>
      <x:c r="F228" s="3"/>
      <x:c r="G228" s="3"/>
      <x:c r="H228" s="25"/>
      <x:c r="I228" s="25"/>
      <x:c r="J228" s="3"/>
      <x:c r="K228" s="3"/>
      <x:c r="L228" s="3"/>
      <x:c r="M228" s="3"/>
      <x:c r="N228" s="19" t="str">
        <x:f>IF(A228="","",IF(COUNTIFS('Plan versions'!$A$7:$A$306,A228)&lt;&gt;1,"Duplicate ID",IF(COUNTIFS('Cases overview'!$A$7:$A$306,B228)&lt;&gt;1,"Invalid case ref",IF(OR(D228="",E228="",F228="",G228="",L228=""),"Version info missing",IF(AND(C228&lt;&gt;"",OR(C228=A228,COUNTIFS('Plan versions'!$A$7:$A$306,C228,'Plan versions'!$B$7:$B$306,B228)&lt;&gt;1)),"Invalid parent plan ref",IF(L228="Draft","Draft not frozen",IF(OR(NOT(ISNUMBER(H228)),NOT(ISNUMBER(I228)),J228="",K228="",M228=""),"Freeze info missing",IF(I228&lt;H228,"Verify retroactive entry","Valid input"))))))))</x:f>
      </x:c>
    </x:row>
    <x:row r="229" ht="25" customHeight="1">
      <x:c r="A229" s="3"/>
      <x:c r="B229" s="3"/>
      <x:c r="C229" s="3"/>
      <x:c r="D229" s="3"/>
      <x:c r="E229" s="3"/>
      <x:c r="F229" s="3"/>
      <x:c r="G229" s="3"/>
      <x:c r="H229" s="25"/>
      <x:c r="I229" s="25"/>
      <x:c r="J229" s="3"/>
      <x:c r="K229" s="3"/>
      <x:c r="L229" s="3"/>
      <x:c r="M229" s="3"/>
      <x:c r="N229" s="19" t="str">
        <x:f>IF(A229="","",IF(COUNTIFS('Plan versions'!$A$7:$A$306,A229)&lt;&gt;1,"Duplicate ID",IF(COUNTIFS('Cases overview'!$A$7:$A$306,B229)&lt;&gt;1,"Invalid case ref",IF(OR(D229="",E229="",F229="",G229="",L229=""),"Version info missing",IF(AND(C229&lt;&gt;"",OR(C229=A229,COUNTIFS('Plan versions'!$A$7:$A$306,C229,'Plan versions'!$B$7:$B$306,B229)&lt;&gt;1)),"Invalid parent plan ref",IF(L229="Draft","Draft not frozen",IF(OR(NOT(ISNUMBER(H229)),NOT(ISNUMBER(I229)),J229="",K229="",M229=""),"Freeze info missing",IF(I229&lt;H229,"Verify retroactive entry","Valid input"))))))))</x:f>
      </x:c>
    </x:row>
    <x:row r="230" ht="25" customHeight="1">
      <x:c r="A230" s="3"/>
      <x:c r="B230" s="3"/>
      <x:c r="C230" s="3"/>
      <x:c r="D230" s="3"/>
      <x:c r="E230" s="3"/>
      <x:c r="F230" s="3"/>
      <x:c r="G230" s="3"/>
      <x:c r="H230" s="25"/>
      <x:c r="I230" s="25"/>
      <x:c r="J230" s="3"/>
      <x:c r="K230" s="3"/>
      <x:c r="L230" s="3"/>
      <x:c r="M230" s="3"/>
      <x:c r="N230" s="19" t="str">
        <x:f>IF(A230="","",IF(COUNTIFS('Plan versions'!$A$7:$A$306,A230)&lt;&gt;1,"Duplicate ID",IF(COUNTIFS('Cases overview'!$A$7:$A$306,B230)&lt;&gt;1,"Invalid case ref",IF(OR(D230="",E230="",F230="",G230="",L230=""),"Version info missing",IF(AND(C230&lt;&gt;"",OR(C230=A230,COUNTIFS('Plan versions'!$A$7:$A$306,C230,'Plan versions'!$B$7:$B$306,B230)&lt;&gt;1)),"Invalid parent plan ref",IF(L230="Draft","Draft not frozen",IF(OR(NOT(ISNUMBER(H230)),NOT(ISNUMBER(I230)),J230="",K230="",M230=""),"Freeze info missing",IF(I230&lt;H230,"Verify retroactive entry","Valid input"))))))))</x:f>
      </x:c>
    </x:row>
    <x:row r="231" ht="25" customHeight="1">
      <x:c r="A231" s="3"/>
      <x:c r="B231" s="3"/>
      <x:c r="C231" s="3"/>
      <x:c r="D231" s="3"/>
      <x:c r="E231" s="3"/>
      <x:c r="F231" s="3"/>
      <x:c r="G231" s="3"/>
      <x:c r="H231" s="25"/>
      <x:c r="I231" s="25"/>
      <x:c r="J231" s="3"/>
      <x:c r="K231" s="3"/>
      <x:c r="L231" s="3"/>
      <x:c r="M231" s="3"/>
      <x:c r="N231" s="19" t="str">
        <x:f>IF(A231="","",IF(COUNTIFS('Plan versions'!$A$7:$A$306,A231)&lt;&gt;1,"Duplicate ID",IF(COUNTIFS('Cases overview'!$A$7:$A$306,B231)&lt;&gt;1,"Invalid case ref",IF(OR(D231="",E231="",F231="",G231="",L231=""),"Version info missing",IF(AND(C231&lt;&gt;"",OR(C231=A231,COUNTIFS('Plan versions'!$A$7:$A$306,C231,'Plan versions'!$B$7:$B$306,B231)&lt;&gt;1)),"Invalid parent plan ref",IF(L231="Draft","Draft not frozen",IF(OR(NOT(ISNUMBER(H231)),NOT(ISNUMBER(I231)),J231="",K231="",M231=""),"Freeze info missing",IF(I231&lt;H231,"Verify retroactive entry","Valid input"))))))))</x:f>
      </x:c>
    </x:row>
    <x:row r="232" ht="25" customHeight="1">
      <x:c r="A232" s="3"/>
      <x:c r="B232" s="3"/>
      <x:c r="C232" s="3"/>
      <x:c r="D232" s="3"/>
      <x:c r="E232" s="3"/>
      <x:c r="F232" s="3"/>
      <x:c r="G232" s="3"/>
      <x:c r="H232" s="25"/>
      <x:c r="I232" s="25"/>
      <x:c r="J232" s="3"/>
      <x:c r="K232" s="3"/>
      <x:c r="L232" s="3"/>
      <x:c r="M232" s="3"/>
      <x:c r="N232" s="19" t="str">
        <x:f>IF(A232="","",IF(COUNTIFS('Plan versions'!$A$7:$A$306,A232)&lt;&gt;1,"Duplicate ID",IF(COUNTIFS('Cases overview'!$A$7:$A$306,B232)&lt;&gt;1,"Invalid case ref",IF(OR(D232="",E232="",F232="",G232="",L232=""),"Version info missing",IF(AND(C232&lt;&gt;"",OR(C232=A232,COUNTIFS('Plan versions'!$A$7:$A$306,C232,'Plan versions'!$B$7:$B$306,B232)&lt;&gt;1)),"Invalid parent plan ref",IF(L232="Draft","Draft not frozen",IF(OR(NOT(ISNUMBER(H232)),NOT(ISNUMBER(I232)),J232="",K232="",M232=""),"Freeze info missing",IF(I232&lt;H232,"Verify retroactive entry","Valid input"))))))))</x:f>
      </x:c>
    </x:row>
    <x:row r="233" ht="25" customHeight="1">
      <x:c r="A233" s="3"/>
      <x:c r="B233" s="3"/>
      <x:c r="C233" s="3"/>
      <x:c r="D233" s="3"/>
      <x:c r="E233" s="3"/>
      <x:c r="F233" s="3"/>
      <x:c r="G233" s="3"/>
      <x:c r="H233" s="25"/>
      <x:c r="I233" s="25"/>
      <x:c r="J233" s="3"/>
      <x:c r="K233" s="3"/>
      <x:c r="L233" s="3"/>
      <x:c r="M233" s="3"/>
      <x:c r="N233" s="19" t="str">
        <x:f>IF(A233="","",IF(COUNTIFS('Plan versions'!$A$7:$A$306,A233)&lt;&gt;1,"Duplicate ID",IF(COUNTIFS('Cases overview'!$A$7:$A$306,B233)&lt;&gt;1,"Invalid case ref",IF(OR(D233="",E233="",F233="",G233="",L233=""),"Version info missing",IF(AND(C233&lt;&gt;"",OR(C233=A233,COUNTIFS('Plan versions'!$A$7:$A$306,C233,'Plan versions'!$B$7:$B$306,B233)&lt;&gt;1)),"Invalid parent plan ref",IF(L233="Draft","Draft not frozen",IF(OR(NOT(ISNUMBER(H233)),NOT(ISNUMBER(I233)),J233="",K233="",M233=""),"Freeze info missing",IF(I233&lt;H233,"Verify retroactive entry","Valid input"))))))))</x:f>
      </x:c>
    </x:row>
    <x:row r="234" ht="25" customHeight="1">
      <x:c r="A234" s="3"/>
      <x:c r="B234" s="3"/>
      <x:c r="C234" s="3"/>
      <x:c r="D234" s="3"/>
      <x:c r="E234" s="3"/>
      <x:c r="F234" s="3"/>
      <x:c r="G234" s="3"/>
      <x:c r="H234" s="25"/>
      <x:c r="I234" s="25"/>
      <x:c r="J234" s="3"/>
      <x:c r="K234" s="3"/>
      <x:c r="L234" s="3"/>
      <x:c r="M234" s="3"/>
      <x:c r="N234" s="19" t="str">
        <x:f>IF(A234="","",IF(COUNTIFS('Plan versions'!$A$7:$A$306,A234)&lt;&gt;1,"Duplicate ID",IF(COUNTIFS('Cases overview'!$A$7:$A$306,B234)&lt;&gt;1,"Invalid case ref",IF(OR(D234="",E234="",F234="",G234="",L234=""),"Version info missing",IF(AND(C234&lt;&gt;"",OR(C234=A234,COUNTIFS('Plan versions'!$A$7:$A$306,C234,'Plan versions'!$B$7:$B$306,B234)&lt;&gt;1)),"Invalid parent plan ref",IF(L234="Draft","Draft not frozen",IF(OR(NOT(ISNUMBER(H234)),NOT(ISNUMBER(I234)),J234="",K234="",M234=""),"Freeze info missing",IF(I234&lt;H234,"Verify retroactive entry","Valid input"))))))))</x:f>
      </x:c>
    </x:row>
    <x:row r="235" ht="25" customHeight="1">
      <x:c r="A235" s="3"/>
      <x:c r="B235" s="3"/>
      <x:c r="C235" s="3"/>
      <x:c r="D235" s="3"/>
      <x:c r="E235" s="3"/>
      <x:c r="F235" s="3"/>
      <x:c r="G235" s="3"/>
      <x:c r="H235" s="25"/>
      <x:c r="I235" s="25"/>
      <x:c r="J235" s="3"/>
      <x:c r="K235" s="3"/>
      <x:c r="L235" s="3"/>
      <x:c r="M235" s="3"/>
      <x:c r="N235" s="19" t="str">
        <x:f>IF(A235="","",IF(COUNTIFS('Plan versions'!$A$7:$A$306,A235)&lt;&gt;1,"Duplicate ID",IF(COUNTIFS('Cases overview'!$A$7:$A$306,B235)&lt;&gt;1,"Invalid case ref",IF(OR(D235="",E235="",F235="",G235="",L235=""),"Version info missing",IF(AND(C235&lt;&gt;"",OR(C235=A235,COUNTIFS('Plan versions'!$A$7:$A$306,C235,'Plan versions'!$B$7:$B$306,B235)&lt;&gt;1)),"Invalid parent plan ref",IF(L235="Draft","Draft not frozen",IF(OR(NOT(ISNUMBER(H235)),NOT(ISNUMBER(I235)),J235="",K235="",M235=""),"Freeze info missing",IF(I235&lt;H235,"Verify retroactive entry","Valid input"))))))))</x:f>
      </x:c>
    </x:row>
    <x:row r="236" ht="25" customHeight="1">
      <x:c r="A236" s="3"/>
      <x:c r="B236" s="3"/>
      <x:c r="C236" s="3"/>
      <x:c r="D236" s="3"/>
      <x:c r="E236" s="3"/>
      <x:c r="F236" s="3"/>
      <x:c r="G236" s="3"/>
      <x:c r="H236" s="25"/>
      <x:c r="I236" s="25"/>
      <x:c r="J236" s="3"/>
      <x:c r="K236" s="3"/>
      <x:c r="L236" s="3"/>
      <x:c r="M236" s="3"/>
      <x:c r="N236" s="19" t="str">
        <x:f>IF(A236="","",IF(COUNTIFS('Plan versions'!$A$7:$A$306,A236)&lt;&gt;1,"Duplicate ID",IF(COUNTIFS('Cases overview'!$A$7:$A$306,B236)&lt;&gt;1,"Invalid case ref",IF(OR(D236="",E236="",F236="",G236="",L236=""),"Version info missing",IF(AND(C236&lt;&gt;"",OR(C236=A236,COUNTIFS('Plan versions'!$A$7:$A$306,C236,'Plan versions'!$B$7:$B$306,B236)&lt;&gt;1)),"Invalid parent plan ref",IF(L236="Draft","Draft not frozen",IF(OR(NOT(ISNUMBER(H236)),NOT(ISNUMBER(I236)),J236="",K236="",M236=""),"Freeze info missing",IF(I236&lt;H236,"Verify retroactive entry","Valid input"))))))))</x:f>
      </x:c>
    </x:row>
    <x:row r="237" ht="25" customHeight="1">
      <x:c r="A237" s="3"/>
      <x:c r="B237" s="3"/>
      <x:c r="C237" s="3"/>
      <x:c r="D237" s="3"/>
      <x:c r="E237" s="3"/>
      <x:c r="F237" s="3"/>
      <x:c r="G237" s="3"/>
      <x:c r="H237" s="25"/>
      <x:c r="I237" s="25"/>
      <x:c r="J237" s="3"/>
      <x:c r="K237" s="3"/>
      <x:c r="L237" s="3"/>
      <x:c r="M237" s="3"/>
      <x:c r="N237" s="19" t="str">
        <x:f>IF(A237="","",IF(COUNTIFS('Plan versions'!$A$7:$A$306,A237)&lt;&gt;1,"Duplicate ID",IF(COUNTIFS('Cases overview'!$A$7:$A$306,B237)&lt;&gt;1,"Invalid case ref",IF(OR(D237="",E237="",F237="",G237="",L237=""),"Version info missing",IF(AND(C237&lt;&gt;"",OR(C237=A237,COUNTIFS('Plan versions'!$A$7:$A$306,C237,'Plan versions'!$B$7:$B$306,B237)&lt;&gt;1)),"Invalid parent plan ref",IF(L237="Draft","Draft not frozen",IF(OR(NOT(ISNUMBER(H237)),NOT(ISNUMBER(I237)),J237="",K237="",M237=""),"Freeze info missing",IF(I237&lt;H237,"Verify retroactive entry","Valid input"))))))))</x:f>
      </x:c>
    </x:row>
    <x:row r="238" ht="25" customHeight="1">
      <x:c r="A238" s="3"/>
      <x:c r="B238" s="3"/>
      <x:c r="C238" s="3"/>
      <x:c r="D238" s="3"/>
      <x:c r="E238" s="3"/>
      <x:c r="F238" s="3"/>
      <x:c r="G238" s="3"/>
      <x:c r="H238" s="25"/>
      <x:c r="I238" s="25"/>
      <x:c r="J238" s="3"/>
      <x:c r="K238" s="3"/>
      <x:c r="L238" s="3"/>
      <x:c r="M238" s="3"/>
      <x:c r="N238" s="19" t="str">
        <x:f>IF(A238="","",IF(COUNTIFS('Plan versions'!$A$7:$A$306,A238)&lt;&gt;1,"Duplicate ID",IF(COUNTIFS('Cases overview'!$A$7:$A$306,B238)&lt;&gt;1,"Invalid case ref",IF(OR(D238="",E238="",F238="",G238="",L238=""),"Version info missing",IF(AND(C238&lt;&gt;"",OR(C238=A238,COUNTIFS('Plan versions'!$A$7:$A$306,C238,'Plan versions'!$B$7:$B$306,B238)&lt;&gt;1)),"Invalid parent plan ref",IF(L238="Draft","Draft not frozen",IF(OR(NOT(ISNUMBER(H238)),NOT(ISNUMBER(I238)),J238="",K238="",M238=""),"Freeze info missing",IF(I238&lt;H238,"Verify retroactive entry","Valid input"))))))))</x:f>
      </x:c>
    </x:row>
    <x:row r="239" ht="25" customHeight="1">
      <x:c r="A239" s="3"/>
      <x:c r="B239" s="3"/>
      <x:c r="C239" s="3"/>
      <x:c r="D239" s="3"/>
      <x:c r="E239" s="3"/>
      <x:c r="F239" s="3"/>
      <x:c r="G239" s="3"/>
      <x:c r="H239" s="25"/>
      <x:c r="I239" s="25"/>
      <x:c r="J239" s="3"/>
      <x:c r="K239" s="3"/>
      <x:c r="L239" s="3"/>
      <x:c r="M239" s="3"/>
      <x:c r="N239" s="19" t="str">
        <x:f>IF(A239="","",IF(COUNTIFS('Plan versions'!$A$7:$A$306,A239)&lt;&gt;1,"Duplicate ID",IF(COUNTIFS('Cases overview'!$A$7:$A$306,B239)&lt;&gt;1,"Invalid case ref",IF(OR(D239="",E239="",F239="",G239="",L239=""),"Version info missing",IF(AND(C239&lt;&gt;"",OR(C239=A239,COUNTIFS('Plan versions'!$A$7:$A$306,C239,'Plan versions'!$B$7:$B$306,B239)&lt;&gt;1)),"Invalid parent plan ref",IF(L239="Draft","Draft not frozen",IF(OR(NOT(ISNUMBER(H239)),NOT(ISNUMBER(I239)),J239="",K239="",M239=""),"Freeze info missing",IF(I239&lt;H239,"Verify retroactive entry","Valid input"))))))))</x:f>
      </x:c>
    </x:row>
    <x:row r="240" ht="25" customHeight="1">
      <x:c r="A240" s="3"/>
      <x:c r="B240" s="3"/>
      <x:c r="C240" s="3"/>
      <x:c r="D240" s="3"/>
      <x:c r="E240" s="3"/>
      <x:c r="F240" s="3"/>
      <x:c r="G240" s="3"/>
      <x:c r="H240" s="25"/>
      <x:c r="I240" s="25"/>
      <x:c r="J240" s="3"/>
      <x:c r="K240" s="3"/>
      <x:c r="L240" s="3"/>
      <x:c r="M240" s="3"/>
      <x:c r="N240" s="19" t="str">
        <x:f>IF(A240="","",IF(COUNTIFS('Plan versions'!$A$7:$A$306,A240)&lt;&gt;1,"Duplicate ID",IF(COUNTIFS('Cases overview'!$A$7:$A$306,B240)&lt;&gt;1,"Invalid case ref",IF(OR(D240="",E240="",F240="",G240="",L240=""),"Version info missing",IF(AND(C240&lt;&gt;"",OR(C240=A240,COUNTIFS('Plan versions'!$A$7:$A$306,C240,'Plan versions'!$B$7:$B$306,B240)&lt;&gt;1)),"Invalid parent plan ref",IF(L240="Draft","Draft not frozen",IF(OR(NOT(ISNUMBER(H240)),NOT(ISNUMBER(I240)),J240="",K240="",M240=""),"Freeze info missing",IF(I240&lt;H240,"Verify retroactive entry","Valid input"))))))))</x:f>
      </x:c>
    </x:row>
    <x:row r="241" ht="25" customHeight="1">
      <x:c r="A241" s="3"/>
      <x:c r="B241" s="3"/>
      <x:c r="C241" s="3"/>
      <x:c r="D241" s="3"/>
      <x:c r="E241" s="3"/>
      <x:c r="F241" s="3"/>
      <x:c r="G241" s="3"/>
      <x:c r="H241" s="25"/>
      <x:c r="I241" s="25"/>
      <x:c r="J241" s="3"/>
      <x:c r="K241" s="3"/>
      <x:c r="L241" s="3"/>
      <x:c r="M241" s="3"/>
      <x:c r="N241" s="19" t="str">
        <x:f>IF(A241="","",IF(COUNTIFS('Plan versions'!$A$7:$A$306,A241)&lt;&gt;1,"Duplicate ID",IF(COUNTIFS('Cases overview'!$A$7:$A$306,B241)&lt;&gt;1,"Invalid case ref",IF(OR(D241="",E241="",F241="",G241="",L241=""),"Version info missing",IF(AND(C241&lt;&gt;"",OR(C241=A241,COUNTIFS('Plan versions'!$A$7:$A$306,C241,'Plan versions'!$B$7:$B$306,B241)&lt;&gt;1)),"Invalid parent plan ref",IF(L241="Draft","Draft not frozen",IF(OR(NOT(ISNUMBER(H241)),NOT(ISNUMBER(I241)),J241="",K241="",M241=""),"Freeze info missing",IF(I241&lt;H241,"Verify retroactive entry","Valid input"))))))))</x:f>
      </x:c>
    </x:row>
    <x:row r="242" ht="25" customHeight="1">
      <x:c r="A242" s="3"/>
      <x:c r="B242" s="3"/>
      <x:c r="C242" s="3"/>
      <x:c r="D242" s="3"/>
      <x:c r="E242" s="3"/>
      <x:c r="F242" s="3"/>
      <x:c r="G242" s="3"/>
      <x:c r="H242" s="25"/>
      <x:c r="I242" s="25"/>
      <x:c r="J242" s="3"/>
      <x:c r="K242" s="3"/>
      <x:c r="L242" s="3"/>
      <x:c r="M242" s="3"/>
      <x:c r="N242" s="19" t="str">
        <x:f>IF(A242="","",IF(COUNTIFS('Plan versions'!$A$7:$A$306,A242)&lt;&gt;1,"Duplicate ID",IF(COUNTIFS('Cases overview'!$A$7:$A$306,B242)&lt;&gt;1,"Invalid case ref",IF(OR(D242="",E242="",F242="",G242="",L242=""),"Version info missing",IF(AND(C242&lt;&gt;"",OR(C242=A242,COUNTIFS('Plan versions'!$A$7:$A$306,C242,'Plan versions'!$B$7:$B$306,B242)&lt;&gt;1)),"Invalid parent plan ref",IF(L242="Draft","Draft not frozen",IF(OR(NOT(ISNUMBER(H242)),NOT(ISNUMBER(I242)),J242="",K242="",M242=""),"Freeze info missing",IF(I242&lt;H242,"Verify retroactive entry","Valid input"))))))))</x:f>
      </x:c>
    </x:row>
    <x:row r="243" ht="25" customHeight="1">
      <x:c r="A243" s="3"/>
      <x:c r="B243" s="3"/>
      <x:c r="C243" s="3"/>
      <x:c r="D243" s="3"/>
      <x:c r="E243" s="3"/>
      <x:c r="F243" s="3"/>
      <x:c r="G243" s="3"/>
      <x:c r="H243" s="25"/>
      <x:c r="I243" s="25"/>
      <x:c r="J243" s="3"/>
      <x:c r="K243" s="3"/>
      <x:c r="L243" s="3"/>
      <x:c r="M243" s="3"/>
      <x:c r="N243" s="19" t="str">
        <x:f>IF(A243="","",IF(COUNTIFS('Plan versions'!$A$7:$A$306,A243)&lt;&gt;1,"Duplicate ID",IF(COUNTIFS('Cases overview'!$A$7:$A$306,B243)&lt;&gt;1,"Invalid case ref",IF(OR(D243="",E243="",F243="",G243="",L243=""),"Version info missing",IF(AND(C243&lt;&gt;"",OR(C243=A243,COUNTIFS('Plan versions'!$A$7:$A$306,C243,'Plan versions'!$B$7:$B$306,B243)&lt;&gt;1)),"Invalid parent plan ref",IF(L243="Draft","Draft not frozen",IF(OR(NOT(ISNUMBER(H243)),NOT(ISNUMBER(I243)),J243="",K243="",M243=""),"Freeze info missing",IF(I243&lt;H243,"Verify retroactive entry","Valid input"))))))))</x:f>
      </x:c>
    </x:row>
    <x:row r="244" ht="25" customHeight="1">
      <x:c r="A244" s="3"/>
      <x:c r="B244" s="3"/>
      <x:c r="C244" s="3"/>
      <x:c r="D244" s="3"/>
      <x:c r="E244" s="3"/>
      <x:c r="F244" s="3"/>
      <x:c r="G244" s="3"/>
      <x:c r="H244" s="25"/>
      <x:c r="I244" s="25"/>
      <x:c r="J244" s="3"/>
      <x:c r="K244" s="3"/>
      <x:c r="L244" s="3"/>
      <x:c r="M244" s="3"/>
      <x:c r="N244" s="19" t="str">
        <x:f>IF(A244="","",IF(COUNTIFS('Plan versions'!$A$7:$A$306,A244)&lt;&gt;1,"Duplicate ID",IF(COUNTIFS('Cases overview'!$A$7:$A$306,B244)&lt;&gt;1,"Invalid case ref",IF(OR(D244="",E244="",F244="",G244="",L244=""),"Version info missing",IF(AND(C244&lt;&gt;"",OR(C244=A244,COUNTIFS('Plan versions'!$A$7:$A$306,C244,'Plan versions'!$B$7:$B$306,B244)&lt;&gt;1)),"Invalid parent plan ref",IF(L244="Draft","Draft not frozen",IF(OR(NOT(ISNUMBER(H244)),NOT(ISNUMBER(I244)),J244="",K244="",M244=""),"Freeze info missing",IF(I244&lt;H244,"Verify retroactive entry","Valid input"))))))))</x:f>
      </x:c>
    </x:row>
    <x:row r="245" ht="25" customHeight="1">
      <x:c r="A245" s="3"/>
      <x:c r="B245" s="3"/>
      <x:c r="C245" s="3"/>
      <x:c r="D245" s="3"/>
      <x:c r="E245" s="3"/>
      <x:c r="F245" s="3"/>
      <x:c r="G245" s="3"/>
      <x:c r="H245" s="25"/>
      <x:c r="I245" s="25"/>
      <x:c r="J245" s="3"/>
      <x:c r="K245" s="3"/>
      <x:c r="L245" s="3"/>
      <x:c r="M245" s="3"/>
      <x:c r="N245" s="19" t="str">
        <x:f>IF(A245="","",IF(COUNTIFS('Plan versions'!$A$7:$A$306,A245)&lt;&gt;1,"Duplicate ID",IF(COUNTIFS('Cases overview'!$A$7:$A$306,B245)&lt;&gt;1,"Invalid case ref",IF(OR(D245="",E245="",F245="",G245="",L245=""),"Version info missing",IF(AND(C245&lt;&gt;"",OR(C245=A245,COUNTIFS('Plan versions'!$A$7:$A$306,C245,'Plan versions'!$B$7:$B$306,B245)&lt;&gt;1)),"Invalid parent plan ref",IF(L245="Draft","Draft not frozen",IF(OR(NOT(ISNUMBER(H245)),NOT(ISNUMBER(I245)),J245="",K245="",M245=""),"Freeze info missing",IF(I245&lt;H245,"Verify retroactive entry","Valid input"))))))))</x:f>
      </x:c>
    </x:row>
    <x:row r="246" ht="25" customHeight="1">
      <x:c r="A246" s="3"/>
      <x:c r="B246" s="3"/>
      <x:c r="C246" s="3"/>
      <x:c r="D246" s="3"/>
      <x:c r="E246" s="3"/>
      <x:c r="F246" s="3"/>
      <x:c r="G246" s="3"/>
      <x:c r="H246" s="25"/>
      <x:c r="I246" s="25"/>
      <x:c r="J246" s="3"/>
      <x:c r="K246" s="3"/>
      <x:c r="L246" s="3"/>
      <x:c r="M246" s="3"/>
      <x:c r="N246" s="19" t="str">
        <x:f>IF(A246="","",IF(COUNTIFS('Plan versions'!$A$7:$A$306,A246)&lt;&gt;1,"Duplicate ID",IF(COUNTIFS('Cases overview'!$A$7:$A$306,B246)&lt;&gt;1,"Invalid case ref",IF(OR(D246="",E246="",F246="",G246="",L246=""),"Version info missing",IF(AND(C246&lt;&gt;"",OR(C246=A246,COUNTIFS('Plan versions'!$A$7:$A$306,C246,'Plan versions'!$B$7:$B$306,B246)&lt;&gt;1)),"Invalid parent plan ref",IF(L246="Draft","Draft not frozen",IF(OR(NOT(ISNUMBER(H246)),NOT(ISNUMBER(I246)),J246="",K246="",M246=""),"Freeze info missing",IF(I246&lt;H246,"Verify retroactive entry","Valid input"))))))))</x:f>
      </x:c>
    </x:row>
    <x:row r="247" ht="25" customHeight="1">
      <x:c r="A247" s="3"/>
      <x:c r="B247" s="3"/>
      <x:c r="C247" s="3"/>
      <x:c r="D247" s="3"/>
      <x:c r="E247" s="3"/>
      <x:c r="F247" s="3"/>
      <x:c r="G247" s="3"/>
      <x:c r="H247" s="25"/>
      <x:c r="I247" s="25"/>
      <x:c r="J247" s="3"/>
      <x:c r="K247" s="3"/>
      <x:c r="L247" s="3"/>
      <x:c r="M247" s="3"/>
      <x:c r="N247" s="19" t="str">
        <x:f>IF(A247="","",IF(COUNTIFS('Plan versions'!$A$7:$A$306,A247)&lt;&gt;1,"Duplicate ID",IF(COUNTIFS('Cases overview'!$A$7:$A$306,B247)&lt;&gt;1,"Invalid case ref",IF(OR(D247="",E247="",F247="",G247="",L247=""),"Version info missing",IF(AND(C247&lt;&gt;"",OR(C247=A247,COUNTIFS('Plan versions'!$A$7:$A$306,C247,'Plan versions'!$B$7:$B$306,B247)&lt;&gt;1)),"Invalid parent plan ref",IF(L247="Draft","Draft not frozen",IF(OR(NOT(ISNUMBER(H247)),NOT(ISNUMBER(I247)),J247="",K247="",M247=""),"Freeze info missing",IF(I247&lt;H247,"Verify retroactive entry","Valid input"))))))))</x:f>
      </x:c>
    </x:row>
    <x:row r="248" ht="25" customHeight="1">
      <x:c r="A248" s="3"/>
      <x:c r="B248" s="3"/>
      <x:c r="C248" s="3"/>
      <x:c r="D248" s="3"/>
      <x:c r="E248" s="3"/>
      <x:c r="F248" s="3"/>
      <x:c r="G248" s="3"/>
      <x:c r="H248" s="25"/>
      <x:c r="I248" s="25"/>
      <x:c r="J248" s="3"/>
      <x:c r="K248" s="3"/>
      <x:c r="L248" s="3"/>
      <x:c r="M248" s="3"/>
      <x:c r="N248" s="19" t="str">
        <x:f>IF(A248="","",IF(COUNTIFS('Plan versions'!$A$7:$A$306,A248)&lt;&gt;1,"Duplicate ID",IF(COUNTIFS('Cases overview'!$A$7:$A$306,B248)&lt;&gt;1,"Invalid case ref",IF(OR(D248="",E248="",F248="",G248="",L248=""),"Version info missing",IF(AND(C248&lt;&gt;"",OR(C248=A248,COUNTIFS('Plan versions'!$A$7:$A$306,C248,'Plan versions'!$B$7:$B$306,B248)&lt;&gt;1)),"Invalid parent plan ref",IF(L248="Draft","Draft not frozen",IF(OR(NOT(ISNUMBER(H248)),NOT(ISNUMBER(I248)),J248="",K248="",M248=""),"Freeze info missing",IF(I248&lt;H248,"Verify retroactive entry","Valid input"))))))))</x:f>
      </x:c>
    </x:row>
    <x:row r="249" ht="25" customHeight="1">
      <x:c r="A249" s="3"/>
      <x:c r="B249" s="3"/>
      <x:c r="C249" s="3"/>
      <x:c r="D249" s="3"/>
      <x:c r="E249" s="3"/>
      <x:c r="F249" s="3"/>
      <x:c r="G249" s="3"/>
      <x:c r="H249" s="25"/>
      <x:c r="I249" s="25"/>
      <x:c r="J249" s="3"/>
      <x:c r="K249" s="3"/>
      <x:c r="L249" s="3"/>
      <x:c r="M249" s="3"/>
      <x:c r="N249" s="19" t="str">
        <x:f>IF(A249="","",IF(COUNTIFS('Plan versions'!$A$7:$A$306,A249)&lt;&gt;1,"Duplicate ID",IF(COUNTIFS('Cases overview'!$A$7:$A$306,B249)&lt;&gt;1,"Invalid case ref",IF(OR(D249="",E249="",F249="",G249="",L249=""),"Version info missing",IF(AND(C249&lt;&gt;"",OR(C249=A249,COUNTIFS('Plan versions'!$A$7:$A$306,C249,'Plan versions'!$B$7:$B$306,B249)&lt;&gt;1)),"Invalid parent plan ref",IF(L249="Draft","Draft not frozen",IF(OR(NOT(ISNUMBER(H249)),NOT(ISNUMBER(I249)),J249="",K249="",M249=""),"Freeze info missing",IF(I249&lt;H249,"Verify retroactive entry","Valid input"))))))))</x:f>
      </x:c>
    </x:row>
    <x:row r="250" ht="25" customHeight="1">
      <x:c r="A250" s="3"/>
      <x:c r="B250" s="3"/>
      <x:c r="C250" s="3"/>
      <x:c r="D250" s="3"/>
      <x:c r="E250" s="3"/>
      <x:c r="F250" s="3"/>
      <x:c r="G250" s="3"/>
      <x:c r="H250" s="25"/>
      <x:c r="I250" s="25"/>
      <x:c r="J250" s="3"/>
      <x:c r="K250" s="3"/>
      <x:c r="L250" s="3"/>
      <x:c r="M250" s="3"/>
      <x:c r="N250" s="19" t="str">
        <x:f>IF(A250="","",IF(COUNTIFS('Plan versions'!$A$7:$A$306,A250)&lt;&gt;1,"Duplicate ID",IF(COUNTIFS('Cases overview'!$A$7:$A$306,B250)&lt;&gt;1,"Invalid case ref",IF(OR(D250="",E250="",F250="",G250="",L250=""),"Version info missing",IF(AND(C250&lt;&gt;"",OR(C250=A250,COUNTIFS('Plan versions'!$A$7:$A$306,C250,'Plan versions'!$B$7:$B$306,B250)&lt;&gt;1)),"Invalid parent plan ref",IF(L250="Draft","Draft not frozen",IF(OR(NOT(ISNUMBER(H250)),NOT(ISNUMBER(I250)),J250="",K250="",M250=""),"Freeze info missing",IF(I250&lt;H250,"Verify retroactive entry","Valid input"))))))))</x:f>
      </x:c>
    </x:row>
    <x:row r="251" ht="25" customHeight="1">
      <x:c r="A251" s="3"/>
      <x:c r="B251" s="3"/>
      <x:c r="C251" s="3"/>
      <x:c r="D251" s="3"/>
      <x:c r="E251" s="3"/>
      <x:c r="F251" s="3"/>
      <x:c r="G251" s="3"/>
      <x:c r="H251" s="25"/>
      <x:c r="I251" s="25"/>
      <x:c r="J251" s="3"/>
      <x:c r="K251" s="3"/>
      <x:c r="L251" s="3"/>
      <x:c r="M251" s="3"/>
      <x:c r="N251" s="19" t="str">
        <x:f>IF(A251="","",IF(COUNTIFS('Plan versions'!$A$7:$A$306,A251)&lt;&gt;1,"Duplicate ID",IF(COUNTIFS('Cases overview'!$A$7:$A$306,B251)&lt;&gt;1,"Invalid case ref",IF(OR(D251="",E251="",F251="",G251="",L251=""),"Version info missing",IF(AND(C251&lt;&gt;"",OR(C251=A251,COUNTIFS('Plan versions'!$A$7:$A$306,C251,'Plan versions'!$B$7:$B$306,B251)&lt;&gt;1)),"Invalid parent plan ref",IF(L251="Draft","Draft not frozen",IF(OR(NOT(ISNUMBER(H251)),NOT(ISNUMBER(I251)),J251="",K251="",M251=""),"Freeze info missing",IF(I251&lt;H251,"Verify retroactive entry","Valid input"))))))))</x:f>
      </x:c>
    </x:row>
    <x:row r="252" ht="25" customHeight="1">
      <x:c r="A252" s="3"/>
      <x:c r="B252" s="3"/>
      <x:c r="C252" s="3"/>
      <x:c r="D252" s="3"/>
      <x:c r="E252" s="3"/>
      <x:c r="F252" s="3"/>
      <x:c r="G252" s="3"/>
      <x:c r="H252" s="25"/>
      <x:c r="I252" s="25"/>
      <x:c r="J252" s="3"/>
      <x:c r="K252" s="3"/>
      <x:c r="L252" s="3"/>
      <x:c r="M252" s="3"/>
      <x:c r="N252" s="19" t="str">
        <x:f>IF(A252="","",IF(COUNTIFS('Plan versions'!$A$7:$A$306,A252)&lt;&gt;1,"Duplicate ID",IF(COUNTIFS('Cases overview'!$A$7:$A$306,B252)&lt;&gt;1,"Invalid case ref",IF(OR(D252="",E252="",F252="",G252="",L252=""),"Version info missing",IF(AND(C252&lt;&gt;"",OR(C252=A252,COUNTIFS('Plan versions'!$A$7:$A$306,C252,'Plan versions'!$B$7:$B$306,B252)&lt;&gt;1)),"Invalid parent plan ref",IF(L252="Draft","Draft not frozen",IF(OR(NOT(ISNUMBER(H252)),NOT(ISNUMBER(I252)),J252="",K252="",M252=""),"Freeze info missing",IF(I252&lt;H252,"Verify retroactive entry","Valid input"))))))))</x:f>
      </x:c>
    </x:row>
    <x:row r="253" ht="25" customHeight="1">
      <x:c r="A253" s="3"/>
      <x:c r="B253" s="3"/>
      <x:c r="C253" s="3"/>
      <x:c r="D253" s="3"/>
      <x:c r="E253" s="3"/>
      <x:c r="F253" s="3"/>
      <x:c r="G253" s="3"/>
      <x:c r="H253" s="25"/>
      <x:c r="I253" s="25"/>
      <x:c r="J253" s="3"/>
      <x:c r="K253" s="3"/>
      <x:c r="L253" s="3"/>
      <x:c r="M253" s="3"/>
      <x:c r="N253" s="19" t="str">
        <x:f>IF(A253="","",IF(COUNTIFS('Plan versions'!$A$7:$A$306,A253)&lt;&gt;1,"Duplicate ID",IF(COUNTIFS('Cases overview'!$A$7:$A$306,B253)&lt;&gt;1,"Invalid case ref",IF(OR(D253="",E253="",F253="",G253="",L253=""),"Version info missing",IF(AND(C253&lt;&gt;"",OR(C253=A253,COUNTIFS('Plan versions'!$A$7:$A$306,C253,'Plan versions'!$B$7:$B$306,B253)&lt;&gt;1)),"Invalid parent plan ref",IF(L253="Draft","Draft not frozen",IF(OR(NOT(ISNUMBER(H253)),NOT(ISNUMBER(I253)),J253="",K253="",M253=""),"Freeze info missing",IF(I253&lt;H253,"Verify retroactive entry","Valid input"))))))))</x:f>
      </x:c>
    </x:row>
    <x:row r="254" ht="25" customHeight="1">
      <x:c r="A254" s="3"/>
      <x:c r="B254" s="3"/>
      <x:c r="C254" s="3"/>
      <x:c r="D254" s="3"/>
      <x:c r="E254" s="3"/>
      <x:c r="F254" s="3"/>
      <x:c r="G254" s="3"/>
      <x:c r="H254" s="25"/>
      <x:c r="I254" s="25"/>
      <x:c r="J254" s="3"/>
      <x:c r="K254" s="3"/>
      <x:c r="L254" s="3"/>
      <x:c r="M254" s="3"/>
      <x:c r="N254" s="19" t="str">
        <x:f>IF(A254="","",IF(COUNTIFS('Plan versions'!$A$7:$A$306,A254)&lt;&gt;1,"Duplicate ID",IF(COUNTIFS('Cases overview'!$A$7:$A$306,B254)&lt;&gt;1,"Invalid case ref",IF(OR(D254="",E254="",F254="",G254="",L254=""),"Version info missing",IF(AND(C254&lt;&gt;"",OR(C254=A254,COUNTIFS('Plan versions'!$A$7:$A$306,C254,'Plan versions'!$B$7:$B$306,B254)&lt;&gt;1)),"Invalid parent plan ref",IF(L254="Draft","Draft not frozen",IF(OR(NOT(ISNUMBER(H254)),NOT(ISNUMBER(I254)),J254="",K254="",M254=""),"Freeze info missing",IF(I254&lt;H254,"Verify retroactive entry","Valid input"))))))))</x:f>
      </x:c>
    </x:row>
    <x:row r="255" ht="25" customHeight="1">
      <x:c r="A255" s="3"/>
      <x:c r="B255" s="3"/>
      <x:c r="C255" s="3"/>
      <x:c r="D255" s="3"/>
      <x:c r="E255" s="3"/>
      <x:c r="F255" s="3"/>
      <x:c r="G255" s="3"/>
      <x:c r="H255" s="25"/>
      <x:c r="I255" s="25"/>
      <x:c r="J255" s="3"/>
      <x:c r="K255" s="3"/>
      <x:c r="L255" s="3"/>
      <x:c r="M255" s="3"/>
      <x:c r="N255" s="19" t="str">
        <x:f>IF(A255="","",IF(COUNTIFS('Plan versions'!$A$7:$A$306,A255)&lt;&gt;1,"Duplicate ID",IF(COUNTIFS('Cases overview'!$A$7:$A$306,B255)&lt;&gt;1,"Invalid case ref",IF(OR(D255="",E255="",F255="",G255="",L255=""),"Version info missing",IF(AND(C255&lt;&gt;"",OR(C255=A255,COUNTIFS('Plan versions'!$A$7:$A$306,C255,'Plan versions'!$B$7:$B$306,B255)&lt;&gt;1)),"Invalid parent plan ref",IF(L255="Draft","Draft not frozen",IF(OR(NOT(ISNUMBER(H255)),NOT(ISNUMBER(I255)),J255="",K255="",M255=""),"Freeze info missing",IF(I255&lt;H255,"Verify retroactive entry","Valid input"))))))))</x:f>
      </x:c>
    </x:row>
    <x:row r="256" ht="25" customHeight="1">
      <x:c r="A256" s="3"/>
      <x:c r="B256" s="3"/>
      <x:c r="C256" s="3"/>
      <x:c r="D256" s="3"/>
      <x:c r="E256" s="3"/>
      <x:c r="F256" s="3"/>
      <x:c r="G256" s="3"/>
      <x:c r="H256" s="25"/>
      <x:c r="I256" s="25"/>
      <x:c r="J256" s="3"/>
      <x:c r="K256" s="3"/>
      <x:c r="L256" s="3"/>
      <x:c r="M256" s="3"/>
      <x:c r="N256" s="19" t="str">
        <x:f>IF(A256="","",IF(COUNTIFS('Plan versions'!$A$7:$A$306,A256)&lt;&gt;1,"Duplicate ID",IF(COUNTIFS('Cases overview'!$A$7:$A$306,B256)&lt;&gt;1,"Invalid case ref",IF(OR(D256="",E256="",F256="",G256="",L256=""),"Version info missing",IF(AND(C256&lt;&gt;"",OR(C256=A256,COUNTIFS('Plan versions'!$A$7:$A$306,C256,'Plan versions'!$B$7:$B$306,B256)&lt;&gt;1)),"Invalid parent plan ref",IF(L256="Draft","Draft not frozen",IF(OR(NOT(ISNUMBER(H256)),NOT(ISNUMBER(I256)),J256="",K256="",M256=""),"Freeze info missing",IF(I256&lt;H256,"Verify retroactive entry","Valid input"))))))))</x:f>
      </x:c>
    </x:row>
    <x:row r="257" ht="25" customHeight="1">
      <x:c r="A257" s="3"/>
      <x:c r="B257" s="3"/>
      <x:c r="C257" s="3"/>
      <x:c r="D257" s="3"/>
      <x:c r="E257" s="3"/>
      <x:c r="F257" s="3"/>
      <x:c r="G257" s="3"/>
      <x:c r="H257" s="25"/>
      <x:c r="I257" s="25"/>
      <x:c r="J257" s="3"/>
      <x:c r="K257" s="3"/>
      <x:c r="L257" s="3"/>
      <x:c r="M257" s="3"/>
      <x:c r="N257" s="19" t="str">
        <x:f>IF(A257="","",IF(COUNTIFS('Plan versions'!$A$7:$A$306,A257)&lt;&gt;1,"Duplicate ID",IF(COUNTIFS('Cases overview'!$A$7:$A$306,B257)&lt;&gt;1,"Invalid case ref",IF(OR(D257="",E257="",F257="",G257="",L257=""),"Version info missing",IF(AND(C257&lt;&gt;"",OR(C257=A257,COUNTIFS('Plan versions'!$A$7:$A$306,C257,'Plan versions'!$B$7:$B$306,B257)&lt;&gt;1)),"Invalid parent plan ref",IF(L257="Draft","Draft not frozen",IF(OR(NOT(ISNUMBER(H257)),NOT(ISNUMBER(I257)),J257="",K257="",M257=""),"Freeze info missing",IF(I257&lt;H257,"Verify retroactive entry","Valid input"))))))))</x:f>
      </x:c>
    </x:row>
    <x:row r="258" ht="25" customHeight="1">
      <x:c r="A258" s="3"/>
      <x:c r="B258" s="3"/>
      <x:c r="C258" s="3"/>
      <x:c r="D258" s="3"/>
      <x:c r="E258" s="3"/>
      <x:c r="F258" s="3"/>
      <x:c r="G258" s="3"/>
      <x:c r="H258" s="25"/>
      <x:c r="I258" s="25"/>
      <x:c r="J258" s="3"/>
      <x:c r="K258" s="3"/>
      <x:c r="L258" s="3"/>
      <x:c r="M258" s="3"/>
      <x:c r="N258" s="19" t="str">
        <x:f>IF(A258="","",IF(COUNTIFS('Plan versions'!$A$7:$A$306,A258)&lt;&gt;1,"Duplicate ID",IF(COUNTIFS('Cases overview'!$A$7:$A$306,B258)&lt;&gt;1,"Invalid case ref",IF(OR(D258="",E258="",F258="",G258="",L258=""),"Version info missing",IF(AND(C258&lt;&gt;"",OR(C258=A258,COUNTIFS('Plan versions'!$A$7:$A$306,C258,'Plan versions'!$B$7:$B$306,B258)&lt;&gt;1)),"Invalid parent plan ref",IF(L258="Draft","Draft not frozen",IF(OR(NOT(ISNUMBER(H258)),NOT(ISNUMBER(I258)),J258="",K258="",M258=""),"Freeze info missing",IF(I258&lt;H258,"Verify retroactive entry","Valid input"))))))))</x:f>
      </x:c>
    </x:row>
    <x:row r="259" ht="25" customHeight="1">
      <x:c r="A259" s="3"/>
      <x:c r="B259" s="3"/>
      <x:c r="C259" s="3"/>
      <x:c r="D259" s="3"/>
      <x:c r="E259" s="3"/>
      <x:c r="F259" s="3"/>
      <x:c r="G259" s="3"/>
      <x:c r="H259" s="25"/>
      <x:c r="I259" s="25"/>
      <x:c r="J259" s="3"/>
      <x:c r="K259" s="3"/>
      <x:c r="L259" s="3"/>
      <x:c r="M259" s="3"/>
      <x:c r="N259" s="19" t="str">
        <x:f>IF(A259="","",IF(COUNTIFS('Plan versions'!$A$7:$A$306,A259)&lt;&gt;1,"Duplicate ID",IF(COUNTIFS('Cases overview'!$A$7:$A$306,B259)&lt;&gt;1,"Invalid case ref",IF(OR(D259="",E259="",F259="",G259="",L259=""),"Version info missing",IF(AND(C259&lt;&gt;"",OR(C259=A259,COUNTIFS('Plan versions'!$A$7:$A$306,C259,'Plan versions'!$B$7:$B$306,B259)&lt;&gt;1)),"Invalid parent plan ref",IF(L259="Draft","Draft not frozen",IF(OR(NOT(ISNUMBER(H259)),NOT(ISNUMBER(I259)),J259="",K259="",M259=""),"Freeze info missing",IF(I259&lt;H259,"Verify retroactive entry","Valid input"))))))))</x:f>
      </x:c>
    </x:row>
    <x:row r="260" ht="25" customHeight="1">
      <x:c r="A260" s="3"/>
      <x:c r="B260" s="3"/>
      <x:c r="C260" s="3"/>
      <x:c r="D260" s="3"/>
      <x:c r="E260" s="3"/>
      <x:c r="F260" s="3"/>
      <x:c r="G260" s="3"/>
      <x:c r="H260" s="25"/>
      <x:c r="I260" s="25"/>
      <x:c r="J260" s="3"/>
      <x:c r="K260" s="3"/>
      <x:c r="L260" s="3"/>
      <x:c r="M260" s="3"/>
      <x:c r="N260" s="19" t="str">
        <x:f>IF(A260="","",IF(COUNTIFS('Plan versions'!$A$7:$A$306,A260)&lt;&gt;1,"Duplicate ID",IF(COUNTIFS('Cases overview'!$A$7:$A$306,B260)&lt;&gt;1,"Invalid case ref",IF(OR(D260="",E260="",F260="",G260="",L260=""),"Version info missing",IF(AND(C260&lt;&gt;"",OR(C260=A260,COUNTIFS('Plan versions'!$A$7:$A$306,C260,'Plan versions'!$B$7:$B$306,B260)&lt;&gt;1)),"Invalid parent plan ref",IF(L260="Draft","Draft not frozen",IF(OR(NOT(ISNUMBER(H260)),NOT(ISNUMBER(I260)),J260="",K260="",M260=""),"Freeze info missing",IF(I260&lt;H260,"Verify retroactive entry","Valid input"))))))))</x:f>
      </x:c>
    </x:row>
    <x:row r="261" ht="25" customHeight="1">
      <x:c r="A261" s="3"/>
      <x:c r="B261" s="3"/>
      <x:c r="C261" s="3"/>
      <x:c r="D261" s="3"/>
      <x:c r="E261" s="3"/>
      <x:c r="F261" s="3"/>
      <x:c r="G261" s="3"/>
      <x:c r="H261" s="25"/>
      <x:c r="I261" s="25"/>
      <x:c r="J261" s="3"/>
      <x:c r="K261" s="3"/>
      <x:c r="L261" s="3"/>
      <x:c r="M261" s="3"/>
      <x:c r="N261" s="19" t="str">
        <x:f>IF(A261="","",IF(COUNTIFS('Plan versions'!$A$7:$A$306,A261)&lt;&gt;1,"Duplicate ID",IF(COUNTIFS('Cases overview'!$A$7:$A$306,B261)&lt;&gt;1,"Invalid case ref",IF(OR(D261="",E261="",F261="",G261="",L261=""),"Version info missing",IF(AND(C261&lt;&gt;"",OR(C261=A261,COUNTIFS('Plan versions'!$A$7:$A$306,C261,'Plan versions'!$B$7:$B$306,B261)&lt;&gt;1)),"Invalid parent plan ref",IF(L261="Draft","Draft not frozen",IF(OR(NOT(ISNUMBER(H261)),NOT(ISNUMBER(I261)),J261="",K261="",M261=""),"Freeze info missing",IF(I261&lt;H261,"Verify retroactive entry","Valid input"))))))))</x:f>
      </x:c>
    </x:row>
    <x:row r="262" ht="25" customHeight="1">
      <x:c r="A262" s="3"/>
      <x:c r="B262" s="3"/>
      <x:c r="C262" s="3"/>
      <x:c r="D262" s="3"/>
      <x:c r="E262" s="3"/>
      <x:c r="F262" s="3"/>
      <x:c r="G262" s="3"/>
      <x:c r="H262" s="25"/>
      <x:c r="I262" s="25"/>
      <x:c r="J262" s="3"/>
      <x:c r="K262" s="3"/>
      <x:c r="L262" s="3"/>
      <x:c r="M262" s="3"/>
      <x:c r="N262" s="19" t="str">
        <x:f>IF(A262="","",IF(COUNTIFS('Plan versions'!$A$7:$A$306,A262)&lt;&gt;1,"Duplicate ID",IF(COUNTIFS('Cases overview'!$A$7:$A$306,B262)&lt;&gt;1,"Invalid case ref",IF(OR(D262="",E262="",F262="",G262="",L262=""),"Version info missing",IF(AND(C262&lt;&gt;"",OR(C262=A262,COUNTIFS('Plan versions'!$A$7:$A$306,C262,'Plan versions'!$B$7:$B$306,B262)&lt;&gt;1)),"Invalid parent plan ref",IF(L262="Draft","Draft not frozen",IF(OR(NOT(ISNUMBER(H262)),NOT(ISNUMBER(I262)),J262="",K262="",M262=""),"Freeze info missing",IF(I262&lt;H262,"Verify retroactive entry","Valid input"))))))))</x:f>
      </x:c>
    </x:row>
    <x:row r="263" ht="25" customHeight="1">
      <x:c r="A263" s="3"/>
      <x:c r="B263" s="3"/>
      <x:c r="C263" s="3"/>
      <x:c r="D263" s="3"/>
      <x:c r="E263" s="3"/>
      <x:c r="F263" s="3"/>
      <x:c r="G263" s="3"/>
      <x:c r="H263" s="25"/>
      <x:c r="I263" s="25"/>
      <x:c r="J263" s="3"/>
      <x:c r="K263" s="3"/>
      <x:c r="L263" s="3"/>
      <x:c r="M263" s="3"/>
      <x:c r="N263" s="19" t="str">
        <x:f>IF(A263="","",IF(COUNTIFS('Plan versions'!$A$7:$A$306,A263)&lt;&gt;1,"Duplicate ID",IF(COUNTIFS('Cases overview'!$A$7:$A$306,B263)&lt;&gt;1,"Invalid case ref",IF(OR(D263="",E263="",F263="",G263="",L263=""),"Version info missing",IF(AND(C263&lt;&gt;"",OR(C263=A263,COUNTIFS('Plan versions'!$A$7:$A$306,C263,'Plan versions'!$B$7:$B$306,B263)&lt;&gt;1)),"Invalid parent plan ref",IF(L263="Draft","Draft not frozen",IF(OR(NOT(ISNUMBER(H263)),NOT(ISNUMBER(I263)),J263="",K263="",M263=""),"Freeze info missing",IF(I263&lt;H263,"Verify retroactive entry","Valid input"))))))))</x:f>
      </x:c>
    </x:row>
    <x:row r="264" ht="25" customHeight="1">
      <x:c r="A264" s="3"/>
      <x:c r="B264" s="3"/>
      <x:c r="C264" s="3"/>
      <x:c r="D264" s="3"/>
      <x:c r="E264" s="3"/>
      <x:c r="F264" s="3"/>
      <x:c r="G264" s="3"/>
      <x:c r="H264" s="25"/>
      <x:c r="I264" s="25"/>
      <x:c r="J264" s="3"/>
      <x:c r="K264" s="3"/>
      <x:c r="L264" s="3"/>
      <x:c r="M264" s="3"/>
      <x:c r="N264" s="19" t="str">
        <x:f>IF(A264="","",IF(COUNTIFS('Plan versions'!$A$7:$A$306,A264)&lt;&gt;1,"Duplicate ID",IF(COUNTIFS('Cases overview'!$A$7:$A$306,B264)&lt;&gt;1,"Invalid case ref",IF(OR(D264="",E264="",F264="",G264="",L264=""),"Version info missing",IF(AND(C264&lt;&gt;"",OR(C264=A264,COUNTIFS('Plan versions'!$A$7:$A$306,C264,'Plan versions'!$B$7:$B$306,B264)&lt;&gt;1)),"Invalid parent plan ref",IF(L264="Draft","Draft not frozen",IF(OR(NOT(ISNUMBER(H264)),NOT(ISNUMBER(I264)),J264="",K264="",M264=""),"Freeze info missing",IF(I264&lt;H264,"Verify retroactive entry","Valid input"))))))))</x:f>
      </x:c>
    </x:row>
    <x:row r="265" ht="25" customHeight="1">
      <x:c r="A265" s="3"/>
      <x:c r="B265" s="3"/>
      <x:c r="C265" s="3"/>
      <x:c r="D265" s="3"/>
      <x:c r="E265" s="3"/>
      <x:c r="F265" s="3"/>
      <x:c r="G265" s="3"/>
      <x:c r="H265" s="25"/>
      <x:c r="I265" s="25"/>
      <x:c r="J265" s="3"/>
      <x:c r="K265" s="3"/>
      <x:c r="L265" s="3"/>
      <x:c r="M265" s="3"/>
      <x:c r="N265" s="19" t="str">
        <x:f>IF(A265="","",IF(COUNTIFS('Plan versions'!$A$7:$A$306,A265)&lt;&gt;1,"Duplicate ID",IF(COUNTIFS('Cases overview'!$A$7:$A$306,B265)&lt;&gt;1,"Invalid case ref",IF(OR(D265="",E265="",F265="",G265="",L265=""),"Version info missing",IF(AND(C265&lt;&gt;"",OR(C265=A265,COUNTIFS('Plan versions'!$A$7:$A$306,C265,'Plan versions'!$B$7:$B$306,B265)&lt;&gt;1)),"Invalid parent plan ref",IF(L265="Draft","Draft not frozen",IF(OR(NOT(ISNUMBER(H265)),NOT(ISNUMBER(I265)),J265="",K265="",M265=""),"Freeze info missing",IF(I265&lt;H265,"Verify retroactive entry","Valid input"))))))))</x:f>
      </x:c>
    </x:row>
    <x:row r="266" ht="25" customHeight="1">
      <x:c r="A266" s="3"/>
      <x:c r="B266" s="3"/>
      <x:c r="C266" s="3"/>
      <x:c r="D266" s="3"/>
      <x:c r="E266" s="3"/>
      <x:c r="F266" s="3"/>
      <x:c r="G266" s="3"/>
      <x:c r="H266" s="25"/>
      <x:c r="I266" s="25"/>
      <x:c r="J266" s="3"/>
      <x:c r="K266" s="3"/>
      <x:c r="L266" s="3"/>
      <x:c r="M266" s="3"/>
      <x:c r="N266" s="19" t="str">
        <x:f>IF(A266="","",IF(COUNTIFS('Plan versions'!$A$7:$A$306,A266)&lt;&gt;1,"Duplicate ID",IF(COUNTIFS('Cases overview'!$A$7:$A$306,B266)&lt;&gt;1,"Invalid case ref",IF(OR(D266="",E266="",F266="",G266="",L266=""),"Version info missing",IF(AND(C266&lt;&gt;"",OR(C266=A266,COUNTIFS('Plan versions'!$A$7:$A$306,C266,'Plan versions'!$B$7:$B$306,B266)&lt;&gt;1)),"Invalid parent plan ref",IF(L266="Draft","Draft not frozen",IF(OR(NOT(ISNUMBER(H266)),NOT(ISNUMBER(I266)),J266="",K266="",M266=""),"Freeze info missing",IF(I266&lt;H266,"Verify retroactive entry","Valid input"))))))))</x:f>
      </x:c>
    </x:row>
    <x:row r="267" ht="25" customHeight="1">
      <x:c r="A267" s="3"/>
      <x:c r="B267" s="3"/>
      <x:c r="C267" s="3"/>
      <x:c r="D267" s="3"/>
      <x:c r="E267" s="3"/>
      <x:c r="F267" s="3"/>
      <x:c r="G267" s="3"/>
      <x:c r="H267" s="25"/>
      <x:c r="I267" s="25"/>
      <x:c r="J267" s="3"/>
      <x:c r="K267" s="3"/>
      <x:c r="L267" s="3"/>
      <x:c r="M267" s="3"/>
      <x:c r="N267" s="19" t="str">
        <x:f>IF(A267="","",IF(COUNTIFS('Plan versions'!$A$7:$A$306,A267)&lt;&gt;1,"Duplicate ID",IF(COUNTIFS('Cases overview'!$A$7:$A$306,B267)&lt;&gt;1,"Invalid case ref",IF(OR(D267="",E267="",F267="",G267="",L267=""),"Version info missing",IF(AND(C267&lt;&gt;"",OR(C267=A267,COUNTIFS('Plan versions'!$A$7:$A$306,C267,'Plan versions'!$B$7:$B$306,B267)&lt;&gt;1)),"Invalid parent plan ref",IF(L267="Draft","Draft not frozen",IF(OR(NOT(ISNUMBER(H267)),NOT(ISNUMBER(I267)),J267="",K267="",M267=""),"Freeze info missing",IF(I267&lt;H267,"Verify retroactive entry","Valid input"))))))))</x:f>
      </x:c>
    </x:row>
    <x:row r="268" ht="25" customHeight="1">
      <x:c r="A268" s="3"/>
      <x:c r="B268" s="3"/>
      <x:c r="C268" s="3"/>
      <x:c r="D268" s="3"/>
      <x:c r="E268" s="3"/>
      <x:c r="F268" s="3"/>
      <x:c r="G268" s="3"/>
      <x:c r="H268" s="25"/>
      <x:c r="I268" s="25"/>
      <x:c r="J268" s="3"/>
      <x:c r="K268" s="3"/>
      <x:c r="L268" s="3"/>
      <x:c r="M268" s="3"/>
      <x:c r="N268" s="19" t="str">
        <x:f>IF(A268="","",IF(COUNTIFS('Plan versions'!$A$7:$A$306,A268)&lt;&gt;1,"Duplicate ID",IF(COUNTIFS('Cases overview'!$A$7:$A$306,B268)&lt;&gt;1,"Invalid case ref",IF(OR(D268="",E268="",F268="",G268="",L268=""),"Version info missing",IF(AND(C268&lt;&gt;"",OR(C268=A268,COUNTIFS('Plan versions'!$A$7:$A$306,C268,'Plan versions'!$B$7:$B$306,B268)&lt;&gt;1)),"Invalid parent plan ref",IF(L268="Draft","Draft not frozen",IF(OR(NOT(ISNUMBER(H268)),NOT(ISNUMBER(I268)),J268="",K268="",M268=""),"Freeze info missing",IF(I268&lt;H268,"Verify retroactive entry","Valid input"))))))))</x:f>
      </x:c>
    </x:row>
    <x:row r="269" ht="25" customHeight="1">
      <x:c r="A269" s="3"/>
      <x:c r="B269" s="3"/>
      <x:c r="C269" s="3"/>
      <x:c r="D269" s="3"/>
      <x:c r="E269" s="3"/>
      <x:c r="F269" s="3"/>
      <x:c r="G269" s="3"/>
      <x:c r="H269" s="25"/>
      <x:c r="I269" s="25"/>
      <x:c r="J269" s="3"/>
      <x:c r="K269" s="3"/>
      <x:c r="L269" s="3"/>
      <x:c r="M269" s="3"/>
      <x:c r="N269" s="19" t="str">
        <x:f>IF(A269="","",IF(COUNTIFS('Plan versions'!$A$7:$A$306,A269)&lt;&gt;1,"Duplicate ID",IF(COUNTIFS('Cases overview'!$A$7:$A$306,B269)&lt;&gt;1,"Invalid case ref",IF(OR(D269="",E269="",F269="",G269="",L269=""),"Version info missing",IF(AND(C269&lt;&gt;"",OR(C269=A269,COUNTIFS('Plan versions'!$A$7:$A$306,C269,'Plan versions'!$B$7:$B$306,B269)&lt;&gt;1)),"Invalid parent plan ref",IF(L269="Draft","Draft not frozen",IF(OR(NOT(ISNUMBER(H269)),NOT(ISNUMBER(I269)),J269="",K269="",M269=""),"Freeze info missing",IF(I269&lt;H269,"Verify retroactive entry","Valid input"))))))))</x:f>
      </x:c>
    </x:row>
    <x:row r="270" ht="25" customHeight="1">
      <x:c r="A270" s="3"/>
      <x:c r="B270" s="3"/>
      <x:c r="C270" s="3"/>
      <x:c r="D270" s="3"/>
      <x:c r="E270" s="3"/>
      <x:c r="F270" s="3"/>
      <x:c r="G270" s="3"/>
      <x:c r="H270" s="25"/>
      <x:c r="I270" s="25"/>
      <x:c r="J270" s="3"/>
      <x:c r="K270" s="3"/>
      <x:c r="L270" s="3"/>
      <x:c r="M270" s="3"/>
      <x:c r="N270" s="19" t="str">
        <x:f>IF(A270="","",IF(COUNTIFS('Plan versions'!$A$7:$A$306,A270)&lt;&gt;1,"Duplicate ID",IF(COUNTIFS('Cases overview'!$A$7:$A$306,B270)&lt;&gt;1,"Invalid case ref",IF(OR(D270="",E270="",F270="",G270="",L270=""),"Version info missing",IF(AND(C270&lt;&gt;"",OR(C270=A270,COUNTIFS('Plan versions'!$A$7:$A$306,C270,'Plan versions'!$B$7:$B$306,B270)&lt;&gt;1)),"Invalid parent plan ref",IF(L270="Draft","Draft not frozen",IF(OR(NOT(ISNUMBER(H270)),NOT(ISNUMBER(I270)),J270="",K270="",M270=""),"Freeze info missing",IF(I270&lt;H270,"Verify retroactive entry","Valid input"))))))))</x:f>
      </x:c>
    </x:row>
    <x:row r="271" ht="25" customHeight="1">
      <x:c r="A271" s="3"/>
      <x:c r="B271" s="3"/>
      <x:c r="C271" s="3"/>
      <x:c r="D271" s="3"/>
      <x:c r="E271" s="3"/>
      <x:c r="F271" s="3"/>
      <x:c r="G271" s="3"/>
      <x:c r="H271" s="25"/>
      <x:c r="I271" s="25"/>
      <x:c r="J271" s="3"/>
      <x:c r="K271" s="3"/>
      <x:c r="L271" s="3"/>
      <x:c r="M271" s="3"/>
      <x:c r="N271" s="19" t="str">
        <x:f>IF(A271="","",IF(COUNTIFS('Plan versions'!$A$7:$A$306,A271)&lt;&gt;1,"Duplicate ID",IF(COUNTIFS('Cases overview'!$A$7:$A$306,B271)&lt;&gt;1,"Invalid case ref",IF(OR(D271="",E271="",F271="",G271="",L271=""),"Version info missing",IF(AND(C271&lt;&gt;"",OR(C271=A271,COUNTIFS('Plan versions'!$A$7:$A$306,C271,'Plan versions'!$B$7:$B$306,B271)&lt;&gt;1)),"Invalid parent plan ref",IF(L271="Draft","Draft not frozen",IF(OR(NOT(ISNUMBER(H271)),NOT(ISNUMBER(I271)),J271="",K271="",M271=""),"Freeze info missing",IF(I271&lt;H271,"Verify retroactive entry","Valid input"))))))))</x:f>
      </x:c>
    </x:row>
    <x:row r="272" ht="25" customHeight="1">
      <x:c r="A272" s="3"/>
      <x:c r="B272" s="3"/>
      <x:c r="C272" s="3"/>
      <x:c r="D272" s="3"/>
      <x:c r="E272" s="3"/>
      <x:c r="F272" s="3"/>
      <x:c r="G272" s="3"/>
      <x:c r="H272" s="25"/>
      <x:c r="I272" s="25"/>
      <x:c r="J272" s="3"/>
      <x:c r="K272" s="3"/>
      <x:c r="L272" s="3"/>
      <x:c r="M272" s="3"/>
      <x:c r="N272" s="19" t="str">
        <x:f>IF(A272="","",IF(COUNTIFS('Plan versions'!$A$7:$A$306,A272)&lt;&gt;1,"Duplicate ID",IF(COUNTIFS('Cases overview'!$A$7:$A$306,B272)&lt;&gt;1,"Invalid case ref",IF(OR(D272="",E272="",F272="",G272="",L272=""),"Version info missing",IF(AND(C272&lt;&gt;"",OR(C272=A272,COUNTIFS('Plan versions'!$A$7:$A$306,C272,'Plan versions'!$B$7:$B$306,B272)&lt;&gt;1)),"Invalid parent plan ref",IF(L272="Draft","Draft not frozen",IF(OR(NOT(ISNUMBER(H272)),NOT(ISNUMBER(I272)),J272="",K272="",M272=""),"Freeze info missing",IF(I272&lt;H272,"Verify retroactive entry","Valid input"))))))))</x:f>
      </x:c>
    </x:row>
    <x:row r="273" ht="25" customHeight="1">
      <x:c r="A273" s="3"/>
      <x:c r="B273" s="3"/>
      <x:c r="C273" s="3"/>
      <x:c r="D273" s="3"/>
      <x:c r="E273" s="3"/>
      <x:c r="F273" s="3"/>
      <x:c r="G273" s="3"/>
      <x:c r="H273" s="25"/>
      <x:c r="I273" s="25"/>
      <x:c r="J273" s="3"/>
      <x:c r="K273" s="3"/>
      <x:c r="L273" s="3"/>
      <x:c r="M273" s="3"/>
      <x:c r="N273" s="19" t="str">
        <x:f>IF(A273="","",IF(COUNTIFS('Plan versions'!$A$7:$A$306,A273)&lt;&gt;1,"Duplicate ID",IF(COUNTIFS('Cases overview'!$A$7:$A$306,B273)&lt;&gt;1,"Invalid case ref",IF(OR(D273="",E273="",F273="",G273="",L273=""),"Version info missing",IF(AND(C273&lt;&gt;"",OR(C273=A273,COUNTIFS('Plan versions'!$A$7:$A$306,C273,'Plan versions'!$B$7:$B$306,B273)&lt;&gt;1)),"Invalid parent plan ref",IF(L273="Draft","Draft not frozen",IF(OR(NOT(ISNUMBER(H273)),NOT(ISNUMBER(I273)),J273="",K273="",M273=""),"Freeze info missing",IF(I273&lt;H273,"Verify retroactive entry","Valid input"))))))))</x:f>
      </x:c>
    </x:row>
    <x:row r="274" ht="25" customHeight="1">
      <x:c r="A274" s="3"/>
      <x:c r="B274" s="3"/>
      <x:c r="C274" s="3"/>
      <x:c r="D274" s="3"/>
      <x:c r="E274" s="3"/>
      <x:c r="F274" s="3"/>
      <x:c r="G274" s="3"/>
      <x:c r="H274" s="25"/>
      <x:c r="I274" s="25"/>
      <x:c r="J274" s="3"/>
      <x:c r="K274" s="3"/>
      <x:c r="L274" s="3"/>
      <x:c r="M274" s="3"/>
      <x:c r="N274" s="19" t="str">
        <x:f>IF(A274="","",IF(COUNTIFS('Plan versions'!$A$7:$A$306,A274)&lt;&gt;1,"Duplicate ID",IF(COUNTIFS('Cases overview'!$A$7:$A$306,B274)&lt;&gt;1,"Invalid case ref",IF(OR(D274="",E274="",F274="",G274="",L274=""),"Version info missing",IF(AND(C274&lt;&gt;"",OR(C274=A274,COUNTIFS('Plan versions'!$A$7:$A$306,C274,'Plan versions'!$B$7:$B$306,B274)&lt;&gt;1)),"Invalid parent plan ref",IF(L274="Draft","Draft not frozen",IF(OR(NOT(ISNUMBER(H274)),NOT(ISNUMBER(I274)),J274="",K274="",M274=""),"Freeze info missing",IF(I274&lt;H274,"Verify retroactive entry","Valid input"))))))))</x:f>
      </x:c>
    </x:row>
    <x:row r="275" ht="25" customHeight="1">
      <x:c r="A275" s="3"/>
      <x:c r="B275" s="3"/>
      <x:c r="C275" s="3"/>
      <x:c r="D275" s="3"/>
      <x:c r="E275" s="3"/>
      <x:c r="F275" s="3"/>
      <x:c r="G275" s="3"/>
      <x:c r="H275" s="25"/>
      <x:c r="I275" s="25"/>
      <x:c r="J275" s="3"/>
      <x:c r="K275" s="3"/>
      <x:c r="L275" s="3"/>
      <x:c r="M275" s="3"/>
      <x:c r="N275" s="19" t="str">
        <x:f>IF(A275="","",IF(COUNTIFS('Plan versions'!$A$7:$A$306,A275)&lt;&gt;1,"Duplicate ID",IF(COUNTIFS('Cases overview'!$A$7:$A$306,B275)&lt;&gt;1,"Invalid case ref",IF(OR(D275="",E275="",F275="",G275="",L275=""),"Version info missing",IF(AND(C275&lt;&gt;"",OR(C275=A275,COUNTIFS('Plan versions'!$A$7:$A$306,C275,'Plan versions'!$B$7:$B$306,B275)&lt;&gt;1)),"Invalid parent plan ref",IF(L275="Draft","Draft not frozen",IF(OR(NOT(ISNUMBER(H275)),NOT(ISNUMBER(I275)),J275="",K275="",M275=""),"Freeze info missing",IF(I275&lt;H275,"Verify retroactive entry","Valid input"))))))))</x:f>
      </x:c>
    </x:row>
    <x:row r="276" ht="25" customHeight="1">
      <x:c r="A276" s="3"/>
      <x:c r="B276" s="3"/>
      <x:c r="C276" s="3"/>
      <x:c r="D276" s="3"/>
      <x:c r="E276" s="3"/>
      <x:c r="F276" s="3"/>
      <x:c r="G276" s="3"/>
      <x:c r="H276" s="25"/>
      <x:c r="I276" s="25"/>
      <x:c r="J276" s="3"/>
      <x:c r="K276" s="3"/>
      <x:c r="L276" s="3"/>
      <x:c r="M276" s="3"/>
      <x:c r="N276" s="19" t="str">
        <x:f>IF(A276="","",IF(COUNTIFS('Plan versions'!$A$7:$A$306,A276)&lt;&gt;1,"Duplicate ID",IF(COUNTIFS('Cases overview'!$A$7:$A$306,B276)&lt;&gt;1,"Invalid case ref",IF(OR(D276="",E276="",F276="",G276="",L276=""),"Version info missing",IF(AND(C276&lt;&gt;"",OR(C276=A276,COUNTIFS('Plan versions'!$A$7:$A$306,C276,'Plan versions'!$B$7:$B$306,B276)&lt;&gt;1)),"Invalid parent plan ref",IF(L276="Draft","Draft not frozen",IF(OR(NOT(ISNUMBER(H276)),NOT(ISNUMBER(I276)),J276="",K276="",M276=""),"Freeze info missing",IF(I276&lt;H276,"Verify retroactive entry","Valid input"))))))))</x:f>
      </x:c>
    </x:row>
    <x:row r="277" ht="25" customHeight="1">
      <x:c r="A277" s="3"/>
      <x:c r="B277" s="3"/>
      <x:c r="C277" s="3"/>
      <x:c r="D277" s="3"/>
      <x:c r="E277" s="3"/>
      <x:c r="F277" s="3"/>
      <x:c r="G277" s="3"/>
      <x:c r="H277" s="25"/>
      <x:c r="I277" s="25"/>
      <x:c r="J277" s="3"/>
      <x:c r="K277" s="3"/>
      <x:c r="L277" s="3"/>
      <x:c r="M277" s="3"/>
      <x:c r="N277" s="19" t="str">
        <x:f>IF(A277="","",IF(COUNTIFS('Plan versions'!$A$7:$A$306,A277)&lt;&gt;1,"Duplicate ID",IF(COUNTIFS('Cases overview'!$A$7:$A$306,B277)&lt;&gt;1,"Invalid case ref",IF(OR(D277="",E277="",F277="",G277="",L277=""),"Version info missing",IF(AND(C277&lt;&gt;"",OR(C277=A277,COUNTIFS('Plan versions'!$A$7:$A$306,C277,'Plan versions'!$B$7:$B$306,B277)&lt;&gt;1)),"Invalid parent plan ref",IF(L277="Draft","Draft not frozen",IF(OR(NOT(ISNUMBER(H277)),NOT(ISNUMBER(I277)),J277="",K277="",M277=""),"Freeze info missing",IF(I277&lt;H277,"Verify retroactive entry","Valid input"))))))))</x:f>
      </x:c>
    </x:row>
    <x:row r="278" ht="25" customHeight="1">
      <x:c r="A278" s="3"/>
      <x:c r="B278" s="3"/>
      <x:c r="C278" s="3"/>
      <x:c r="D278" s="3"/>
      <x:c r="E278" s="3"/>
      <x:c r="F278" s="3"/>
      <x:c r="G278" s="3"/>
      <x:c r="H278" s="25"/>
      <x:c r="I278" s="25"/>
      <x:c r="J278" s="3"/>
      <x:c r="K278" s="3"/>
      <x:c r="L278" s="3"/>
      <x:c r="M278" s="3"/>
      <x:c r="N278" s="19" t="str">
        <x:f>IF(A278="","",IF(COUNTIFS('Plan versions'!$A$7:$A$306,A278)&lt;&gt;1,"Duplicate ID",IF(COUNTIFS('Cases overview'!$A$7:$A$306,B278)&lt;&gt;1,"Invalid case ref",IF(OR(D278="",E278="",F278="",G278="",L278=""),"Version info missing",IF(AND(C278&lt;&gt;"",OR(C278=A278,COUNTIFS('Plan versions'!$A$7:$A$306,C278,'Plan versions'!$B$7:$B$306,B278)&lt;&gt;1)),"Invalid parent plan ref",IF(L278="Draft","Draft not frozen",IF(OR(NOT(ISNUMBER(H278)),NOT(ISNUMBER(I278)),J278="",K278="",M278=""),"Freeze info missing",IF(I278&lt;H278,"Verify retroactive entry","Valid input"))))))))</x:f>
      </x:c>
    </x:row>
    <x:row r="279" ht="25" customHeight="1">
      <x:c r="A279" s="3"/>
      <x:c r="B279" s="3"/>
      <x:c r="C279" s="3"/>
      <x:c r="D279" s="3"/>
      <x:c r="E279" s="3"/>
      <x:c r="F279" s="3"/>
      <x:c r="G279" s="3"/>
      <x:c r="H279" s="25"/>
      <x:c r="I279" s="25"/>
      <x:c r="J279" s="3"/>
      <x:c r="K279" s="3"/>
      <x:c r="L279" s="3"/>
      <x:c r="M279" s="3"/>
      <x:c r="N279" s="19" t="str">
        <x:f>IF(A279="","",IF(COUNTIFS('Plan versions'!$A$7:$A$306,A279)&lt;&gt;1,"Duplicate ID",IF(COUNTIFS('Cases overview'!$A$7:$A$306,B279)&lt;&gt;1,"Invalid case ref",IF(OR(D279="",E279="",F279="",G279="",L279=""),"Version info missing",IF(AND(C279&lt;&gt;"",OR(C279=A279,COUNTIFS('Plan versions'!$A$7:$A$306,C279,'Plan versions'!$B$7:$B$306,B279)&lt;&gt;1)),"Invalid parent plan ref",IF(L279="Draft","Draft not frozen",IF(OR(NOT(ISNUMBER(H279)),NOT(ISNUMBER(I279)),J279="",K279="",M279=""),"Freeze info missing",IF(I279&lt;H279,"Verify retroactive entry","Valid input"))))))))</x:f>
      </x:c>
    </x:row>
    <x:row r="280" ht="25" customHeight="1">
      <x:c r="A280" s="3"/>
      <x:c r="B280" s="3"/>
      <x:c r="C280" s="3"/>
      <x:c r="D280" s="3"/>
      <x:c r="E280" s="3"/>
      <x:c r="F280" s="3"/>
      <x:c r="G280" s="3"/>
      <x:c r="H280" s="25"/>
      <x:c r="I280" s="25"/>
      <x:c r="J280" s="3"/>
      <x:c r="K280" s="3"/>
      <x:c r="L280" s="3"/>
      <x:c r="M280" s="3"/>
      <x:c r="N280" s="19" t="str">
        <x:f>IF(A280="","",IF(COUNTIFS('Plan versions'!$A$7:$A$306,A280)&lt;&gt;1,"Duplicate ID",IF(COUNTIFS('Cases overview'!$A$7:$A$306,B280)&lt;&gt;1,"Invalid case ref",IF(OR(D280="",E280="",F280="",G280="",L280=""),"Version info missing",IF(AND(C280&lt;&gt;"",OR(C280=A280,COUNTIFS('Plan versions'!$A$7:$A$306,C280,'Plan versions'!$B$7:$B$306,B280)&lt;&gt;1)),"Invalid parent plan ref",IF(L280="Draft","Draft not frozen",IF(OR(NOT(ISNUMBER(H280)),NOT(ISNUMBER(I280)),J280="",K280="",M280=""),"Freeze info missing",IF(I280&lt;H280,"Verify retroactive entry","Valid input"))))))))</x:f>
      </x:c>
    </x:row>
    <x:row r="281" ht="25" customHeight="1">
      <x:c r="A281" s="3"/>
      <x:c r="B281" s="3"/>
      <x:c r="C281" s="3"/>
      <x:c r="D281" s="3"/>
      <x:c r="E281" s="3"/>
      <x:c r="F281" s="3"/>
      <x:c r="G281" s="3"/>
      <x:c r="H281" s="25"/>
      <x:c r="I281" s="25"/>
      <x:c r="J281" s="3"/>
      <x:c r="K281" s="3"/>
      <x:c r="L281" s="3"/>
      <x:c r="M281" s="3"/>
      <x:c r="N281" s="19" t="str">
        <x:f>IF(A281="","",IF(COUNTIFS('Plan versions'!$A$7:$A$306,A281)&lt;&gt;1,"Duplicate ID",IF(COUNTIFS('Cases overview'!$A$7:$A$306,B281)&lt;&gt;1,"Invalid case ref",IF(OR(D281="",E281="",F281="",G281="",L281=""),"Version info missing",IF(AND(C281&lt;&gt;"",OR(C281=A281,COUNTIFS('Plan versions'!$A$7:$A$306,C281,'Plan versions'!$B$7:$B$306,B281)&lt;&gt;1)),"Invalid parent plan ref",IF(L281="Draft","Draft not frozen",IF(OR(NOT(ISNUMBER(H281)),NOT(ISNUMBER(I281)),J281="",K281="",M281=""),"Freeze info missing",IF(I281&lt;H281,"Verify retroactive entry","Valid input"))))))))</x:f>
      </x:c>
    </x:row>
    <x:row r="282" ht="25" customHeight="1">
      <x:c r="A282" s="3"/>
      <x:c r="B282" s="3"/>
      <x:c r="C282" s="3"/>
      <x:c r="D282" s="3"/>
      <x:c r="E282" s="3"/>
      <x:c r="F282" s="3"/>
      <x:c r="G282" s="3"/>
      <x:c r="H282" s="25"/>
      <x:c r="I282" s="25"/>
      <x:c r="J282" s="3"/>
      <x:c r="K282" s="3"/>
      <x:c r="L282" s="3"/>
      <x:c r="M282" s="3"/>
      <x:c r="N282" s="19" t="str">
        <x:f>IF(A282="","",IF(COUNTIFS('Plan versions'!$A$7:$A$306,A282)&lt;&gt;1,"Duplicate ID",IF(COUNTIFS('Cases overview'!$A$7:$A$306,B282)&lt;&gt;1,"Invalid case ref",IF(OR(D282="",E282="",F282="",G282="",L282=""),"Version info missing",IF(AND(C282&lt;&gt;"",OR(C282=A282,COUNTIFS('Plan versions'!$A$7:$A$306,C282,'Plan versions'!$B$7:$B$306,B282)&lt;&gt;1)),"Invalid parent plan ref",IF(L282="Draft","Draft not frozen",IF(OR(NOT(ISNUMBER(H282)),NOT(ISNUMBER(I282)),J282="",K282="",M282=""),"Freeze info missing",IF(I282&lt;H282,"Verify retroactive entry","Valid input"))))))))</x:f>
      </x:c>
    </x:row>
    <x:row r="283" ht="25" customHeight="1">
      <x:c r="A283" s="3"/>
      <x:c r="B283" s="3"/>
      <x:c r="C283" s="3"/>
      <x:c r="D283" s="3"/>
      <x:c r="E283" s="3"/>
      <x:c r="F283" s="3"/>
      <x:c r="G283" s="3"/>
      <x:c r="H283" s="25"/>
      <x:c r="I283" s="25"/>
      <x:c r="J283" s="3"/>
      <x:c r="K283" s="3"/>
      <x:c r="L283" s="3"/>
      <x:c r="M283" s="3"/>
      <x:c r="N283" s="19" t="str">
        <x:f>IF(A283="","",IF(COUNTIFS('Plan versions'!$A$7:$A$306,A283)&lt;&gt;1,"Duplicate ID",IF(COUNTIFS('Cases overview'!$A$7:$A$306,B283)&lt;&gt;1,"Invalid case ref",IF(OR(D283="",E283="",F283="",G283="",L283=""),"Version info missing",IF(AND(C283&lt;&gt;"",OR(C283=A283,COUNTIFS('Plan versions'!$A$7:$A$306,C283,'Plan versions'!$B$7:$B$306,B283)&lt;&gt;1)),"Invalid parent plan ref",IF(L283="Draft","Draft not frozen",IF(OR(NOT(ISNUMBER(H283)),NOT(ISNUMBER(I283)),J283="",K283="",M283=""),"Freeze info missing",IF(I283&lt;H283,"Verify retroactive entry","Valid input"))))))))</x:f>
      </x:c>
    </x:row>
    <x:row r="284" ht="25" customHeight="1">
      <x:c r="A284" s="3"/>
      <x:c r="B284" s="3"/>
      <x:c r="C284" s="3"/>
      <x:c r="D284" s="3"/>
      <x:c r="E284" s="3"/>
      <x:c r="F284" s="3"/>
      <x:c r="G284" s="3"/>
      <x:c r="H284" s="25"/>
      <x:c r="I284" s="25"/>
      <x:c r="J284" s="3"/>
      <x:c r="K284" s="3"/>
      <x:c r="L284" s="3"/>
      <x:c r="M284" s="3"/>
      <x:c r="N284" s="19" t="str">
        <x:f>IF(A284="","",IF(COUNTIFS('Plan versions'!$A$7:$A$306,A284)&lt;&gt;1,"Duplicate ID",IF(COUNTIFS('Cases overview'!$A$7:$A$306,B284)&lt;&gt;1,"Invalid case ref",IF(OR(D284="",E284="",F284="",G284="",L284=""),"Version info missing",IF(AND(C284&lt;&gt;"",OR(C284=A284,COUNTIFS('Plan versions'!$A$7:$A$306,C284,'Plan versions'!$B$7:$B$306,B284)&lt;&gt;1)),"Invalid parent plan ref",IF(L284="Draft","Draft not frozen",IF(OR(NOT(ISNUMBER(H284)),NOT(ISNUMBER(I284)),J284="",K284="",M284=""),"Freeze info missing",IF(I284&lt;H284,"Verify retroactive entry","Valid input"))))))))</x:f>
      </x:c>
    </x:row>
    <x:row r="285" ht="25" customHeight="1">
      <x:c r="A285" s="3"/>
      <x:c r="B285" s="3"/>
      <x:c r="C285" s="3"/>
      <x:c r="D285" s="3"/>
      <x:c r="E285" s="3"/>
      <x:c r="F285" s="3"/>
      <x:c r="G285" s="3"/>
      <x:c r="H285" s="25"/>
      <x:c r="I285" s="25"/>
      <x:c r="J285" s="3"/>
      <x:c r="K285" s="3"/>
      <x:c r="L285" s="3"/>
      <x:c r="M285" s="3"/>
      <x:c r="N285" s="19" t="str">
        <x:f>IF(A285="","",IF(COUNTIFS('Plan versions'!$A$7:$A$306,A285)&lt;&gt;1,"Duplicate ID",IF(COUNTIFS('Cases overview'!$A$7:$A$306,B285)&lt;&gt;1,"Invalid case ref",IF(OR(D285="",E285="",F285="",G285="",L285=""),"Version info missing",IF(AND(C285&lt;&gt;"",OR(C285=A285,COUNTIFS('Plan versions'!$A$7:$A$306,C285,'Plan versions'!$B$7:$B$306,B285)&lt;&gt;1)),"Invalid parent plan ref",IF(L285="Draft","Draft not frozen",IF(OR(NOT(ISNUMBER(H285)),NOT(ISNUMBER(I285)),J285="",K285="",M285=""),"Freeze info missing",IF(I285&lt;H285,"Verify retroactive entry","Valid input"))))))))</x:f>
      </x:c>
    </x:row>
    <x:row r="286" ht="25" customHeight="1">
      <x:c r="A286" s="3"/>
      <x:c r="B286" s="3"/>
      <x:c r="C286" s="3"/>
      <x:c r="D286" s="3"/>
      <x:c r="E286" s="3"/>
      <x:c r="F286" s="3"/>
      <x:c r="G286" s="3"/>
      <x:c r="H286" s="25"/>
      <x:c r="I286" s="25"/>
      <x:c r="J286" s="3"/>
      <x:c r="K286" s="3"/>
      <x:c r="L286" s="3"/>
      <x:c r="M286" s="3"/>
      <x:c r="N286" s="19" t="str">
        <x:f>IF(A286="","",IF(COUNTIFS('Plan versions'!$A$7:$A$306,A286)&lt;&gt;1,"Duplicate ID",IF(COUNTIFS('Cases overview'!$A$7:$A$306,B286)&lt;&gt;1,"Invalid case ref",IF(OR(D286="",E286="",F286="",G286="",L286=""),"Version info missing",IF(AND(C286&lt;&gt;"",OR(C286=A286,COUNTIFS('Plan versions'!$A$7:$A$306,C286,'Plan versions'!$B$7:$B$306,B286)&lt;&gt;1)),"Invalid parent plan ref",IF(L286="Draft","Draft not frozen",IF(OR(NOT(ISNUMBER(H286)),NOT(ISNUMBER(I286)),J286="",K286="",M286=""),"Freeze info missing",IF(I286&lt;H286,"Verify retroactive entry","Valid input"))))))))</x:f>
      </x:c>
    </x:row>
    <x:row r="287" ht="25" customHeight="1">
      <x:c r="A287" s="3"/>
      <x:c r="B287" s="3"/>
      <x:c r="C287" s="3"/>
      <x:c r="D287" s="3"/>
      <x:c r="E287" s="3"/>
      <x:c r="F287" s="3"/>
      <x:c r="G287" s="3"/>
      <x:c r="H287" s="25"/>
      <x:c r="I287" s="25"/>
      <x:c r="J287" s="3"/>
      <x:c r="K287" s="3"/>
      <x:c r="L287" s="3"/>
      <x:c r="M287" s="3"/>
      <x:c r="N287" s="19" t="str">
        <x:f>IF(A287="","",IF(COUNTIFS('Plan versions'!$A$7:$A$306,A287)&lt;&gt;1,"Duplicate ID",IF(COUNTIFS('Cases overview'!$A$7:$A$306,B287)&lt;&gt;1,"Invalid case ref",IF(OR(D287="",E287="",F287="",G287="",L287=""),"Version info missing",IF(AND(C287&lt;&gt;"",OR(C287=A287,COUNTIFS('Plan versions'!$A$7:$A$306,C287,'Plan versions'!$B$7:$B$306,B287)&lt;&gt;1)),"Invalid parent plan ref",IF(L287="Draft","Draft not frozen",IF(OR(NOT(ISNUMBER(H287)),NOT(ISNUMBER(I287)),J287="",K287="",M287=""),"Freeze info missing",IF(I287&lt;H287,"Verify retroactive entry","Valid input"))))))))</x:f>
      </x:c>
    </x:row>
    <x:row r="288" ht="25" customHeight="1">
      <x:c r="A288" s="3"/>
      <x:c r="B288" s="3"/>
      <x:c r="C288" s="3"/>
      <x:c r="D288" s="3"/>
      <x:c r="E288" s="3"/>
      <x:c r="F288" s="3"/>
      <x:c r="G288" s="3"/>
      <x:c r="H288" s="25"/>
      <x:c r="I288" s="25"/>
      <x:c r="J288" s="3"/>
      <x:c r="K288" s="3"/>
      <x:c r="L288" s="3"/>
      <x:c r="M288" s="3"/>
      <x:c r="N288" s="19" t="str">
        <x:f>IF(A288="","",IF(COUNTIFS('Plan versions'!$A$7:$A$306,A288)&lt;&gt;1,"Duplicate ID",IF(COUNTIFS('Cases overview'!$A$7:$A$306,B288)&lt;&gt;1,"Invalid case ref",IF(OR(D288="",E288="",F288="",G288="",L288=""),"Version info missing",IF(AND(C288&lt;&gt;"",OR(C288=A288,COUNTIFS('Plan versions'!$A$7:$A$306,C288,'Plan versions'!$B$7:$B$306,B288)&lt;&gt;1)),"Invalid parent plan ref",IF(L288="Draft","Draft not frozen",IF(OR(NOT(ISNUMBER(H288)),NOT(ISNUMBER(I288)),J288="",K288="",M288=""),"Freeze info missing",IF(I288&lt;H288,"Verify retroactive entry","Valid input"))))))))</x:f>
      </x:c>
    </x:row>
    <x:row r="289" ht="25" customHeight="1">
      <x:c r="A289" s="3"/>
      <x:c r="B289" s="3"/>
      <x:c r="C289" s="3"/>
      <x:c r="D289" s="3"/>
      <x:c r="E289" s="3"/>
      <x:c r="F289" s="3"/>
      <x:c r="G289" s="3"/>
      <x:c r="H289" s="25"/>
      <x:c r="I289" s="25"/>
      <x:c r="J289" s="3"/>
      <x:c r="K289" s="3"/>
      <x:c r="L289" s="3"/>
      <x:c r="M289" s="3"/>
      <x:c r="N289" s="19" t="str">
        <x:f>IF(A289="","",IF(COUNTIFS('Plan versions'!$A$7:$A$306,A289)&lt;&gt;1,"Duplicate ID",IF(COUNTIFS('Cases overview'!$A$7:$A$306,B289)&lt;&gt;1,"Invalid case ref",IF(OR(D289="",E289="",F289="",G289="",L289=""),"Version info missing",IF(AND(C289&lt;&gt;"",OR(C289=A289,COUNTIFS('Plan versions'!$A$7:$A$306,C289,'Plan versions'!$B$7:$B$306,B289)&lt;&gt;1)),"Invalid parent plan ref",IF(L289="Draft","Draft not frozen",IF(OR(NOT(ISNUMBER(H289)),NOT(ISNUMBER(I289)),J289="",K289="",M289=""),"Freeze info missing",IF(I289&lt;H289,"Verify retroactive entry","Valid input"))))))))</x:f>
      </x:c>
    </x:row>
    <x:row r="290" ht="25" customHeight="1">
      <x:c r="A290" s="3"/>
      <x:c r="B290" s="3"/>
      <x:c r="C290" s="3"/>
      <x:c r="D290" s="3"/>
      <x:c r="E290" s="3"/>
      <x:c r="F290" s="3"/>
      <x:c r="G290" s="3"/>
      <x:c r="H290" s="25"/>
      <x:c r="I290" s="25"/>
      <x:c r="J290" s="3"/>
      <x:c r="K290" s="3"/>
      <x:c r="L290" s="3"/>
      <x:c r="M290" s="3"/>
      <x:c r="N290" s="19" t="str">
        <x:f>IF(A290="","",IF(COUNTIFS('Plan versions'!$A$7:$A$306,A290)&lt;&gt;1,"Duplicate ID",IF(COUNTIFS('Cases overview'!$A$7:$A$306,B290)&lt;&gt;1,"Invalid case ref",IF(OR(D290="",E290="",F290="",G290="",L290=""),"Version info missing",IF(AND(C290&lt;&gt;"",OR(C290=A290,COUNTIFS('Plan versions'!$A$7:$A$306,C290,'Plan versions'!$B$7:$B$306,B290)&lt;&gt;1)),"Invalid parent plan ref",IF(L290="Draft","Draft not frozen",IF(OR(NOT(ISNUMBER(H290)),NOT(ISNUMBER(I290)),J290="",K290="",M290=""),"Freeze info missing",IF(I290&lt;H290,"Verify retroactive entry","Valid input"))))))))</x:f>
      </x:c>
    </x:row>
    <x:row r="291" ht="25" customHeight="1">
      <x:c r="A291" s="3"/>
      <x:c r="B291" s="3"/>
      <x:c r="C291" s="3"/>
      <x:c r="D291" s="3"/>
      <x:c r="E291" s="3"/>
      <x:c r="F291" s="3"/>
      <x:c r="G291" s="3"/>
      <x:c r="H291" s="25"/>
      <x:c r="I291" s="25"/>
      <x:c r="J291" s="3"/>
      <x:c r="K291" s="3"/>
      <x:c r="L291" s="3"/>
      <x:c r="M291" s="3"/>
      <x:c r="N291" s="19" t="str">
        <x:f>IF(A291="","",IF(COUNTIFS('Plan versions'!$A$7:$A$306,A291)&lt;&gt;1,"Duplicate ID",IF(COUNTIFS('Cases overview'!$A$7:$A$306,B291)&lt;&gt;1,"Invalid case ref",IF(OR(D291="",E291="",F291="",G291="",L291=""),"Version info missing",IF(AND(C291&lt;&gt;"",OR(C291=A291,COUNTIFS('Plan versions'!$A$7:$A$306,C291,'Plan versions'!$B$7:$B$306,B291)&lt;&gt;1)),"Invalid parent plan ref",IF(L291="Draft","Draft not frozen",IF(OR(NOT(ISNUMBER(H291)),NOT(ISNUMBER(I291)),J291="",K291="",M291=""),"Freeze info missing",IF(I291&lt;H291,"Verify retroactive entry","Valid input"))))))))</x:f>
      </x:c>
    </x:row>
    <x:row r="292" ht="25" customHeight="1">
      <x:c r="A292" s="3"/>
      <x:c r="B292" s="3"/>
      <x:c r="C292" s="3"/>
      <x:c r="D292" s="3"/>
      <x:c r="E292" s="3"/>
      <x:c r="F292" s="3"/>
      <x:c r="G292" s="3"/>
      <x:c r="H292" s="25"/>
      <x:c r="I292" s="25"/>
      <x:c r="J292" s="3"/>
      <x:c r="K292" s="3"/>
      <x:c r="L292" s="3"/>
      <x:c r="M292" s="3"/>
      <x:c r="N292" s="19" t="str">
        <x:f>IF(A292="","",IF(COUNTIFS('Plan versions'!$A$7:$A$306,A292)&lt;&gt;1,"Duplicate ID",IF(COUNTIFS('Cases overview'!$A$7:$A$306,B292)&lt;&gt;1,"Invalid case ref",IF(OR(D292="",E292="",F292="",G292="",L292=""),"Version info missing",IF(AND(C292&lt;&gt;"",OR(C292=A292,COUNTIFS('Plan versions'!$A$7:$A$306,C292,'Plan versions'!$B$7:$B$306,B292)&lt;&gt;1)),"Invalid parent plan ref",IF(L292="Draft","Draft not frozen",IF(OR(NOT(ISNUMBER(H292)),NOT(ISNUMBER(I292)),J292="",K292="",M292=""),"Freeze info missing",IF(I292&lt;H292,"Verify retroactive entry","Valid input"))))))))</x:f>
      </x:c>
    </x:row>
    <x:row r="293" ht="25" customHeight="1">
      <x:c r="A293" s="3"/>
      <x:c r="B293" s="3"/>
      <x:c r="C293" s="3"/>
      <x:c r="D293" s="3"/>
      <x:c r="E293" s="3"/>
      <x:c r="F293" s="3"/>
      <x:c r="G293" s="3"/>
      <x:c r="H293" s="25"/>
      <x:c r="I293" s="25"/>
      <x:c r="J293" s="3"/>
      <x:c r="K293" s="3"/>
      <x:c r="L293" s="3"/>
      <x:c r="M293" s="3"/>
      <x:c r="N293" s="19" t="str">
        <x:f>IF(A293="","",IF(COUNTIFS('Plan versions'!$A$7:$A$306,A293)&lt;&gt;1,"Duplicate ID",IF(COUNTIFS('Cases overview'!$A$7:$A$306,B293)&lt;&gt;1,"Invalid case ref",IF(OR(D293="",E293="",F293="",G293="",L293=""),"Version info missing",IF(AND(C293&lt;&gt;"",OR(C293=A293,COUNTIFS('Plan versions'!$A$7:$A$306,C293,'Plan versions'!$B$7:$B$306,B293)&lt;&gt;1)),"Invalid parent plan ref",IF(L293="Draft","Draft not frozen",IF(OR(NOT(ISNUMBER(H293)),NOT(ISNUMBER(I293)),J293="",K293="",M293=""),"Freeze info missing",IF(I293&lt;H293,"Verify retroactive entry","Valid input"))))))))</x:f>
      </x:c>
    </x:row>
    <x:row r="294" ht="25" customHeight="1">
      <x:c r="A294" s="3"/>
      <x:c r="B294" s="3"/>
      <x:c r="C294" s="3"/>
      <x:c r="D294" s="3"/>
      <x:c r="E294" s="3"/>
      <x:c r="F294" s="3"/>
      <x:c r="G294" s="3"/>
      <x:c r="H294" s="25"/>
      <x:c r="I294" s="25"/>
      <x:c r="J294" s="3"/>
      <x:c r="K294" s="3"/>
      <x:c r="L294" s="3"/>
      <x:c r="M294" s="3"/>
      <x:c r="N294" s="19" t="str">
        <x:f>IF(A294="","",IF(COUNTIFS('Plan versions'!$A$7:$A$306,A294)&lt;&gt;1,"Duplicate ID",IF(COUNTIFS('Cases overview'!$A$7:$A$306,B294)&lt;&gt;1,"Invalid case ref",IF(OR(D294="",E294="",F294="",G294="",L294=""),"Version info missing",IF(AND(C294&lt;&gt;"",OR(C294=A294,COUNTIFS('Plan versions'!$A$7:$A$306,C294,'Plan versions'!$B$7:$B$306,B294)&lt;&gt;1)),"Invalid parent plan ref",IF(L294="Draft","Draft not frozen",IF(OR(NOT(ISNUMBER(H294)),NOT(ISNUMBER(I294)),J294="",K294="",M294=""),"Freeze info missing",IF(I294&lt;H294,"Verify retroactive entry","Valid input"))))))))</x:f>
      </x:c>
    </x:row>
    <x:row r="295" ht="25" customHeight="1">
      <x:c r="A295" s="3"/>
      <x:c r="B295" s="3"/>
      <x:c r="C295" s="3"/>
      <x:c r="D295" s="3"/>
      <x:c r="E295" s="3"/>
      <x:c r="F295" s="3"/>
      <x:c r="G295" s="3"/>
      <x:c r="H295" s="25"/>
      <x:c r="I295" s="25"/>
      <x:c r="J295" s="3"/>
      <x:c r="K295" s="3"/>
      <x:c r="L295" s="3"/>
      <x:c r="M295" s="3"/>
      <x:c r="N295" s="19" t="str">
        <x:f>IF(A295="","",IF(COUNTIFS('Plan versions'!$A$7:$A$306,A295)&lt;&gt;1,"Duplicate ID",IF(COUNTIFS('Cases overview'!$A$7:$A$306,B295)&lt;&gt;1,"Invalid case ref",IF(OR(D295="",E295="",F295="",G295="",L295=""),"Version info missing",IF(AND(C295&lt;&gt;"",OR(C295=A295,COUNTIFS('Plan versions'!$A$7:$A$306,C295,'Plan versions'!$B$7:$B$306,B295)&lt;&gt;1)),"Invalid parent plan ref",IF(L295="Draft","Draft not frozen",IF(OR(NOT(ISNUMBER(H295)),NOT(ISNUMBER(I295)),J295="",K295="",M295=""),"Freeze info missing",IF(I295&lt;H295,"Verify retroactive entry","Valid input"))))))))</x:f>
      </x:c>
    </x:row>
    <x:row r="296" ht="25" customHeight="1">
      <x:c r="A296" s="3"/>
      <x:c r="B296" s="3"/>
      <x:c r="C296" s="3"/>
      <x:c r="D296" s="3"/>
      <x:c r="E296" s="3"/>
      <x:c r="F296" s="3"/>
      <x:c r="G296" s="3"/>
      <x:c r="H296" s="25"/>
      <x:c r="I296" s="25"/>
      <x:c r="J296" s="3"/>
      <x:c r="K296" s="3"/>
      <x:c r="L296" s="3"/>
      <x:c r="M296" s="3"/>
      <x:c r="N296" s="19" t="str">
        <x:f>IF(A296="","",IF(COUNTIFS('Plan versions'!$A$7:$A$306,A296)&lt;&gt;1,"Duplicate ID",IF(COUNTIFS('Cases overview'!$A$7:$A$306,B296)&lt;&gt;1,"Invalid case ref",IF(OR(D296="",E296="",F296="",G296="",L296=""),"Version info missing",IF(AND(C296&lt;&gt;"",OR(C296=A296,COUNTIFS('Plan versions'!$A$7:$A$306,C296,'Plan versions'!$B$7:$B$306,B296)&lt;&gt;1)),"Invalid parent plan ref",IF(L296="Draft","Draft not frozen",IF(OR(NOT(ISNUMBER(H296)),NOT(ISNUMBER(I296)),J296="",K296="",M296=""),"Freeze info missing",IF(I296&lt;H296,"Verify retroactive entry","Valid input"))))))))</x:f>
      </x:c>
    </x:row>
    <x:row r="297" ht="25" customHeight="1">
      <x:c r="A297" s="3"/>
      <x:c r="B297" s="3"/>
      <x:c r="C297" s="3"/>
      <x:c r="D297" s="3"/>
      <x:c r="E297" s="3"/>
      <x:c r="F297" s="3"/>
      <x:c r="G297" s="3"/>
      <x:c r="H297" s="25"/>
      <x:c r="I297" s="25"/>
      <x:c r="J297" s="3"/>
      <x:c r="K297" s="3"/>
      <x:c r="L297" s="3"/>
      <x:c r="M297" s="3"/>
      <x:c r="N297" s="19" t="str">
        <x:f>IF(A297="","",IF(COUNTIFS('Plan versions'!$A$7:$A$306,A297)&lt;&gt;1,"Duplicate ID",IF(COUNTIFS('Cases overview'!$A$7:$A$306,B297)&lt;&gt;1,"Invalid case ref",IF(OR(D297="",E297="",F297="",G297="",L297=""),"Version info missing",IF(AND(C297&lt;&gt;"",OR(C297=A297,COUNTIFS('Plan versions'!$A$7:$A$306,C297,'Plan versions'!$B$7:$B$306,B297)&lt;&gt;1)),"Invalid parent plan ref",IF(L297="Draft","Draft not frozen",IF(OR(NOT(ISNUMBER(H297)),NOT(ISNUMBER(I297)),J297="",K297="",M297=""),"Freeze info missing",IF(I297&lt;H297,"Verify retroactive entry","Valid input"))))))))</x:f>
      </x:c>
    </x:row>
    <x:row r="298" ht="25" customHeight="1">
      <x:c r="A298" s="3"/>
      <x:c r="B298" s="3"/>
      <x:c r="C298" s="3"/>
      <x:c r="D298" s="3"/>
      <x:c r="E298" s="3"/>
      <x:c r="F298" s="3"/>
      <x:c r="G298" s="3"/>
      <x:c r="H298" s="25"/>
      <x:c r="I298" s="25"/>
      <x:c r="J298" s="3"/>
      <x:c r="K298" s="3"/>
      <x:c r="L298" s="3"/>
      <x:c r="M298" s="3"/>
      <x:c r="N298" s="19" t="str">
        <x:f>IF(A298="","",IF(COUNTIFS('Plan versions'!$A$7:$A$306,A298)&lt;&gt;1,"Duplicate ID",IF(COUNTIFS('Cases overview'!$A$7:$A$306,B298)&lt;&gt;1,"Invalid case ref",IF(OR(D298="",E298="",F298="",G298="",L298=""),"Version info missing",IF(AND(C298&lt;&gt;"",OR(C298=A298,COUNTIFS('Plan versions'!$A$7:$A$306,C298,'Plan versions'!$B$7:$B$306,B298)&lt;&gt;1)),"Invalid parent plan ref",IF(L298="Draft","Draft not frozen",IF(OR(NOT(ISNUMBER(H298)),NOT(ISNUMBER(I298)),J298="",K298="",M298=""),"Freeze info missing",IF(I298&lt;H298,"Verify retroactive entry","Valid input"))))))))</x:f>
      </x:c>
    </x:row>
    <x:row r="299" ht="25" customHeight="1">
      <x:c r="A299" s="3"/>
      <x:c r="B299" s="3"/>
      <x:c r="C299" s="3"/>
      <x:c r="D299" s="3"/>
      <x:c r="E299" s="3"/>
      <x:c r="F299" s="3"/>
      <x:c r="G299" s="3"/>
      <x:c r="H299" s="25"/>
      <x:c r="I299" s="25"/>
      <x:c r="J299" s="3"/>
      <x:c r="K299" s="3"/>
      <x:c r="L299" s="3"/>
      <x:c r="M299" s="3"/>
      <x:c r="N299" s="19" t="str">
        <x:f>IF(A299="","",IF(COUNTIFS('Plan versions'!$A$7:$A$306,A299)&lt;&gt;1,"Duplicate ID",IF(COUNTIFS('Cases overview'!$A$7:$A$306,B299)&lt;&gt;1,"Invalid case ref",IF(OR(D299="",E299="",F299="",G299="",L299=""),"Version info missing",IF(AND(C299&lt;&gt;"",OR(C299=A299,COUNTIFS('Plan versions'!$A$7:$A$306,C299,'Plan versions'!$B$7:$B$306,B299)&lt;&gt;1)),"Invalid parent plan ref",IF(L299="Draft","Draft not frozen",IF(OR(NOT(ISNUMBER(H299)),NOT(ISNUMBER(I299)),J299="",K299="",M299=""),"Freeze info missing",IF(I299&lt;H299,"Verify retroactive entry","Valid input"))))))))</x:f>
      </x:c>
    </x:row>
    <x:row r="300" ht="25" customHeight="1">
      <x:c r="A300" s="3"/>
      <x:c r="B300" s="3"/>
      <x:c r="C300" s="3"/>
      <x:c r="D300" s="3"/>
      <x:c r="E300" s="3"/>
      <x:c r="F300" s="3"/>
      <x:c r="G300" s="3"/>
      <x:c r="H300" s="25"/>
      <x:c r="I300" s="25"/>
      <x:c r="J300" s="3"/>
      <x:c r="K300" s="3"/>
      <x:c r="L300" s="3"/>
      <x:c r="M300" s="3"/>
      <x:c r="N300" s="19" t="str">
        <x:f>IF(A300="","",IF(COUNTIFS('Plan versions'!$A$7:$A$306,A300)&lt;&gt;1,"Duplicate ID",IF(COUNTIFS('Cases overview'!$A$7:$A$306,B300)&lt;&gt;1,"Invalid case ref",IF(OR(D300="",E300="",F300="",G300="",L300=""),"Version info missing",IF(AND(C300&lt;&gt;"",OR(C300=A300,COUNTIFS('Plan versions'!$A$7:$A$306,C300,'Plan versions'!$B$7:$B$306,B300)&lt;&gt;1)),"Invalid parent plan ref",IF(L300="Draft","Draft not frozen",IF(OR(NOT(ISNUMBER(H300)),NOT(ISNUMBER(I300)),J300="",K300="",M300=""),"Freeze info missing",IF(I300&lt;H300,"Verify retroactive entry","Valid input"))))))))</x:f>
      </x:c>
    </x:row>
    <x:row r="301" ht="25" customHeight="1">
      <x:c r="A301" s="3"/>
      <x:c r="B301" s="3"/>
      <x:c r="C301" s="3"/>
      <x:c r="D301" s="3"/>
      <x:c r="E301" s="3"/>
      <x:c r="F301" s="3"/>
      <x:c r="G301" s="3"/>
      <x:c r="H301" s="25"/>
      <x:c r="I301" s="25"/>
      <x:c r="J301" s="3"/>
      <x:c r="K301" s="3"/>
      <x:c r="L301" s="3"/>
      <x:c r="M301" s="3"/>
      <x:c r="N301" s="19" t="str">
        <x:f>IF(A301="","",IF(COUNTIFS('Plan versions'!$A$7:$A$306,A301)&lt;&gt;1,"Duplicate ID",IF(COUNTIFS('Cases overview'!$A$7:$A$306,B301)&lt;&gt;1,"Invalid case ref",IF(OR(D301="",E301="",F301="",G301="",L301=""),"Version info missing",IF(AND(C301&lt;&gt;"",OR(C301=A301,COUNTIFS('Plan versions'!$A$7:$A$306,C301,'Plan versions'!$B$7:$B$306,B301)&lt;&gt;1)),"Invalid parent plan ref",IF(L301="Draft","Draft not frozen",IF(OR(NOT(ISNUMBER(H301)),NOT(ISNUMBER(I301)),J301="",K301="",M301=""),"Freeze info missing",IF(I301&lt;H301,"Verify retroactive entry","Valid input"))))))))</x:f>
      </x:c>
    </x:row>
    <x:row r="302" ht="25" customHeight="1">
      <x:c r="A302" s="3"/>
      <x:c r="B302" s="3"/>
      <x:c r="C302" s="3"/>
      <x:c r="D302" s="3"/>
      <x:c r="E302" s="3"/>
      <x:c r="F302" s="3"/>
      <x:c r="G302" s="3"/>
      <x:c r="H302" s="25"/>
      <x:c r="I302" s="25"/>
      <x:c r="J302" s="3"/>
      <x:c r="K302" s="3"/>
      <x:c r="L302" s="3"/>
      <x:c r="M302" s="3"/>
      <x:c r="N302" s="19" t="str">
        <x:f>IF(A302="","",IF(COUNTIFS('Plan versions'!$A$7:$A$306,A302)&lt;&gt;1,"Duplicate ID",IF(COUNTIFS('Cases overview'!$A$7:$A$306,B302)&lt;&gt;1,"Invalid case ref",IF(OR(D302="",E302="",F302="",G302="",L302=""),"Version info missing",IF(AND(C302&lt;&gt;"",OR(C302=A302,COUNTIFS('Plan versions'!$A$7:$A$306,C302,'Plan versions'!$B$7:$B$306,B302)&lt;&gt;1)),"Invalid parent plan ref",IF(L302="Draft","Draft not frozen",IF(OR(NOT(ISNUMBER(H302)),NOT(ISNUMBER(I302)),J302="",K302="",M302=""),"Freeze info missing",IF(I302&lt;H302,"Verify retroactive entry","Valid input"))))))))</x:f>
      </x:c>
    </x:row>
    <x:row r="303" ht="25" customHeight="1">
      <x:c r="A303" s="3"/>
      <x:c r="B303" s="3"/>
      <x:c r="C303" s="3"/>
      <x:c r="D303" s="3"/>
      <x:c r="E303" s="3"/>
      <x:c r="F303" s="3"/>
      <x:c r="G303" s="3"/>
      <x:c r="H303" s="25"/>
      <x:c r="I303" s="25"/>
      <x:c r="J303" s="3"/>
      <x:c r="K303" s="3"/>
      <x:c r="L303" s="3"/>
      <x:c r="M303" s="3"/>
      <x:c r="N303" s="19" t="str">
        <x:f>IF(A303="","",IF(COUNTIFS('Plan versions'!$A$7:$A$306,A303)&lt;&gt;1,"Duplicate ID",IF(COUNTIFS('Cases overview'!$A$7:$A$306,B303)&lt;&gt;1,"Invalid case ref",IF(OR(D303="",E303="",F303="",G303="",L303=""),"Version info missing",IF(AND(C303&lt;&gt;"",OR(C303=A303,COUNTIFS('Plan versions'!$A$7:$A$306,C303,'Plan versions'!$B$7:$B$306,B303)&lt;&gt;1)),"Invalid parent plan ref",IF(L303="Draft","Draft not frozen",IF(OR(NOT(ISNUMBER(H303)),NOT(ISNUMBER(I303)),J303="",K303="",M303=""),"Freeze info missing",IF(I303&lt;H303,"Verify retroactive entry","Valid input"))))))))</x:f>
      </x:c>
    </x:row>
    <x:row r="304" ht="25" customHeight="1">
      <x:c r="A304" s="3"/>
      <x:c r="B304" s="3"/>
      <x:c r="C304" s="3"/>
      <x:c r="D304" s="3"/>
      <x:c r="E304" s="3"/>
      <x:c r="F304" s="3"/>
      <x:c r="G304" s="3"/>
      <x:c r="H304" s="25"/>
      <x:c r="I304" s="25"/>
      <x:c r="J304" s="3"/>
      <x:c r="K304" s="3"/>
      <x:c r="L304" s="3"/>
      <x:c r="M304" s="3"/>
      <x:c r="N304" s="19" t="str">
        <x:f>IF(A304="","",IF(COUNTIFS('Plan versions'!$A$7:$A$306,A304)&lt;&gt;1,"Duplicate ID",IF(COUNTIFS('Cases overview'!$A$7:$A$306,B304)&lt;&gt;1,"Invalid case ref",IF(OR(D304="",E304="",F304="",G304="",L304=""),"Version info missing",IF(AND(C304&lt;&gt;"",OR(C304=A304,COUNTIFS('Plan versions'!$A$7:$A$306,C304,'Plan versions'!$B$7:$B$306,B304)&lt;&gt;1)),"Invalid parent plan ref",IF(L304="Draft","Draft not frozen",IF(OR(NOT(ISNUMBER(H304)),NOT(ISNUMBER(I304)),J304="",K304="",M304=""),"Freeze info missing",IF(I304&lt;H304,"Verify retroactive entry","Valid input"))))))))</x:f>
      </x:c>
    </x:row>
    <x:row r="305" ht="25" customHeight="1">
      <x:c r="A305" s="3"/>
      <x:c r="B305" s="3"/>
      <x:c r="C305" s="3"/>
      <x:c r="D305" s="3"/>
      <x:c r="E305" s="3"/>
      <x:c r="F305" s="3"/>
      <x:c r="G305" s="3"/>
      <x:c r="H305" s="25"/>
      <x:c r="I305" s="25"/>
      <x:c r="J305" s="3"/>
      <x:c r="K305" s="3"/>
      <x:c r="L305" s="3"/>
      <x:c r="M305" s="3"/>
      <x:c r="N305" s="19" t="str">
        <x:f>IF(A305="","",IF(COUNTIFS('Plan versions'!$A$7:$A$306,A305)&lt;&gt;1,"Duplicate ID",IF(COUNTIFS('Cases overview'!$A$7:$A$306,B305)&lt;&gt;1,"Invalid case ref",IF(OR(D305="",E305="",F305="",G305="",L305=""),"Version info missing",IF(AND(C305&lt;&gt;"",OR(C305=A305,COUNTIFS('Plan versions'!$A$7:$A$306,C305,'Plan versions'!$B$7:$B$306,B305)&lt;&gt;1)),"Invalid parent plan ref",IF(L305="Draft","Draft not frozen",IF(OR(NOT(ISNUMBER(H305)),NOT(ISNUMBER(I305)),J305="",K305="",M305=""),"Freeze info missing",IF(I305&lt;H305,"Verify retroactive entry","Valid input"))))))))</x:f>
      </x:c>
    </x:row>
    <x:row r="306" ht="25" customHeight="1">
      <x:c r="A306" s="3"/>
      <x:c r="B306" s="3"/>
      <x:c r="C306" s="3"/>
      <x:c r="D306" s="3"/>
      <x:c r="E306" s="3"/>
      <x:c r="F306" s="3"/>
      <x:c r="G306" s="3"/>
      <x:c r="H306" s="25"/>
      <x:c r="I306" s="25"/>
      <x:c r="J306" s="3"/>
      <x:c r="K306" s="3"/>
      <x:c r="L306" s="3"/>
      <x:c r="M306" s="3"/>
      <x:c r="N306" s="19" t="str">
        <x:f>IF(A306="","",IF(COUNTIFS('Plan versions'!$A$7:$A$306,A306)&lt;&gt;1,"Duplicate ID",IF(COUNTIFS('Cases overview'!$A$7:$A$306,B306)&lt;&gt;1,"Invalid case ref",IF(OR(D306="",E306="",F306="",G306="",L306=""),"Version info missing",IF(AND(C306&lt;&gt;"",OR(C306=A306,COUNTIFS('Plan versions'!$A$7:$A$306,C306,'Plan versions'!$B$7:$B$306,B306)&lt;&gt;1)),"Invalid parent plan ref",IF(L306="Draft","Draft not frozen",IF(OR(NOT(ISNUMBER(H306)),NOT(ISNUMBER(I306)),J306="",K306="",M306=""),"Freeze info missing",IF(I306&lt;H306,"Verify retroactive entry","Valid input"))))))))</x:f>
      </x:c>
    </x:row>
  </x:sheetData>
  <x:conditionalFormatting sqref="N7:N306">
    <x:cfRule type="expression" dxfId="1" priority="1">
      <x:formula>AND($A7&lt;&gt;"",N7&lt;&gt;"Valid input")</x:formula>
    </x:cfRule>
  </x:conditionalFormatting>
  <x:dataValidations count="2">
    <x:dataValidation type="list" sqref="K7:K306">
      <x:formula1>"Observe,Probe,Build-up,Maintain,Scale up,Withdraw"</x:formula1>
    </x:dataValidation>
    <x:dataValidation type="list" sqref="L7:L306">
      <x:formula1>"Draft,Frozen"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f8c7851d244e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0" hidden="0" customWidth="1"/>
    <x:col min="5" max="5" width="23" hidden="0" customWidth="1"/>
    <x:col min="6" max="6" width="23" hidden="0" customWidth="1"/>
    <x:col min="7" max="7" width="29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9" hidden="0" customWidth="1"/>
    <x:col min="14" max="14" width="29" hidden="0" customWidth="1"/>
    <x:col min="15" max="15" width="29" hidden="0" customWidth="1"/>
    <x:col min="16" max="16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16" t="str">
        <x:v>Execution log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25" customHeight="1">
      <x:c r="A3" s="18" t="str">
        <x:v>One row per execution. Spend = cash spend only; enter 0 for no spend/time, leave blank if missing.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12" t="str">
        <x:v>Execution ID</x:v>
      </x:c>
      <x:c r="B6" s="13" t="str">
        <x:v>Case ID</x:v>
      </x:c>
      <x:c r="C6" s="13" t="str">
        <x:v>Plan ID</x:v>
      </x:c>
      <x:c r="D6" s="13" t="str">
        <x:v>Action ID</x:v>
      </x:c>
      <x:c r="E6" s="13" t="str">
        <x:v>Occurred at</x:v>
      </x:c>
      <x:c r="F6" s="13" t="str">
        <x:v>Recorded at</x:v>
      </x:c>
      <x:c r="G6" s="13" t="str">
        <x:v>Actual action and deviation</x:v>
      </x:c>
      <x:c r="H6" s="13" t="str">
        <x:v>Cash spend</x:v>
      </x:c>
      <x:c r="I6" s="13" t="str">
        <x:v>Currency</x:v>
      </x:c>
      <x:c r="J6" s="13" t="str">
        <x:v>Time spent (h)</x:v>
      </x:c>
      <x:c r="K6" s="13" t="str">
        <x:v>Execution progress</x:v>
      </x:c>
      <x:c r="L6" s="13" t="str">
        <x:v>Record status</x:v>
      </x:c>
      <x:c r="M6" s="13" t="str">
        <x:v>Corrects EX</x:v>
      </x:c>
      <x:c r="N6" s="13" t="str">
        <x:v>Observation OB refs</x:v>
      </x:c>
      <x:c r="O6" s="13" t="str">
        <x:v>Raw record file</x:v>
      </x:c>
      <x:c r="P6" s="14" t="str">
        <x:v>Input check</x:v>
      </x:c>
    </x:row>
    <x:row r="7" ht="25" customHeight="1">
      <x:c r="A7" s="3"/>
      <x:c r="B7" s="3"/>
      <x:c r="C7" s="3"/>
      <x:c r="D7" s="3"/>
      <x:c r="E7" s="25"/>
      <x:c r="F7" s="25"/>
      <x:c r="G7" s="3"/>
      <x:c r="H7" s="22"/>
      <x:c r="I7" s="3"/>
      <x:c r="J7" s="22"/>
      <x:c r="K7" s="3"/>
      <x:c r="L7" s="3"/>
      <x:c r="M7" s="3"/>
      <x:c r="N7" s="3"/>
      <x:c r="O7" s="3"/>
      <x:c r="P7" s="19" t="str">
        <x:f>IF(A7="","",IF(COUNTIFS('Execution log'!$A$7:$A$306,A7)&lt;&gt;1,"Duplicate ID",IF(COUNTIFS('Cases overview'!$A$7:$A$306,B7)&lt;&gt;1,"Invalid case ref",IF(OR(L7="Corrected",L7="Revoked"),"Excluded from totals",IF(L7&lt;&gt;"Valid","Record status missing",IF(COUNTIFS('Plan versions'!$A$7:$A$306,C7,'Plan versions'!$B$7:$B$306,B7,'Plan versions'!$L$7:$L$306,"Frozen")&lt;&gt;1,"Invalid plan ref",IF(OR(D7="",NOT(ISNUMBER(E7)),NOT(ISNUMBER(F7)),G7="",K7=""),"Execution info missing",IF(OR(NOT(ISNUMBER(H7)),H7&lt;0,NOT(ISNUMBER(J7)),J7&lt;0),"Spend or time missing",IF(COUNTIFS('Cases overview'!$A$7:$A$306,B7,'Cases overview'!$J$7:$J$306,I7)&lt;&gt;1,"Currency mismatch",IF(AND(M7&lt;&gt;"",OR(M7=A7,COUNTIFS('Execution log'!$A$7:$A$306,M7,'Execution log'!$B$7:$B$306,B7,'Execution log'!$L$7:$L$306,"Corrected")&lt;&gt;1)),"Correction ref to check","Valid input"))))))))))</x:f>
      </x:c>
    </x:row>
    <x:row r="8" ht="25" customHeight="1">
      <x:c r="A8" s="3"/>
      <x:c r="B8" s="3"/>
      <x:c r="C8" s="3"/>
      <x:c r="D8" s="3"/>
      <x:c r="E8" s="25"/>
      <x:c r="F8" s="25"/>
      <x:c r="G8" s="3"/>
      <x:c r="H8" s="22"/>
      <x:c r="I8" s="3"/>
      <x:c r="J8" s="22"/>
      <x:c r="K8" s="3"/>
      <x:c r="L8" s="3"/>
      <x:c r="M8" s="3"/>
      <x:c r="N8" s="3"/>
      <x:c r="O8" s="3"/>
      <x:c r="P8" s="19" t="str">
        <x:f>IF(A8="","",IF(COUNTIFS('Execution log'!$A$7:$A$306,A8)&lt;&gt;1,"Duplicate ID",IF(COUNTIFS('Cases overview'!$A$7:$A$306,B8)&lt;&gt;1,"Invalid case ref",IF(OR(L8="Corrected",L8="Revoked"),"Excluded from totals",IF(L8&lt;&gt;"Valid","Record status missing",IF(COUNTIFS('Plan versions'!$A$7:$A$306,C8,'Plan versions'!$B$7:$B$306,B8,'Plan versions'!$L$7:$L$306,"Frozen")&lt;&gt;1,"Invalid plan ref",IF(OR(D8="",NOT(ISNUMBER(E8)),NOT(ISNUMBER(F8)),G8="",K8=""),"Execution info missing",IF(OR(NOT(ISNUMBER(H8)),H8&lt;0,NOT(ISNUMBER(J8)),J8&lt;0),"Spend or time missing",IF(COUNTIFS('Cases overview'!$A$7:$A$306,B8,'Cases overview'!$J$7:$J$306,I8)&lt;&gt;1,"Currency mismatch",IF(AND(M8&lt;&gt;"",OR(M8=A8,COUNTIFS('Execution log'!$A$7:$A$306,M8,'Execution log'!$B$7:$B$306,B8,'Execution log'!$L$7:$L$306,"Corrected")&lt;&gt;1)),"Correction ref to check","Valid input"))))))))))</x:f>
      </x:c>
    </x:row>
    <x:row r="9" ht="25" customHeight="1">
      <x:c r="A9" s="3"/>
      <x:c r="B9" s="3"/>
      <x:c r="C9" s="3"/>
      <x:c r="D9" s="3"/>
      <x:c r="E9" s="25"/>
      <x:c r="F9" s="25"/>
      <x:c r="G9" s="3"/>
      <x:c r="H9" s="22"/>
      <x:c r="I9" s="3"/>
      <x:c r="J9" s="22"/>
      <x:c r="K9" s="3"/>
      <x:c r="L9" s="3"/>
      <x:c r="M9" s="3"/>
      <x:c r="N9" s="3"/>
      <x:c r="O9" s="3"/>
      <x:c r="P9" s="19" t="str">
        <x:f>IF(A9="","",IF(COUNTIFS('Execution log'!$A$7:$A$306,A9)&lt;&gt;1,"Duplicate ID",IF(COUNTIFS('Cases overview'!$A$7:$A$306,B9)&lt;&gt;1,"Invalid case ref",IF(OR(L9="Corrected",L9="Revoked"),"Excluded from totals",IF(L9&lt;&gt;"Valid","Record status missing",IF(COUNTIFS('Plan versions'!$A$7:$A$306,C9,'Plan versions'!$B$7:$B$306,B9,'Plan versions'!$L$7:$L$306,"Frozen")&lt;&gt;1,"Invalid plan ref",IF(OR(D9="",NOT(ISNUMBER(E9)),NOT(ISNUMBER(F9)),G9="",K9=""),"Execution info missing",IF(OR(NOT(ISNUMBER(H9)),H9&lt;0,NOT(ISNUMBER(J9)),J9&lt;0),"Spend or time missing",IF(COUNTIFS('Cases overview'!$A$7:$A$306,B9,'Cases overview'!$J$7:$J$306,I9)&lt;&gt;1,"Currency mismatch",IF(AND(M9&lt;&gt;"",OR(M9=A9,COUNTIFS('Execution log'!$A$7:$A$306,M9,'Execution log'!$B$7:$B$306,B9,'Execution log'!$L$7:$L$306,"Corrected")&lt;&gt;1)),"Correction ref to check","Valid input"))))))))))</x:f>
      </x:c>
    </x:row>
    <x:row r="10" ht="25" customHeight="1">
      <x:c r="A10" s="3"/>
      <x:c r="B10" s="3"/>
      <x:c r="C10" s="3"/>
      <x:c r="D10" s="3"/>
      <x:c r="E10" s="25"/>
      <x:c r="F10" s="25"/>
      <x:c r="G10" s="3"/>
      <x:c r="H10" s="22"/>
      <x:c r="I10" s="3"/>
      <x:c r="J10" s="22"/>
      <x:c r="K10" s="3"/>
      <x:c r="L10" s="3"/>
      <x:c r="M10" s="3"/>
      <x:c r="N10" s="3"/>
      <x:c r="O10" s="3"/>
      <x:c r="P10" s="19" t="str">
        <x:f>IF(A10="","",IF(COUNTIFS('Execution log'!$A$7:$A$306,A10)&lt;&gt;1,"Duplicate ID",IF(COUNTIFS('Cases overview'!$A$7:$A$306,B10)&lt;&gt;1,"Invalid case ref",IF(OR(L10="Corrected",L10="Revoked"),"Excluded from totals",IF(L10&lt;&gt;"Valid","Record status missing",IF(COUNTIFS('Plan versions'!$A$7:$A$306,C10,'Plan versions'!$B$7:$B$306,B10,'Plan versions'!$L$7:$L$306,"Frozen")&lt;&gt;1,"Invalid plan ref",IF(OR(D10="",NOT(ISNUMBER(E10)),NOT(ISNUMBER(F10)),G10="",K10=""),"Execution info missing",IF(OR(NOT(ISNUMBER(H10)),H10&lt;0,NOT(ISNUMBER(J10)),J10&lt;0),"Spend or time missing",IF(COUNTIFS('Cases overview'!$A$7:$A$306,B10,'Cases overview'!$J$7:$J$306,I10)&lt;&gt;1,"Currency mismatch",IF(AND(M10&lt;&gt;"",OR(M10=A10,COUNTIFS('Execution log'!$A$7:$A$306,M10,'Execution log'!$B$7:$B$306,B10,'Execution log'!$L$7:$L$306,"Corrected")&lt;&gt;1)),"Correction ref to check","Valid input"))))))))))</x:f>
      </x:c>
    </x:row>
    <x:row r="11" ht="25" customHeight="1">
      <x:c r="A11" s="3"/>
      <x:c r="B11" s="3"/>
      <x:c r="C11" s="3"/>
      <x:c r="D11" s="3"/>
      <x:c r="E11" s="25"/>
      <x:c r="F11" s="25"/>
      <x:c r="G11" s="3"/>
      <x:c r="H11" s="22"/>
      <x:c r="I11" s="3"/>
      <x:c r="J11" s="22"/>
      <x:c r="K11" s="3"/>
      <x:c r="L11" s="3"/>
      <x:c r="M11" s="3"/>
      <x:c r="N11" s="3"/>
      <x:c r="O11" s="3"/>
      <x:c r="P11" s="19" t="str">
        <x:f>IF(A11="","",IF(COUNTIFS('Execution log'!$A$7:$A$306,A11)&lt;&gt;1,"Duplicate ID",IF(COUNTIFS('Cases overview'!$A$7:$A$306,B11)&lt;&gt;1,"Invalid case ref",IF(OR(L11="Corrected",L11="Revoked"),"Excluded from totals",IF(L11&lt;&gt;"Valid","Record status missing",IF(COUNTIFS('Plan versions'!$A$7:$A$306,C11,'Plan versions'!$B$7:$B$306,B11,'Plan versions'!$L$7:$L$306,"Frozen")&lt;&gt;1,"Invalid plan ref",IF(OR(D11="",NOT(ISNUMBER(E11)),NOT(ISNUMBER(F11)),G11="",K11=""),"Execution info missing",IF(OR(NOT(ISNUMBER(H11)),H11&lt;0,NOT(ISNUMBER(J11)),J11&lt;0),"Spend or time missing",IF(COUNTIFS('Cases overview'!$A$7:$A$306,B11,'Cases overview'!$J$7:$J$306,I11)&lt;&gt;1,"Currency mismatch",IF(AND(M11&lt;&gt;"",OR(M11=A11,COUNTIFS('Execution log'!$A$7:$A$306,M11,'Execution log'!$B$7:$B$306,B11,'Execution log'!$L$7:$L$306,"Corrected")&lt;&gt;1)),"Correction ref to check","Valid input"))))))))))</x:f>
      </x:c>
    </x:row>
    <x:row r="12" ht="25" customHeight="1">
      <x:c r="A12" s="3"/>
      <x:c r="B12" s="3"/>
      <x:c r="C12" s="3"/>
      <x:c r="D12" s="3"/>
      <x:c r="E12" s="25"/>
      <x:c r="F12" s="25"/>
      <x:c r="G12" s="3"/>
      <x:c r="H12" s="22"/>
      <x:c r="I12" s="3"/>
      <x:c r="J12" s="22"/>
      <x:c r="K12" s="3"/>
      <x:c r="L12" s="3"/>
      <x:c r="M12" s="3"/>
      <x:c r="N12" s="3"/>
      <x:c r="O12" s="3"/>
      <x:c r="P12" s="19" t="str">
        <x:f>IF(A12="","",IF(COUNTIFS('Execution log'!$A$7:$A$306,A12)&lt;&gt;1,"Duplicate ID",IF(COUNTIFS('Cases overview'!$A$7:$A$306,B12)&lt;&gt;1,"Invalid case ref",IF(OR(L12="Corrected",L12="Revoked"),"Excluded from totals",IF(L12&lt;&gt;"Valid","Record status missing",IF(COUNTIFS('Plan versions'!$A$7:$A$306,C12,'Plan versions'!$B$7:$B$306,B12,'Plan versions'!$L$7:$L$306,"Frozen")&lt;&gt;1,"Invalid plan ref",IF(OR(D12="",NOT(ISNUMBER(E12)),NOT(ISNUMBER(F12)),G12="",K12=""),"Execution info missing",IF(OR(NOT(ISNUMBER(H12)),H12&lt;0,NOT(ISNUMBER(J12)),J12&lt;0),"Spend or time missing",IF(COUNTIFS('Cases overview'!$A$7:$A$306,B12,'Cases overview'!$J$7:$J$306,I12)&lt;&gt;1,"Currency mismatch",IF(AND(M12&lt;&gt;"",OR(M12=A12,COUNTIFS('Execution log'!$A$7:$A$306,M12,'Execution log'!$B$7:$B$306,B12,'Execution log'!$L$7:$L$306,"Corrected")&lt;&gt;1)),"Correction ref to check","Valid input"))))))))))</x:f>
      </x:c>
    </x:row>
    <x:row r="13" ht="25" customHeight="1">
      <x:c r="A13" s="3"/>
      <x:c r="B13" s="3"/>
      <x:c r="C13" s="3"/>
      <x:c r="D13" s="3"/>
      <x:c r="E13" s="25"/>
      <x:c r="F13" s="25"/>
      <x:c r="G13" s="3"/>
      <x:c r="H13" s="22"/>
      <x:c r="I13" s="3"/>
      <x:c r="J13" s="22"/>
      <x:c r="K13" s="3"/>
      <x:c r="L13" s="3"/>
      <x:c r="M13" s="3"/>
      <x:c r="N13" s="3"/>
      <x:c r="O13" s="3"/>
      <x:c r="P13" s="19" t="str">
        <x:f>IF(A13="","",IF(COUNTIFS('Execution log'!$A$7:$A$306,A13)&lt;&gt;1,"Duplicate ID",IF(COUNTIFS('Cases overview'!$A$7:$A$306,B13)&lt;&gt;1,"Invalid case ref",IF(OR(L13="Corrected",L13="Revoked"),"Excluded from totals",IF(L13&lt;&gt;"Valid","Record status missing",IF(COUNTIFS('Plan versions'!$A$7:$A$306,C13,'Plan versions'!$B$7:$B$306,B13,'Plan versions'!$L$7:$L$306,"Frozen")&lt;&gt;1,"Invalid plan ref",IF(OR(D13="",NOT(ISNUMBER(E13)),NOT(ISNUMBER(F13)),G13="",K13=""),"Execution info missing",IF(OR(NOT(ISNUMBER(H13)),H13&lt;0,NOT(ISNUMBER(J13)),J13&lt;0),"Spend or time missing",IF(COUNTIFS('Cases overview'!$A$7:$A$306,B13,'Cases overview'!$J$7:$J$306,I13)&lt;&gt;1,"Currency mismatch",IF(AND(M13&lt;&gt;"",OR(M13=A13,COUNTIFS('Execution log'!$A$7:$A$306,M13,'Execution log'!$B$7:$B$306,B13,'Execution log'!$L$7:$L$306,"Corrected")&lt;&gt;1)),"Correction ref to check","Valid input"))))))))))</x:f>
      </x:c>
    </x:row>
    <x:row r="14" ht="25" customHeight="1">
      <x:c r="A14" s="3"/>
      <x:c r="B14" s="3"/>
      <x:c r="C14" s="3"/>
      <x:c r="D14" s="3"/>
      <x:c r="E14" s="25"/>
      <x:c r="F14" s="25"/>
      <x:c r="G14" s="3"/>
      <x:c r="H14" s="22"/>
      <x:c r="I14" s="3"/>
      <x:c r="J14" s="22"/>
      <x:c r="K14" s="3"/>
      <x:c r="L14" s="3"/>
      <x:c r="M14" s="3"/>
      <x:c r="N14" s="3"/>
      <x:c r="O14" s="3"/>
      <x:c r="P14" s="19" t="str">
        <x:f>IF(A14="","",IF(COUNTIFS('Execution log'!$A$7:$A$306,A14)&lt;&gt;1,"Duplicate ID",IF(COUNTIFS('Cases overview'!$A$7:$A$306,B14)&lt;&gt;1,"Invalid case ref",IF(OR(L14="Corrected",L14="Revoked"),"Excluded from totals",IF(L14&lt;&gt;"Valid","Record status missing",IF(COUNTIFS('Plan versions'!$A$7:$A$306,C14,'Plan versions'!$B$7:$B$306,B14,'Plan versions'!$L$7:$L$306,"Frozen")&lt;&gt;1,"Invalid plan ref",IF(OR(D14="",NOT(ISNUMBER(E14)),NOT(ISNUMBER(F14)),G14="",K14=""),"Execution info missing",IF(OR(NOT(ISNUMBER(H14)),H14&lt;0,NOT(ISNUMBER(J14)),J14&lt;0),"Spend or time missing",IF(COUNTIFS('Cases overview'!$A$7:$A$306,B14,'Cases overview'!$J$7:$J$306,I14)&lt;&gt;1,"Currency mismatch",IF(AND(M14&lt;&gt;"",OR(M14=A14,COUNTIFS('Execution log'!$A$7:$A$306,M14,'Execution log'!$B$7:$B$306,B14,'Execution log'!$L$7:$L$306,"Corrected")&lt;&gt;1)),"Correction ref to check","Valid input"))))))))))</x:f>
      </x:c>
    </x:row>
    <x:row r="15" ht="25" customHeight="1">
      <x:c r="A15" s="3"/>
      <x:c r="B15" s="3"/>
      <x:c r="C15" s="3"/>
      <x:c r="D15" s="3"/>
      <x:c r="E15" s="25"/>
      <x:c r="F15" s="25"/>
      <x:c r="G15" s="3"/>
      <x:c r="H15" s="22"/>
      <x:c r="I15" s="3"/>
      <x:c r="J15" s="22"/>
      <x:c r="K15" s="3"/>
      <x:c r="L15" s="3"/>
      <x:c r="M15" s="3"/>
      <x:c r="N15" s="3"/>
      <x:c r="O15" s="3"/>
      <x:c r="P15" s="19" t="str">
        <x:f>IF(A15="","",IF(COUNTIFS('Execution log'!$A$7:$A$306,A15)&lt;&gt;1,"Duplicate ID",IF(COUNTIFS('Cases overview'!$A$7:$A$306,B15)&lt;&gt;1,"Invalid case ref",IF(OR(L15="Corrected",L15="Revoked"),"Excluded from totals",IF(L15&lt;&gt;"Valid","Record status missing",IF(COUNTIFS('Plan versions'!$A$7:$A$306,C15,'Plan versions'!$B$7:$B$306,B15,'Plan versions'!$L$7:$L$306,"Frozen")&lt;&gt;1,"Invalid plan ref",IF(OR(D15="",NOT(ISNUMBER(E15)),NOT(ISNUMBER(F15)),G15="",K15=""),"Execution info missing",IF(OR(NOT(ISNUMBER(H15)),H15&lt;0,NOT(ISNUMBER(J15)),J15&lt;0),"Spend or time missing",IF(COUNTIFS('Cases overview'!$A$7:$A$306,B15,'Cases overview'!$J$7:$J$306,I15)&lt;&gt;1,"Currency mismatch",IF(AND(M15&lt;&gt;"",OR(M15=A15,COUNTIFS('Execution log'!$A$7:$A$306,M15,'Execution log'!$B$7:$B$306,B15,'Execution log'!$L$7:$L$306,"Corrected")&lt;&gt;1)),"Correction ref to check","Valid input"))))))))))</x:f>
      </x:c>
    </x:row>
    <x:row r="16" ht="25" customHeight="1">
      <x:c r="A16" s="3"/>
      <x:c r="B16" s="3"/>
      <x:c r="C16" s="3"/>
      <x:c r="D16" s="3"/>
      <x:c r="E16" s="25"/>
      <x:c r="F16" s="25"/>
      <x:c r="G16" s="3"/>
      <x:c r="H16" s="22"/>
      <x:c r="I16" s="3"/>
      <x:c r="J16" s="22"/>
      <x:c r="K16" s="3"/>
      <x:c r="L16" s="3"/>
      <x:c r="M16" s="3"/>
      <x:c r="N16" s="3"/>
      <x:c r="O16" s="3"/>
      <x:c r="P16" s="19" t="str">
        <x:f>IF(A16="","",IF(COUNTIFS('Execution log'!$A$7:$A$306,A16)&lt;&gt;1,"Duplicate ID",IF(COUNTIFS('Cases overview'!$A$7:$A$306,B16)&lt;&gt;1,"Invalid case ref",IF(OR(L16="Corrected",L16="Revoked"),"Excluded from totals",IF(L16&lt;&gt;"Valid","Record status missing",IF(COUNTIFS('Plan versions'!$A$7:$A$306,C16,'Plan versions'!$B$7:$B$306,B16,'Plan versions'!$L$7:$L$306,"Frozen")&lt;&gt;1,"Invalid plan ref",IF(OR(D16="",NOT(ISNUMBER(E16)),NOT(ISNUMBER(F16)),G16="",K16=""),"Execution info missing",IF(OR(NOT(ISNUMBER(H16)),H16&lt;0,NOT(ISNUMBER(J16)),J16&lt;0),"Spend or time missing",IF(COUNTIFS('Cases overview'!$A$7:$A$306,B16,'Cases overview'!$J$7:$J$306,I16)&lt;&gt;1,"Currency mismatch",IF(AND(M16&lt;&gt;"",OR(M16=A16,COUNTIFS('Execution log'!$A$7:$A$306,M16,'Execution log'!$B$7:$B$306,B16,'Execution log'!$L$7:$L$306,"Corrected")&lt;&gt;1)),"Correction ref to check","Valid input"))))))))))</x:f>
      </x:c>
    </x:row>
    <x:row r="17" ht="25" customHeight="1">
      <x:c r="A17" s="3"/>
      <x:c r="B17" s="3"/>
      <x:c r="C17" s="3"/>
      <x:c r="D17" s="3"/>
      <x:c r="E17" s="25"/>
      <x:c r="F17" s="25"/>
      <x:c r="G17" s="3"/>
      <x:c r="H17" s="22"/>
      <x:c r="I17" s="3"/>
      <x:c r="J17" s="22"/>
      <x:c r="K17" s="3"/>
      <x:c r="L17" s="3"/>
      <x:c r="M17" s="3"/>
      <x:c r="N17" s="3"/>
      <x:c r="O17" s="3"/>
      <x:c r="P17" s="19" t="str">
        <x:f>IF(A17="","",IF(COUNTIFS('Execution log'!$A$7:$A$306,A17)&lt;&gt;1,"Duplicate ID",IF(COUNTIFS('Cases overview'!$A$7:$A$306,B17)&lt;&gt;1,"Invalid case ref",IF(OR(L17="Corrected",L17="Revoked"),"Excluded from totals",IF(L17&lt;&gt;"Valid","Record status missing",IF(COUNTIFS('Plan versions'!$A$7:$A$306,C17,'Plan versions'!$B$7:$B$306,B17,'Plan versions'!$L$7:$L$306,"Frozen")&lt;&gt;1,"Invalid plan ref",IF(OR(D17="",NOT(ISNUMBER(E17)),NOT(ISNUMBER(F17)),G17="",K17=""),"Execution info missing",IF(OR(NOT(ISNUMBER(H17)),H17&lt;0,NOT(ISNUMBER(J17)),J17&lt;0),"Spend or time missing",IF(COUNTIFS('Cases overview'!$A$7:$A$306,B17,'Cases overview'!$J$7:$J$306,I17)&lt;&gt;1,"Currency mismatch",IF(AND(M17&lt;&gt;"",OR(M17=A17,COUNTIFS('Execution log'!$A$7:$A$306,M17,'Execution log'!$B$7:$B$306,B17,'Execution log'!$L$7:$L$306,"Corrected")&lt;&gt;1)),"Correction ref to check","Valid input"))))))))))</x:f>
      </x:c>
    </x:row>
    <x:row r="18" ht="25" customHeight="1">
      <x:c r="A18" s="3"/>
      <x:c r="B18" s="3"/>
      <x:c r="C18" s="3"/>
      <x:c r="D18" s="3"/>
      <x:c r="E18" s="25"/>
      <x:c r="F18" s="25"/>
      <x:c r="G18" s="3"/>
      <x:c r="H18" s="22"/>
      <x:c r="I18" s="3"/>
      <x:c r="J18" s="22"/>
      <x:c r="K18" s="3"/>
      <x:c r="L18" s="3"/>
      <x:c r="M18" s="3"/>
      <x:c r="N18" s="3"/>
      <x:c r="O18" s="3"/>
      <x:c r="P18" s="19" t="str">
        <x:f>IF(A18="","",IF(COUNTIFS('Execution log'!$A$7:$A$306,A18)&lt;&gt;1,"Duplicate ID",IF(COUNTIFS('Cases overview'!$A$7:$A$306,B18)&lt;&gt;1,"Invalid case ref",IF(OR(L18="Corrected",L18="Revoked"),"Excluded from totals",IF(L18&lt;&gt;"Valid","Record status missing",IF(COUNTIFS('Plan versions'!$A$7:$A$306,C18,'Plan versions'!$B$7:$B$306,B18,'Plan versions'!$L$7:$L$306,"Frozen")&lt;&gt;1,"Invalid plan ref",IF(OR(D18="",NOT(ISNUMBER(E18)),NOT(ISNUMBER(F18)),G18="",K18=""),"Execution info missing",IF(OR(NOT(ISNUMBER(H18)),H18&lt;0,NOT(ISNUMBER(J18)),J18&lt;0),"Spend or time missing",IF(COUNTIFS('Cases overview'!$A$7:$A$306,B18,'Cases overview'!$J$7:$J$306,I18)&lt;&gt;1,"Currency mismatch",IF(AND(M18&lt;&gt;"",OR(M18=A18,COUNTIFS('Execution log'!$A$7:$A$306,M18,'Execution log'!$B$7:$B$306,B18,'Execution log'!$L$7:$L$306,"Corrected")&lt;&gt;1)),"Correction ref to check","Valid input"))))))))))</x:f>
      </x:c>
    </x:row>
    <x:row r="19" ht="25" customHeight="1">
      <x:c r="A19" s="3"/>
      <x:c r="B19" s="3"/>
      <x:c r="C19" s="3"/>
      <x:c r="D19" s="3"/>
      <x:c r="E19" s="25"/>
      <x:c r="F19" s="25"/>
      <x:c r="G19" s="3"/>
      <x:c r="H19" s="22"/>
      <x:c r="I19" s="3"/>
      <x:c r="J19" s="22"/>
      <x:c r="K19" s="3"/>
      <x:c r="L19" s="3"/>
      <x:c r="M19" s="3"/>
      <x:c r="N19" s="3"/>
      <x:c r="O19" s="3"/>
      <x:c r="P19" s="19" t="str">
        <x:f>IF(A19="","",IF(COUNTIFS('Execution log'!$A$7:$A$306,A19)&lt;&gt;1,"Duplicate ID",IF(COUNTIFS('Cases overview'!$A$7:$A$306,B19)&lt;&gt;1,"Invalid case ref",IF(OR(L19="Corrected",L19="Revoked"),"Excluded from totals",IF(L19&lt;&gt;"Valid","Record status missing",IF(COUNTIFS('Plan versions'!$A$7:$A$306,C19,'Plan versions'!$B$7:$B$306,B19,'Plan versions'!$L$7:$L$306,"Frozen")&lt;&gt;1,"Invalid plan ref",IF(OR(D19="",NOT(ISNUMBER(E19)),NOT(ISNUMBER(F19)),G19="",K19=""),"Execution info missing",IF(OR(NOT(ISNUMBER(H19)),H19&lt;0,NOT(ISNUMBER(J19)),J19&lt;0),"Spend or time missing",IF(COUNTIFS('Cases overview'!$A$7:$A$306,B19,'Cases overview'!$J$7:$J$306,I19)&lt;&gt;1,"Currency mismatch",IF(AND(M19&lt;&gt;"",OR(M19=A19,COUNTIFS('Execution log'!$A$7:$A$306,M19,'Execution log'!$B$7:$B$306,B19,'Execution log'!$L$7:$L$306,"Corrected")&lt;&gt;1)),"Correction ref to check","Valid input"))))))))))</x:f>
      </x:c>
    </x:row>
    <x:row r="20" ht="25" customHeight="1">
      <x:c r="A20" s="3"/>
      <x:c r="B20" s="3"/>
      <x:c r="C20" s="3"/>
      <x:c r="D20" s="3"/>
      <x:c r="E20" s="25"/>
      <x:c r="F20" s="25"/>
      <x:c r="G20" s="3"/>
      <x:c r="H20" s="22"/>
      <x:c r="I20" s="3"/>
      <x:c r="J20" s="22"/>
      <x:c r="K20" s="3"/>
      <x:c r="L20" s="3"/>
      <x:c r="M20" s="3"/>
      <x:c r="N20" s="3"/>
      <x:c r="O20" s="3"/>
      <x:c r="P20" s="19" t="str">
        <x:f>IF(A20="","",IF(COUNTIFS('Execution log'!$A$7:$A$306,A20)&lt;&gt;1,"Duplicate ID",IF(COUNTIFS('Cases overview'!$A$7:$A$306,B20)&lt;&gt;1,"Invalid case ref",IF(OR(L20="Corrected",L20="Revoked"),"Excluded from totals",IF(L20&lt;&gt;"Valid","Record status missing",IF(COUNTIFS('Plan versions'!$A$7:$A$306,C20,'Plan versions'!$B$7:$B$306,B20,'Plan versions'!$L$7:$L$306,"Frozen")&lt;&gt;1,"Invalid plan ref",IF(OR(D20="",NOT(ISNUMBER(E20)),NOT(ISNUMBER(F20)),G20="",K20=""),"Execution info missing",IF(OR(NOT(ISNUMBER(H20)),H20&lt;0,NOT(ISNUMBER(J20)),J20&lt;0),"Spend or time missing",IF(COUNTIFS('Cases overview'!$A$7:$A$306,B20,'Cases overview'!$J$7:$J$306,I20)&lt;&gt;1,"Currency mismatch",IF(AND(M20&lt;&gt;"",OR(M20=A20,COUNTIFS('Execution log'!$A$7:$A$306,M20,'Execution log'!$B$7:$B$306,B20,'Execution log'!$L$7:$L$306,"Corrected")&lt;&gt;1)),"Correction ref to check","Valid input"))))))))))</x:f>
      </x:c>
    </x:row>
    <x:row r="21" ht="25" customHeight="1">
      <x:c r="A21" s="3"/>
      <x:c r="B21" s="3"/>
      <x:c r="C21" s="3"/>
      <x:c r="D21" s="3"/>
      <x:c r="E21" s="25"/>
      <x:c r="F21" s="25"/>
      <x:c r="G21" s="3"/>
      <x:c r="H21" s="22"/>
      <x:c r="I21" s="3"/>
      <x:c r="J21" s="22"/>
      <x:c r="K21" s="3"/>
      <x:c r="L21" s="3"/>
      <x:c r="M21" s="3"/>
      <x:c r="N21" s="3"/>
      <x:c r="O21" s="3"/>
      <x:c r="P21" s="19" t="str">
        <x:f>IF(A21="","",IF(COUNTIFS('Execution log'!$A$7:$A$306,A21)&lt;&gt;1,"Duplicate ID",IF(COUNTIFS('Cases overview'!$A$7:$A$306,B21)&lt;&gt;1,"Invalid case ref",IF(OR(L21="Corrected",L21="Revoked"),"Excluded from totals",IF(L21&lt;&gt;"Valid","Record status missing",IF(COUNTIFS('Plan versions'!$A$7:$A$306,C21,'Plan versions'!$B$7:$B$306,B21,'Plan versions'!$L$7:$L$306,"Frozen")&lt;&gt;1,"Invalid plan ref",IF(OR(D21="",NOT(ISNUMBER(E21)),NOT(ISNUMBER(F21)),G21="",K21=""),"Execution info missing",IF(OR(NOT(ISNUMBER(H21)),H21&lt;0,NOT(ISNUMBER(J21)),J21&lt;0),"Spend or time missing",IF(COUNTIFS('Cases overview'!$A$7:$A$306,B21,'Cases overview'!$J$7:$J$306,I21)&lt;&gt;1,"Currency mismatch",IF(AND(M21&lt;&gt;"",OR(M21=A21,COUNTIFS('Execution log'!$A$7:$A$306,M21,'Execution log'!$B$7:$B$306,B21,'Execution log'!$L$7:$L$306,"Corrected")&lt;&gt;1)),"Correction ref to check","Valid input"))))))))))</x:f>
      </x:c>
    </x:row>
    <x:row r="22" ht="25" customHeight="1">
      <x:c r="A22" s="3"/>
      <x:c r="B22" s="3"/>
      <x:c r="C22" s="3"/>
      <x:c r="D22" s="3"/>
      <x:c r="E22" s="25"/>
      <x:c r="F22" s="25"/>
      <x:c r="G22" s="3"/>
      <x:c r="H22" s="22"/>
      <x:c r="I22" s="3"/>
      <x:c r="J22" s="22"/>
      <x:c r="K22" s="3"/>
      <x:c r="L22" s="3"/>
      <x:c r="M22" s="3"/>
      <x:c r="N22" s="3"/>
      <x:c r="O22" s="3"/>
      <x:c r="P22" s="19" t="str">
        <x:f>IF(A22="","",IF(COUNTIFS('Execution log'!$A$7:$A$306,A22)&lt;&gt;1,"Duplicate ID",IF(COUNTIFS('Cases overview'!$A$7:$A$306,B22)&lt;&gt;1,"Invalid case ref",IF(OR(L22="Corrected",L22="Revoked"),"Excluded from totals",IF(L22&lt;&gt;"Valid","Record status missing",IF(COUNTIFS('Plan versions'!$A$7:$A$306,C22,'Plan versions'!$B$7:$B$306,B22,'Plan versions'!$L$7:$L$306,"Frozen")&lt;&gt;1,"Invalid plan ref",IF(OR(D22="",NOT(ISNUMBER(E22)),NOT(ISNUMBER(F22)),G22="",K22=""),"Execution info missing",IF(OR(NOT(ISNUMBER(H22)),H22&lt;0,NOT(ISNUMBER(J22)),J22&lt;0),"Spend or time missing",IF(COUNTIFS('Cases overview'!$A$7:$A$306,B22,'Cases overview'!$J$7:$J$306,I22)&lt;&gt;1,"Currency mismatch",IF(AND(M22&lt;&gt;"",OR(M22=A22,COUNTIFS('Execution log'!$A$7:$A$306,M22,'Execution log'!$B$7:$B$306,B22,'Execution log'!$L$7:$L$306,"Corrected")&lt;&gt;1)),"Correction ref to check","Valid input"))))))))))</x:f>
      </x:c>
    </x:row>
    <x:row r="23" ht="25" customHeight="1">
      <x:c r="A23" s="3"/>
      <x:c r="B23" s="3"/>
      <x:c r="C23" s="3"/>
      <x:c r="D23" s="3"/>
      <x:c r="E23" s="25"/>
      <x:c r="F23" s="25"/>
      <x:c r="G23" s="3"/>
      <x:c r="H23" s="22"/>
      <x:c r="I23" s="3"/>
      <x:c r="J23" s="22"/>
      <x:c r="K23" s="3"/>
      <x:c r="L23" s="3"/>
      <x:c r="M23" s="3"/>
      <x:c r="N23" s="3"/>
      <x:c r="O23" s="3"/>
      <x:c r="P23" s="19" t="str">
        <x:f>IF(A23="","",IF(COUNTIFS('Execution log'!$A$7:$A$306,A23)&lt;&gt;1,"Duplicate ID",IF(COUNTIFS('Cases overview'!$A$7:$A$306,B23)&lt;&gt;1,"Invalid case ref",IF(OR(L23="Corrected",L23="Revoked"),"Excluded from totals",IF(L23&lt;&gt;"Valid","Record status missing",IF(COUNTIFS('Plan versions'!$A$7:$A$306,C23,'Plan versions'!$B$7:$B$306,B23,'Plan versions'!$L$7:$L$306,"Frozen")&lt;&gt;1,"Invalid plan ref",IF(OR(D23="",NOT(ISNUMBER(E23)),NOT(ISNUMBER(F23)),G23="",K23=""),"Execution info missing",IF(OR(NOT(ISNUMBER(H23)),H23&lt;0,NOT(ISNUMBER(J23)),J23&lt;0),"Spend or time missing",IF(COUNTIFS('Cases overview'!$A$7:$A$306,B23,'Cases overview'!$J$7:$J$306,I23)&lt;&gt;1,"Currency mismatch",IF(AND(M23&lt;&gt;"",OR(M23=A23,COUNTIFS('Execution log'!$A$7:$A$306,M23,'Execution log'!$B$7:$B$306,B23,'Execution log'!$L$7:$L$306,"Corrected")&lt;&gt;1)),"Correction ref to check","Valid input"))))))))))</x:f>
      </x:c>
    </x:row>
    <x:row r="24" ht="25" customHeight="1">
      <x:c r="A24" s="3"/>
      <x:c r="B24" s="3"/>
      <x:c r="C24" s="3"/>
      <x:c r="D24" s="3"/>
      <x:c r="E24" s="25"/>
      <x:c r="F24" s="25"/>
      <x:c r="G24" s="3"/>
      <x:c r="H24" s="22"/>
      <x:c r="I24" s="3"/>
      <x:c r="J24" s="22"/>
      <x:c r="K24" s="3"/>
      <x:c r="L24" s="3"/>
      <x:c r="M24" s="3"/>
      <x:c r="N24" s="3"/>
      <x:c r="O24" s="3"/>
      <x:c r="P24" s="19" t="str">
        <x:f>IF(A24="","",IF(COUNTIFS('Execution log'!$A$7:$A$306,A24)&lt;&gt;1,"Duplicate ID",IF(COUNTIFS('Cases overview'!$A$7:$A$306,B24)&lt;&gt;1,"Invalid case ref",IF(OR(L24="Corrected",L24="Revoked"),"Excluded from totals",IF(L24&lt;&gt;"Valid","Record status missing",IF(COUNTIFS('Plan versions'!$A$7:$A$306,C24,'Plan versions'!$B$7:$B$306,B24,'Plan versions'!$L$7:$L$306,"Frozen")&lt;&gt;1,"Invalid plan ref",IF(OR(D24="",NOT(ISNUMBER(E24)),NOT(ISNUMBER(F24)),G24="",K24=""),"Execution info missing",IF(OR(NOT(ISNUMBER(H24)),H24&lt;0,NOT(ISNUMBER(J24)),J24&lt;0),"Spend or time missing",IF(COUNTIFS('Cases overview'!$A$7:$A$306,B24,'Cases overview'!$J$7:$J$306,I24)&lt;&gt;1,"Currency mismatch",IF(AND(M24&lt;&gt;"",OR(M24=A24,COUNTIFS('Execution log'!$A$7:$A$306,M24,'Execution log'!$B$7:$B$306,B24,'Execution log'!$L$7:$L$306,"Corrected")&lt;&gt;1)),"Correction ref to check","Valid input"))))))))))</x:f>
      </x:c>
    </x:row>
    <x:row r="25" ht="25" customHeight="1">
      <x:c r="A25" s="3"/>
      <x:c r="B25" s="3"/>
      <x:c r="C25" s="3"/>
      <x:c r="D25" s="3"/>
      <x:c r="E25" s="25"/>
      <x:c r="F25" s="25"/>
      <x:c r="G25" s="3"/>
      <x:c r="H25" s="22"/>
      <x:c r="I25" s="3"/>
      <x:c r="J25" s="22"/>
      <x:c r="K25" s="3"/>
      <x:c r="L25" s="3"/>
      <x:c r="M25" s="3"/>
      <x:c r="N25" s="3"/>
      <x:c r="O25" s="3"/>
      <x:c r="P25" s="19" t="str">
        <x:f>IF(A25="","",IF(COUNTIFS('Execution log'!$A$7:$A$306,A25)&lt;&gt;1,"Duplicate ID",IF(COUNTIFS('Cases overview'!$A$7:$A$306,B25)&lt;&gt;1,"Invalid case ref",IF(OR(L25="Corrected",L25="Revoked"),"Excluded from totals",IF(L25&lt;&gt;"Valid","Record status missing",IF(COUNTIFS('Plan versions'!$A$7:$A$306,C25,'Plan versions'!$B$7:$B$306,B25,'Plan versions'!$L$7:$L$306,"Frozen")&lt;&gt;1,"Invalid plan ref",IF(OR(D25="",NOT(ISNUMBER(E25)),NOT(ISNUMBER(F25)),G25="",K25=""),"Execution info missing",IF(OR(NOT(ISNUMBER(H25)),H25&lt;0,NOT(ISNUMBER(J25)),J25&lt;0),"Spend or time missing",IF(COUNTIFS('Cases overview'!$A$7:$A$306,B25,'Cases overview'!$J$7:$J$306,I25)&lt;&gt;1,"Currency mismatch",IF(AND(M25&lt;&gt;"",OR(M25=A25,COUNTIFS('Execution log'!$A$7:$A$306,M25,'Execution log'!$B$7:$B$306,B25,'Execution log'!$L$7:$L$306,"Corrected")&lt;&gt;1)),"Correction ref to check","Valid input"))))))))))</x:f>
      </x:c>
    </x:row>
    <x:row r="26" ht="25" customHeight="1">
      <x:c r="A26" s="3"/>
      <x:c r="B26" s="3"/>
      <x:c r="C26" s="3"/>
      <x:c r="D26" s="3"/>
      <x:c r="E26" s="25"/>
      <x:c r="F26" s="25"/>
      <x:c r="G26" s="3"/>
      <x:c r="H26" s="22"/>
      <x:c r="I26" s="3"/>
      <x:c r="J26" s="22"/>
      <x:c r="K26" s="3"/>
      <x:c r="L26" s="3"/>
      <x:c r="M26" s="3"/>
      <x:c r="N26" s="3"/>
      <x:c r="O26" s="3"/>
      <x:c r="P26" s="19" t="str">
        <x:f>IF(A26="","",IF(COUNTIFS('Execution log'!$A$7:$A$306,A26)&lt;&gt;1,"Duplicate ID",IF(COUNTIFS('Cases overview'!$A$7:$A$306,B26)&lt;&gt;1,"Invalid case ref",IF(OR(L26="Corrected",L26="Revoked"),"Excluded from totals",IF(L26&lt;&gt;"Valid","Record status missing",IF(COUNTIFS('Plan versions'!$A$7:$A$306,C26,'Plan versions'!$B$7:$B$306,B26,'Plan versions'!$L$7:$L$306,"Frozen")&lt;&gt;1,"Invalid plan ref",IF(OR(D26="",NOT(ISNUMBER(E26)),NOT(ISNUMBER(F26)),G26="",K26=""),"Execution info missing",IF(OR(NOT(ISNUMBER(H26)),H26&lt;0,NOT(ISNUMBER(J26)),J26&lt;0),"Spend or time missing",IF(COUNTIFS('Cases overview'!$A$7:$A$306,B26,'Cases overview'!$J$7:$J$306,I26)&lt;&gt;1,"Currency mismatch",IF(AND(M26&lt;&gt;"",OR(M26=A26,COUNTIFS('Execution log'!$A$7:$A$306,M26,'Execution log'!$B$7:$B$306,B26,'Execution log'!$L$7:$L$306,"Corrected")&lt;&gt;1)),"Correction ref to check","Valid input"))))))))))</x:f>
      </x:c>
    </x:row>
    <x:row r="27" ht="25" customHeight="1">
      <x:c r="A27" s="3"/>
      <x:c r="B27" s="3"/>
      <x:c r="C27" s="3"/>
      <x:c r="D27" s="3"/>
      <x:c r="E27" s="25"/>
      <x:c r="F27" s="25"/>
      <x:c r="G27" s="3"/>
      <x:c r="H27" s="22"/>
      <x:c r="I27" s="3"/>
      <x:c r="J27" s="22"/>
      <x:c r="K27" s="3"/>
      <x:c r="L27" s="3"/>
      <x:c r="M27" s="3"/>
      <x:c r="N27" s="3"/>
      <x:c r="O27" s="3"/>
      <x:c r="P27" s="19" t="str">
        <x:f>IF(A27="","",IF(COUNTIFS('Execution log'!$A$7:$A$306,A27)&lt;&gt;1,"Duplicate ID",IF(COUNTIFS('Cases overview'!$A$7:$A$306,B27)&lt;&gt;1,"Invalid case ref",IF(OR(L27="Corrected",L27="Revoked"),"Excluded from totals",IF(L27&lt;&gt;"Valid","Record status missing",IF(COUNTIFS('Plan versions'!$A$7:$A$306,C27,'Plan versions'!$B$7:$B$306,B27,'Plan versions'!$L$7:$L$306,"Frozen")&lt;&gt;1,"Invalid plan ref",IF(OR(D27="",NOT(ISNUMBER(E27)),NOT(ISNUMBER(F27)),G27="",K27=""),"Execution info missing",IF(OR(NOT(ISNUMBER(H27)),H27&lt;0,NOT(ISNUMBER(J27)),J27&lt;0),"Spend or time missing",IF(COUNTIFS('Cases overview'!$A$7:$A$306,B27,'Cases overview'!$J$7:$J$306,I27)&lt;&gt;1,"Currency mismatch",IF(AND(M27&lt;&gt;"",OR(M27=A27,COUNTIFS('Execution log'!$A$7:$A$306,M27,'Execution log'!$B$7:$B$306,B27,'Execution log'!$L$7:$L$306,"Corrected")&lt;&gt;1)),"Correction ref to check","Valid input"))))))))))</x:f>
      </x:c>
    </x:row>
    <x:row r="28" ht="25" customHeight="1">
      <x:c r="A28" s="3"/>
      <x:c r="B28" s="3"/>
      <x:c r="C28" s="3"/>
      <x:c r="D28" s="3"/>
      <x:c r="E28" s="25"/>
      <x:c r="F28" s="25"/>
      <x:c r="G28" s="3"/>
      <x:c r="H28" s="22"/>
      <x:c r="I28" s="3"/>
      <x:c r="J28" s="22"/>
      <x:c r="K28" s="3"/>
      <x:c r="L28" s="3"/>
      <x:c r="M28" s="3"/>
      <x:c r="N28" s="3"/>
      <x:c r="O28" s="3"/>
      <x:c r="P28" s="19" t="str">
        <x:f>IF(A28="","",IF(COUNTIFS('Execution log'!$A$7:$A$306,A28)&lt;&gt;1,"Duplicate ID",IF(COUNTIFS('Cases overview'!$A$7:$A$306,B28)&lt;&gt;1,"Invalid case ref",IF(OR(L28="Corrected",L28="Revoked"),"Excluded from totals",IF(L28&lt;&gt;"Valid","Record status missing",IF(COUNTIFS('Plan versions'!$A$7:$A$306,C28,'Plan versions'!$B$7:$B$306,B28,'Plan versions'!$L$7:$L$306,"Frozen")&lt;&gt;1,"Invalid plan ref",IF(OR(D28="",NOT(ISNUMBER(E28)),NOT(ISNUMBER(F28)),G28="",K28=""),"Execution info missing",IF(OR(NOT(ISNUMBER(H28)),H28&lt;0,NOT(ISNUMBER(J28)),J28&lt;0),"Spend or time missing",IF(COUNTIFS('Cases overview'!$A$7:$A$306,B28,'Cases overview'!$J$7:$J$306,I28)&lt;&gt;1,"Currency mismatch",IF(AND(M28&lt;&gt;"",OR(M28=A28,COUNTIFS('Execution log'!$A$7:$A$306,M28,'Execution log'!$B$7:$B$306,B28,'Execution log'!$L$7:$L$306,"Corrected")&lt;&gt;1)),"Correction ref to check","Valid input"))))))))))</x:f>
      </x:c>
    </x:row>
    <x:row r="29" ht="25" customHeight="1">
      <x:c r="A29" s="3"/>
      <x:c r="B29" s="3"/>
      <x:c r="C29" s="3"/>
      <x:c r="D29" s="3"/>
      <x:c r="E29" s="25"/>
      <x:c r="F29" s="25"/>
      <x:c r="G29" s="3"/>
      <x:c r="H29" s="22"/>
      <x:c r="I29" s="3"/>
      <x:c r="J29" s="22"/>
      <x:c r="K29" s="3"/>
      <x:c r="L29" s="3"/>
      <x:c r="M29" s="3"/>
      <x:c r="N29" s="3"/>
      <x:c r="O29" s="3"/>
      <x:c r="P29" s="19" t="str">
        <x:f>IF(A29="","",IF(COUNTIFS('Execution log'!$A$7:$A$306,A29)&lt;&gt;1,"Duplicate ID",IF(COUNTIFS('Cases overview'!$A$7:$A$306,B29)&lt;&gt;1,"Invalid case ref",IF(OR(L29="Corrected",L29="Revoked"),"Excluded from totals",IF(L29&lt;&gt;"Valid","Record status missing",IF(COUNTIFS('Plan versions'!$A$7:$A$306,C29,'Plan versions'!$B$7:$B$306,B29,'Plan versions'!$L$7:$L$306,"Frozen")&lt;&gt;1,"Invalid plan ref",IF(OR(D29="",NOT(ISNUMBER(E29)),NOT(ISNUMBER(F29)),G29="",K29=""),"Execution info missing",IF(OR(NOT(ISNUMBER(H29)),H29&lt;0,NOT(ISNUMBER(J29)),J29&lt;0),"Spend or time missing",IF(COUNTIFS('Cases overview'!$A$7:$A$306,B29,'Cases overview'!$J$7:$J$306,I29)&lt;&gt;1,"Currency mismatch",IF(AND(M29&lt;&gt;"",OR(M29=A29,COUNTIFS('Execution log'!$A$7:$A$306,M29,'Execution log'!$B$7:$B$306,B29,'Execution log'!$L$7:$L$306,"Corrected")&lt;&gt;1)),"Correction ref to check","Valid input"))))))))))</x:f>
      </x:c>
    </x:row>
    <x:row r="30" ht="25" customHeight="1">
      <x:c r="A30" s="3"/>
      <x:c r="B30" s="3"/>
      <x:c r="C30" s="3"/>
      <x:c r="D30" s="3"/>
      <x:c r="E30" s="25"/>
      <x:c r="F30" s="25"/>
      <x:c r="G30" s="3"/>
      <x:c r="H30" s="22"/>
      <x:c r="I30" s="3"/>
      <x:c r="J30" s="22"/>
      <x:c r="K30" s="3"/>
      <x:c r="L30" s="3"/>
      <x:c r="M30" s="3"/>
      <x:c r="N30" s="3"/>
      <x:c r="O30" s="3"/>
      <x:c r="P30" s="19" t="str">
        <x:f>IF(A30="","",IF(COUNTIFS('Execution log'!$A$7:$A$306,A30)&lt;&gt;1,"Duplicate ID",IF(COUNTIFS('Cases overview'!$A$7:$A$306,B30)&lt;&gt;1,"Invalid case ref",IF(OR(L30="Corrected",L30="Revoked"),"Excluded from totals",IF(L30&lt;&gt;"Valid","Record status missing",IF(COUNTIFS('Plan versions'!$A$7:$A$306,C30,'Plan versions'!$B$7:$B$306,B30,'Plan versions'!$L$7:$L$306,"Frozen")&lt;&gt;1,"Invalid plan ref",IF(OR(D30="",NOT(ISNUMBER(E30)),NOT(ISNUMBER(F30)),G30="",K30=""),"Execution info missing",IF(OR(NOT(ISNUMBER(H30)),H30&lt;0,NOT(ISNUMBER(J30)),J30&lt;0),"Spend or time missing",IF(COUNTIFS('Cases overview'!$A$7:$A$306,B30,'Cases overview'!$J$7:$J$306,I30)&lt;&gt;1,"Currency mismatch",IF(AND(M30&lt;&gt;"",OR(M30=A30,COUNTIFS('Execution log'!$A$7:$A$306,M30,'Execution log'!$B$7:$B$306,B30,'Execution log'!$L$7:$L$306,"Corrected")&lt;&gt;1)),"Correction ref to check","Valid input"))))))))))</x:f>
      </x:c>
    </x:row>
    <x:row r="31" ht="25" customHeight="1">
      <x:c r="A31" s="3"/>
      <x:c r="B31" s="3"/>
      <x:c r="C31" s="3"/>
      <x:c r="D31" s="3"/>
      <x:c r="E31" s="25"/>
      <x:c r="F31" s="25"/>
      <x:c r="G31" s="3"/>
      <x:c r="H31" s="22"/>
      <x:c r="I31" s="3"/>
      <x:c r="J31" s="22"/>
      <x:c r="K31" s="3"/>
      <x:c r="L31" s="3"/>
      <x:c r="M31" s="3"/>
      <x:c r="N31" s="3"/>
      <x:c r="O31" s="3"/>
      <x:c r="P31" s="19" t="str">
        <x:f>IF(A31="","",IF(COUNTIFS('Execution log'!$A$7:$A$306,A31)&lt;&gt;1,"Duplicate ID",IF(COUNTIFS('Cases overview'!$A$7:$A$306,B31)&lt;&gt;1,"Invalid case ref",IF(OR(L31="Corrected",L31="Revoked"),"Excluded from totals",IF(L31&lt;&gt;"Valid","Record status missing",IF(COUNTIFS('Plan versions'!$A$7:$A$306,C31,'Plan versions'!$B$7:$B$306,B31,'Plan versions'!$L$7:$L$306,"Frozen")&lt;&gt;1,"Invalid plan ref",IF(OR(D31="",NOT(ISNUMBER(E31)),NOT(ISNUMBER(F31)),G31="",K31=""),"Execution info missing",IF(OR(NOT(ISNUMBER(H31)),H31&lt;0,NOT(ISNUMBER(J31)),J31&lt;0),"Spend or time missing",IF(COUNTIFS('Cases overview'!$A$7:$A$306,B31,'Cases overview'!$J$7:$J$306,I31)&lt;&gt;1,"Currency mismatch",IF(AND(M31&lt;&gt;"",OR(M31=A31,COUNTIFS('Execution log'!$A$7:$A$306,M31,'Execution log'!$B$7:$B$306,B31,'Execution log'!$L$7:$L$306,"Corrected")&lt;&gt;1)),"Correction ref to check","Valid input"))))))))))</x:f>
      </x:c>
    </x:row>
    <x:row r="32" ht="25" customHeight="1">
      <x:c r="A32" s="3"/>
      <x:c r="B32" s="3"/>
      <x:c r="C32" s="3"/>
      <x:c r="D32" s="3"/>
      <x:c r="E32" s="25"/>
      <x:c r="F32" s="25"/>
      <x:c r="G32" s="3"/>
      <x:c r="H32" s="22"/>
      <x:c r="I32" s="3"/>
      <x:c r="J32" s="22"/>
      <x:c r="K32" s="3"/>
      <x:c r="L32" s="3"/>
      <x:c r="M32" s="3"/>
      <x:c r="N32" s="3"/>
      <x:c r="O32" s="3"/>
      <x:c r="P32" s="19" t="str">
        <x:f>IF(A32="","",IF(COUNTIFS('Execution log'!$A$7:$A$306,A32)&lt;&gt;1,"Duplicate ID",IF(COUNTIFS('Cases overview'!$A$7:$A$306,B32)&lt;&gt;1,"Invalid case ref",IF(OR(L32="Corrected",L32="Revoked"),"Excluded from totals",IF(L32&lt;&gt;"Valid","Record status missing",IF(COUNTIFS('Plan versions'!$A$7:$A$306,C32,'Plan versions'!$B$7:$B$306,B32,'Plan versions'!$L$7:$L$306,"Frozen")&lt;&gt;1,"Invalid plan ref",IF(OR(D32="",NOT(ISNUMBER(E32)),NOT(ISNUMBER(F32)),G32="",K32=""),"Execution info missing",IF(OR(NOT(ISNUMBER(H32)),H32&lt;0,NOT(ISNUMBER(J32)),J32&lt;0),"Spend or time missing",IF(COUNTIFS('Cases overview'!$A$7:$A$306,B32,'Cases overview'!$J$7:$J$306,I32)&lt;&gt;1,"Currency mismatch",IF(AND(M32&lt;&gt;"",OR(M32=A32,COUNTIFS('Execution log'!$A$7:$A$306,M32,'Execution log'!$B$7:$B$306,B32,'Execution log'!$L$7:$L$306,"Corrected")&lt;&gt;1)),"Correction ref to check","Valid input"))))))))))</x:f>
      </x:c>
    </x:row>
    <x:row r="33" ht="25" customHeight="1">
      <x:c r="A33" s="3"/>
      <x:c r="B33" s="3"/>
      <x:c r="C33" s="3"/>
      <x:c r="D33" s="3"/>
      <x:c r="E33" s="25"/>
      <x:c r="F33" s="25"/>
      <x:c r="G33" s="3"/>
      <x:c r="H33" s="22"/>
      <x:c r="I33" s="3"/>
      <x:c r="J33" s="22"/>
      <x:c r="K33" s="3"/>
      <x:c r="L33" s="3"/>
      <x:c r="M33" s="3"/>
      <x:c r="N33" s="3"/>
      <x:c r="O33" s="3"/>
      <x:c r="P33" s="19" t="str">
        <x:f>IF(A33="","",IF(COUNTIFS('Execution log'!$A$7:$A$306,A33)&lt;&gt;1,"Duplicate ID",IF(COUNTIFS('Cases overview'!$A$7:$A$306,B33)&lt;&gt;1,"Invalid case ref",IF(OR(L33="Corrected",L33="Revoked"),"Excluded from totals",IF(L33&lt;&gt;"Valid","Record status missing",IF(COUNTIFS('Plan versions'!$A$7:$A$306,C33,'Plan versions'!$B$7:$B$306,B33,'Plan versions'!$L$7:$L$306,"Frozen")&lt;&gt;1,"Invalid plan ref",IF(OR(D33="",NOT(ISNUMBER(E33)),NOT(ISNUMBER(F33)),G33="",K33=""),"Execution info missing",IF(OR(NOT(ISNUMBER(H33)),H33&lt;0,NOT(ISNUMBER(J33)),J33&lt;0),"Spend or time missing",IF(COUNTIFS('Cases overview'!$A$7:$A$306,B33,'Cases overview'!$J$7:$J$306,I33)&lt;&gt;1,"Currency mismatch",IF(AND(M33&lt;&gt;"",OR(M33=A33,COUNTIFS('Execution log'!$A$7:$A$306,M33,'Execution log'!$B$7:$B$306,B33,'Execution log'!$L$7:$L$306,"Corrected")&lt;&gt;1)),"Correction ref to check","Valid input"))))))))))</x:f>
      </x:c>
    </x:row>
    <x:row r="34" ht="25" customHeight="1">
      <x:c r="A34" s="3"/>
      <x:c r="B34" s="3"/>
      <x:c r="C34" s="3"/>
      <x:c r="D34" s="3"/>
      <x:c r="E34" s="25"/>
      <x:c r="F34" s="25"/>
      <x:c r="G34" s="3"/>
      <x:c r="H34" s="22"/>
      <x:c r="I34" s="3"/>
      <x:c r="J34" s="22"/>
      <x:c r="K34" s="3"/>
      <x:c r="L34" s="3"/>
      <x:c r="M34" s="3"/>
      <x:c r="N34" s="3"/>
      <x:c r="O34" s="3"/>
      <x:c r="P34" s="19" t="str">
        <x:f>IF(A34="","",IF(COUNTIFS('Execution log'!$A$7:$A$306,A34)&lt;&gt;1,"Duplicate ID",IF(COUNTIFS('Cases overview'!$A$7:$A$306,B34)&lt;&gt;1,"Invalid case ref",IF(OR(L34="Corrected",L34="Revoked"),"Excluded from totals",IF(L34&lt;&gt;"Valid","Record status missing",IF(COUNTIFS('Plan versions'!$A$7:$A$306,C34,'Plan versions'!$B$7:$B$306,B34,'Plan versions'!$L$7:$L$306,"Frozen")&lt;&gt;1,"Invalid plan ref",IF(OR(D34="",NOT(ISNUMBER(E34)),NOT(ISNUMBER(F34)),G34="",K34=""),"Execution info missing",IF(OR(NOT(ISNUMBER(H34)),H34&lt;0,NOT(ISNUMBER(J34)),J34&lt;0),"Spend or time missing",IF(COUNTIFS('Cases overview'!$A$7:$A$306,B34,'Cases overview'!$J$7:$J$306,I34)&lt;&gt;1,"Currency mismatch",IF(AND(M34&lt;&gt;"",OR(M34=A34,COUNTIFS('Execution log'!$A$7:$A$306,M34,'Execution log'!$B$7:$B$306,B34,'Execution log'!$L$7:$L$306,"Corrected")&lt;&gt;1)),"Correction ref to check","Valid input"))))))))))</x:f>
      </x:c>
    </x:row>
    <x:row r="35" ht="25" customHeight="1">
      <x:c r="A35" s="3"/>
      <x:c r="B35" s="3"/>
      <x:c r="C35" s="3"/>
      <x:c r="D35" s="3"/>
      <x:c r="E35" s="25"/>
      <x:c r="F35" s="25"/>
      <x:c r="G35" s="3"/>
      <x:c r="H35" s="22"/>
      <x:c r="I35" s="3"/>
      <x:c r="J35" s="22"/>
      <x:c r="K35" s="3"/>
      <x:c r="L35" s="3"/>
      <x:c r="M35" s="3"/>
      <x:c r="N35" s="3"/>
      <x:c r="O35" s="3"/>
      <x:c r="P35" s="19" t="str">
        <x:f>IF(A35="","",IF(COUNTIFS('Execution log'!$A$7:$A$306,A35)&lt;&gt;1,"Duplicate ID",IF(COUNTIFS('Cases overview'!$A$7:$A$306,B35)&lt;&gt;1,"Invalid case ref",IF(OR(L35="Corrected",L35="Revoked"),"Excluded from totals",IF(L35&lt;&gt;"Valid","Record status missing",IF(COUNTIFS('Plan versions'!$A$7:$A$306,C35,'Plan versions'!$B$7:$B$306,B35,'Plan versions'!$L$7:$L$306,"Frozen")&lt;&gt;1,"Invalid plan ref",IF(OR(D35="",NOT(ISNUMBER(E35)),NOT(ISNUMBER(F35)),G35="",K35=""),"Execution info missing",IF(OR(NOT(ISNUMBER(H35)),H35&lt;0,NOT(ISNUMBER(J35)),J35&lt;0),"Spend or time missing",IF(COUNTIFS('Cases overview'!$A$7:$A$306,B35,'Cases overview'!$J$7:$J$306,I35)&lt;&gt;1,"Currency mismatch",IF(AND(M35&lt;&gt;"",OR(M35=A35,COUNTIFS('Execution log'!$A$7:$A$306,M35,'Execution log'!$B$7:$B$306,B35,'Execution log'!$L$7:$L$306,"Corrected")&lt;&gt;1)),"Correction ref to check","Valid input"))))))))))</x:f>
      </x:c>
    </x:row>
    <x:row r="36" ht="25" customHeight="1">
      <x:c r="A36" s="3"/>
      <x:c r="B36" s="3"/>
      <x:c r="C36" s="3"/>
      <x:c r="D36" s="3"/>
      <x:c r="E36" s="25"/>
      <x:c r="F36" s="25"/>
      <x:c r="G36" s="3"/>
      <x:c r="H36" s="22"/>
      <x:c r="I36" s="3"/>
      <x:c r="J36" s="22"/>
      <x:c r="K36" s="3"/>
      <x:c r="L36" s="3"/>
      <x:c r="M36" s="3"/>
      <x:c r="N36" s="3"/>
      <x:c r="O36" s="3"/>
      <x:c r="P36" s="19" t="str">
        <x:f>IF(A36="","",IF(COUNTIFS('Execution log'!$A$7:$A$306,A36)&lt;&gt;1,"Duplicate ID",IF(COUNTIFS('Cases overview'!$A$7:$A$306,B36)&lt;&gt;1,"Invalid case ref",IF(OR(L36="Corrected",L36="Revoked"),"Excluded from totals",IF(L36&lt;&gt;"Valid","Record status missing",IF(COUNTIFS('Plan versions'!$A$7:$A$306,C36,'Plan versions'!$B$7:$B$306,B36,'Plan versions'!$L$7:$L$306,"Frozen")&lt;&gt;1,"Invalid plan ref",IF(OR(D36="",NOT(ISNUMBER(E36)),NOT(ISNUMBER(F36)),G36="",K36=""),"Execution info missing",IF(OR(NOT(ISNUMBER(H36)),H36&lt;0,NOT(ISNUMBER(J36)),J36&lt;0),"Spend or time missing",IF(COUNTIFS('Cases overview'!$A$7:$A$306,B36,'Cases overview'!$J$7:$J$306,I36)&lt;&gt;1,"Currency mismatch",IF(AND(M36&lt;&gt;"",OR(M36=A36,COUNTIFS('Execution log'!$A$7:$A$306,M36,'Execution log'!$B$7:$B$306,B36,'Execution log'!$L$7:$L$306,"Corrected")&lt;&gt;1)),"Correction ref to check","Valid input"))))))))))</x:f>
      </x:c>
    </x:row>
    <x:row r="37" ht="25" customHeight="1">
      <x:c r="A37" s="3"/>
      <x:c r="B37" s="3"/>
      <x:c r="C37" s="3"/>
      <x:c r="D37" s="3"/>
      <x:c r="E37" s="25"/>
      <x:c r="F37" s="25"/>
      <x:c r="G37" s="3"/>
      <x:c r="H37" s="22"/>
      <x:c r="I37" s="3"/>
      <x:c r="J37" s="22"/>
      <x:c r="K37" s="3"/>
      <x:c r="L37" s="3"/>
      <x:c r="M37" s="3"/>
      <x:c r="N37" s="3"/>
      <x:c r="O37" s="3"/>
      <x:c r="P37" s="19" t="str">
        <x:f>IF(A37="","",IF(COUNTIFS('Execution log'!$A$7:$A$306,A37)&lt;&gt;1,"Duplicate ID",IF(COUNTIFS('Cases overview'!$A$7:$A$306,B37)&lt;&gt;1,"Invalid case ref",IF(OR(L37="Corrected",L37="Revoked"),"Excluded from totals",IF(L37&lt;&gt;"Valid","Record status missing",IF(COUNTIFS('Plan versions'!$A$7:$A$306,C37,'Plan versions'!$B$7:$B$306,B37,'Plan versions'!$L$7:$L$306,"Frozen")&lt;&gt;1,"Invalid plan ref",IF(OR(D37="",NOT(ISNUMBER(E37)),NOT(ISNUMBER(F37)),G37="",K37=""),"Execution info missing",IF(OR(NOT(ISNUMBER(H37)),H37&lt;0,NOT(ISNUMBER(J37)),J37&lt;0),"Spend or time missing",IF(COUNTIFS('Cases overview'!$A$7:$A$306,B37,'Cases overview'!$J$7:$J$306,I37)&lt;&gt;1,"Currency mismatch",IF(AND(M37&lt;&gt;"",OR(M37=A37,COUNTIFS('Execution log'!$A$7:$A$306,M37,'Execution log'!$B$7:$B$306,B37,'Execution log'!$L$7:$L$306,"Corrected")&lt;&gt;1)),"Correction ref to check","Valid input"))))))))))</x:f>
      </x:c>
    </x:row>
    <x:row r="38" ht="25" customHeight="1">
      <x:c r="A38" s="3"/>
      <x:c r="B38" s="3"/>
      <x:c r="C38" s="3"/>
      <x:c r="D38" s="3"/>
      <x:c r="E38" s="25"/>
      <x:c r="F38" s="25"/>
      <x:c r="G38" s="3"/>
      <x:c r="H38" s="22"/>
      <x:c r="I38" s="3"/>
      <x:c r="J38" s="22"/>
      <x:c r="K38" s="3"/>
      <x:c r="L38" s="3"/>
      <x:c r="M38" s="3"/>
      <x:c r="N38" s="3"/>
      <x:c r="O38" s="3"/>
      <x:c r="P38" s="19" t="str">
        <x:f>IF(A38="","",IF(COUNTIFS('Execution log'!$A$7:$A$306,A38)&lt;&gt;1,"Duplicate ID",IF(COUNTIFS('Cases overview'!$A$7:$A$306,B38)&lt;&gt;1,"Invalid case ref",IF(OR(L38="Corrected",L38="Revoked"),"Excluded from totals",IF(L38&lt;&gt;"Valid","Record status missing",IF(COUNTIFS('Plan versions'!$A$7:$A$306,C38,'Plan versions'!$B$7:$B$306,B38,'Plan versions'!$L$7:$L$306,"Frozen")&lt;&gt;1,"Invalid plan ref",IF(OR(D38="",NOT(ISNUMBER(E38)),NOT(ISNUMBER(F38)),G38="",K38=""),"Execution info missing",IF(OR(NOT(ISNUMBER(H38)),H38&lt;0,NOT(ISNUMBER(J38)),J38&lt;0),"Spend or time missing",IF(COUNTIFS('Cases overview'!$A$7:$A$306,B38,'Cases overview'!$J$7:$J$306,I38)&lt;&gt;1,"Currency mismatch",IF(AND(M38&lt;&gt;"",OR(M38=A38,COUNTIFS('Execution log'!$A$7:$A$306,M38,'Execution log'!$B$7:$B$306,B38,'Execution log'!$L$7:$L$306,"Corrected")&lt;&gt;1)),"Correction ref to check","Valid input"))))))))))</x:f>
      </x:c>
    </x:row>
    <x:row r="39" ht="25" customHeight="1">
      <x:c r="A39" s="3"/>
      <x:c r="B39" s="3"/>
      <x:c r="C39" s="3"/>
      <x:c r="D39" s="3"/>
      <x:c r="E39" s="25"/>
      <x:c r="F39" s="25"/>
      <x:c r="G39" s="3"/>
      <x:c r="H39" s="22"/>
      <x:c r="I39" s="3"/>
      <x:c r="J39" s="22"/>
      <x:c r="K39" s="3"/>
      <x:c r="L39" s="3"/>
      <x:c r="M39" s="3"/>
      <x:c r="N39" s="3"/>
      <x:c r="O39" s="3"/>
      <x:c r="P39" s="19" t="str">
        <x:f>IF(A39="","",IF(COUNTIFS('Execution log'!$A$7:$A$306,A39)&lt;&gt;1,"Duplicate ID",IF(COUNTIFS('Cases overview'!$A$7:$A$306,B39)&lt;&gt;1,"Invalid case ref",IF(OR(L39="Corrected",L39="Revoked"),"Excluded from totals",IF(L39&lt;&gt;"Valid","Record status missing",IF(COUNTIFS('Plan versions'!$A$7:$A$306,C39,'Plan versions'!$B$7:$B$306,B39,'Plan versions'!$L$7:$L$306,"Frozen")&lt;&gt;1,"Invalid plan ref",IF(OR(D39="",NOT(ISNUMBER(E39)),NOT(ISNUMBER(F39)),G39="",K39=""),"Execution info missing",IF(OR(NOT(ISNUMBER(H39)),H39&lt;0,NOT(ISNUMBER(J39)),J39&lt;0),"Spend or time missing",IF(COUNTIFS('Cases overview'!$A$7:$A$306,B39,'Cases overview'!$J$7:$J$306,I39)&lt;&gt;1,"Currency mismatch",IF(AND(M39&lt;&gt;"",OR(M39=A39,COUNTIFS('Execution log'!$A$7:$A$306,M39,'Execution log'!$B$7:$B$306,B39,'Execution log'!$L$7:$L$306,"Corrected")&lt;&gt;1)),"Correction ref to check","Valid input"))))))))))</x:f>
      </x:c>
    </x:row>
    <x:row r="40" ht="25" customHeight="1">
      <x:c r="A40" s="3"/>
      <x:c r="B40" s="3"/>
      <x:c r="C40" s="3"/>
      <x:c r="D40" s="3"/>
      <x:c r="E40" s="25"/>
      <x:c r="F40" s="25"/>
      <x:c r="G40" s="3"/>
      <x:c r="H40" s="22"/>
      <x:c r="I40" s="3"/>
      <x:c r="J40" s="22"/>
      <x:c r="K40" s="3"/>
      <x:c r="L40" s="3"/>
      <x:c r="M40" s="3"/>
      <x:c r="N40" s="3"/>
      <x:c r="O40" s="3"/>
      <x:c r="P40" s="19" t="str">
        <x:f>IF(A40="","",IF(COUNTIFS('Execution log'!$A$7:$A$306,A40)&lt;&gt;1,"Duplicate ID",IF(COUNTIFS('Cases overview'!$A$7:$A$306,B40)&lt;&gt;1,"Invalid case ref",IF(OR(L40="Corrected",L40="Revoked"),"Excluded from totals",IF(L40&lt;&gt;"Valid","Record status missing",IF(COUNTIFS('Plan versions'!$A$7:$A$306,C40,'Plan versions'!$B$7:$B$306,B40,'Plan versions'!$L$7:$L$306,"Frozen")&lt;&gt;1,"Invalid plan ref",IF(OR(D40="",NOT(ISNUMBER(E40)),NOT(ISNUMBER(F40)),G40="",K40=""),"Execution info missing",IF(OR(NOT(ISNUMBER(H40)),H40&lt;0,NOT(ISNUMBER(J40)),J40&lt;0),"Spend or time missing",IF(COUNTIFS('Cases overview'!$A$7:$A$306,B40,'Cases overview'!$J$7:$J$306,I40)&lt;&gt;1,"Currency mismatch",IF(AND(M40&lt;&gt;"",OR(M40=A40,COUNTIFS('Execution log'!$A$7:$A$306,M40,'Execution log'!$B$7:$B$306,B40,'Execution log'!$L$7:$L$306,"Corrected")&lt;&gt;1)),"Correction ref to check","Valid input"))))))))))</x:f>
      </x:c>
    </x:row>
    <x:row r="41" ht="25" customHeight="1">
      <x:c r="A41" s="3"/>
      <x:c r="B41" s="3"/>
      <x:c r="C41" s="3"/>
      <x:c r="D41" s="3"/>
      <x:c r="E41" s="25"/>
      <x:c r="F41" s="25"/>
      <x:c r="G41" s="3"/>
      <x:c r="H41" s="22"/>
      <x:c r="I41" s="3"/>
      <x:c r="J41" s="22"/>
      <x:c r="K41" s="3"/>
      <x:c r="L41" s="3"/>
      <x:c r="M41" s="3"/>
      <x:c r="N41" s="3"/>
      <x:c r="O41" s="3"/>
      <x:c r="P41" s="19" t="str">
        <x:f>IF(A41="","",IF(COUNTIFS('Execution log'!$A$7:$A$306,A41)&lt;&gt;1,"Duplicate ID",IF(COUNTIFS('Cases overview'!$A$7:$A$306,B41)&lt;&gt;1,"Invalid case ref",IF(OR(L41="Corrected",L41="Revoked"),"Excluded from totals",IF(L41&lt;&gt;"Valid","Record status missing",IF(COUNTIFS('Plan versions'!$A$7:$A$306,C41,'Plan versions'!$B$7:$B$306,B41,'Plan versions'!$L$7:$L$306,"Frozen")&lt;&gt;1,"Invalid plan ref",IF(OR(D41="",NOT(ISNUMBER(E41)),NOT(ISNUMBER(F41)),G41="",K41=""),"Execution info missing",IF(OR(NOT(ISNUMBER(H41)),H41&lt;0,NOT(ISNUMBER(J41)),J41&lt;0),"Spend or time missing",IF(COUNTIFS('Cases overview'!$A$7:$A$306,B41,'Cases overview'!$J$7:$J$306,I41)&lt;&gt;1,"Currency mismatch",IF(AND(M41&lt;&gt;"",OR(M41=A41,COUNTIFS('Execution log'!$A$7:$A$306,M41,'Execution log'!$B$7:$B$306,B41,'Execution log'!$L$7:$L$306,"Corrected")&lt;&gt;1)),"Correction ref to check","Valid input"))))))))))</x:f>
      </x:c>
    </x:row>
    <x:row r="42" ht="25" customHeight="1">
      <x:c r="A42" s="3"/>
      <x:c r="B42" s="3"/>
      <x:c r="C42" s="3"/>
      <x:c r="D42" s="3"/>
      <x:c r="E42" s="25"/>
      <x:c r="F42" s="25"/>
      <x:c r="G42" s="3"/>
      <x:c r="H42" s="22"/>
      <x:c r="I42" s="3"/>
      <x:c r="J42" s="22"/>
      <x:c r="K42" s="3"/>
      <x:c r="L42" s="3"/>
      <x:c r="M42" s="3"/>
      <x:c r="N42" s="3"/>
      <x:c r="O42" s="3"/>
      <x:c r="P42" s="19" t="str">
        <x:f>IF(A42="","",IF(COUNTIFS('Execution log'!$A$7:$A$306,A42)&lt;&gt;1,"Duplicate ID",IF(COUNTIFS('Cases overview'!$A$7:$A$306,B42)&lt;&gt;1,"Invalid case ref",IF(OR(L42="Corrected",L42="Revoked"),"Excluded from totals",IF(L42&lt;&gt;"Valid","Record status missing",IF(COUNTIFS('Plan versions'!$A$7:$A$306,C42,'Plan versions'!$B$7:$B$306,B42,'Plan versions'!$L$7:$L$306,"Frozen")&lt;&gt;1,"Invalid plan ref",IF(OR(D42="",NOT(ISNUMBER(E42)),NOT(ISNUMBER(F42)),G42="",K42=""),"Execution info missing",IF(OR(NOT(ISNUMBER(H42)),H42&lt;0,NOT(ISNUMBER(J42)),J42&lt;0),"Spend or time missing",IF(COUNTIFS('Cases overview'!$A$7:$A$306,B42,'Cases overview'!$J$7:$J$306,I42)&lt;&gt;1,"Currency mismatch",IF(AND(M42&lt;&gt;"",OR(M42=A42,COUNTIFS('Execution log'!$A$7:$A$306,M42,'Execution log'!$B$7:$B$306,B42,'Execution log'!$L$7:$L$306,"Corrected")&lt;&gt;1)),"Correction ref to check","Valid input"))))))))))</x:f>
      </x:c>
    </x:row>
    <x:row r="43" ht="25" customHeight="1">
      <x:c r="A43" s="3"/>
      <x:c r="B43" s="3"/>
      <x:c r="C43" s="3"/>
      <x:c r="D43" s="3"/>
      <x:c r="E43" s="25"/>
      <x:c r="F43" s="25"/>
      <x:c r="G43" s="3"/>
      <x:c r="H43" s="22"/>
      <x:c r="I43" s="3"/>
      <x:c r="J43" s="22"/>
      <x:c r="K43" s="3"/>
      <x:c r="L43" s="3"/>
      <x:c r="M43" s="3"/>
      <x:c r="N43" s="3"/>
      <x:c r="O43" s="3"/>
      <x:c r="P43" s="19" t="str">
        <x:f>IF(A43="","",IF(COUNTIFS('Execution log'!$A$7:$A$306,A43)&lt;&gt;1,"Duplicate ID",IF(COUNTIFS('Cases overview'!$A$7:$A$306,B43)&lt;&gt;1,"Invalid case ref",IF(OR(L43="Corrected",L43="Revoked"),"Excluded from totals",IF(L43&lt;&gt;"Valid","Record status missing",IF(COUNTIFS('Plan versions'!$A$7:$A$306,C43,'Plan versions'!$B$7:$B$306,B43,'Plan versions'!$L$7:$L$306,"Frozen")&lt;&gt;1,"Invalid plan ref",IF(OR(D43="",NOT(ISNUMBER(E43)),NOT(ISNUMBER(F43)),G43="",K43=""),"Execution info missing",IF(OR(NOT(ISNUMBER(H43)),H43&lt;0,NOT(ISNUMBER(J43)),J43&lt;0),"Spend or time missing",IF(COUNTIFS('Cases overview'!$A$7:$A$306,B43,'Cases overview'!$J$7:$J$306,I43)&lt;&gt;1,"Currency mismatch",IF(AND(M43&lt;&gt;"",OR(M43=A43,COUNTIFS('Execution log'!$A$7:$A$306,M43,'Execution log'!$B$7:$B$306,B43,'Execution log'!$L$7:$L$306,"Corrected")&lt;&gt;1)),"Correction ref to check","Valid input"))))))))))</x:f>
      </x:c>
    </x:row>
    <x:row r="44" ht="25" customHeight="1">
      <x:c r="A44" s="3"/>
      <x:c r="B44" s="3"/>
      <x:c r="C44" s="3"/>
      <x:c r="D44" s="3"/>
      <x:c r="E44" s="25"/>
      <x:c r="F44" s="25"/>
      <x:c r="G44" s="3"/>
      <x:c r="H44" s="22"/>
      <x:c r="I44" s="3"/>
      <x:c r="J44" s="22"/>
      <x:c r="K44" s="3"/>
      <x:c r="L44" s="3"/>
      <x:c r="M44" s="3"/>
      <x:c r="N44" s="3"/>
      <x:c r="O44" s="3"/>
      <x:c r="P44" s="19" t="str">
        <x:f>IF(A44="","",IF(COUNTIFS('Execution log'!$A$7:$A$306,A44)&lt;&gt;1,"Duplicate ID",IF(COUNTIFS('Cases overview'!$A$7:$A$306,B44)&lt;&gt;1,"Invalid case ref",IF(OR(L44="Corrected",L44="Revoked"),"Excluded from totals",IF(L44&lt;&gt;"Valid","Record status missing",IF(COUNTIFS('Plan versions'!$A$7:$A$306,C44,'Plan versions'!$B$7:$B$306,B44,'Plan versions'!$L$7:$L$306,"Frozen")&lt;&gt;1,"Invalid plan ref",IF(OR(D44="",NOT(ISNUMBER(E44)),NOT(ISNUMBER(F44)),G44="",K44=""),"Execution info missing",IF(OR(NOT(ISNUMBER(H44)),H44&lt;0,NOT(ISNUMBER(J44)),J44&lt;0),"Spend or time missing",IF(COUNTIFS('Cases overview'!$A$7:$A$306,B44,'Cases overview'!$J$7:$J$306,I44)&lt;&gt;1,"Currency mismatch",IF(AND(M44&lt;&gt;"",OR(M44=A44,COUNTIFS('Execution log'!$A$7:$A$306,M44,'Execution log'!$B$7:$B$306,B44,'Execution log'!$L$7:$L$306,"Corrected")&lt;&gt;1)),"Correction ref to check","Valid input"))))))))))</x:f>
      </x:c>
    </x:row>
    <x:row r="45" ht="25" customHeight="1">
      <x:c r="A45" s="3"/>
      <x:c r="B45" s="3"/>
      <x:c r="C45" s="3"/>
      <x:c r="D45" s="3"/>
      <x:c r="E45" s="25"/>
      <x:c r="F45" s="25"/>
      <x:c r="G45" s="3"/>
      <x:c r="H45" s="22"/>
      <x:c r="I45" s="3"/>
      <x:c r="J45" s="22"/>
      <x:c r="K45" s="3"/>
      <x:c r="L45" s="3"/>
      <x:c r="M45" s="3"/>
      <x:c r="N45" s="3"/>
      <x:c r="O45" s="3"/>
      <x:c r="P45" s="19" t="str">
        <x:f>IF(A45="","",IF(COUNTIFS('Execution log'!$A$7:$A$306,A45)&lt;&gt;1,"Duplicate ID",IF(COUNTIFS('Cases overview'!$A$7:$A$306,B45)&lt;&gt;1,"Invalid case ref",IF(OR(L45="Corrected",L45="Revoked"),"Excluded from totals",IF(L45&lt;&gt;"Valid","Record status missing",IF(COUNTIFS('Plan versions'!$A$7:$A$306,C45,'Plan versions'!$B$7:$B$306,B45,'Plan versions'!$L$7:$L$306,"Frozen")&lt;&gt;1,"Invalid plan ref",IF(OR(D45="",NOT(ISNUMBER(E45)),NOT(ISNUMBER(F45)),G45="",K45=""),"Execution info missing",IF(OR(NOT(ISNUMBER(H45)),H45&lt;0,NOT(ISNUMBER(J45)),J45&lt;0),"Spend or time missing",IF(COUNTIFS('Cases overview'!$A$7:$A$306,B45,'Cases overview'!$J$7:$J$306,I45)&lt;&gt;1,"Currency mismatch",IF(AND(M45&lt;&gt;"",OR(M45=A45,COUNTIFS('Execution log'!$A$7:$A$306,M45,'Execution log'!$B$7:$B$306,B45,'Execution log'!$L$7:$L$306,"Corrected")&lt;&gt;1)),"Correction ref to check","Valid input"))))))))))</x:f>
      </x:c>
    </x:row>
    <x:row r="46" ht="25" customHeight="1">
      <x:c r="A46" s="3"/>
      <x:c r="B46" s="3"/>
      <x:c r="C46" s="3"/>
      <x:c r="D46" s="3"/>
      <x:c r="E46" s="25"/>
      <x:c r="F46" s="25"/>
      <x:c r="G46" s="3"/>
      <x:c r="H46" s="22"/>
      <x:c r="I46" s="3"/>
      <x:c r="J46" s="22"/>
      <x:c r="K46" s="3"/>
      <x:c r="L46" s="3"/>
      <x:c r="M46" s="3"/>
      <x:c r="N46" s="3"/>
      <x:c r="O46" s="3"/>
      <x:c r="P46" s="19" t="str">
        <x:f>IF(A46="","",IF(COUNTIFS('Execution log'!$A$7:$A$306,A46)&lt;&gt;1,"Duplicate ID",IF(COUNTIFS('Cases overview'!$A$7:$A$306,B46)&lt;&gt;1,"Invalid case ref",IF(OR(L46="Corrected",L46="Revoked"),"Excluded from totals",IF(L46&lt;&gt;"Valid","Record status missing",IF(COUNTIFS('Plan versions'!$A$7:$A$306,C46,'Plan versions'!$B$7:$B$306,B46,'Plan versions'!$L$7:$L$306,"Frozen")&lt;&gt;1,"Invalid plan ref",IF(OR(D46="",NOT(ISNUMBER(E46)),NOT(ISNUMBER(F46)),G46="",K46=""),"Execution info missing",IF(OR(NOT(ISNUMBER(H46)),H46&lt;0,NOT(ISNUMBER(J46)),J46&lt;0),"Spend or time missing",IF(COUNTIFS('Cases overview'!$A$7:$A$306,B46,'Cases overview'!$J$7:$J$306,I46)&lt;&gt;1,"Currency mismatch",IF(AND(M46&lt;&gt;"",OR(M46=A46,COUNTIFS('Execution log'!$A$7:$A$306,M46,'Execution log'!$B$7:$B$306,B46,'Execution log'!$L$7:$L$306,"Corrected")&lt;&gt;1)),"Correction ref to check","Valid input"))))))))))</x:f>
      </x:c>
    </x:row>
    <x:row r="47" ht="25" customHeight="1">
      <x:c r="A47" s="3"/>
      <x:c r="B47" s="3"/>
      <x:c r="C47" s="3"/>
      <x:c r="D47" s="3"/>
      <x:c r="E47" s="25"/>
      <x:c r="F47" s="25"/>
      <x:c r="G47" s="3"/>
      <x:c r="H47" s="22"/>
      <x:c r="I47" s="3"/>
      <x:c r="J47" s="22"/>
      <x:c r="K47" s="3"/>
      <x:c r="L47" s="3"/>
      <x:c r="M47" s="3"/>
      <x:c r="N47" s="3"/>
      <x:c r="O47" s="3"/>
      <x:c r="P47" s="19" t="str">
        <x:f>IF(A47="","",IF(COUNTIFS('Execution log'!$A$7:$A$306,A47)&lt;&gt;1,"Duplicate ID",IF(COUNTIFS('Cases overview'!$A$7:$A$306,B47)&lt;&gt;1,"Invalid case ref",IF(OR(L47="Corrected",L47="Revoked"),"Excluded from totals",IF(L47&lt;&gt;"Valid","Record status missing",IF(COUNTIFS('Plan versions'!$A$7:$A$306,C47,'Plan versions'!$B$7:$B$306,B47,'Plan versions'!$L$7:$L$306,"Frozen")&lt;&gt;1,"Invalid plan ref",IF(OR(D47="",NOT(ISNUMBER(E47)),NOT(ISNUMBER(F47)),G47="",K47=""),"Execution info missing",IF(OR(NOT(ISNUMBER(H47)),H47&lt;0,NOT(ISNUMBER(J47)),J47&lt;0),"Spend or time missing",IF(COUNTIFS('Cases overview'!$A$7:$A$306,B47,'Cases overview'!$J$7:$J$306,I47)&lt;&gt;1,"Currency mismatch",IF(AND(M47&lt;&gt;"",OR(M47=A47,COUNTIFS('Execution log'!$A$7:$A$306,M47,'Execution log'!$B$7:$B$306,B47,'Execution log'!$L$7:$L$306,"Corrected")&lt;&gt;1)),"Correction ref to check","Valid input"))))))))))</x:f>
      </x:c>
    </x:row>
    <x:row r="48" ht="25" customHeight="1">
      <x:c r="A48" s="3"/>
      <x:c r="B48" s="3"/>
      <x:c r="C48" s="3"/>
      <x:c r="D48" s="3"/>
      <x:c r="E48" s="25"/>
      <x:c r="F48" s="25"/>
      <x:c r="G48" s="3"/>
      <x:c r="H48" s="22"/>
      <x:c r="I48" s="3"/>
      <x:c r="J48" s="22"/>
      <x:c r="K48" s="3"/>
      <x:c r="L48" s="3"/>
      <x:c r="M48" s="3"/>
      <x:c r="N48" s="3"/>
      <x:c r="O48" s="3"/>
      <x:c r="P48" s="19" t="str">
        <x:f>IF(A48="","",IF(COUNTIFS('Execution log'!$A$7:$A$306,A48)&lt;&gt;1,"Duplicate ID",IF(COUNTIFS('Cases overview'!$A$7:$A$306,B48)&lt;&gt;1,"Invalid case ref",IF(OR(L48="Corrected",L48="Revoked"),"Excluded from totals",IF(L48&lt;&gt;"Valid","Record status missing",IF(COUNTIFS('Plan versions'!$A$7:$A$306,C48,'Plan versions'!$B$7:$B$306,B48,'Plan versions'!$L$7:$L$306,"Frozen")&lt;&gt;1,"Invalid plan ref",IF(OR(D48="",NOT(ISNUMBER(E48)),NOT(ISNUMBER(F48)),G48="",K48=""),"Execution info missing",IF(OR(NOT(ISNUMBER(H48)),H48&lt;0,NOT(ISNUMBER(J48)),J48&lt;0),"Spend or time missing",IF(COUNTIFS('Cases overview'!$A$7:$A$306,B48,'Cases overview'!$J$7:$J$306,I48)&lt;&gt;1,"Currency mismatch",IF(AND(M48&lt;&gt;"",OR(M48=A48,COUNTIFS('Execution log'!$A$7:$A$306,M48,'Execution log'!$B$7:$B$306,B48,'Execution log'!$L$7:$L$306,"Corrected")&lt;&gt;1)),"Correction ref to check","Valid input"))))))))))</x:f>
      </x:c>
    </x:row>
    <x:row r="49" ht="25" customHeight="1">
      <x:c r="A49" s="3"/>
      <x:c r="B49" s="3"/>
      <x:c r="C49" s="3"/>
      <x:c r="D49" s="3"/>
      <x:c r="E49" s="25"/>
      <x:c r="F49" s="25"/>
      <x:c r="G49" s="3"/>
      <x:c r="H49" s="22"/>
      <x:c r="I49" s="3"/>
      <x:c r="J49" s="22"/>
      <x:c r="K49" s="3"/>
      <x:c r="L49" s="3"/>
      <x:c r="M49" s="3"/>
      <x:c r="N49" s="3"/>
      <x:c r="O49" s="3"/>
      <x:c r="P49" s="19" t="str">
        <x:f>IF(A49="","",IF(COUNTIFS('Execution log'!$A$7:$A$306,A49)&lt;&gt;1,"Duplicate ID",IF(COUNTIFS('Cases overview'!$A$7:$A$306,B49)&lt;&gt;1,"Invalid case ref",IF(OR(L49="Corrected",L49="Revoked"),"Excluded from totals",IF(L49&lt;&gt;"Valid","Record status missing",IF(COUNTIFS('Plan versions'!$A$7:$A$306,C49,'Plan versions'!$B$7:$B$306,B49,'Plan versions'!$L$7:$L$306,"Frozen")&lt;&gt;1,"Invalid plan ref",IF(OR(D49="",NOT(ISNUMBER(E49)),NOT(ISNUMBER(F49)),G49="",K49=""),"Execution info missing",IF(OR(NOT(ISNUMBER(H49)),H49&lt;0,NOT(ISNUMBER(J49)),J49&lt;0),"Spend or time missing",IF(COUNTIFS('Cases overview'!$A$7:$A$306,B49,'Cases overview'!$J$7:$J$306,I49)&lt;&gt;1,"Currency mismatch",IF(AND(M49&lt;&gt;"",OR(M49=A49,COUNTIFS('Execution log'!$A$7:$A$306,M49,'Execution log'!$B$7:$B$306,B49,'Execution log'!$L$7:$L$306,"Corrected")&lt;&gt;1)),"Correction ref to check","Valid input"))))))))))</x:f>
      </x:c>
    </x:row>
    <x:row r="50" ht="25" customHeight="1">
      <x:c r="A50" s="3"/>
      <x:c r="B50" s="3"/>
      <x:c r="C50" s="3"/>
      <x:c r="D50" s="3"/>
      <x:c r="E50" s="25"/>
      <x:c r="F50" s="25"/>
      <x:c r="G50" s="3"/>
      <x:c r="H50" s="22"/>
      <x:c r="I50" s="3"/>
      <x:c r="J50" s="22"/>
      <x:c r="K50" s="3"/>
      <x:c r="L50" s="3"/>
      <x:c r="M50" s="3"/>
      <x:c r="N50" s="3"/>
      <x:c r="O50" s="3"/>
      <x:c r="P50" s="19" t="str">
        <x:f>IF(A50="","",IF(COUNTIFS('Execution log'!$A$7:$A$306,A50)&lt;&gt;1,"Duplicate ID",IF(COUNTIFS('Cases overview'!$A$7:$A$306,B50)&lt;&gt;1,"Invalid case ref",IF(OR(L50="Corrected",L50="Revoked"),"Excluded from totals",IF(L50&lt;&gt;"Valid","Record status missing",IF(COUNTIFS('Plan versions'!$A$7:$A$306,C50,'Plan versions'!$B$7:$B$306,B50,'Plan versions'!$L$7:$L$306,"Frozen")&lt;&gt;1,"Invalid plan ref",IF(OR(D50="",NOT(ISNUMBER(E50)),NOT(ISNUMBER(F50)),G50="",K50=""),"Execution info missing",IF(OR(NOT(ISNUMBER(H50)),H50&lt;0,NOT(ISNUMBER(J50)),J50&lt;0),"Spend or time missing",IF(COUNTIFS('Cases overview'!$A$7:$A$306,B50,'Cases overview'!$J$7:$J$306,I50)&lt;&gt;1,"Currency mismatch",IF(AND(M50&lt;&gt;"",OR(M50=A50,COUNTIFS('Execution log'!$A$7:$A$306,M50,'Execution log'!$B$7:$B$306,B50,'Execution log'!$L$7:$L$306,"Corrected")&lt;&gt;1)),"Correction ref to check","Valid input"))))))))))</x:f>
      </x:c>
    </x:row>
    <x:row r="51" ht="25" customHeight="1">
      <x:c r="A51" s="3"/>
      <x:c r="B51" s="3"/>
      <x:c r="C51" s="3"/>
      <x:c r="D51" s="3"/>
      <x:c r="E51" s="25"/>
      <x:c r="F51" s="25"/>
      <x:c r="G51" s="3"/>
      <x:c r="H51" s="22"/>
      <x:c r="I51" s="3"/>
      <x:c r="J51" s="22"/>
      <x:c r="K51" s="3"/>
      <x:c r="L51" s="3"/>
      <x:c r="M51" s="3"/>
      <x:c r="N51" s="3"/>
      <x:c r="O51" s="3"/>
      <x:c r="P51" s="19" t="str">
        <x:f>IF(A51="","",IF(COUNTIFS('Execution log'!$A$7:$A$306,A51)&lt;&gt;1,"Duplicate ID",IF(COUNTIFS('Cases overview'!$A$7:$A$306,B51)&lt;&gt;1,"Invalid case ref",IF(OR(L51="Corrected",L51="Revoked"),"Excluded from totals",IF(L51&lt;&gt;"Valid","Record status missing",IF(COUNTIFS('Plan versions'!$A$7:$A$306,C51,'Plan versions'!$B$7:$B$306,B51,'Plan versions'!$L$7:$L$306,"Frozen")&lt;&gt;1,"Invalid plan ref",IF(OR(D51="",NOT(ISNUMBER(E51)),NOT(ISNUMBER(F51)),G51="",K51=""),"Execution info missing",IF(OR(NOT(ISNUMBER(H51)),H51&lt;0,NOT(ISNUMBER(J51)),J51&lt;0),"Spend or time missing",IF(COUNTIFS('Cases overview'!$A$7:$A$306,B51,'Cases overview'!$J$7:$J$306,I51)&lt;&gt;1,"Currency mismatch",IF(AND(M51&lt;&gt;"",OR(M51=A51,COUNTIFS('Execution log'!$A$7:$A$306,M51,'Execution log'!$B$7:$B$306,B51,'Execution log'!$L$7:$L$306,"Corrected")&lt;&gt;1)),"Correction ref to check","Valid input"))))))))))</x:f>
      </x:c>
    </x:row>
    <x:row r="52" ht="25" customHeight="1">
      <x:c r="A52" s="3"/>
      <x:c r="B52" s="3"/>
      <x:c r="C52" s="3"/>
      <x:c r="D52" s="3"/>
      <x:c r="E52" s="25"/>
      <x:c r="F52" s="25"/>
      <x:c r="G52" s="3"/>
      <x:c r="H52" s="22"/>
      <x:c r="I52" s="3"/>
      <x:c r="J52" s="22"/>
      <x:c r="K52" s="3"/>
      <x:c r="L52" s="3"/>
      <x:c r="M52" s="3"/>
      <x:c r="N52" s="3"/>
      <x:c r="O52" s="3"/>
      <x:c r="P52" s="19" t="str">
        <x:f>IF(A52="","",IF(COUNTIFS('Execution log'!$A$7:$A$306,A52)&lt;&gt;1,"Duplicate ID",IF(COUNTIFS('Cases overview'!$A$7:$A$306,B52)&lt;&gt;1,"Invalid case ref",IF(OR(L52="Corrected",L52="Revoked"),"Excluded from totals",IF(L52&lt;&gt;"Valid","Record status missing",IF(COUNTIFS('Plan versions'!$A$7:$A$306,C52,'Plan versions'!$B$7:$B$306,B52,'Plan versions'!$L$7:$L$306,"Frozen")&lt;&gt;1,"Invalid plan ref",IF(OR(D52="",NOT(ISNUMBER(E52)),NOT(ISNUMBER(F52)),G52="",K52=""),"Execution info missing",IF(OR(NOT(ISNUMBER(H52)),H52&lt;0,NOT(ISNUMBER(J52)),J52&lt;0),"Spend or time missing",IF(COUNTIFS('Cases overview'!$A$7:$A$306,B52,'Cases overview'!$J$7:$J$306,I52)&lt;&gt;1,"Currency mismatch",IF(AND(M52&lt;&gt;"",OR(M52=A52,COUNTIFS('Execution log'!$A$7:$A$306,M52,'Execution log'!$B$7:$B$306,B52,'Execution log'!$L$7:$L$306,"Corrected")&lt;&gt;1)),"Correction ref to check","Valid input"))))))))))</x:f>
      </x:c>
    </x:row>
    <x:row r="53" ht="25" customHeight="1">
      <x:c r="A53" s="3"/>
      <x:c r="B53" s="3"/>
      <x:c r="C53" s="3"/>
      <x:c r="D53" s="3"/>
      <x:c r="E53" s="25"/>
      <x:c r="F53" s="25"/>
      <x:c r="G53" s="3"/>
      <x:c r="H53" s="22"/>
      <x:c r="I53" s="3"/>
      <x:c r="J53" s="22"/>
      <x:c r="K53" s="3"/>
      <x:c r="L53" s="3"/>
      <x:c r="M53" s="3"/>
      <x:c r="N53" s="3"/>
      <x:c r="O53" s="3"/>
      <x:c r="P53" s="19" t="str">
        <x:f>IF(A53="","",IF(COUNTIFS('Execution log'!$A$7:$A$306,A53)&lt;&gt;1,"Duplicate ID",IF(COUNTIFS('Cases overview'!$A$7:$A$306,B53)&lt;&gt;1,"Invalid case ref",IF(OR(L53="Corrected",L53="Revoked"),"Excluded from totals",IF(L53&lt;&gt;"Valid","Record status missing",IF(COUNTIFS('Plan versions'!$A$7:$A$306,C53,'Plan versions'!$B$7:$B$306,B53,'Plan versions'!$L$7:$L$306,"Frozen")&lt;&gt;1,"Invalid plan ref",IF(OR(D53="",NOT(ISNUMBER(E53)),NOT(ISNUMBER(F53)),G53="",K53=""),"Execution info missing",IF(OR(NOT(ISNUMBER(H53)),H53&lt;0,NOT(ISNUMBER(J53)),J53&lt;0),"Spend or time missing",IF(COUNTIFS('Cases overview'!$A$7:$A$306,B53,'Cases overview'!$J$7:$J$306,I53)&lt;&gt;1,"Currency mismatch",IF(AND(M53&lt;&gt;"",OR(M53=A53,COUNTIFS('Execution log'!$A$7:$A$306,M53,'Execution log'!$B$7:$B$306,B53,'Execution log'!$L$7:$L$306,"Corrected")&lt;&gt;1)),"Correction ref to check","Valid input"))))))))))</x:f>
      </x:c>
    </x:row>
    <x:row r="54" ht="25" customHeight="1">
      <x:c r="A54" s="3"/>
      <x:c r="B54" s="3"/>
      <x:c r="C54" s="3"/>
      <x:c r="D54" s="3"/>
      <x:c r="E54" s="25"/>
      <x:c r="F54" s="25"/>
      <x:c r="G54" s="3"/>
      <x:c r="H54" s="22"/>
      <x:c r="I54" s="3"/>
      <x:c r="J54" s="22"/>
      <x:c r="K54" s="3"/>
      <x:c r="L54" s="3"/>
      <x:c r="M54" s="3"/>
      <x:c r="N54" s="3"/>
      <x:c r="O54" s="3"/>
      <x:c r="P54" s="19" t="str">
        <x:f>IF(A54="","",IF(COUNTIFS('Execution log'!$A$7:$A$306,A54)&lt;&gt;1,"Duplicate ID",IF(COUNTIFS('Cases overview'!$A$7:$A$306,B54)&lt;&gt;1,"Invalid case ref",IF(OR(L54="Corrected",L54="Revoked"),"Excluded from totals",IF(L54&lt;&gt;"Valid","Record status missing",IF(COUNTIFS('Plan versions'!$A$7:$A$306,C54,'Plan versions'!$B$7:$B$306,B54,'Plan versions'!$L$7:$L$306,"Frozen")&lt;&gt;1,"Invalid plan ref",IF(OR(D54="",NOT(ISNUMBER(E54)),NOT(ISNUMBER(F54)),G54="",K54=""),"Execution info missing",IF(OR(NOT(ISNUMBER(H54)),H54&lt;0,NOT(ISNUMBER(J54)),J54&lt;0),"Spend or time missing",IF(COUNTIFS('Cases overview'!$A$7:$A$306,B54,'Cases overview'!$J$7:$J$306,I54)&lt;&gt;1,"Currency mismatch",IF(AND(M54&lt;&gt;"",OR(M54=A54,COUNTIFS('Execution log'!$A$7:$A$306,M54,'Execution log'!$B$7:$B$306,B54,'Execution log'!$L$7:$L$306,"Corrected")&lt;&gt;1)),"Correction ref to check","Valid input"))))))))))</x:f>
      </x:c>
    </x:row>
    <x:row r="55" ht="25" customHeight="1">
      <x:c r="A55" s="3"/>
      <x:c r="B55" s="3"/>
      <x:c r="C55" s="3"/>
      <x:c r="D55" s="3"/>
      <x:c r="E55" s="25"/>
      <x:c r="F55" s="25"/>
      <x:c r="G55" s="3"/>
      <x:c r="H55" s="22"/>
      <x:c r="I55" s="3"/>
      <x:c r="J55" s="22"/>
      <x:c r="K55" s="3"/>
      <x:c r="L55" s="3"/>
      <x:c r="M55" s="3"/>
      <x:c r="N55" s="3"/>
      <x:c r="O55" s="3"/>
      <x:c r="P55" s="19" t="str">
        <x:f>IF(A55="","",IF(COUNTIFS('Execution log'!$A$7:$A$306,A55)&lt;&gt;1,"Duplicate ID",IF(COUNTIFS('Cases overview'!$A$7:$A$306,B55)&lt;&gt;1,"Invalid case ref",IF(OR(L55="Corrected",L55="Revoked"),"Excluded from totals",IF(L55&lt;&gt;"Valid","Record status missing",IF(COUNTIFS('Plan versions'!$A$7:$A$306,C55,'Plan versions'!$B$7:$B$306,B55,'Plan versions'!$L$7:$L$306,"Frozen")&lt;&gt;1,"Invalid plan ref",IF(OR(D55="",NOT(ISNUMBER(E55)),NOT(ISNUMBER(F55)),G55="",K55=""),"Execution info missing",IF(OR(NOT(ISNUMBER(H55)),H55&lt;0,NOT(ISNUMBER(J55)),J55&lt;0),"Spend or time missing",IF(COUNTIFS('Cases overview'!$A$7:$A$306,B55,'Cases overview'!$J$7:$J$306,I55)&lt;&gt;1,"Currency mismatch",IF(AND(M55&lt;&gt;"",OR(M55=A55,COUNTIFS('Execution log'!$A$7:$A$306,M55,'Execution log'!$B$7:$B$306,B55,'Execution log'!$L$7:$L$306,"Corrected")&lt;&gt;1)),"Correction ref to check","Valid input"))))))))))</x:f>
      </x:c>
    </x:row>
    <x:row r="56" ht="25" customHeight="1">
      <x:c r="A56" s="3"/>
      <x:c r="B56" s="3"/>
      <x:c r="C56" s="3"/>
      <x:c r="D56" s="3"/>
      <x:c r="E56" s="25"/>
      <x:c r="F56" s="25"/>
      <x:c r="G56" s="3"/>
      <x:c r="H56" s="22"/>
      <x:c r="I56" s="3"/>
      <x:c r="J56" s="22"/>
      <x:c r="K56" s="3"/>
      <x:c r="L56" s="3"/>
      <x:c r="M56" s="3"/>
      <x:c r="N56" s="3"/>
      <x:c r="O56" s="3"/>
      <x:c r="P56" s="19" t="str">
        <x:f>IF(A56="","",IF(COUNTIFS('Execution log'!$A$7:$A$306,A56)&lt;&gt;1,"Duplicate ID",IF(COUNTIFS('Cases overview'!$A$7:$A$306,B56)&lt;&gt;1,"Invalid case ref",IF(OR(L56="Corrected",L56="Revoked"),"Excluded from totals",IF(L56&lt;&gt;"Valid","Record status missing",IF(COUNTIFS('Plan versions'!$A$7:$A$306,C56,'Plan versions'!$B$7:$B$306,B56,'Plan versions'!$L$7:$L$306,"Frozen")&lt;&gt;1,"Invalid plan ref",IF(OR(D56="",NOT(ISNUMBER(E56)),NOT(ISNUMBER(F56)),G56="",K56=""),"Execution info missing",IF(OR(NOT(ISNUMBER(H56)),H56&lt;0,NOT(ISNUMBER(J56)),J56&lt;0),"Spend or time missing",IF(COUNTIFS('Cases overview'!$A$7:$A$306,B56,'Cases overview'!$J$7:$J$306,I56)&lt;&gt;1,"Currency mismatch",IF(AND(M56&lt;&gt;"",OR(M56=A56,COUNTIFS('Execution log'!$A$7:$A$306,M56,'Execution log'!$B$7:$B$306,B56,'Execution log'!$L$7:$L$306,"Corrected")&lt;&gt;1)),"Correction ref to check","Valid input"))))))))))</x:f>
      </x:c>
    </x:row>
    <x:row r="57" ht="25" customHeight="1">
      <x:c r="A57" s="3"/>
      <x:c r="B57" s="3"/>
      <x:c r="C57" s="3"/>
      <x:c r="D57" s="3"/>
      <x:c r="E57" s="25"/>
      <x:c r="F57" s="25"/>
      <x:c r="G57" s="3"/>
      <x:c r="H57" s="22"/>
      <x:c r="I57" s="3"/>
      <x:c r="J57" s="22"/>
      <x:c r="K57" s="3"/>
      <x:c r="L57" s="3"/>
      <x:c r="M57" s="3"/>
      <x:c r="N57" s="3"/>
      <x:c r="O57" s="3"/>
      <x:c r="P57" s="19" t="str">
        <x:f>IF(A57="","",IF(COUNTIFS('Execution log'!$A$7:$A$306,A57)&lt;&gt;1,"Duplicate ID",IF(COUNTIFS('Cases overview'!$A$7:$A$306,B57)&lt;&gt;1,"Invalid case ref",IF(OR(L57="Corrected",L57="Revoked"),"Excluded from totals",IF(L57&lt;&gt;"Valid","Record status missing",IF(COUNTIFS('Plan versions'!$A$7:$A$306,C57,'Plan versions'!$B$7:$B$306,B57,'Plan versions'!$L$7:$L$306,"Frozen")&lt;&gt;1,"Invalid plan ref",IF(OR(D57="",NOT(ISNUMBER(E57)),NOT(ISNUMBER(F57)),G57="",K57=""),"Execution info missing",IF(OR(NOT(ISNUMBER(H57)),H57&lt;0,NOT(ISNUMBER(J57)),J57&lt;0),"Spend or time missing",IF(COUNTIFS('Cases overview'!$A$7:$A$306,B57,'Cases overview'!$J$7:$J$306,I57)&lt;&gt;1,"Currency mismatch",IF(AND(M57&lt;&gt;"",OR(M57=A57,COUNTIFS('Execution log'!$A$7:$A$306,M57,'Execution log'!$B$7:$B$306,B57,'Execution log'!$L$7:$L$306,"Corrected")&lt;&gt;1)),"Correction ref to check","Valid input"))))))))))</x:f>
      </x:c>
    </x:row>
    <x:row r="58" ht="25" customHeight="1">
      <x:c r="A58" s="3"/>
      <x:c r="B58" s="3"/>
      <x:c r="C58" s="3"/>
      <x:c r="D58" s="3"/>
      <x:c r="E58" s="25"/>
      <x:c r="F58" s="25"/>
      <x:c r="G58" s="3"/>
      <x:c r="H58" s="22"/>
      <x:c r="I58" s="3"/>
      <x:c r="J58" s="22"/>
      <x:c r="K58" s="3"/>
      <x:c r="L58" s="3"/>
      <x:c r="M58" s="3"/>
      <x:c r="N58" s="3"/>
      <x:c r="O58" s="3"/>
      <x:c r="P58" s="19" t="str">
        <x:f>IF(A58="","",IF(COUNTIFS('Execution log'!$A$7:$A$306,A58)&lt;&gt;1,"Duplicate ID",IF(COUNTIFS('Cases overview'!$A$7:$A$306,B58)&lt;&gt;1,"Invalid case ref",IF(OR(L58="Corrected",L58="Revoked"),"Excluded from totals",IF(L58&lt;&gt;"Valid","Record status missing",IF(COUNTIFS('Plan versions'!$A$7:$A$306,C58,'Plan versions'!$B$7:$B$306,B58,'Plan versions'!$L$7:$L$306,"Frozen")&lt;&gt;1,"Invalid plan ref",IF(OR(D58="",NOT(ISNUMBER(E58)),NOT(ISNUMBER(F58)),G58="",K58=""),"Execution info missing",IF(OR(NOT(ISNUMBER(H58)),H58&lt;0,NOT(ISNUMBER(J58)),J58&lt;0),"Spend or time missing",IF(COUNTIFS('Cases overview'!$A$7:$A$306,B58,'Cases overview'!$J$7:$J$306,I58)&lt;&gt;1,"Currency mismatch",IF(AND(M58&lt;&gt;"",OR(M58=A58,COUNTIFS('Execution log'!$A$7:$A$306,M58,'Execution log'!$B$7:$B$306,B58,'Execution log'!$L$7:$L$306,"Corrected")&lt;&gt;1)),"Correction ref to check","Valid input"))))))))))</x:f>
      </x:c>
    </x:row>
    <x:row r="59" ht="25" customHeight="1">
      <x:c r="A59" s="3"/>
      <x:c r="B59" s="3"/>
      <x:c r="C59" s="3"/>
      <x:c r="D59" s="3"/>
      <x:c r="E59" s="25"/>
      <x:c r="F59" s="25"/>
      <x:c r="G59" s="3"/>
      <x:c r="H59" s="22"/>
      <x:c r="I59" s="3"/>
      <x:c r="J59" s="22"/>
      <x:c r="K59" s="3"/>
      <x:c r="L59" s="3"/>
      <x:c r="M59" s="3"/>
      <x:c r="N59" s="3"/>
      <x:c r="O59" s="3"/>
      <x:c r="P59" s="19" t="str">
        <x:f>IF(A59="","",IF(COUNTIFS('Execution log'!$A$7:$A$306,A59)&lt;&gt;1,"Duplicate ID",IF(COUNTIFS('Cases overview'!$A$7:$A$306,B59)&lt;&gt;1,"Invalid case ref",IF(OR(L59="Corrected",L59="Revoked"),"Excluded from totals",IF(L59&lt;&gt;"Valid","Record status missing",IF(COUNTIFS('Plan versions'!$A$7:$A$306,C59,'Plan versions'!$B$7:$B$306,B59,'Plan versions'!$L$7:$L$306,"Frozen")&lt;&gt;1,"Invalid plan ref",IF(OR(D59="",NOT(ISNUMBER(E59)),NOT(ISNUMBER(F59)),G59="",K59=""),"Execution info missing",IF(OR(NOT(ISNUMBER(H59)),H59&lt;0,NOT(ISNUMBER(J59)),J59&lt;0),"Spend or time missing",IF(COUNTIFS('Cases overview'!$A$7:$A$306,B59,'Cases overview'!$J$7:$J$306,I59)&lt;&gt;1,"Currency mismatch",IF(AND(M59&lt;&gt;"",OR(M59=A59,COUNTIFS('Execution log'!$A$7:$A$306,M59,'Execution log'!$B$7:$B$306,B59,'Execution log'!$L$7:$L$306,"Corrected")&lt;&gt;1)),"Correction ref to check","Valid input"))))))))))</x:f>
      </x:c>
    </x:row>
    <x:row r="60" ht="25" customHeight="1">
      <x:c r="A60" s="3"/>
      <x:c r="B60" s="3"/>
      <x:c r="C60" s="3"/>
      <x:c r="D60" s="3"/>
      <x:c r="E60" s="25"/>
      <x:c r="F60" s="25"/>
      <x:c r="G60" s="3"/>
      <x:c r="H60" s="22"/>
      <x:c r="I60" s="3"/>
      <x:c r="J60" s="22"/>
      <x:c r="K60" s="3"/>
      <x:c r="L60" s="3"/>
      <x:c r="M60" s="3"/>
      <x:c r="N60" s="3"/>
      <x:c r="O60" s="3"/>
      <x:c r="P60" s="19" t="str">
        <x:f>IF(A60="","",IF(COUNTIFS('Execution log'!$A$7:$A$306,A60)&lt;&gt;1,"Duplicate ID",IF(COUNTIFS('Cases overview'!$A$7:$A$306,B60)&lt;&gt;1,"Invalid case ref",IF(OR(L60="Corrected",L60="Revoked"),"Excluded from totals",IF(L60&lt;&gt;"Valid","Record status missing",IF(COUNTIFS('Plan versions'!$A$7:$A$306,C60,'Plan versions'!$B$7:$B$306,B60,'Plan versions'!$L$7:$L$306,"Frozen")&lt;&gt;1,"Invalid plan ref",IF(OR(D60="",NOT(ISNUMBER(E60)),NOT(ISNUMBER(F60)),G60="",K60=""),"Execution info missing",IF(OR(NOT(ISNUMBER(H60)),H60&lt;0,NOT(ISNUMBER(J60)),J60&lt;0),"Spend or time missing",IF(COUNTIFS('Cases overview'!$A$7:$A$306,B60,'Cases overview'!$J$7:$J$306,I60)&lt;&gt;1,"Currency mismatch",IF(AND(M60&lt;&gt;"",OR(M60=A60,COUNTIFS('Execution log'!$A$7:$A$306,M60,'Execution log'!$B$7:$B$306,B60,'Execution log'!$L$7:$L$306,"Corrected")&lt;&gt;1)),"Correction ref to check","Valid input"))))))))))</x:f>
      </x:c>
    </x:row>
    <x:row r="61" ht="25" customHeight="1">
      <x:c r="A61" s="3"/>
      <x:c r="B61" s="3"/>
      <x:c r="C61" s="3"/>
      <x:c r="D61" s="3"/>
      <x:c r="E61" s="25"/>
      <x:c r="F61" s="25"/>
      <x:c r="G61" s="3"/>
      <x:c r="H61" s="22"/>
      <x:c r="I61" s="3"/>
      <x:c r="J61" s="22"/>
      <x:c r="K61" s="3"/>
      <x:c r="L61" s="3"/>
      <x:c r="M61" s="3"/>
      <x:c r="N61" s="3"/>
      <x:c r="O61" s="3"/>
      <x:c r="P61" s="19" t="str">
        <x:f>IF(A61="","",IF(COUNTIFS('Execution log'!$A$7:$A$306,A61)&lt;&gt;1,"Duplicate ID",IF(COUNTIFS('Cases overview'!$A$7:$A$306,B61)&lt;&gt;1,"Invalid case ref",IF(OR(L61="Corrected",L61="Revoked"),"Excluded from totals",IF(L61&lt;&gt;"Valid","Record status missing",IF(COUNTIFS('Plan versions'!$A$7:$A$306,C61,'Plan versions'!$B$7:$B$306,B61,'Plan versions'!$L$7:$L$306,"Frozen")&lt;&gt;1,"Invalid plan ref",IF(OR(D61="",NOT(ISNUMBER(E61)),NOT(ISNUMBER(F61)),G61="",K61=""),"Execution info missing",IF(OR(NOT(ISNUMBER(H61)),H61&lt;0,NOT(ISNUMBER(J61)),J61&lt;0),"Spend or time missing",IF(COUNTIFS('Cases overview'!$A$7:$A$306,B61,'Cases overview'!$J$7:$J$306,I61)&lt;&gt;1,"Currency mismatch",IF(AND(M61&lt;&gt;"",OR(M61=A61,COUNTIFS('Execution log'!$A$7:$A$306,M61,'Execution log'!$B$7:$B$306,B61,'Execution log'!$L$7:$L$306,"Corrected")&lt;&gt;1)),"Correction ref to check","Valid input"))))))))))</x:f>
      </x:c>
    </x:row>
    <x:row r="62" ht="25" customHeight="1">
      <x:c r="A62" s="3"/>
      <x:c r="B62" s="3"/>
      <x:c r="C62" s="3"/>
      <x:c r="D62" s="3"/>
      <x:c r="E62" s="25"/>
      <x:c r="F62" s="25"/>
      <x:c r="G62" s="3"/>
      <x:c r="H62" s="22"/>
      <x:c r="I62" s="3"/>
      <x:c r="J62" s="22"/>
      <x:c r="K62" s="3"/>
      <x:c r="L62" s="3"/>
      <x:c r="M62" s="3"/>
      <x:c r="N62" s="3"/>
      <x:c r="O62" s="3"/>
      <x:c r="P62" s="19" t="str">
        <x:f>IF(A62="","",IF(COUNTIFS('Execution log'!$A$7:$A$306,A62)&lt;&gt;1,"Duplicate ID",IF(COUNTIFS('Cases overview'!$A$7:$A$306,B62)&lt;&gt;1,"Invalid case ref",IF(OR(L62="Corrected",L62="Revoked"),"Excluded from totals",IF(L62&lt;&gt;"Valid","Record status missing",IF(COUNTIFS('Plan versions'!$A$7:$A$306,C62,'Plan versions'!$B$7:$B$306,B62,'Plan versions'!$L$7:$L$306,"Frozen")&lt;&gt;1,"Invalid plan ref",IF(OR(D62="",NOT(ISNUMBER(E62)),NOT(ISNUMBER(F62)),G62="",K62=""),"Execution info missing",IF(OR(NOT(ISNUMBER(H62)),H62&lt;0,NOT(ISNUMBER(J62)),J62&lt;0),"Spend or time missing",IF(COUNTIFS('Cases overview'!$A$7:$A$306,B62,'Cases overview'!$J$7:$J$306,I62)&lt;&gt;1,"Currency mismatch",IF(AND(M62&lt;&gt;"",OR(M62=A62,COUNTIFS('Execution log'!$A$7:$A$306,M62,'Execution log'!$B$7:$B$306,B62,'Execution log'!$L$7:$L$306,"Corrected")&lt;&gt;1)),"Correction ref to check","Valid input"))))))))))</x:f>
      </x:c>
    </x:row>
    <x:row r="63" ht="25" customHeight="1">
      <x:c r="A63" s="3"/>
      <x:c r="B63" s="3"/>
      <x:c r="C63" s="3"/>
      <x:c r="D63" s="3"/>
      <x:c r="E63" s="25"/>
      <x:c r="F63" s="25"/>
      <x:c r="G63" s="3"/>
      <x:c r="H63" s="22"/>
      <x:c r="I63" s="3"/>
      <x:c r="J63" s="22"/>
      <x:c r="K63" s="3"/>
      <x:c r="L63" s="3"/>
      <x:c r="M63" s="3"/>
      <x:c r="N63" s="3"/>
      <x:c r="O63" s="3"/>
      <x:c r="P63" s="19" t="str">
        <x:f>IF(A63="","",IF(COUNTIFS('Execution log'!$A$7:$A$306,A63)&lt;&gt;1,"Duplicate ID",IF(COUNTIFS('Cases overview'!$A$7:$A$306,B63)&lt;&gt;1,"Invalid case ref",IF(OR(L63="Corrected",L63="Revoked"),"Excluded from totals",IF(L63&lt;&gt;"Valid","Record status missing",IF(COUNTIFS('Plan versions'!$A$7:$A$306,C63,'Plan versions'!$B$7:$B$306,B63,'Plan versions'!$L$7:$L$306,"Frozen")&lt;&gt;1,"Invalid plan ref",IF(OR(D63="",NOT(ISNUMBER(E63)),NOT(ISNUMBER(F63)),G63="",K63=""),"Execution info missing",IF(OR(NOT(ISNUMBER(H63)),H63&lt;0,NOT(ISNUMBER(J63)),J63&lt;0),"Spend or time missing",IF(COUNTIFS('Cases overview'!$A$7:$A$306,B63,'Cases overview'!$J$7:$J$306,I63)&lt;&gt;1,"Currency mismatch",IF(AND(M63&lt;&gt;"",OR(M63=A63,COUNTIFS('Execution log'!$A$7:$A$306,M63,'Execution log'!$B$7:$B$306,B63,'Execution log'!$L$7:$L$306,"Corrected")&lt;&gt;1)),"Correction ref to check","Valid input"))))))))))</x:f>
      </x:c>
    </x:row>
    <x:row r="64" ht="25" customHeight="1">
      <x:c r="A64" s="3"/>
      <x:c r="B64" s="3"/>
      <x:c r="C64" s="3"/>
      <x:c r="D64" s="3"/>
      <x:c r="E64" s="25"/>
      <x:c r="F64" s="25"/>
      <x:c r="G64" s="3"/>
      <x:c r="H64" s="22"/>
      <x:c r="I64" s="3"/>
      <x:c r="J64" s="22"/>
      <x:c r="K64" s="3"/>
      <x:c r="L64" s="3"/>
      <x:c r="M64" s="3"/>
      <x:c r="N64" s="3"/>
      <x:c r="O64" s="3"/>
      <x:c r="P64" s="19" t="str">
        <x:f>IF(A64="","",IF(COUNTIFS('Execution log'!$A$7:$A$306,A64)&lt;&gt;1,"Duplicate ID",IF(COUNTIFS('Cases overview'!$A$7:$A$306,B64)&lt;&gt;1,"Invalid case ref",IF(OR(L64="Corrected",L64="Revoked"),"Excluded from totals",IF(L64&lt;&gt;"Valid","Record status missing",IF(COUNTIFS('Plan versions'!$A$7:$A$306,C64,'Plan versions'!$B$7:$B$306,B64,'Plan versions'!$L$7:$L$306,"Frozen")&lt;&gt;1,"Invalid plan ref",IF(OR(D64="",NOT(ISNUMBER(E64)),NOT(ISNUMBER(F64)),G64="",K64=""),"Execution info missing",IF(OR(NOT(ISNUMBER(H64)),H64&lt;0,NOT(ISNUMBER(J64)),J64&lt;0),"Spend or time missing",IF(COUNTIFS('Cases overview'!$A$7:$A$306,B64,'Cases overview'!$J$7:$J$306,I64)&lt;&gt;1,"Currency mismatch",IF(AND(M64&lt;&gt;"",OR(M64=A64,COUNTIFS('Execution log'!$A$7:$A$306,M64,'Execution log'!$B$7:$B$306,B64,'Execution log'!$L$7:$L$306,"Corrected")&lt;&gt;1)),"Correction ref to check","Valid input"))))))))))</x:f>
      </x:c>
    </x:row>
    <x:row r="65" ht="25" customHeight="1">
      <x:c r="A65" s="3"/>
      <x:c r="B65" s="3"/>
      <x:c r="C65" s="3"/>
      <x:c r="D65" s="3"/>
      <x:c r="E65" s="25"/>
      <x:c r="F65" s="25"/>
      <x:c r="G65" s="3"/>
      <x:c r="H65" s="22"/>
      <x:c r="I65" s="3"/>
      <x:c r="J65" s="22"/>
      <x:c r="K65" s="3"/>
      <x:c r="L65" s="3"/>
      <x:c r="M65" s="3"/>
      <x:c r="N65" s="3"/>
      <x:c r="O65" s="3"/>
      <x:c r="P65" s="19" t="str">
        <x:f>IF(A65="","",IF(COUNTIFS('Execution log'!$A$7:$A$306,A65)&lt;&gt;1,"Duplicate ID",IF(COUNTIFS('Cases overview'!$A$7:$A$306,B65)&lt;&gt;1,"Invalid case ref",IF(OR(L65="Corrected",L65="Revoked"),"Excluded from totals",IF(L65&lt;&gt;"Valid","Record status missing",IF(COUNTIFS('Plan versions'!$A$7:$A$306,C65,'Plan versions'!$B$7:$B$306,B65,'Plan versions'!$L$7:$L$306,"Frozen")&lt;&gt;1,"Invalid plan ref",IF(OR(D65="",NOT(ISNUMBER(E65)),NOT(ISNUMBER(F65)),G65="",K65=""),"Execution info missing",IF(OR(NOT(ISNUMBER(H65)),H65&lt;0,NOT(ISNUMBER(J65)),J65&lt;0),"Spend or time missing",IF(COUNTIFS('Cases overview'!$A$7:$A$306,B65,'Cases overview'!$J$7:$J$306,I65)&lt;&gt;1,"Currency mismatch",IF(AND(M65&lt;&gt;"",OR(M65=A65,COUNTIFS('Execution log'!$A$7:$A$306,M65,'Execution log'!$B$7:$B$306,B65,'Execution log'!$L$7:$L$306,"Corrected")&lt;&gt;1)),"Correction ref to check","Valid input"))))))))))</x:f>
      </x:c>
    </x:row>
    <x:row r="66" ht="25" customHeight="1">
      <x:c r="A66" s="3"/>
      <x:c r="B66" s="3"/>
      <x:c r="C66" s="3"/>
      <x:c r="D66" s="3"/>
      <x:c r="E66" s="25"/>
      <x:c r="F66" s="25"/>
      <x:c r="G66" s="3"/>
      <x:c r="H66" s="22"/>
      <x:c r="I66" s="3"/>
      <x:c r="J66" s="22"/>
      <x:c r="K66" s="3"/>
      <x:c r="L66" s="3"/>
      <x:c r="M66" s="3"/>
      <x:c r="N66" s="3"/>
      <x:c r="O66" s="3"/>
      <x:c r="P66" s="19" t="str">
        <x:f>IF(A66="","",IF(COUNTIFS('Execution log'!$A$7:$A$306,A66)&lt;&gt;1,"Duplicate ID",IF(COUNTIFS('Cases overview'!$A$7:$A$306,B66)&lt;&gt;1,"Invalid case ref",IF(OR(L66="Corrected",L66="Revoked"),"Excluded from totals",IF(L66&lt;&gt;"Valid","Record status missing",IF(COUNTIFS('Plan versions'!$A$7:$A$306,C66,'Plan versions'!$B$7:$B$306,B66,'Plan versions'!$L$7:$L$306,"Frozen")&lt;&gt;1,"Invalid plan ref",IF(OR(D66="",NOT(ISNUMBER(E66)),NOT(ISNUMBER(F66)),G66="",K66=""),"Execution info missing",IF(OR(NOT(ISNUMBER(H66)),H66&lt;0,NOT(ISNUMBER(J66)),J66&lt;0),"Spend or time missing",IF(COUNTIFS('Cases overview'!$A$7:$A$306,B66,'Cases overview'!$J$7:$J$306,I66)&lt;&gt;1,"Currency mismatch",IF(AND(M66&lt;&gt;"",OR(M66=A66,COUNTIFS('Execution log'!$A$7:$A$306,M66,'Execution log'!$B$7:$B$306,B66,'Execution log'!$L$7:$L$306,"Corrected")&lt;&gt;1)),"Correction ref to check","Valid input"))))))))))</x:f>
      </x:c>
    </x:row>
    <x:row r="67" ht="25" customHeight="1">
      <x:c r="A67" s="3"/>
      <x:c r="B67" s="3"/>
      <x:c r="C67" s="3"/>
      <x:c r="D67" s="3"/>
      <x:c r="E67" s="25"/>
      <x:c r="F67" s="25"/>
      <x:c r="G67" s="3"/>
      <x:c r="H67" s="22"/>
      <x:c r="I67" s="3"/>
      <x:c r="J67" s="22"/>
      <x:c r="K67" s="3"/>
      <x:c r="L67" s="3"/>
      <x:c r="M67" s="3"/>
      <x:c r="N67" s="3"/>
      <x:c r="O67" s="3"/>
      <x:c r="P67" s="19" t="str">
        <x:f>IF(A67="","",IF(COUNTIFS('Execution log'!$A$7:$A$306,A67)&lt;&gt;1,"Duplicate ID",IF(COUNTIFS('Cases overview'!$A$7:$A$306,B67)&lt;&gt;1,"Invalid case ref",IF(OR(L67="Corrected",L67="Revoked"),"Excluded from totals",IF(L67&lt;&gt;"Valid","Record status missing",IF(COUNTIFS('Plan versions'!$A$7:$A$306,C67,'Plan versions'!$B$7:$B$306,B67,'Plan versions'!$L$7:$L$306,"Frozen")&lt;&gt;1,"Invalid plan ref",IF(OR(D67="",NOT(ISNUMBER(E67)),NOT(ISNUMBER(F67)),G67="",K67=""),"Execution info missing",IF(OR(NOT(ISNUMBER(H67)),H67&lt;0,NOT(ISNUMBER(J67)),J67&lt;0),"Spend or time missing",IF(COUNTIFS('Cases overview'!$A$7:$A$306,B67,'Cases overview'!$J$7:$J$306,I67)&lt;&gt;1,"Currency mismatch",IF(AND(M67&lt;&gt;"",OR(M67=A67,COUNTIFS('Execution log'!$A$7:$A$306,M67,'Execution log'!$B$7:$B$306,B67,'Execution log'!$L$7:$L$306,"Corrected")&lt;&gt;1)),"Correction ref to check","Valid input"))))))))))</x:f>
      </x:c>
    </x:row>
    <x:row r="68" ht="25" customHeight="1">
      <x:c r="A68" s="3"/>
      <x:c r="B68" s="3"/>
      <x:c r="C68" s="3"/>
      <x:c r="D68" s="3"/>
      <x:c r="E68" s="25"/>
      <x:c r="F68" s="25"/>
      <x:c r="G68" s="3"/>
      <x:c r="H68" s="22"/>
      <x:c r="I68" s="3"/>
      <x:c r="J68" s="22"/>
      <x:c r="K68" s="3"/>
      <x:c r="L68" s="3"/>
      <x:c r="M68" s="3"/>
      <x:c r="N68" s="3"/>
      <x:c r="O68" s="3"/>
      <x:c r="P68" s="19" t="str">
        <x:f>IF(A68="","",IF(COUNTIFS('Execution log'!$A$7:$A$306,A68)&lt;&gt;1,"Duplicate ID",IF(COUNTIFS('Cases overview'!$A$7:$A$306,B68)&lt;&gt;1,"Invalid case ref",IF(OR(L68="Corrected",L68="Revoked"),"Excluded from totals",IF(L68&lt;&gt;"Valid","Record status missing",IF(COUNTIFS('Plan versions'!$A$7:$A$306,C68,'Plan versions'!$B$7:$B$306,B68,'Plan versions'!$L$7:$L$306,"Frozen")&lt;&gt;1,"Invalid plan ref",IF(OR(D68="",NOT(ISNUMBER(E68)),NOT(ISNUMBER(F68)),G68="",K68=""),"Execution info missing",IF(OR(NOT(ISNUMBER(H68)),H68&lt;0,NOT(ISNUMBER(J68)),J68&lt;0),"Spend or time missing",IF(COUNTIFS('Cases overview'!$A$7:$A$306,B68,'Cases overview'!$J$7:$J$306,I68)&lt;&gt;1,"Currency mismatch",IF(AND(M68&lt;&gt;"",OR(M68=A68,COUNTIFS('Execution log'!$A$7:$A$306,M68,'Execution log'!$B$7:$B$306,B68,'Execution log'!$L$7:$L$306,"Corrected")&lt;&gt;1)),"Correction ref to check","Valid input"))))))))))</x:f>
      </x:c>
    </x:row>
    <x:row r="69" ht="25" customHeight="1">
      <x:c r="A69" s="3"/>
      <x:c r="B69" s="3"/>
      <x:c r="C69" s="3"/>
      <x:c r="D69" s="3"/>
      <x:c r="E69" s="25"/>
      <x:c r="F69" s="25"/>
      <x:c r="G69" s="3"/>
      <x:c r="H69" s="22"/>
      <x:c r="I69" s="3"/>
      <x:c r="J69" s="22"/>
      <x:c r="K69" s="3"/>
      <x:c r="L69" s="3"/>
      <x:c r="M69" s="3"/>
      <x:c r="N69" s="3"/>
      <x:c r="O69" s="3"/>
      <x:c r="P69" s="19" t="str">
        <x:f>IF(A69="","",IF(COUNTIFS('Execution log'!$A$7:$A$306,A69)&lt;&gt;1,"Duplicate ID",IF(COUNTIFS('Cases overview'!$A$7:$A$306,B69)&lt;&gt;1,"Invalid case ref",IF(OR(L69="Corrected",L69="Revoked"),"Excluded from totals",IF(L69&lt;&gt;"Valid","Record status missing",IF(COUNTIFS('Plan versions'!$A$7:$A$306,C69,'Plan versions'!$B$7:$B$306,B69,'Plan versions'!$L$7:$L$306,"Frozen")&lt;&gt;1,"Invalid plan ref",IF(OR(D69="",NOT(ISNUMBER(E69)),NOT(ISNUMBER(F69)),G69="",K69=""),"Execution info missing",IF(OR(NOT(ISNUMBER(H69)),H69&lt;0,NOT(ISNUMBER(J69)),J69&lt;0),"Spend or time missing",IF(COUNTIFS('Cases overview'!$A$7:$A$306,B69,'Cases overview'!$J$7:$J$306,I69)&lt;&gt;1,"Currency mismatch",IF(AND(M69&lt;&gt;"",OR(M69=A69,COUNTIFS('Execution log'!$A$7:$A$306,M69,'Execution log'!$B$7:$B$306,B69,'Execution log'!$L$7:$L$306,"Corrected")&lt;&gt;1)),"Correction ref to check","Valid input"))))))))))</x:f>
      </x:c>
    </x:row>
    <x:row r="70" ht="25" customHeight="1">
      <x:c r="A70" s="3"/>
      <x:c r="B70" s="3"/>
      <x:c r="C70" s="3"/>
      <x:c r="D70" s="3"/>
      <x:c r="E70" s="25"/>
      <x:c r="F70" s="25"/>
      <x:c r="G70" s="3"/>
      <x:c r="H70" s="22"/>
      <x:c r="I70" s="3"/>
      <x:c r="J70" s="22"/>
      <x:c r="K70" s="3"/>
      <x:c r="L70" s="3"/>
      <x:c r="M70" s="3"/>
      <x:c r="N70" s="3"/>
      <x:c r="O70" s="3"/>
      <x:c r="P70" s="19" t="str">
        <x:f>IF(A70="","",IF(COUNTIFS('Execution log'!$A$7:$A$306,A70)&lt;&gt;1,"Duplicate ID",IF(COUNTIFS('Cases overview'!$A$7:$A$306,B70)&lt;&gt;1,"Invalid case ref",IF(OR(L70="Corrected",L70="Revoked"),"Excluded from totals",IF(L70&lt;&gt;"Valid","Record status missing",IF(COUNTIFS('Plan versions'!$A$7:$A$306,C70,'Plan versions'!$B$7:$B$306,B70,'Plan versions'!$L$7:$L$306,"Frozen")&lt;&gt;1,"Invalid plan ref",IF(OR(D70="",NOT(ISNUMBER(E70)),NOT(ISNUMBER(F70)),G70="",K70=""),"Execution info missing",IF(OR(NOT(ISNUMBER(H70)),H70&lt;0,NOT(ISNUMBER(J70)),J70&lt;0),"Spend or time missing",IF(COUNTIFS('Cases overview'!$A$7:$A$306,B70,'Cases overview'!$J$7:$J$306,I70)&lt;&gt;1,"Currency mismatch",IF(AND(M70&lt;&gt;"",OR(M70=A70,COUNTIFS('Execution log'!$A$7:$A$306,M70,'Execution log'!$B$7:$B$306,B70,'Execution log'!$L$7:$L$306,"Corrected")&lt;&gt;1)),"Correction ref to check","Valid input"))))))))))</x:f>
      </x:c>
    </x:row>
    <x:row r="71" ht="25" customHeight="1">
      <x:c r="A71" s="3"/>
      <x:c r="B71" s="3"/>
      <x:c r="C71" s="3"/>
      <x:c r="D71" s="3"/>
      <x:c r="E71" s="25"/>
      <x:c r="F71" s="25"/>
      <x:c r="G71" s="3"/>
      <x:c r="H71" s="22"/>
      <x:c r="I71" s="3"/>
      <x:c r="J71" s="22"/>
      <x:c r="K71" s="3"/>
      <x:c r="L71" s="3"/>
      <x:c r="M71" s="3"/>
      <x:c r="N71" s="3"/>
      <x:c r="O71" s="3"/>
      <x:c r="P71" s="19" t="str">
        <x:f>IF(A71="","",IF(COUNTIFS('Execution log'!$A$7:$A$306,A71)&lt;&gt;1,"Duplicate ID",IF(COUNTIFS('Cases overview'!$A$7:$A$306,B71)&lt;&gt;1,"Invalid case ref",IF(OR(L71="Corrected",L71="Revoked"),"Excluded from totals",IF(L71&lt;&gt;"Valid","Record status missing",IF(COUNTIFS('Plan versions'!$A$7:$A$306,C71,'Plan versions'!$B$7:$B$306,B71,'Plan versions'!$L$7:$L$306,"Frozen")&lt;&gt;1,"Invalid plan ref",IF(OR(D71="",NOT(ISNUMBER(E71)),NOT(ISNUMBER(F71)),G71="",K71=""),"Execution info missing",IF(OR(NOT(ISNUMBER(H71)),H71&lt;0,NOT(ISNUMBER(J71)),J71&lt;0),"Spend or time missing",IF(COUNTIFS('Cases overview'!$A$7:$A$306,B71,'Cases overview'!$J$7:$J$306,I71)&lt;&gt;1,"Currency mismatch",IF(AND(M71&lt;&gt;"",OR(M71=A71,COUNTIFS('Execution log'!$A$7:$A$306,M71,'Execution log'!$B$7:$B$306,B71,'Execution log'!$L$7:$L$306,"Corrected")&lt;&gt;1)),"Correction ref to check","Valid input"))))))))))</x:f>
      </x:c>
    </x:row>
    <x:row r="72" ht="25" customHeight="1">
      <x:c r="A72" s="3"/>
      <x:c r="B72" s="3"/>
      <x:c r="C72" s="3"/>
      <x:c r="D72" s="3"/>
      <x:c r="E72" s="25"/>
      <x:c r="F72" s="25"/>
      <x:c r="G72" s="3"/>
      <x:c r="H72" s="22"/>
      <x:c r="I72" s="3"/>
      <x:c r="J72" s="22"/>
      <x:c r="K72" s="3"/>
      <x:c r="L72" s="3"/>
      <x:c r="M72" s="3"/>
      <x:c r="N72" s="3"/>
      <x:c r="O72" s="3"/>
      <x:c r="P72" s="19" t="str">
        <x:f>IF(A72="","",IF(COUNTIFS('Execution log'!$A$7:$A$306,A72)&lt;&gt;1,"Duplicate ID",IF(COUNTIFS('Cases overview'!$A$7:$A$306,B72)&lt;&gt;1,"Invalid case ref",IF(OR(L72="Corrected",L72="Revoked"),"Excluded from totals",IF(L72&lt;&gt;"Valid","Record status missing",IF(COUNTIFS('Plan versions'!$A$7:$A$306,C72,'Plan versions'!$B$7:$B$306,B72,'Plan versions'!$L$7:$L$306,"Frozen")&lt;&gt;1,"Invalid plan ref",IF(OR(D72="",NOT(ISNUMBER(E72)),NOT(ISNUMBER(F72)),G72="",K72=""),"Execution info missing",IF(OR(NOT(ISNUMBER(H72)),H72&lt;0,NOT(ISNUMBER(J72)),J72&lt;0),"Spend or time missing",IF(COUNTIFS('Cases overview'!$A$7:$A$306,B72,'Cases overview'!$J$7:$J$306,I72)&lt;&gt;1,"Currency mismatch",IF(AND(M72&lt;&gt;"",OR(M72=A72,COUNTIFS('Execution log'!$A$7:$A$306,M72,'Execution log'!$B$7:$B$306,B72,'Execution log'!$L$7:$L$306,"Corrected")&lt;&gt;1)),"Correction ref to check","Valid input"))))))))))</x:f>
      </x:c>
    </x:row>
    <x:row r="73" ht="25" customHeight="1">
      <x:c r="A73" s="3"/>
      <x:c r="B73" s="3"/>
      <x:c r="C73" s="3"/>
      <x:c r="D73" s="3"/>
      <x:c r="E73" s="25"/>
      <x:c r="F73" s="25"/>
      <x:c r="G73" s="3"/>
      <x:c r="H73" s="22"/>
      <x:c r="I73" s="3"/>
      <x:c r="J73" s="22"/>
      <x:c r="K73" s="3"/>
      <x:c r="L73" s="3"/>
      <x:c r="M73" s="3"/>
      <x:c r="N73" s="3"/>
      <x:c r="O73" s="3"/>
      <x:c r="P73" s="19" t="str">
        <x:f>IF(A73="","",IF(COUNTIFS('Execution log'!$A$7:$A$306,A73)&lt;&gt;1,"Duplicate ID",IF(COUNTIFS('Cases overview'!$A$7:$A$306,B73)&lt;&gt;1,"Invalid case ref",IF(OR(L73="Corrected",L73="Revoked"),"Excluded from totals",IF(L73&lt;&gt;"Valid","Record status missing",IF(COUNTIFS('Plan versions'!$A$7:$A$306,C73,'Plan versions'!$B$7:$B$306,B73,'Plan versions'!$L$7:$L$306,"Frozen")&lt;&gt;1,"Invalid plan ref",IF(OR(D73="",NOT(ISNUMBER(E73)),NOT(ISNUMBER(F73)),G73="",K73=""),"Execution info missing",IF(OR(NOT(ISNUMBER(H73)),H73&lt;0,NOT(ISNUMBER(J73)),J73&lt;0),"Spend or time missing",IF(COUNTIFS('Cases overview'!$A$7:$A$306,B73,'Cases overview'!$J$7:$J$306,I73)&lt;&gt;1,"Currency mismatch",IF(AND(M73&lt;&gt;"",OR(M73=A73,COUNTIFS('Execution log'!$A$7:$A$306,M73,'Execution log'!$B$7:$B$306,B73,'Execution log'!$L$7:$L$306,"Corrected")&lt;&gt;1)),"Correction ref to check","Valid input"))))))))))</x:f>
      </x:c>
    </x:row>
    <x:row r="74" ht="25" customHeight="1">
      <x:c r="A74" s="3"/>
      <x:c r="B74" s="3"/>
      <x:c r="C74" s="3"/>
      <x:c r="D74" s="3"/>
      <x:c r="E74" s="25"/>
      <x:c r="F74" s="25"/>
      <x:c r="G74" s="3"/>
      <x:c r="H74" s="22"/>
      <x:c r="I74" s="3"/>
      <x:c r="J74" s="22"/>
      <x:c r="K74" s="3"/>
      <x:c r="L74" s="3"/>
      <x:c r="M74" s="3"/>
      <x:c r="N74" s="3"/>
      <x:c r="O74" s="3"/>
      <x:c r="P74" s="19" t="str">
        <x:f>IF(A74="","",IF(COUNTIFS('Execution log'!$A$7:$A$306,A74)&lt;&gt;1,"Duplicate ID",IF(COUNTIFS('Cases overview'!$A$7:$A$306,B74)&lt;&gt;1,"Invalid case ref",IF(OR(L74="Corrected",L74="Revoked"),"Excluded from totals",IF(L74&lt;&gt;"Valid","Record status missing",IF(COUNTIFS('Plan versions'!$A$7:$A$306,C74,'Plan versions'!$B$7:$B$306,B74,'Plan versions'!$L$7:$L$306,"Frozen")&lt;&gt;1,"Invalid plan ref",IF(OR(D74="",NOT(ISNUMBER(E74)),NOT(ISNUMBER(F74)),G74="",K74=""),"Execution info missing",IF(OR(NOT(ISNUMBER(H74)),H74&lt;0,NOT(ISNUMBER(J74)),J74&lt;0),"Spend or time missing",IF(COUNTIFS('Cases overview'!$A$7:$A$306,B74,'Cases overview'!$J$7:$J$306,I74)&lt;&gt;1,"Currency mismatch",IF(AND(M74&lt;&gt;"",OR(M74=A74,COUNTIFS('Execution log'!$A$7:$A$306,M74,'Execution log'!$B$7:$B$306,B74,'Execution log'!$L$7:$L$306,"Corrected")&lt;&gt;1)),"Correction ref to check","Valid input"))))))))))</x:f>
      </x:c>
    </x:row>
    <x:row r="75" ht="25" customHeight="1">
      <x:c r="A75" s="3"/>
      <x:c r="B75" s="3"/>
      <x:c r="C75" s="3"/>
      <x:c r="D75" s="3"/>
      <x:c r="E75" s="25"/>
      <x:c r="F75" s="25"/>
      <x:c r="G75" s="3"/>
      <x:c r="H75" s="22"/>
      <x:c r="I75" s="3"/>
      <x:c r="J75" s="22"/>
      <x:c r="K75" s="3"/>
      <x:c r="L75" s="3"/>
      <x:c r="M75" s="3"/>
      <x:c r="N75" s="3"/>
      <x:c r="O75" s="3"/>
      <x:c r="P75" s="19" t="str">
        <x:f>IF(A75="","",IF(COUNTIFS('Execution log'!$A$7:$A$306,A75)&lt;&gt;1,"Duplicate ID",IF(COUNTIFS('Cases overview'!$A$7:$A$306,B75)&lt;&gt;1,"Invalid case ref",IF(OR(L75="Corrected",L75="Revoked"),"Excluded from totals",IF(L75&lt;&gt;"Valid","Record status missing",IF(COUNTIFS('Plan versions'!$A$7:$A$306,C75,'Plan versions'!$B$7:$B$306,B75,'Plan versions'!$L$7:$L$306,"Frozen")&lt;&gt;1,"Invalid plan ref",IF(OR(D75="",NOT(ISNUMBER(E75)),NOT(ISNUMBER(F75)),G75="",K75=""),"Execution info missing",IF(OR(NOT(ISNUMBER(H75)),H75&lt;0,NOT(ISNUMBER(J75)),J75&lt;0),"Spend or time missing",IF(COUNTIFS('Cases overview'!$A$7:$A$306,B75,'Cases overview'!$J$7:$J$306,I75)&lt;&gt;1,"Currency mismatch",IF(AND(M75&lt;&gt;"",OR(M75=A75,COUNTIFS('Execution log'!$A$7:$A$306,M75,'Execution log'!$B$7:$B$306,B75,'Execution log'!$L$7:$L$306,"Corrected")&lt;&gt;1)),"Correction ref to check","Valid input"))))))))))</x:f>
      </x:c>
    </x:row>
    <x:row r="76" ht="25" customHeight="1">
      <x:c r="A76" s="3"/>
      <x:c r="B76" s="3"/>
      <x:c r="C76" s="3"/>
      <x:c r="D76" s="3"/>
      <x:c r="E76" s="25"/>
      <x:c r="F76" s="25"/>
      <x:c r="G76" s="3"/>
      <x:c r="H76" s="22"/>
      <x:c r="I76" s="3"/>
      <x:c r="J76" s="22"/>
      <x:c r="K76" s="3"/>
      <x:c r="L76" s="3"/>
      <x:c r="M76" s="3"/>
      <x:c r="N76" s="3"/>
      <x:c r="O76" s="3"/>
      <x:c r="P76" s="19" t="str">
        <x:f>IF(A76="","",IF(COUNTIFS('Execution log'!$A$7:$A$306,A76)&lt;&gt;1,"Duplicate ID",IF(COUNTIFS('Cases overview'!$A$7:$A$306,B76)&lt;&gt;1,"Invalid case ref",IF(OR(L76="Corrected",L76="Revoked"),"Excluded from totals",IF(L76&lt;&gt;"Valid","Record status missing",IF(COUNTIFS('Plan versions'!$A$7:$A$306,C76,'Plan versions'!$B$7:$B$306,B76,'Plan versions'!$L$7:$L$306,"Frozen")&lt;&gt;1,"Invalid plan ref",IF(OR(D76="",NOT(ISNUMBER(E76)),NOT(ISNUMBER(F76)),G76="",K76=""),"Execution info missing",IF(OR(NOT(ISNUMBER(H76)),H76&lt;0,NOT(ISNUMBER(J76)),J76&lt;0),"Spend or time missing",IF(COUNTIFS('Cases overview'!$A$7:$A$306,B76,'Cases overview'!$J$7:$J$306,I76)&lt;&gt;1,"Currency mismatch",IF(AND(M76&lt;&gt;"",OR(M76=A76,COUNTIFS('Execution log'!$A$7:$A$306,M76,'Execution log'!$B$7:$B$306,B76,'Execution log'!$L$7:$L$306,"Corrected")&lt;&gt;1)),"Correction ref to check","Valid input"))))))))))</x:f>
      </x:c>
    </x:row>
    <x:row r="77" ht="25" customHeight="1">
      <x:c r="A77" s="3"/>
      <x:c r="B77" s="3"/>
      <x:c r="C77" s="3"/>
      <x:c r="D77" s="3"/>
      <x:c r="E77" s="25"/>
      <x:c r="F77" s="25"/>
      <x:c r="G77" s="3"/>
      <x:c r="H77" s="22"/>
      <x:c r="I77" s="3"/>
      <x:c r="J77" s="22"/>
      <x:c r="K77" s="3"/>
      <x:c r="L77" s="3"/>
      <x:c r="M77" s="3"/>
      <x:c r="N77" s="3"/>
      <x:c r="O77" s="3"/>
      <x:c r="P77" s="19" t="str">
        <x:f>IF(A77="","",IF(COUNTIFS('Execution log'!$A$7:$A$306,A77)&lt;&gt;1,"Duplicate ID",IF(COUNTIFS('Cases overview'!$A$7:$A$306,B77)&lt;&gt;1,"Invalid case ref",IF(OR(L77="Corrected",L77="Revoked"),"Excluded from totals",IF(L77&lt;&gt;"Valid","Record status missing",IF(COUNTIFS('Plan versions'!$A$7:$A$306,C77,'Plan versions'!$B$7:$B$306,B77,'Plan versions'!$L$7:$L$306,"Frozen")&lt;&gt;1,"Invalid plan ref",IF(OR(D77="",NOT(ISNUMBER(E77)),NOT(ISNUMBER(F77)),G77="",K77=""),"Execution info missing",IF(OR(NOT(ISNUMBER(H77)),H77&lt;0,NOT(ISNUMBER(J77)),J77&lt;0),"Spend or time missing",IF(COUNTIFS('Cases overview'!$A$7:$A$306,B77,'Cases overview'!$J$7:$J$306,I77)&lt;&gt;1,"Currency mismatch",IF(AND(M77&lt;&gt;"",OR(M77=A77,COUNTIFS('Execution log'!$A$7:$A$306,M77,'Execution log'!$B$7:$B$306,B77,'Execution log'!$L$7:$L$306,"Corrected")&lt;&gt;1)),"Correction ref to check","Valid input"))))))))))</x:f>
      </x:c>
    </x:row>
    <x:row r="78" ht="25" customHeight="1">
      <x:c r="A78" s="3"/>
      <x:c r="B78" s="3"/>
      <x:c r="C78" s="3"/>
      <x:c r="D78" s="3"/>
      <x:c r="E78" s="25"/>
      <x:c r="F78" s="25"/>
      <x:c r="G78" s="3"/>
      <x:c r="H78" s="22"/>
      <x:c r="I78" s="3"/>
      <x:c r="J78" s="22"/>
      <x:c r="K78" s="3"/>
      <x:c r="L78" s="3"/>
      <x:c r="M78" s="3"/>
      <x:c r="N78" s="3"/>
      <x:c r="O78" s="3"/>
      <x:c r="P78" s="19" t="str">
        <x:f>IF(A78="","",IF(COUNTIFS('Execution log'!$A$7:$A$306,A78)&lt;&gt;1,"Duplicate ID",IF(COUNTIFS('Cases overview'!$A$7:$A$306,B78)&lt;&gt;1,"Invalid case ref",IF(OR(L78="Corrected",L78="Revoked"),"Excluded from totals",IF(L78&lt;&gt;"Valid","Record status missing",IF(COUNTIFS('Plan versions'!$A$7:$A$306,C78,'Plan versions'!$B$7:$B$306,B78,'Plan versions'!$L$7:$L$306,"Frozen")&lt;&gt;1,"Invalid plan ref",IF(OR(D78="",NOT(ISNUMBER(E78)),NOT(ISNUMBER(F78)),G78="",K78=""),"Execution info missing",IF(OR(NOT(ISNUMBER(H78)),H78&lt;0,NOT(ISNUMBER(J78)),J78&lt;0),"Spend or time missing",IF(COUNTIFS('Cases overview'!$A$7:$A$306,B78,'Cases overview'!$J$7:$J$306,I78)&lt;&gt;1,"Currency mismatch",IF(AND(M78&lt;&gt;"",OR(M78=A78,COUNTIFS('Execution log'!$A$7:$A$306,M78,'Execution log'!$B$7:$B$306,B78,'Execution log'!$L$7:$L$306,"Corrected")&lt;&gt;1)),"Correction ref to check","Valid input"))))))))))</x:f>
      </x:c>
    </x:row>
    <x:row r="79" ht="25" customHeight="1">
      <x:c r="A79" s="3"/>
      <x:c r="B79" s="3"/>
      <x:c r="C79" s="3"/>
      <x:c r="D79" s="3"/>
      <x:c r="E79" s="25"/>
      <x:c r="F79" s="25"/>
      <x:c r="G79" s="3"/>
      <x:c r="H79" s="22"/>
      <x:c r="I79" s="3"/>
      <x:c r="J79" s="22"/>
      <x:c r="K79" s="3"/>
      <x:c r="L79" s="3"/>
      <x:c r="M79" s="3"/>
      <x:c r="N79" s="3"/>
      <x:c r="O79" s="3"/>
      <x:c r="P79" s="19" t="str">
        <x:f>IF(A79="","",IF(COUNTIFS('Execution log'!$A$7:$A$306,A79)&lt;&gt;1,"Duplicate ID",IF(COUNTIFS('Cases overview'!$A$7:$A$306,B79)&lt;&gt;1,"Invalid case ref",IF(OR(L79="Corrected",L79="Revoked"),"Excluded from totals",IF(L79&lt;&gt;"Valid","Record status missing",IF(COUNTIFS('Plan versions'!$A$7:$A$306,C79,'Plan versions'!$B$7:$B$306,B79,'Plan versions'!$L$7:$L$306,"Frozen")&lt;&gt;1,"Invalid plan ref",IF(OR(D79="",NOT(ISNUMBER(E79)),NOT(ISNUMBER(F79)),G79="",K79=""),"Execution info missing",IF(OR(NOT(ISNUMBER(H79)),H79&lt;0,NOT(ISNUMBER(J79)),J79&lt;0),"Spend or time missing",IF(COUNTIFS('Cases overview'!$A$7:$A$306,B79,'Cases overview'!$J$7:$J$306,I79)&lt;&gt;1,"Currency mismatch",IF(AND(M79&lt;&gt;"",OR(M79=A79,COUNTIFS('Execution log'!$A$7:$A$306,M79,'Execution log'!$B$7:$B$306,B79,'Execution log'!$L$7:$L$306,"Corrected")&lt;&gt;1)),"Correction ref to check","Valid input"))))))))))</x:f>
      </x:c>
    </x:row>
    <x:row r="80" ht="25" customHeight="1">
      <x:c r="A80" s="3"/>
      <x:c r="B80" s="3"/>
      <x:c r="C80" s="3"/>
      <x:c r="D80" s="3"/>
      <x:c r="E80" s="25"/>
      <x:c r="F80" s="25"/>
      <x:c r="G80" s="3"/>
      <x:c r="H80" s="22"/>
      <x:c r="I80" s="3"/>
      <x:c r="J80" s="22"/>
      <x:c r="K80" s="3"/>
      <x:c r="L80" s="3"/>
      <x:c r="M80" s="3"/>
      <x:c r="N80" s="3"/>
      <x:c r="O80" s="3"/>
      <x:c r="P80" s="19" t="str">
        <x:f>IF(A80="","",IF(COUNTIFS('Execution log'!$A$7:$A$306,A80)&lt;&gt;1,"Duplicate ID",IF(COUNTIFS('Cases overview'!$A$7:$A$306,B80)&lt;&gt;1,"Invalid case ref",IF(OR(L80="Corrected",L80="Revoked"),"Excluded from totals",IF(L80&lt;&gt;"Valid","Record status missing",IF(COUNTIFS('Plan versions'!$A$7:$A$306,C80,'Plan versions'!$B$7:$B$306,B80,'Plan versions'!$L$7:$L$306,"Frozen")&lt;&gt;1,"Invalid plan ref",IF(OR(D80="",NOT(ISNUMBER(E80)),NOT(ISNUMBER(F80)),G80="",K80=""),"Execution info missing",IF(OR(NOT(ISNUMBER(H80)),H80&lt;0,NOT(ISNUMBER(J80)),J80&lt;0),"Spend or time missing",IF(COUNTIFS('Cases overview'!$A$7:$A$306,B80,'Cases overview'!$J$7:$J$306,I80)&lt;&gt;1,"Currency mismatch",IF(AND(M80&lt;&gt;"",OR(M80=A80,COUNTIFS('Execution log'!$A$7:$A$306,M80,'Execution log'!$B$7:$B$306,B80,'Execution log'!$L$7:$L$306,"Corrected")&lt;&gt;1)),"Correction ref to check","Valid input"))))))))))</x:f>
      </x:c>
    </x:row>
    <x:row r="81" ht="25" customHeight="1">
      <x:c r="A81" s="3"/>
      <x:c r="B81" s="3"/>
      <x:c r="C81" s="3"/>
      <x:c r="D81" s="3"/>
      <x:c r="E81" s="25"/>
      <x:c r="F81" s="25"/>
      <x:c r="G81" s="3"/>
      <x:c r="H81" s="22"/>
      <x:c r="I81" s="3"/>
      <x:c r="J81" s="22"/>
      <x:c r="K81" s="3"/>
      <x:c r="L81" s="3"/>
      <x:c r="M81" s="3"/>
      <x:c r="N81" s="3"/>
      <x:c r="O81" s="3"/>
      <x:c r="P81" s="19" t="str">
        <x:f>IF(A81="","",IF(COUNTIFS('Execution log'!$A$7:$A$306,A81)&lt;&gt;1,"Duplicate ID",IF(COUNTIFS('Cases overview'!$A$7:$A$306,B81)&lt;&gt;1,"Invalid case ref",IF(OR(L81="Corrected",L81="Revoked"),"Excluded from totals",IF(L81&lt;&gt;"Valid","Record status missing",IF(COUNTIFS('Plan versions'!$A$7:$A$306,C81,'Plan versions'!$B$7:$B$306,B81,'Plan versions'!$L$7:$L$306,"Frozen")&lt;&gt;1,"Invalid plan ref",IF(OR(D81="",NOT(ISNUMBER(E81)),NOT(ISNUMBER(F81)),G81="",K81=""),"Execution info missing",IF(OR(NOT(ISNUMBER(H81)),H81&lt;0,NOT(ISNUMBER(J81)),J81&lt;0),"Spend or time missing",IF(COUNTIFS('Cases overview'!$A$7:$A$306,B81,'Cases overview'!$J$7:$J$306,I81)&lt;&gt;1,"Currency mismatch",IF(AND(M81&lt;&gt;"",OR(M81=A81,COUNTIFS('Execution log'!$A$7:$A$306,M81,'Execution log'!$B$7:$B$306,B81,'Execution log'!$L$7:$L$306,"Corrected")&lt;&gt;1)),"Correction ref to check","Valid input"))))))))))</x:f>
      </x:c>
    </x:row>
    <x:row r="82" ht="25" customHeight="1">
      <x:c r="A82" s="3"/>
      <x:c r="B82" s="3"/>
      <x:c r="C82" s="3"/>
      <x:c r="D82" s="3"/>
      <x:c r="E82" s="25"/>
      <x:c r="F82" s="25"/>
      <x:c r="G82" s="3"/>
      <x:c r="H82" s="22"/>
      <x:c r="I82" s="3"/>
      <x:c r="J82" s="22"/>
      <x:c r="K82" s="3"/>
      <x:c r="L82" s="3"/>
      <x:c r="M82" s="3"/>
      <x:c r="N82" s="3"/>
      <x:c r="O82" s="3"/>
      <x:c r="P82" s="19" t="str">
        <x:f>IF(A82="","",IF(COUNTIFS('Execution log'!$A$7:$A$306,A82)&lt;&gt;1,"Duplicate ID",IF(COUNTIFS('Cases overview'!$A$7:$A$306,B82)&lt;&gt;1,"Invalid case ref",IF(OR(L82="Corrected",L82="Revoked"),"Excluded from totals",IF(L82&lt;&gt;"Valid","Record status missing",IF(COUNTIFS('Plan versions'!$A$7:$A$306,C82,'Plan versions'!$B$7:$B$306,B82,'Plan versions'!$L$7:$L$306,"Frozen")&lt;&gt;1,"Invalid plan ref",IF(OR(D82="",NOT(ISNUMBER(E82)),NOT(ISNUMBER(F82)),G82="",K82=""),"Execution info missing",IF(OR(NOT(ISNUMBER(H82)),H82&lt;0,NOT(ISNUMBER(J82)),J82&lt;0),"Spend or time missing",IF(COUNTIFS('Cases overview'!$A$7:$A$306,B82,'Cases overview'!$J$7:$J$306,I82)&lt;&gt;1,"Currency mismatch",IF(AND(M82&lt;&gt;"",OR(M82=A82,COUNTIFS('Execution log'!$A$7:$A$306,M82,'Execution log'!$B$7:$B$306,B82,'Execution log'!$L$7:$L$306,"Corrected")&lt;&gt;1)),"Correction ref to check","Valid input"))))))))))</x:f>
      </x:c>
    </x:row>
    <x:row r="83" ht="25" customHeight="1">
      <x:c r="A83" s="3"/>
      <x:c r="B83" s="3"/>
      <x:c r="C83" s="3"/>
      <x:c r="D83" s="3"/>
      <x:c r="E83" s="25"/>
      <x:c r="F83" s="25"/>
      <x:c r="G83" s="3"/>
      <x:c r="H83" s="22"/>
      <x:c r="I83" s="3"/>
      <x:c r="J83" s="22"/>
      <x:c r="K83" s="3"/>
      <x:c r="L83" s="3"/>
      <x:c r="M83" s="3"/>
      <x:c r="N83" s="3"/>
      <x:c r="O83" s="3"/>
      <x:c r="P83" s="19" t="str">
        <x:f>IF(A83="","",IF(COUNTIFS('Execution log'!$A$7:$A$306,A83)&lt;&gt;1,"Duplicate ID",IF(COUNTIFS('Cases overview'!$A$7:$A$306,B83)&lt;&gt;1,"Invalid case ref",IF(OR(L83="Corrected",L83="Revoked"),"Excluded from totals",IF(L83&lt;&gt;"Valid","Record status missing",IF(COUNTIFS('Plan versions'!$A$7:$A$306,C83,'Plan versions'!$B$7:$B$306,B83,'Plan versions'!$L$7:$L$306,"Frozen")&lt;&gt;1,"Invalid plan ref",IF(OR(D83="",NOT(ISNUMBER(E83)),NOT(ISNUMBER(F83)),G83="",K83=""),"Execution info missing",IF(OR(NOT(ISNUMBER(H83)),H83&lt;0,NOT(ISNUMBER(J83)),J83&lt;0),"Spend or time missing",IF(COUNTIFS('Cases overview'!$A$7:$A$306,B83,'Cases overview'!$J$7:$J$306,I83)&lt;&gt;1,"Currency mismatch",IF(AND(M83&lt;&gt;"",OR(M83=A83,COUNTIFS('Execution log'!$A$7:$A$306,M83,'Execution log'!$B$7:$B$306,B83,'Execution log'!$L$7:$L$306,"Corrected")&lt;&gt;1)),"Correction ref to check","Valid input"))))))))))</x:f>
      </x:c>
    </x:row>
    <x:row r="84" ht="25" customHeight="1">
      <x:c r="A84" s="3"/>
      <x:c r="B84" s="3"/>
      <x:c r="C84" s="3"/>
      <x:c r="D84" s="3"/>
      <x:c r="E84" s="25"/>
      <x:c r="F84" s="25"/>
      <x:c r="G84" s="3"/>
      <x:c r="H84" s="22"/>
      <x:c r="I84" s="3"/>
      <x:c r="J84" s="22"/>
      <x:c r="K84" s="3"/>
      <x:c r="L84" s="3"/>
      <x:c r="M84" s="3"/>
      <x:c r="N84" s="3"/>
      <x:c r="O84" s="3"/>
      <x:c r="P84" s="19" t="str">
        <x:f>IF(A84="","",IF(COUNTIFS('Execution log'!$A$7:$A$306,A84)&lt;&gt;1,"Duplicate ID",IF(COUNTIFS('Cases overview'!$A$7:$A$306,B84)&lt;&gt;1,"Invalid case ref",IF(OR(L84="Corrected",L84="Revoked"),"Excluded from totals",IF(L84&lt;&gt;"Valid","Record status missing",IF(COUNTIFS('Plan versions'!$A$7:$A$306,C84,'Plan versions'!$B$7:$B$306,B84,'Plan versions'!$L$7:$L$306,"Frozen")&lt;&gt;1,"Invalid plan ref",IF(OR(D84="",NOT(ISNUMBER(E84)),NOT(ISNUMBER(F84)),G84="",K84=""),"Execution info missing",IF(OR(NOT(ISNUMBER(H84)),H84&lt;0,NOT(ISNUMBER(J84)),J84&lt;0),"Spend or time missing",IF(COUNTIFS('Cases overview'!$A$7:$A$306,B84,'Cases overview'!$J$7:$J$306,I84)&lt;&gt;1,"Currency mismatch",IF(AND(M84&lt;&gt;"",OR(M84=A84,COUNTIFS('Execution log'!$A$7:$A$306,M84,'Execution log'!$B$7:$B$306,B84,'Execution log'!$L$7:$L$306,"Corrected")&lt;&gt;1)),"Correction ref to check","Valid input"))))))))))</x:f>
      </x:c>
    </x:row>
    <x:row r="85" ht="25" customHeight="1">
      <x:c r="A85" s="3"/>
      <x:c r="B85" s="3"/>
      <x:c r="C85" s="3"/>
      <x:c r="D85" s="3"/>
      <x:c r="E85" s="25"/>
      <x:c r="F85" s="25"/>
      <x:c r="G85" s="3"/>
      <x:c r="H85" s="22"/>
      <x:c r="I85" s="3"/>
      <x:c r="J85" s="22"/>
      <x:c r="K85" s="3"/>
      <x:c r="L85" s="3"/>
      <x:c r="M85" s="3"/>
      <x:c r="N85" s="3"/>
      <x:c r="O85" s="3"/>
      <x:c r="P85" s="19" t="str">
        <x:f>IF(A85="","",IF(COUNTIFS('Execution log'!$A$7:$A$306,A85)&lt;&gt;1,"Duplicate ID",IF(COUNTIFS('Cases overview'!$A$7:$A$306,B85)&lt;&gt;1,"Invalid case ref",IF(OR(L85="Corrected",L85="Revoked"),"Excluded from totals",IF(L85&lt;&gt;"Valid","Record status missing",IF(COUNTIFS('Plan versions'!$A$7:$A$306,C85,'Plan versions'!$B$7:$B$306,B85,'Plan versions'!$L$7:$L$306,"Frozen")&lt;&gt;1,"Invalid plan ref",IF(OR(D85="",NOT(ISNUMBER(E85)),NOT(ISNUMBER(F85)),G85="",K85=""),"Execution info missing",IF(OR(NOT(ISNUMBER(H85)),H85&lt;0,NOT(ISNUMBER(J85)),J85&lt;0),"Spend or time missing",IF(COUNTIFS('Cases overview'!$A$7:$A$306,B85,'Cases overview'!$J$7:$J$306,I85)&lt;&gt;1,"Currency mismatch",IF(AND(M85&lt;&gt;"",OR(M85=A85,COUNTIFS('Execution log'!$A$7:$A$306,M85,'Execution log'!$B$7:$B$306,B85,'Execution log'!$L$7:$L$306,"Corrected")&lt;&gt;1)),"Correction ref to check","Valid input"))))))))))</x:f>
      </x:c>
    </x:row>
    <x:row r="86" ht="25" customHeight="1">
      <x:c r="A86" s="3"/>
      <x:c r="B86" s="3"/>
      <x:c r="C86" s="3"/>
      <x:c r="D86" s="3"/>
      <x:c r="E86" s="25"/>
      <x:c r="F86" s="25"/>
      <x:c r="G86" s="3"/>
      <x:c r="H86" s="22"/>
      <x:c r="I86" s="3"/>
      <x:c r="J86" s="22"/>
      <x:c r="K86" s="3"/>
      <x:c r="L86" s="3"/>
      <x:c r="M86" s="3"/>
      <x:c r="N86" s="3"/>
      <x:c r="O86" s="3"/>
      <x:c r="P86" s="19" t="str">
        <x:f>IF(A86="","",IF(COUNTIFS('Execution log'!$A$7:$A$306,A86)&lt;&gt;1,"Duplicate ID",IF(COUNTIFS('Cases overview'!$A$7:$A$306,B86)&lt;&gt;1,"Invalid case ref",IF(OR(L86="Corrected",L86="Revoked"),"Excluded from totals",IF(L86&lt;&gt;"Valid","Record status missing",IF(COUNTIFS('Plan versions'!$A$7:$A$306,C86,'Plan versions'!$B$7:$B$306,B86,'Plan versions'!$L$7:$L$306,"Frozen")&lt;&gt;1,"Invalid plan ref",IF(OR(D86="",NOT(ISNUMBER(E86)),NOT(ISNUMBER(F86)),G86="",K86=""),"Execution info missing",IF(OR(NOT(ISNUMBER(H86)),H86&lt;0,NOT(ISNUMBER(J86)),J86&lt;0),"Spend or time missing",IF(COUNTIFS('Cases overview'!$A$7:$A$306,B86,'Cases overview'!$J$7:$J$306,I86)&lt;&gt;1,"Currency mismatch",IF(AND(M86&lt;&gt;"",OR(M86=A86,COUNTIFS('Execution log'!$A$7:$A$306,M86,'Execution log'!$B$7:$B$306,B86,'Execution log'!$L$7:$L$306,"Corrected")&lt;&gt;1)),"Correction ref to check","Valid input"))))))))))</x:f>
      </x:c>
    </x:row>
    <x:row r="87" ht="25" customHeight="1">
      <x:c r="A87" s="3"/>
      <x:c r="B87" s="3"/>
      <x:c r="C87" s="3"/>
      <x:c r="D87" s="3"/>
      <x:c r="E87" s="25"/>
      <x:c r="F87" s="25"/>
      <x:c r="G87" s="3"/>
      <x:c r="H87" s="22"/>
      <x:c r="I87" s="3"/>
      <x:c r="J87" s="22"/>
      <x:c r="K87" s="3"/>
      <x:c r="L87" s="3"/>
      <x:c r="M87" s="3"/>
      <x:c r="N87" s="3"/>
      <x:c r="O87" s="3"/>
      <x:c r="P87" s="19" t="str">
        <x:f>IF(A87="","",IF(COUNTIFS('Execution log'!$A$7:$A$306,A87)&lt;&gt;1,"Duplicate ID",IF(COUNTIFS('Cases overview'!$A$7:$A$306,B87)&lt;&gt;1,"Invalid case ref",IF(OR(L87="Corrected",L87="Revoked"),"Excluded from totals",IF(L87&lt;&gt;"Valid","Record status missing",IF(COUNTIFS('Plan versions'!$A$7:$A$306,C87,'Plan versions'!$B$7:$B$306,B87,'Plan versions'!$L$7:$L$306,"Frozen")&lt;&gt;1,"Invalid plan ref",IF(OR(D87="",NOT(ISNUMBER(E87)),NOT(ISNUMBER(F87)),G87="",K87=""),"Execution info missing",IF(OR(NOT(ISNUMBER(H87)),H87&lt;0,NOT(ISNUMBER(J87)),J87&lt;0),"Spend or time missing",IF(COUNTIFS('Cases overview'!$A$7:$A$306,B87,'Cases overview'!$J$7:$J$306,I87)&lt;&gt;1,"Currency mismatch",IF(AND(M87&lt;&gt;"",OR(M87=A87,COUNTIFS('Execution log'!$A$7:$A$306,M87,'Execution log'!$B$7:$B$306,B87,'Execution log'!$L$7:$L$306,"Corrected")&lt;&gt;1)),"Correction ref to check","Valid input"))))))))))</x:f>
      </x:c>
    </x:row>
    <x:row r="88" ht="25" customHeight="1">
      <x:c r="A88" s="3"/>
      <x:c r="B88" s="3"/>
      <x:c r="C88" s="3"/>
      <x:c r="D88" s="3"/>
      <x:c r="E88" s="25"/>
      <x:c r="F88" s="25"/>
      <x:c r="G88" s="3"/>
      <x:c r="H88" s="22"/>
      <x:c r="I88" s="3"/>
      <x:c r="J88" s="22"/>
      <x:c r="K88" s="3"/>
      <x:c r="L88" s="3"/>
      <x:c r="M88" s="3"/>
      <x:c r="N88" s="3"/>
      <x:c r="O88" s="3"/>
      <x:c r="P88" s="19" t="str">
        <x:f>IF(A88="","",IF(COUNTIFS('Execution log'!$A$7:$A$306,A88)&lt;&gt;1,"Duplicate ID",IF(COUNTIFS('Cases overview'!$A$7:$A$306,B88)&lt;&gt;1,"Invalid case ref",IF(OR(L88="Corrected",L88="Revoked"),"Excluded from totals",IF(L88&lt;&gt;"Valid","Record status missing",IF(COUNTIFS('Plan versions'!$A$7:$A$306,C88,'Plan versions'!$B$7:$B$306,B88,'Plan versions'!$L$7:$L$306,"Frozen")&lt;&gt;1,"Invalid plan ref",IF(OR(D88="",NOT(ISNUMBER(E88)),NOT(ISNUMBER(F88)),G88="",K88=""),"Execution info missing",IF(OR(NOT(ISNUMBER(H88)),H88&lt;0,NOT(ISNUMBER(J88)),J88&lt;0),"Spend or time missing",IF(COUNTIFS('Cases overview'!$A$7:$A$306,B88,'Cases overview'!$J$7:$J$306,I88)&lt;&gt;1,"Currency mismatch",IF(AND(M88&lt;&gt;"",OR(M88=A88,COUNTIFS('Execution log'!$A$7:$A$306,M88,'Execution log'!$B$7:$B$306,B88,'Execution log'!$L$7:$L$306,"Corrected")&lt;&gt;1)),"Correction ref to check","Valid input"))))))))))</x:f>
      </x:c>
    </x:row>
    <x:row r="89" ht="25" customHeight="1">
      <x:c r="A89" s="3"/>
      <x:c r="B89" s="3"/>
      <x:c r="C89" s="3"/>
      <x:c r="D89" s="3"/>
      <x:c r="E89" s="25"/>
      <x:c r="F89" s="25"/>
      <x:c r="G89" s="3"/>
      <x:c r="H89" s="22"/>
      <x:c r="I89" s="3"/>
      <x:c r="J89" s="22"/>
      <x:c r="K89" s="3"/>
      <x:c r="L89" s="3"/>
      <x:c r="M89" s="3"/>
      <x:c r="N89" s="3"/>
      <x:c r="O89" s="3"/>
      <x:c r="P89" s="19" t="str">
        <x:f>IF(A89="","",IF(COUNTIFS('Execution log'!$A$7:$A$306,A89)&lt;&gt;1,"Duplicate ID",IF(COUNTIFS('Cases overview'!$A$7:$A$306,B89)&lt;&gt;1,"Invalid case ref",IF(OR(L89="Corrected",L89="Revoked"),"Excluded from totals",IF(L89&lt;&gt;"Valid","Record status missing",IF(COUNTIFS('Plan versions'!$A$7:$A$306,C89,'Plan versions'!$B$7:$B$306,B89,'Plan versions'!$L$7:$L$306,"Frozen")&lt;&gt;1,"Invalid plan ref",IF(OR(D89="",NOT(ISNUMBER(E89)),NOT(ISNUMBER(F89)),G89="",K89=""),"Execution info missing",IF(OR(NOT(ISNUMBER(H89)),H89&lt;0,NOT(ISNUMBER(J89)),J89&lt;0),"Spend or time missing",IF(COUNTIFS('Cases overview'!$A$7:$A$306,B89,'Cases overview'!$J$7:$J$306,I89)&lt;&gt;1,"Currency mismatch",IF(AND(M89&lt;&gt;"",OR(M89=A89,COUNTIFS('Execution log'!$A$7:$A$306,M89,'Execution log'!$B$7:$B$306,B89,'Execution log'!$L$7:$L$306,"Corrected")&lt;&gt;1)),"Correction ref to check","Valid input"))))))))))</x:f>
      </x:c>
    </x:row>
    <x:row r="90" ht="25" customHeight="1">
      <x:c r="A90" s="3"/>
      <x:c r="B90" s="3"/>
      <x:c r="C90" s="3"/>
      <x:c r="D90" s="3"/>
      <x:c r="E90" s="25"/>
      <x:c r="F90" s="25"/>
      <x:c r="G90" s="3"/>
      <x:c r="H90" s="22"/>
      <x:c r="I90" s="3"/>
      <x:c r="J90" s="22"/>
      <x:c r="K90" s="3"/>
      <x:c r="L90" s="3"/>
      <x:c r="M90" s="3"/>
      <x:c r="N90" s="3"/>
      <x:c r="O90" s="3"/>
      <x:c r="P90" s="19" t="str">
        <x:f>IF(A90="","",IF(COUNTIFS('Execution log'!$A$7:$A$306,A90)&lt;&gt;1,"Duplicate ID",IF(COUNTIFS('Cases overview'!$A$7:$A$306,B90)&lt;&gt;1,"Invalid case ref",IF(OR(L90="Corrected",L90="Revoked"),"Excluded from totals",IF(L90&lt;&gt;"Valid","Record status missing",IF(COUNTIFS('Plan versions'!$A$7:$A$306,C90,'Plan versions'!$B$7:$B$306,B90,'Plan versions'!$L$7:$L$306,"Frozen")&lt;&gt;1,"Invalid plan ref",IF(OR(D90="",NOT(ISNUMBER(E90)),NOT(ISNUMBER(F90)),G90="",K90=""),"Execution info missing",IF(OR(NOT(ISNUMBER(H90)),H90&lt;0,NOT(ISNUMBER(J90)),J90&lt;0),"Spend or time missing",IF(COUNTIFS('Cases overview'!$A$7:$A$306,B90,'Cases overview'!$J$7:$J$306,I90)&lt;&gt;1,"Currency mismatch",IF(AND(M90&lt;&gt;"",OR(M90=A90,COUNTIFS('Execution log'!$A$7:$A$306,M90,'Execution log'!$B$7:$B$306,B90,'Execution log'!$L$7:$L$306,"Corrected")&lt;&gt;1)),"Correction ref to check","Valid input"))))))))))</x:f>
      </x:c>
    </x:row>
    <x:row r="91" ht="25" customHeight="1">
      <x:c r="A91" s="3"/>
      <x:c r="B91" s="3"/>
      <x:c r="C91" s="3"/>
      <x:c r="D91" s="3"/>
      <x:c r="E91" s="25"/>
      <x:c r="F91" s="25"/>
      <x:c r="G91" s="3"/>
      <x:c r="H91" s="22"/>
      <x:c r="I91" s="3"/>
      <x:c r="J91" s="22"/>
      <x:c r="K91" s="3"/>
      <x:c r="L91" s="3"/>
      <x:c r="M91" s="3"/>
      <x:c r="N91" s="3"/>
      <x:c r="O91" s="3"/>
      <x:c r="P91" s="19" t="str">
        <x:f>IF(A91="","",IF(COUNTIFS('Execution log'!$A$7:$A$306,A91)&lt;&gt;1,"Duplicate ID",IF(COUNTIFS('Cases overview'!$A$7:$A$306,B91)&lt;&gt;1,"Invalid case ref",IF(OR(L91="Corrected",L91="Revoked"),"Excluded from totals",IF(L91&lt;&gt;"Valid","Record status missing",IF(COUNTIFS('Plan versions'!$A$7:$A$306,C91,'Plan versions'!$B$7:$B$306,B91,'Plan versions'!$L$7:$L$306,"Frozen")&lt;&gt;1,"Invalid plan ref",IF(OR(D91="",NOT(ISNUMBER(E91)),NOT(ISNUMBER(F91)),G91="",K91=""),"Execution info missing",IF(OR(NOT(ISNUMBER(H91)),H91&lt;0,NOT(ISNUMBER(J91)),J91&lt;0),"Spend or time missing",IF(COUNTIFS('Cases overview'!$A$7:$A$306,B91,'Cases overview'!$J$7:$J$306,I91)&lt;&gt;1,"Currency mismatch",IF(AND(M91&lt;&gt;"",OR(M91=A91,COUNTIFS('Execution log'!$A$7:$A$306,M91,'Execution log'!$B$7:$B$306,B91,'Execution log'!$L$7:$L$306,"Corrected")&lt;&gt;1)),"Correction ref to check","Valid input"))))))))))</x:f>
      </x:c>
    </x:row>
    <x:row r="92" ht="25" customHeight="1">
      <x:c r="A92" s="3"/>
      <x:c r="B92" s="3"/>
      <x:c r="C92" s="3"/>
      <x:c r="D92" s="3"/>
      <x:c r="E92" s="25"/>
      <x:c r="F92" s="25"/>
      <x:c r="G92" s="3"/>
      <x:c r="H92" s="22"/>
      <x:c r="I92" s="3"/>
      <x:c r="J92" s="22"/>
      <x:c r="K92" s="3"/>
      <x:c r="L92" s="3"/>
      <x:c r="M92" s="3"/>
      <x:c r="N92" s="3"/>
      <x:c r="O92" s="3"/>
      <x:c r="P92" s="19" t="str">
        <x:f>IF(A92="","",IF(COUNTIFS('Execution log'!$A$7:$A$306,A92)&lt;&gt;1,"Duplicate ID",IF(COUNTIFS('Cases overview'!$A$7:$A$306,B92)&lt;&gt;1,"Invalid case ref",IF(OR(L92="Corrected",L92="Revoked"),"Excluded from totals",IF(L92&lt;&gt;"Valid","Record status missing",IF(COUNTIFS('Plan versions'!$A$7:$A$306,C92,'Plan versions'!$B$7:$B$306,B92,'Plan versions'!$L$7:$L$306,"Frozen")&lt;&gt;1,"Invalid plan ref",IF(OR(D92="",NOT(ISNUMBER(E92)),NOT(ISNUMBER(F92)),G92="",K92=""),"Execution info missing",IF(OR(NOT(ISNUMBER(H92)),H92&lt;0,NOT(ISNUMBER(J92)),J92&lt;0),"Spend or time missing",IF(COUNTIFS('Cases overview'!$A$7:$A$306,B92,'Cases overview'!$J$7:$J$306,I92)&lt;&gt;1,"Currency mismatch",IF(AND(M92&lt;&gt;"",OR(M92=A92,COUNTIFS('Execution log'!$A$7:$A$306,M92,'Execution log'!$B$7:$B$306,B92,'Execution log'!$L$7:$L$306,"Corrected")&lt;&gt;1)),"Correction ref to check","Valid input"))))))))))</x:f>
      </x:c>
    </x:row>
    <x:row r="93" ht="25" customHeight="1">
      <x:c r="A93" s="3"/>
      <x:c r="B93" s="3"/>
      <x:c r="C93" s="3"/>
      <x:c r="D93" s="3"/>
      <x:c r="E93" s="25"/>
      <x:c r="F93" s="25"/>
      <x:c r="G93" s="3"/>
      <x:c r="H93" s="22"/>
      <x:c r="I93" s="3"/>
      <x:c r="J93" s="22"/>
      <x:c r="K93" s="3"/>
      <x:c r="L93" s="3"/>
      <x:c r="M93" s="3"/>
      <x:c r="N93" s="3"/>
      <x:c r="O93" s="3"/>
      <x:c r="P93" s="19" t="str">
        <x:f>IF(A93="","",IF(COUNTIFS('Execution log'!$A$7:$A$306,A93)&lt;&gt;1,"Duplicate ID",IF(COUNTIFS('Cases overview'!$A$7:$A$306,B93)&lt;&gt;1,"Invalid case ref",IF(OR(L93="Corrected",L93="Revoked"),"Excluded from totals",IF(L93&lt;&gt;"Valid","Record status missing",IF(COUNTIFS('Plan versions'!$A$7:$A$306,C93,'Plan versions'!$B$7:$B$306,B93,'Plan versions'!$L$7:$L$306,"Frozen")&lt;&gt;1,"Invalid plan ref",IF(OR(D93="",NOT(ISNUMBER(E93)),NOT(ISNUMBER(F93)),G93="",K93=""),"Execution info missing",IF(OR(NOT(ISNUMBER(H93)),H93&lt;0,NOT(ISNUMBER(J93)),J93&lt;0),"Spend or time missing",IF(COUNTIFS('Cases overview'!$A$7:$A$306,B93,'Cases overview'!$J$7:$J$306,I93)&lt;&gt;1,"Currency mismatch",IF(AND(M93&lt;&gt;"",OR(M93=A93,COUNTIFS('Execution log'!$A$7:$A$306,M93,'Execution log'!$B$7:$B$306,B93,'Execution log'!$L$7:$L$306,"Corrected")&lt;&gt;1)),"Correction ref to check","Valid input"))))))))))</x:f>
      </x:c>
    </x:row>
    <x:row r="94" ht="25" customHeight="1">
      <x:c r="A94" s="3"/>
      <x:c r="B94" s="3"/>
      <x:c r="C94" s="3"/>
      <x:c r="D94" s="3"/>
      <x:c r="E94" s="25"/>
      <x:c r="F94" s="25"/>
      <x:c r="G94" s="3"/>
      <x:c r="H94" s="22"/>
      <x:c r="I94" s="3"/>
      <x:c r="J94" s="22"/>
      <x:c r="K94" s="3"/>
      <x:c r="L94" s="3"/>
      <x:c r="M94" s="3"/>
      <x:c r="N94" s="3"/>
      <x:c r="O94" s="3"/>
      <x:c r="P94" s="19" t="str">
        <x:f>IF(A94="","",IF(COUNTIFS('Execution log'!$A$7:$A$306,A94)&lt;&gt;1,"Duplicate ID",IF(COUNTIFS('Cases overview'!$A$7:$A$306,B94)&lt;&gt;1,"Invalid case ref",IF(OR(L94="Corrected",L94="Revoked"),"Excluded from totals",IF(L94&lt;&gt;"Valid","Record status missing",IF(COUNTIFS('Plan versions'!$A$7:$A$306,C94,'Plan versions'!$B$7:$B$306,B94,'Plan versions'!$L$7:$L$306,"Frozen")&lt;&gt;1,"Invalid plan ref",IF(OR(D94="",NOT(ISNUMBER(E94)),NOT(ISNUMBER(F94)),G94="",K94=""),"Execution info missing",IF(OR(NOT(ISNUMBER(H94)),H94&lt;0,NOT(ISNUMBER(J94)),J94&lt;0),"Spend or time missing",IF(COUNTIFS('Cases overview'!$A$7:$A$306,B94,'Cases overview'!$J$7:$J$306,I94)&lt;&gt;1,"Currency mismatch",IF(AND(M94&lt;&gt;"",OR(M94=A94,COUNTIFS('Execution log'!$A$7:$A$306,M94,'Execution log'!$B$7:$B$306,B94,'Execution log'!$L$7:$L$306,"Corrected")&lt;&gt;1)),"Correction ref to check","Valid input"))))))))))</x:f>
      </x:c>
    </x:row>
    <x:row r="95" ht="25" customHeight="1">
      <x:c r="A95" s="3"/>
      <x:c r="B95" s="3"/>
      <x:c r="C95" s="3"/>
      <x:c r="D95" s="3"/>
      <x:c r="E95" s="25"/>
      <x:c r="F95" s="25"/>
      <x:c r="G95" s="3"/>
      <x:c r="H95" s="22"/>
      <x:c r="I95" s="3"/>
      <x:c r="J95" s="22"/>
      <x:c r="K95" s="3"/>
      <x:c r="L95" s="3"/>
      <x:c r="M95" s="3"/>
      <x:c r="N95" s="3"/>
      <x:c r="O95" s="3"/>
      <x:c r="P95" s="19" t="str">
        <x:f>IF(A95="","",IF(COUNTIFS('Execution log'!$A$7:$A$306,A95)&lt;&gt;1,"Duplicate ID",IF(COUNTIFS('Cases overview'!$A$7:$A$306,B95)&lt;&gt;1,"Invalid case ref",IF(OR(L95="Corrected",L95="Revoked"),"Excluded from totals",IF(L95&lt;&gt;"Valid","Record status missing",IF(COUNTIFS('Plan versions'!$A$7:$A$306,C95,'Plan versions'!$B$7:$B$306,B95,'Plan versions'!$L$7:$L$306,"Frozen")&lt;&gt;1,"Invalid plan ref",IF(OR(D95="",NOT(ISNUMBER(E95)),NOT(ISNUMBER(F95)),G95="",K95=""),"Execution info missing",IF(OR(NOT(ISNUMBER(H95)),H95&lt;0,NOT(ISNUMBER(J95)),J95&lt;0),"Spend or time missing",IF(COUNTIFS('Cases overview'!$A$7:$A$306,B95,'Cases overview'!$J$7:$J$306,I95)&lt;&gt;1,"Currency mismatch",IF(AND(M95&lt;&gt;"",OR(M95=A95,COUNTIFS('Execution log'!$A$7:$A$306,M95,'Execution log'!$B$7:$B$306,B95,'Execution log'!$L$7:$L$306,"Corrected")&lt;&gt;1)),"Correction ref to check","Valid input"))))))))))</x:f>
      </x:c>
    </x:row>
    <x:row r="96" ht="25" customHeight="1">
      <x:c r="A96" s="3"/>
      <x:c r="B96" s="3"/>
      <x:c r="C96" s="3"/>
      <x:c r="D96" s="3"/>
      <x:c r="E96" s="25"/>
      <x:c r="F96" s="25"/>
      <x:c r="G96" s="3"/>
      <x:c r="H96" s="22"/>
      <x:c r="I96" s="3"/>
      <x:c r="J96" s="22"/>
      <x:c r="K96" s="3"/>
      <x:c r="L96" s="3"/>
      <x:c r="M96" s="3"/>
      <x:c r="N96" s="3"/>
      <x:c r="O96" s="3"/>
      <x:c r="P96" s="19" t="str">
        <x:f>IF(A96="","",IF(COUNTIFS('Execution log'!$A$7:$A$306,A96)&lt;&gt;1,"Duplicate ID",IF(COUNTIFS('Cases overview'!$A$7:$A$306,B96)&lt;&gt;1,"Invalid case ref",IF(OR(L96="Corrected",L96="Revoked"),"Excluded from totals",IF(L96&lt;&gt;"Valid","Record status missing",IF(COUNTIFS('Plan versions'!$A$7:$A$306,C96,'Plan versions'!$B$7:$B$306,B96,'Plan versions'!$L$7:$L$306,"Frozen")&lt;&gt;1,"Invalid plan ref",IF(OR(D96="",NOT(ISNUMBER(E96)),NOT(ISNUMBER(F96)),G96="",K96=""),"Execution info missing",IF(OR(NOT(ISNUMBER(H96)),H96&lt;0,NOT(ISNUMBER(J96)),J96&lt;0),"Spend or time missing",IF(COUNTIFS('Cases overview'!$A$7:$A$306,B96,'Cases overview'!$J$7:$J$306,I96)&lt;&gt;1,"Currency mismatch",IF(AND(M96&lt;&gt;"",OR(M96=A96,COUNTIFS('Execution log'!$A$7:$A$306,M96,'Execution log'!$B$7:$B$306,B96,'Execution log'!$L$7:$L$306,"Corrected")&lt;&gt;1)),"Correction ref to check","Valid input"))))))))))</x:f>
      </x:c>
    </x:row>
    <x:row r="97" ht="25" customHeight="1">
      <x:c r="A97" s="3"/>
      <x:c r="B97" s="3"/>
      <x:c r="C97" s="3"/>
      <x:c r="D97" s="3"/>
      <x:c r="E97" s="25"/>
      <x:c r="F97" s="25"/>
      <x:c r="G97" s="3"/>
      <x:c r="H97" s="22"/>
      <x:c r="I97" s="3"/>
      <x:c r="J97" s="22"/>
      <x:c r="K97" s="3"/>
      <x:c r="L97" s="3"/>
      <x:c r="M97" s="3"/>
      <x:c r="N97" s="3"/>
      <x:c r="O97" s="3"/>
      <x:c r="P97" s="19" t="str">
        <x:f>IF(A97="","",IF(COUNTIFS('Execution log'!$A$7:$A$306,A97)&lt;&gt;1,"Duplicate ID",IF(COUNTIFS('Cases overview'!$A$7:$A$306,B97)&lt;&gt;1,"Invalid case ref",IF(OR(L97="Corrected",L97="Revoked"),"Excluded from totals",IF(L97&lt;&gt;"Valid","Record status missing",IF(COUNTIFS('Plan versions'!$A$7:$A$306,C97,'Plan versions'!$B$7:$B$306,B97,'Plan versions'!$L$7:$L$306,"Frozen")&lt;&gt;1,"Invalid plan ref",IF(OR(D97="",NOT(ISNUMBER(E97)),NOT(ISNUMBER(F97)),G97="",K97=""),"Execution info missing",IF(OR(NOT(ISNUMBER(H97)),H97&lt;0,NOT(ISNUMBER(J97)),J97&lt;0),"Spend or time missing",IF(COUNTIFS('Cases overview'!$A$7:$A$306,B97,'Cases overview'!$J$7:$J$306,I97)&lt;&gt;1,"Currency mismatch",IF(AND(M97&lt;&gt;"",OR(M97=A97,COUNTIFS('Execution log'!$A$7:$A$306,M97,'Execution log'!$B$7:$B$306,B97,'Execution log'!$L$7:$L$306,"Corrected")&lt;&gt;1)),"Correction ref to check","Valid input"))))))))))</x:f>
      </x:c>
    </x:row>
    <x:row r="98" ht="25" customHeight="1">
      <x:c r="A98" s="3"/>
      <x:c r="B98" s="3"/>
      <x:c r="C98" s="3"/>
      <x:c r="D98" s="3"/>
      <x:c r="E98" s="25"/>
      <x:c r="F98" s="25"/>
      <x:c r="G98" s="3"/>
      <x:c r="H98" s="22"/>
      <x:c r="I98" s="3"/>
      <x:c r="J98" s="22"/>
      <x:c r="K98" s="3"/>
      <x:c r="L98" s="3"/>
      <x:c r="M98" s="3"/>
      <x:c r="N98" s="3"/>
      <x:c r="O98" s="3"/>
      <x:c r="P98" s="19" t="str">
        <x:f>IF(A98="","",IF(COUNTIFS('Execution log'!$A$7:$A$306,A98)&lt;&gt;1,"Duplicate ID",IF(COUNTIFS('Cases overview'!$A$7:$A$306,B98)&lt;&gt;1,"Invalid case ref",IF(OR(L98="Corrected",L98="Revoked"),"Excluded from totals",IF(L98&lt;&gt;"Valid","Record status missing",IF(COUNTIFS('Plan versions'!$A$7:$A$306,C98,'Plan versions'!$B$7:$B$306,B98,'Plan versions'!$L$7:$L$306,"Frozen")&lt;&gt;1,"Invalid plan ref",IF(OR(D98="",NOT(ISNUMBER(E98)),NOT(ISNUMBER(F98)),G98="",K98=""),"Execution info missing",IF(OR(NOT(ISNUMBER(H98)),H98&lt;0,NOT(ISNUMBER(J98)),J98&lt;0),"Spend or time missing",IF(COUNTIFS('Cases overview'!$A$7:$A$306,B98,'Cases overview'!$J$7:$J$306,I98)&lt;&gt;1,"Currency mismatch",IF(AND(M98&lt;&gt;"",OR(M98=A98,COUNTIFS('Execution log'!$A$7:$A$306,M98,'Execution log'!$B$7:$B$306,B98,'Execution log'!$L$7:$L$306,"Corrected")&lt;&gt;1)),"Correction ref to check","Valid input"))))))))))</x:f>
      </x:c>
    </x:row>
    <x:row r="99" ht="25" customHeight="1">
      <x:c r="A99" s="3"/>
      <x:c r="B99" s="3"/>
      <x:c r="C99" s="3"/>
      <x:c r="D99" s="3"/>
      <x:c r="E99" s="25"/>
      <x:c r="F99" s="25"/>
      <x:c r="G99" s="3"/>
      <x:c r="H99" s="22"/>
      <x:c r="I99" s="3"/>
      <x:c r="J99" s="22"/>
      <x:c r="K99" s="3"/>
      <x:c r="L99" s="3"/>
      <x:c r="M99" s="3"/>
      <x:c r="N99" s="3"/>
      <x:c r="O99" s="3"/>
      <x:c r="P99" s="19" t="str">
        <x:f>IF(A99="","",IF(COUNTIFS('Execution log'!$A$7:$A$306,A99)&lt;&gt;1,"Duplicate ID",IF(COUNTIFS('Cases overview'!$A$7:$A$306,B99)&lt;&gt;1,"Invalid case ref",IF(OR(L99="Corrected",L99="Revoked"),"Excluded from totals",IF(L99&lt;&gt;"Valid","Record status missing",IF(COUNTIFS('Plan versions'!$A$7:$A$306,C99,'Plan versions'!$B$7:$B$306,B99,'Plan versions'!$L$7:$L$306,"Frozen")&lt;&gt;1,"Invalid plan ref",IF(OR(D99="",NOT(ISNUMBER(E99)),NOT(ISNUMBER(F99)),G99="",K99=""),"Execution info missing",IF(OR(NOT(ISNUMBER(H99)),H99&lt;0,NOT(ISNUMBER(J99)),J99&lt;0),"Spend or time missing",IF(COUNTIFS('Cases overview'!$A$7:$A$306,B99,'Cases overview'!$J$7:$J$306,I99)&lt;&gt;1,"Currency mismatch",IF(AND(M99&lt;&gt;"",OR(M99=A99,COUNTIFS('Execution log'!$A$7:$A$306,M99,'Execution log'!$B$7:$B$306,B99,'Execution log'!$L$7:$L$306,"Corrected")&lt;&gt;1)),"Correction ref to check","Valid input"))))))))))</x:f>
      </x:c>
    </x:row>
    <x:row r="100" ht="25" customHeight="1">
      <x:c r="A100" s="3"/>
      <x:c r="B100" s="3"/>
      <x:c r="C100" s="3"/>
      <x:c r="D100" s="3"/>
      <x:c r="E100" s="25"/>
      <x:c r="F100" s="25"/>
      <x:c r="G100" s="3"/>
      <x:c r="H100" s="22"/>
      <x:c r="I100" s="3"/>
      <x:c r="J100" s="22"/>
      <x:c r="K100" s="3"/>
      <x:c r="L100" s="3"/>
      <x:c r="M100" s="3"/>
      <x:c r="N100" s="3"/>
      <x:c r="O100" s="3"/>
      <x:c r="P100" s="19" t="str">
        <x:f>IF(A100="","",IF(COUNTIFS('Execution log'!$A$7:$A$306,A100)&lt;&gt;1,"Duplicate ID",IF(COUNTIFS('Cases overview'!$A$7:$A$306,B100)&lt;&gt;1,"Invalid case ref",IF(OR(L100="Corrected",L100="Revoked"),"Excluded from totals",IF(L100&lt;&gt;"Valid","Record status missing",IF(COUNTIFS('Plan versions'!$A$7:$A$306,C100,'Plan versions'!$B$7:$B$306,B100,'Plan versions'!$L$7:$L$306,"Frozen")&lt;&gt;1,"Invalid plan ref",IF(OR(D100="",NOT(ISNUMBER(E100)),NOT(ISNUMBER(F100)),G100="",K100=""),"Execution info missing",IF(OR(NOT(ISNUMBER(H100)),H100&lt;0,NOT(ISNUMBER(J100)),J100&lt;0),"Spend or time missing",IF(COUNTIFS('Cases overview'!$A$7:$A$306,B100,'Cases overview'!$J$7:$J$306,I100)&lt;&gt;1,"Currency mismatch",IF(AND(M100&lt;&gt;"",OR(M100=A100,COUNTIFS('Execution log'!$A$7:$A$306,M100,'Execution log'!$B$7:$B$306,B100,'Execution log'!$L$7:$L$306,"Corrected")&lt;&gt;1)),"Correction ref to check","Valid input"))))))))))</x:f>
      </x:c>
    </x:row>
    <x:row r="101" ht="25" customHeight="1">
      <x:c r="A101" s="3"/>
      <x:c r="B101" s="3"/>
      <x:c r="C101" s="3"/>
      <x:c r="D101" s="3"/>
      <x:c r="E101" s="25"/>
      <x:c r="F101" s="25"/>
      <x:c r="G101" s="3"/>
      <x:c r="H101" s="22"/>
      <x:c r="I101" s="3"/>
      <x:c r="J101" s="22"/>
      <x:c r="K101" s="3"/>
      <x:c r="L101" s="3"/>
      <x:c r="M101" s="3"/>
      <x:c r="N101" s="3"/>
      <x:c r="O101" s="3"/>
      <x:c r="P101" s="19" t="str">
        <x:f>IF(A101="","",IF(COUNTIFS('Execution log'!$A$7:$A$306,A101)&lt;&gt;1,"Duplicate ID",IF(COUNTIFS('Cases overview'!$A$7:$A$306,B101)&lt;&gt;1,"Invalid case ref",IF(OR(L101="Corrected",L101="Revoked"),"Excluded from totals",IF(L101&lt;&gt;"Valid","Record status missing",IF(COUNTIFS('Plan versions'!$A$7:$A$306,C101,'Plan versions'!$B$7:$B$306,B101,'Plan versions'!$L$7:$L$306,"Frozen")&lt;&gt;1,"Invalid plan ref",IF(OR(D101="",NOT(ISNUMBER(E101)),NOT(ISNUMBER(F101)),G101="",K101=""),"Execution info missing",IF(OR(NOT(ISNUMBER(H101)),H101&lt;0,NOT(ISNUMBER(J101)),J101&lt;0),"Spend or time missing",IF(COUNTIFS('Cases overview'!$A$7:$A$306,B101,'Cases overview'!$J$7:$J$306,I101)&lt;&gt;1,"Currency mismatch",IF(AND(M101&lt;&gt;"",OR(M101=A101,COUNTIFS('Execution log'!$A$7:$A$306,M101,'Execution log'!$B$7:$B$306,B101,'Execution log'!$L$7:$L$306,"Corrected")&lt;&gt;1)),"Correction ref to check","Valid input"))))))))))</x:f>
      </x:c>
    </x:row>
    <x:row r="102" ht="25" customHeight="1">
      <x:c r="A102" s="3"/>
      <x:c r="B102" s="3"/>
      <x:c r="C102" s="3"/>
      <x:c r="D102" s="3"/>
      <x:c r="E102" s="25"/>
      <x:c r="F102" s="25"/>
      <x:c r="G102" s="3"/>
      <x:c r="H102" s="22"/>
      <x:c r="I102" s="3"/>
      <x:c r="J102" s="22"/>
      <x:c r="K102" s="3"/>
      <x:c r="L102" s="3"/>
      <x:c r="M102" s="3"/>
      <x:c r="N102" s="3"/>
      <x:c r="O102" s="3"/>
      <x:c r="P102" s="19" t="str">
        <x:f>IF(A102="","",IF(COUNTIFS('Execution log'!$A$7:$A$306,A102)&lt;&gt;1,"Duplicate ID",IF(COUNTIFS('Cases overview'!$A$7:$A$306,B102)&lt;&gt;1,"Invalid case ref",IF(OR(L102="Corrected",L102="Revoked"),"Excluded from totals",IF(L102&lt;&gt;"Valid","Record status missing",IF(COUNTIFS('Plan versions'!$A$7:$A$306,C102,'Plan versions'!$B$7:$B$306,B102,'Plan versions'!$L$7:$L$306,"Frozen")&lt;&gt;1,"Invalid plan ref",IF(OR(D102="",NOT(ISNUMBER(E102)),NOT(ISNUMBER(F102)),G102="",K102=""),"Execution info missing",IF(OR(NOT(ISNUMBER(H102)),H102&lt;0,NOT(ISNUMBER(J102)),J102&lt;0),"Spend or time missing",IF(COUNTIFS('Cases overview'!$A$7:$A$306,B102,'Cases overview'!$J$7:$J$306,I102)&lt;&gt;1,"Currency mismatch",IF(AND(M102&lt;&gt;"",OR(M102=A102,COUNTIFS('Execution log'!$A$7:$A$306,M102,'Execution log'!$B$7:$B$306,B102,'Execution log'!$L$7:$L$306,"Corrected")&lt;&gt;1)),"Correction ref to check","Valid input"))))))))))</x:f>
      </x:c>
    </x:row>
    <x:row r="103" ht="25" customHeight="1">
      <x:c r="A103" s="3"/>
      <x:c r="B103" s="3"/>
      <x:c r="C103" s="3"/>
      <x:c r="D103" s="3"/>
      <x:c r="E103" s="25"/>
      <x:c r="F103" s="25"/>
      <x:c r="G103" s="3"/>
      <x:c r="H103" s="22"/>
      <x:c r="I103" s="3"/>
      <x:c r="J103" s="22"/>
      <x:c r="K103" s="3"/>
      <x:c r="L103" s="3"/>
      <x:c r="M103" s="3"/>
      <x:c r="N103" s="3"/>
      <x:c r="O103" s="3"/>
      <x:c r="P103" s="19" t="str">
        <x:f>IF(A103="","",IF(COUNTIFS('Execution log'!$A$7:$A$306,A103)&lt;&gt;1,"Duplicate ID",IF(COUNTIFS('Cases overview'!$A$7:$A$306,B103)&lt;&gt;1,"Invalid case ref",IF(OR(L103="Corrected",L103="Revoked"),"Excluded from totals",IF(L103&lt;&gt;"Valid","Record status missing",IF(COUNTIFS('Plan versions'!$A$7:$A$306,C103,'Plan versions'!$B$7:$B$306,B103,'Plan versions'!$L$7:$L$306,"Frozen")&lt;&gt;1,"Invalid plan ref",IF(OR(D103="",NOT(ISNUMBER(E103)),NOT(ISNUMBER(F103)),G103="",K103=""),"Execution info missing",IF(OR(NOT(ISNUMBER(H103)),H103&lt;0,NOT(ISNUMBER(J103)),J103&lt;0),"Spend or time missing",IF(COUNTIFS('Cases overview'!$A$7:$A$306,B103,'Cases overview'!$J$7:$J$306,I103)&lt;&gt;1,"Currency mismatch",IF(AND(M103&lt;&gt;"",OR(M103=A103,COUNTIFS('Execution log'!$A$7:$A$306,M103,'Execution log'!$B$7:$B$306,B103,'Execution log'!$L$7:$L$306,"Corrected")&lt;&gt;1)),"Correction ref to check","Valid input"))))))))))</x:f>
      </x:c>
    </x:row>
    <x:row r="104" ht="25" customHeight="1">
      <x:c r="A104" s="3"/>
      <x:c r="B104" s="3"/>
      <x:c r="C104" s="3"/>
      <x:c r="D104" s="3"/>
      <x:c r="E104" s="25"/>
      <x:c r="F104" s="25"/>
      <x:c r="G104" s="3"/>
      <x:c r="H104" s="22"/>
      <x:c r="I104" s="3"/>
      <x:c r="J104" s="22"/>
      <x:c r="K104" s="3"/>
      <x:c r="L104" s="3"/>
      <x:c r="M104" s="3"/>
      <x:c r="N104" s="3"/>
      <x:c r="O104" s="3"/>
      <x:c r="P104" s="19" t="str">
        <x:f>IF(A104="","",IF(COUNTIFS('Execution log'!$A$7:$A$306,A104)&lt;&gt;1,"Duplicate ID",IF(COUNTIFS('Cases overview'!$A$7:$A$306,B104)&lt;&gt;1,"Invalid case ref",IF(OR(L104="Corrected",L104="Revoked"),"Excluded from totals",IF(L104&lt;&gt;"Valid","Record status missing",IF(COUNTIFS('Plan versions'!$A$7:$A$306,C104,'Plan versions'!$B$7:$B$306,B104,'Plan versions'!$L$7:$L$306,"Frozen")&lt;&gt;1,"Invalid plan ref",IF(OR(D104="",NOT(ISNUMBER(E104)),NOT(ISNUMBER(F104)),G104="",K104=""),"Execution info missing",IF(OR(NOT(ISNUMBER(H104)),H104&lt;0,NOT(ISNUMBER(J104)),J104&lt;0),"Spend or time missing",IF(COUNTIFS('Cases overview'!$A$7:$A$306,B104,'Cases overview'!$J$7:$J$306,I104)&lt;&gt;1,"Currency mismatch",IF(AND(M104&lt;&gt;"",OR(M104=A104,COUNTIFS('Execution log'!$A$7:$A$306,M104,'Execution log'!$B$7:$B$306,B104,'Execution log'!$L$7:$L$306,"Corrected")&lt;&gt;1)),"Correction ref to check","Valid input"))))))))))</x:f>
      </x:c>
    </x:row>
    <x:row r="105" ht="25" customHeight="1">
      <x:c r="A105" s="3"/>
      <x:c r="B105" s="3"/>
      <x:c r="C105" s="3"/>
      <x:c r="D105" s="3"/>
      <x:c r="E105" s="25"/>
      <x:c r="F105" s="25"/>
      <x:c r="G105" s="3"/>
      <x:c r="H105" s="22"/>
      <x:c r="I105" s="3"/>
      <x:c r="J105" s="22"/>
      <x:c r="K105" s="3"/>
      <x:c r="L105" s="3"/>
      <x:c r="M105" s="3"/>
      <x:c r="N105" s="3"/>
      <x:c r="O105" s="3"/>
      <x:c r="P105" s="19" t="str">
        <x:f>IF(A105="","",IF(COUNTIFS('Execution log'!$A$7:$A$306,A105)&lt;&gt;1,"Duplicate ID",IF(COUNTIFS('Cases overview'!$A$7:$A$306,B105)&lt;&gt;1,"Invalid case ref",IF(OR(L105="Corrected",L105="Revoked"),"Excluded from totals",IF(L105&lt;&gt;"Valid","Record status missing",IF(COUNTIFS('Plan versions'!$A$7:$A$306,C105,'Plan versions'!$B$7:$B$306,B105,'Plan versions'!$L$7:$L$306,"Frozen")&lt;&gt;1,"Invalid plan ref",IF(OR(D105="",NOT(ISNUMBER(E105)),NOT(ISNUMBER(F105)),G105="",K105=""),"Execution info missing",IF(OR(NOT(ISNUMBER(H105)),H105&lt;0,NOT(ISNUMBER(J105)),J105&lt;0),"Spend or time missing",IF(COUNTIFS('Cases overview'!$A$7:$A$306,B105,'Cases overview'!$J$7:$J$306,I105)&lt;&gt;1,"Currency mismatch",IF(AND(M105&lt;&gt;"",OR(M105=A105,COUNTIFS('Execution log'!$A$7:$A$306,M105,'Execution log'!$B$7:$B$306,B105,'Execution log'!$L$7:$L$306,"Corrected")&lt;&gt;1)),"Correction ref to check","Valid input"))))))))))</x:f>
      </x:c>
    </x:row>
    <x:row r="106" ht="25" customHeight="1">
      <x:c r="A106" s="3"/>
      <x:c r="B106" s="3"/>
      <x:c r="C106" s="3"/>
      <x:c r="D106" s="3"/>
      <x:c r="E106" s="25"/>
      <x:c r="F106" s="25"/>
      <x:c r="G106" s="3"/>
      <x:c r="H106" s="22"/>
      <x:c r="I106" s="3"/>
      <x:c r="J106" s="22"/>
      <x:c r="K106" s="3"/>
      <x:c r="L106" s="3"/>
      <x:c r="M106" s="3"/>
      <x:c r="N106" s="3"/>
      <x:c r="O106" s="3"/>
      <x:c r="P106" s="19" t="str">
        <x:f>IF(A106="","",IF(COUNTIFS('Execution log'!$A$7:$A$306,A106)&lt;&gt;1,"Duplicate ID",IF(COUNTIFS('Cases overview'!$A$7:$A$306,B106)&lt;&gt;1,"Invalid case ref",IF(OR(L106="Corrected",L106="Revoked"),"Excluded from totals",IF(L106&lt;&gt;"Valid","Record status missing",IF(COUNTIFS('Plan versions'!$A$7:$A$306,C106,'Plan versions'!$B$7:$B$306,B106,'Plan versions'!$L$7:$L$306,"Frozen")&lt;&gt;1,"Invalid plan ref",IF(OR(D106="",NOT(ISNUMBER(E106)),NOT(ISNUMBER(F106)),G106="",K106=""),"Execution info missing",IF(OR(NOT(ISNUMBER(H106)),H106&lt;0,NOT(ISNUMBER(J106)),J106&lt;0),"Spend or time missing",IF(COUNTIFS('Cases overview'!$A$7:$A$306,B106,'Cases overview'!$J$7:$J$306,I106)&lt;&gt;1,"Currency mismatch",IF(AND(M106&lt;&gt;"",OR(M106=A106,COUNTIFS('Execution log'!$A$7:$A$306,M106,'Execution log'!$B$7:$B$306,B106,'Execution log'!$L$7:$L$306,"Corrected")&lt;&gt;1)),"Correction ref to check","Valid input"))))))))))</x:f>
      </x:c>
    </x:row>
    <x:row r="107" ht="25" customHeight="1">
      <x:c r="A107" s="3"/>
      <x:c r="B107" s="3"/>
      <x:c r="C107" s="3"/>
      <x:c r="D107" s="3"/>
      <x:c r="E107" s="25"/>
      <x:c r="F107" s="25"/>
      <x:c r="G107" s="3"/>
      <x:c r="H107" s="22"/>
      <x:c r="I107" s="3"/>
      <x:c r="J107" s="22"/>
      <x:c r="K107" s="3"/>
      <x:c r="L107" s="3"/>
      <x:c r="M107" s="3"/>
      <x:c r="N107" s="3"/>
      <x:c r="O107" s="3"/>
      <x:c r="P107" s="19" t="str">
        <x:f>IF(A107="","",IF(COUNTIFS('Execution log'!$A$7:$A$306,A107)&lt;&gt;1,"Duplicate ID",IF(COUNTIFS('Cases overview'!$A$7:$A$306,B107)&lt;&gt;1,"Invalid case ref",IF(OR(L107="Corrected",L107="Revoked"),"Excluded from totals",IF(L107&lt;&gt;"Valid","Record status missing",IF(COUNTIFS('Plan versions'!$A$7:$A$306,C107,'Plan versions'!$B$7:$B$306,B107,'Plan versions'!$L$7:$L$306,"Frozen")&lt;&gt;1,"Invalid plan ref",IF(OR(D107="",NOT(ISNUMBER(E107)),NOT(ISNUMBER(F107)),G107="",K107=""),"Execution info missing",IF(OR(NOT(ISNUMBER(H107)),H107&lt;0,NOT(ISNUMBER(J107)),J107&lt;0),"Spend or time missing",IF(COUNTIFS('Cases overview'!$A$7:$A$306,B107,'Cases overview'!$J$7:$J$306,I107)&lt;&gt;1,"Currency mismatch",IF(AND(M107&lt;&gt;"",OR(M107=A107,COUNTIFS('Execution log'!$A$7:$A$306,M107,'Execution log'!$B$7:$B$306,B107,'Execution log'!$L$7:$L$306,"Corrected")&lt;&gt;1)),"Correction ref to check","Valid input"))))))))))</x:f>
      </x:c>
    </x:row>
    <x:row r="108" ht="25" customHeight="1">
      <x:c r="A108" s="3"/>
      <x:c r="B108" s="3"/>
      <x:c r="C108" s="3"/>
      <x:c r="D108" s="3"/>
      <x:c r="E108" s="25"/>
      <x:c r="F108" s="25"/>
      <x:c r="G108" s="3"/>
      <x:c r="H108" s="22"/>
      <x:c r="I108" s="3"/>
      <x:c r="J108" s="22"/>
      <x:c r="K108" s="3"/>
      <x:c r="L108" s="3"/>
      <x:c r="M108" s="3"/>
      <x:c r="N108" s="3"/>
      <x:c r="O108" s="3"/>
      <x:c r="P108" s="19" t="str">
        <x:f>IF(A108="","",IF(COUNTIFS('Execution log'!$A$7:$A$306,A108)&lt;&gt;1,"Duplicate ID",IF(COUNTIFS('Cases overview'!$A$7:$A$306,B108)&lt;&gt;1,"Invalid case ref",IF(OR(L108="Corrected",L108="Revoked"),"Excluded from totals",IF(L108&lt;&gt;"Valid","Record status missing",IF(COUNTIFS('Plan versions'!$A$7:$A$306,C108,'Plan versions'!$B$7:$B$306,B108,'Plan versions'!$L$7:$L$306,"Frozen")&lt;&gt;1,"Invalid plan ref",IF(OR(D108="",NOT(ISNUMBER(E108)),NOT(ISNUMBER(F108)),G108="",K108=""),"Execution info missing",IF(OR(NOT(ISNUMBER(H108)),H108&lt;0,NOT(ISNUMBER(J108)),J108&lt;0),"Spend or time missing",IF(COUNTIFS('Cases overview'!$A$7:$A$306,B108,'Cases overview'!$J$7:$J$306,I108)&lt;&gt;1,"Currency mismatch",IF(AND(M108&lt;&gt;"",OR(M108=A108,COUNTIFS('Execution log'!$A$7:$A$306,M108,'Execution log'!$B$7:$B$306,B108,'Execution log'!$L$7:$L$306,"Corrected")&lt;&gt;1)),"Correction ref to check","Valid input"))))))))))</x:f>
      </x:c>
    </x:row>
    <x:row r="109" ht="25" customHeight="1">
      <x:c r="A109" s="3"/>
      <x:c r="B109" s="3"/>
      <x:c r="C109" s="3"/>
      <x:c r="D109" s="3"/>
      <x:c r="E109" s="25"/>
      <x:c r="F109" s="25"/>
      <x:c r="G109" s="3"/>
      <x:c r="H109" s="22"/>
      <x:c r="I109" s="3"/>
      <x:c r="J109" s="22"/>
      <x:c r="K109" s="3"/>
      <x:c r="L109" s="3"/>
      <x:c r="M109" s="3"/>
      <x:c r="N109" s="3"/>
      <x:c r="O109" s="3"/>
      <x:c r="P109" s="19" t="str">
        <x:f>IF(A109="","",IF(COUNTIFS('Execution log'!$A$7:$A$306,A109)&lt;&gt;1,"Duplicate ID",IF(COUNTIFS('Cases overview'!$A$7:$A$306,B109)&lt;&gt;1,"Invalid case ref",IF(OR(L109="Corrected",L109="Revoked"),"Excluded from totals",IF(L109&lt;&gt;"Valid","Record status missing",IF(COUNTIFS('Plan versions'!$A$7:$A$306,C109,'Plan versions'!$B$7:$B$306,B109,'Plan versions'!$L$7:$L$306,"Frozen")&lt;&gt;1,"Invalid plan ref",IF(OR(D109="",NOT(ISNUMBER(E109)),NOT(ISNUMBER(F109)),G109="",K109=""),"Execution info missing",IF(OR(NOT(ISNUMBER(H109)),H109&lt;0,NOT(ISNUMBER(J109)),J109&lt;0),"Spend or time missing",IF(COUNTIFS('Cases overview'!$A$7:$A$306,B109,'Cases overview'!$J$7:$J$306,I109)&lt;&gt;1,"Currency mismatch",IF(AND(M109&lt;&gt;"",OR(M109=A109,COUNTIFS('Execution log'!$A$7:$A$306,M109,'Execution log'!$B$7:$B$306,B109,'Execution log'!$L$7:$L$306,"Corrected")&lt;&gt;1)),"Correction ref to check","Valid input"))))))))))</x:f>
      </x:c>
    </x:row>
    <x:row r="110" ht="25" customHeight="1">
      <x:c r="A110" s="3"/>
      <x:c r="B110" s="3"/>
      <x:c r="C110" s="3"/>
      <x:c r="D110" s="3"/>
      <x:c r="E110" s="25"/>
      <x:c r="F110" s="25"/>
      <x:c r="G110" s="3"/>
      <x:c r="H110" s="22"/>
      <x:c r="I110" s="3"/>
      <x:c r="J110" s="22"/>
      <x:c r="K110" s="3"/>
      <x:c r="L110" s="3"/>
      <x:c r="M110" s="3"/>
      <x:c r="N110" s="3"/>
      <x:c r="O110" s="3"/>
      <x:c r="P110" s="19" t="str">
        <x:f>IF(A110="","",IF(COUNTIFS('Execution log'!$A$7:$A$306,A110)&lt;&gt;1,"Duplicate ID",IF(COUNTIFS('Cases overview'!$A$7:$A$306,B110)&lt;&gt;1,"Invalid case ref",IF(OR(L110="Corrected",L110="Revoked"),"Excluded from totals",IF(L110&lt;&gt;"Valid","Record status missing",IF(COUNTIFS('Plan versions'!$A$7:$A$306,C110,'Plan versions'!$B$7:$B$306,B110,'Plan versions'!$L$7:$L$306,"Frozen")&lt;&gt;1,"Invalid plan ref",IF(OR(D110="",NOT(ISNUMBER(E110)),NOT(ISNUMBER(F110)),G110="",K110=""),"Execution info missing",IF(OR(NOT(ISNUMBER(H110)),H110&lt;0,NOT(ISNUMBER(J110)),J110&lt;0),"Spend or time missing",IF(COUNTIFS('Cases overview'!$A$7:$A$306,B110,'Cases overview'!$J$7:$J$306,I110)&lt;&gt;1,"Currency mismatch",IF(AND(M110&lt;&gt;"",OR(M110=A110,COUNTIFS('Execution log'!$A$7:$A$306,M110,'Execution log'!$B$7:$B$306,B110,'Execution log'!$L$7:$L$306,"Corrected")&lt;&gt;1)),"Correction ref to check","Valid input"))))))))))</x:f>
      </x:c>
    </x:row>
    <x:row r="111" ht="25" customHeight="1">
      <x:c r="A111" s="3"/>
      <x:c r="B111" s="3"/>
      <x:c r="C111" s="3"/>
      <x:c r="D111" s="3"/>
      <x:c r="E111" s="25"/>
      <x:c r="F111" s="25"/>
      <x:c r="G111" s="3"/>
      <x:c r="H111" s="22"/>
      <x:c r="I111" s="3"/>
      <x:c r="J111" s="22"/>
      <x:c r="K111" s="3"/>
      <x:c r="L111" s="3"/>
      <x:c r="M111" s="3"/>
      <x:c r="N111" s="3"/>
      <x:c r="O111" s="3"/>
      <x:c r="P111" s="19" t="str">
        <x:f>IF(A111="","",IF(COUNTIFS('Execution log'!$A$7:$A$306,A111)&lt;&gt;1,"Duplicate ID",IF(COUNTIFS('Cases overview'!$A$7:$A$306,B111)&lt;&gt;1,"Invalid case ref",IF(OR(L111="Corrected",L111="Revoked"),"Excluded from totals",IF(L111&lt;&gt;"Valid","Record status missing",IF(COUNTIFS('Plan versions'!$A$7:$A$306,C111,'Plan versions'!$B$7:$B$306,B111,'Plan versions'!$L$7:$L$306,"Frozen")&lt;&gt;1,"Invalid plan ref",IF(OR(D111="",NOT(ISNUMBER(E111)),NOT(ISNUMBER(F111)),G111="",K111=""),"Execution info missing",IF(OR(NOT(ISNUMBER(H111)),H111&lt;0,NOT(ISNUMBER(J111)),J111&lt;0),"Spend or time missing",IF(COUNTIFS('Cases overview'!$A$7:$A$306,B111,'Cases overview'!$J$7:$J$306,I111)&lt;&gt;1,"Currency mismatch",IF(AND(M111&lt;&gt;"",OR(M111=A111,COUNTIFS('Execution log'!$A$7:$A$306,M111,'Execution log'!$B$7:$B$306,B111,'Execution log'!$L$7:$L$306,"Corrected")&lt;&gt;1)),"Correction ref to check","Valid input"))))))))))</x:f>
      </x:c>
    </x:row>
    <x:row r="112" ht="25" customHeight="1">
      <x:c r="A112" s="3"/>
      <x:c r="B112" s="3"/>
      <x:c r="C112" s="3"/>
      <x:c r="D112" s="3"/>
      <x:c r="E112" s="25"/>
      <x:c r="F112" s="25"/>
      <x:c r="G112" s="3"/>
      <x:c r="H112" s="22"/>
      <x:c r="I112" s="3"/>
      <x:c r="J112" s="22"/>
      <x:c r="K112" s="3"/>
      <x:c r="L112" s="3"/>
      <x:c r="M112" s="3"/>
      <x:c r="N112" s="3"/>
      <x:c r="O112" s="3"/>
      <x:c r="P112" s="19" t="str">
        <x:f>IF(A112="","",IF(COUNTIFS('Execution log'!$A$7:$A$306,A112)&lt;&gt;1,"Duplicate ID",IF(COUNTIFS('Cases overview'!$A$7:$A$306,B112)&lt;&gt;1,"Invalid case ref",IF(OR(L112="Corrected",L112="Revoked"),"Excluded from totals",IF(L112&lt;&gt;"Valid","Record status missing",IF(COUNTIFS('Plan versions'!$A$7:$A$306,C112,'Plan versions'!$B$7:$B$306,B112,'Plan versions'!$L$7:$L$306,"Frozen")&lt;&gt;1,"Invalid plan ref",IF(OR(D112="",NOT(ISNUMBER(E112)),NOT(ISNUMBER(F112)),G112="",K112=""),"Execution info missing",IF(OR(NOT(ISNUMBER(H112)),H112&lt;0,NOT(ISNUMBER(J112)),J112&lt;0),"Spend or time missing",IF(COUNTIFS('Cases overview'!$A$7:$A$306,B112,'Cases overview'!$J$7:$J$306,I112)&lt;&gt;1,"Currency mismatch",IF(AND(M112&lt;&gt;"",OR(M112=A112,COUNTIFS('Execution log'!$A$7:$A$306,M112,'Execution log'!$B$7:$B$306,B112,'Execution log'!$L$7:$L$306,"Corrected")&lt;&gt;1)),"Correction ref to check","Valid input"))))))))))</x:f>
      </x:c>
    </x:row>
    <x:row r="113" ht="25" customHeight="1">
      <x:c r="A113" s="3"/>
      <x:c r="B113" s="3"/>
      <x:c r="C113" s="3"/>
      <x:c r="D113" s="3"/>
      <x:c r="E113" s="25"/>
      <x:c r="F113" s="25"/>
      <x:c r="G113" s="3"/>
      <x:c r="H113" s="22"/>
      <x:c r="I113" s="3"/>
      <x:c r="J113" s="22"/>
      <x:c r="K113" s="3"/>
      <x:c r="L113" s="3"/>
      <x:c r="M113" s="3"/>
      <x:c r="N113" s="3"/>
      <x:c r="O113" s="3"/>
      <x:c r="P113" s="19" t="str">
        <x:f>IF(A113="","",IF(COUNTIFS('Execution log'!$A$7:$A$306,A113)&lt;&gt;1,"Duplicate ID",IF(COUNTIFS('Cases overview'!$A$7:$A$306,B113)&lt;&gt;1,"Invalid case ref",IF(OR(L113="Corrected",L113="Revoked"),"Excluded from totals",IF(L113&lt;&gt;"Valid","Record status missing",IF(COUNTIFS('Plan versions'!$A$7:$A$306,C113,'Plan versions'!$B$7:$B$306,B113,'Plan versions'!$L$7:$L$306,"Frozen")&lt;&gt;1,"Invalid plan ref",IF(OR(D113="",NOT(ISNUMBER(E113)),NOT(ISNUMBER(F113)),G113="",K113=""),"Execution info missing",IF(OR(NOT(ISNUMBER(H113)),H113&lt;0,NOT(ISNUMBER(J113)),J113&lt;0),"Spend or time missing",IF(COUNTIFS('Cases overview'!$A$7:$A$306,B113,'Cases overview'!$J$7:$J$306,I113)&lt;&gt;1,"Currency mismatch",IF(AND(M113&lt;&gt;"",OR(M113=A113,COUNTIFS('Execution log'!$A$7:$A$306,M113,'Execution log'!$B$7:$B$306,B113,'Execution log'!$L$7:$L$306,"Corrected")&lt;&gt;1)),"Correction ref to check","Valid input"))))))))))</x:f>
      </x:c>
    </x:row>
    <x:row r="114" ht="25" customHeight="1">
      <x:c r="A114" s="3"/>
      <x:c r="B114" s="3"/>
      <x:c r="C114" s="3"/>
      <x:c r="D114" s="3"/>
      <x:c r="E114" s="25"/>
      <x:c r="F114" s="25"/>
      <x:c r="G114" s="3"/>
      <x:c r="H114" s="22"/>
      <x:c r="I114" s="3"/>
      <x:c r="J114" s="22"/>
      <x:c r="K114" s="3"/>
      <x:c r="L114" s="3"/>
      <x:c r="M114" s="3"/>
      <x:c r="N114" s="3"/>
      <x:c r="O114" s="3"/>
      <x:c r="P114" s="19" t="str">
        <x:f>IF(A114="","",IF(COUNTIFS('Execution log'!$A$7:$A$306,A114)&lt;&gt;1,"Duplicate ID",IF(COUNTIFS('Cases overview'!$A$7:$A$306,B114)&lt;&gt;1,"Invalid case ref",IF(OR(L114="Corrected",L114="Revoked"),"Excluded from totals",IF(L114&lt;&gt;"Valid","Record status missing",IF(COUNTIFS('Plan versions'!$A$7:$A$306,C114,'Plan versions'!$B$7:$B$306,B114,'Plan versions'!$L$7:$L$306,"Frozen")&lt;&gt;1,"Invalid plan ref",IF(OR(D114="",NOT(ISNUMBER(E114)),NOT(ISNUMBER(F114)),G114="",K114=""),"Execution info missing",IF(OR(NOT(ISNUMBER(H114)),H114&lt;0,NOT(ISNUMBER(J114)),J114&lt;0),"Spend or time missing",IF(COUNTIFS('Cases overview'!$A$7:$A$306,B114,'Cases overview'!$J$7:$J$306,I114)&lt;&gt;1,"Currency mismatch",IF(AND(M114&lt;&gt;"",OR(M114=A114,COUNTIFS('Execution log'!$A$7:$A$306,M114,'Execution log'!$B$7:$B$306,B114,'Execution log'!$L$7:$L$306,"Corrected")&lt;&gt;1)),"Correction ref to check","Valid input"))))))))))</x:f>
      </x:c>
    </x:row>
    <x:row r="115" ht="25" customHeight="1">
      <x:c r="A115" s="3"/>
      <x:c r="B115" s="3"/>
      <x:c r="C115" s="3"/>
      <x:c r="D115" s="3"/>
      <x:c r="E115" s="25"/>
      <x:c r="F115" s="25"/>
      <x:c r="G115" s="3"/>
      <x:c r="H115" s="22"/>
      <x:c r="I115" s="3"/>
      <x:c r="J115" s="22"/>
      <x:c r="K115" s="3"/>
      <x:c r="L115" s="3"/>
      <x:c r="M115" s="3"/>
      <x:c r="N115" s="3"/>
      <x:c r="O115" s="3"/>
      <x:c r="P115" s="19" t="str">
        <x:f>IF(A115="","",IF(COUNTIFS('Execution log'!$A$7:$A$306,A115)&lt;&gt;1,"Duplicate ID",IF(COUNTIFS('Cases overview'!$A$7:$A$306,B115)&lt;&gt;1,"Invalid case ref",IF(OR(L115="Corrected",L115="Revoked"),"Excluded from totals",IF(L115&lt;&gt;"Valid","Record status missing",IF(COUNTIFS('Plan versions'!$A$7:$A$306,C115,'Plan versions'!$B$7:$B$306,B115,'Plan versions'!$L$7:$L$306,"Frozen")&lt;&gt;1,"Invalid plan ref",IF(OR(D115="",NOT(ISNUMBER(E115)),NOT(ISNUMBER(F115)),G115="",K115=""),"Execution info missing",IF(OR(NOT(ISNUMBER(H115)),H115&lt;0,NOT(ISNUMBER(J115)),J115&lt;0),"Spend or time missing",IF(COUNTIFS('Cases overview'!$A$7:$A$306,B115,'Cases overview'!$J$7:$J$306,I115)&lt;&gt;1,"Currency mismatch",IF(AND(M115&lt;&gt;"",OR(M115=A115,COUNTIFS('Execution log'!$A$7:$A$306,M115,'Execution log'!$B$7:$B$306,B115,'Execution log'!$L$7:$L$306,"Corrected")&lt;&gt;1)),"Correction ref to check","Valid input"))))))))))</x:f>
      </x:c>
    </x:row>
    <x:row r="116" ht="25" customHeight="1">
      <x:c r="A116" s="3"/>
      <x:c r="B116" s="3"/>
      <x:c r="C116" s="3"/>
      <x:c r="D116" s="3"/>
      <x:c r="E116" s="25"/>
      <x:c r="F116" s="25"/>
      <x:c r="G116" s="3"/>
      <x:c r="H116" s="22"/>
      <x:c r="I116" s="3"/>
      <x:c r="J116" s="22"/>
      <x:c r="K116" s="3"/>
      <x:c r="L116" s="3"/>
      <x:c r="M116" s="3"/>
      <x:c r="N116" s="3"/>
      <x:c r="O116" s="3"/>
      <x:c r="P116" s="19" t="str">
        <x:f>IF(A116="","",IF(COUNTIFS('Execution log'!$A$7:$A$306,A116)&lt;&gt;1,"Duplicate ID",IF(COUNTIFS('Cases overview'!$A$7:$A$306,B116)&lt;&gt;1,"Invalid case ref",IF(OR(L116="Corrected",L116="Revoked"),"Excluded from totals",IF(L116&lt;&gt;"Valid","Record status missing",IF(COUNTIFS('Plan versions'!$A$7:$A$306,C116,'Plan versions'!$B$7:$B$306,B116,'Plan versions'!$L$7:$L$306,"Frozen")&lt;&gt;1,"Invalid plan ref",IF(OR(D116="",NOT(ISNUMBER(E116)),NOT(ISNUMBER(F116)),G116="",K116=""),"Execution info missing",IF(OR(NOT(ISNUMBER(H116)),H116&lt;0,NOT(ISNUMBER(J116)),J116&lt;0),"Spend or time missing",IF(COUNTIFS('Cases overview'!$A$7:$A$306,B116,'Cases overview'!$J$7:$J$306,I116)&lt;&gt;1,"Currency mismatch",IF(AND(M116&lt;&gt;"",OR(M116=A116,COUNTIFS('Execution log'!$A$7:$A$306,M116,'Execution log'!$B$7:$B$306,B116,'Execution log'!$L$7:$L$306,"Corrected")&lt;&gt;1)),"Correction ref to check","Valid input"))))))))))</x:f>
      </x:c>
    </x:row>
    <x:row r="117" ht="25" customHeight="1">
      <x:c r="A117" s="3"/>
      <x:c r="B117" s="3"/>
      <x:c r="C117" s="3"/>
      <x:c r="D117" s="3"/>
      <x:c r="E117" s="25"/>
      <x:c r="F117" s="25"/>
      <x:c r="G117" s="3"/>
      <x:c r="H117" s="22"/>
      <x:c r="I117" s="3"/>
      <x:c r="J117" s="22"/>
      <x:c r="K117" s="3"/>
      <x:c r="L117" s="3"/>
      <x:c r="M117" s="3"/>
      <x:c r="N117" s="3"/>
      <x:c r="O117" s="3"/>
      <x:c r="P117" s="19" t="str">
        <x:f>IF(A117="","",IF(COUNTIFS('Execution log'!$A$7:$A$306,A117)&lt;&gt;1,"Duplicate ID",IF(COUNTIFS('Cases overview'!$A$7:$A$306,B117)&lt;&gt;1,"Invalid case ref",IF(OR(L117="Corrected",L117="Revoked"),"Excluded from totals",IF(L117&lt;&gt;"Valid","Record status missing",IF(COUNTIFS('Plan versions'!$A$7:$A$306,C117,'Plan versions'!$B$7:$B$306,B117,'Plan versions'!$L$7:$L$306,"Frozen")&lt;&gt;1,"Invalid plan ref",IF(OR(D117="",NOT(ISNUMBER(E117)),NOT(ISNUMBER(F117)),G117="",K117=""),"Execution info missing",IF(OR(NOT(ISNUMBER(H117)),H117&lt;0,NOT(ISNUMBER(J117)),J117&lt;0),"Spend or time missing",IF(COUNTIFS('Cases overview'!$A$7:$A$306,B117,'Cases overview'!$J$7:$J$306,I117)&lt;&gt;1,"Currency mismatch",IF(AND(M117&lt;&gt;"",OR(M117=A117,COUNTIFS('Execution log'!$A$7:$A$306,M117,'Execution log'!$B$7:$B$306,B117,'Execution log'!$L$7:$L$306,"Corrected")&lt;&gt;1)),"Correction ref to check","Valid input"))))))))))</x:f>
      </x:c>
    </x:row>
    <x:row r="118" ht="25" customHeight="1">
      <x:c r="A118" s="3"/>
      <x:c r="B118" s="3"/>
      <x:c r="C118" s="3"/>
      <x:c r="D118" s="3"/>
      <x:c r="E118" s="25"/>
      <x:c r="F118" s="25"/>
      <x:c r="G118" s="3"/>
      <x:c r="H118" s="22"/>
      <x:c r="I118" s="3"/>
      <x:c r="J118" s="22"/>
      <x:c r="K118" s="3"/>
      <x:c r="L118" s="3"/>
      <x:c r="M118" s="3"/>
      <x:c r="N118" s="3"/>
      <x:c r="O118" s="3"/>
      <x:c r="P118" s="19" t="str">
        <x:f>IF(A118="","",IF(COUNTIFS('Execution log'!$A$7:$A$306,A118)&lt;&gt;1,"Duplicate ID",IF(COUNTIFS('Cases overview'!$A$7:$A$306,B118)&lt;&gt;1,"Invalid case ref",IF(OR(L118="Corrected",L118="Revoked"),"Excluded from totals",IF(L118&lt;&gt;"Valid","Record status missing",IF(COUNTIFS('Plan versions'!$A$7:$A$306,C118,'Plan versions'!$B$7:$B$306,B118,'Plan versions'!$L$7:$L$306,"Frozen")&lt;&gt;1,"Invalid plan ref",IF(OR(D118="",NOT(ISNUMBER(E118)),NOT(ISNUMBER(F118)),G118="",K118=""),"Execution info missing",IF(OR(NOT(ISNUMBER(H118)),H118&lt;0,NOT(ISNUMBER(J118)),J118&lt;0),"Spend or time missing",IF(COUNTIFS('Cases overview'!$A$7:$A$306,B118,'Cases overview'!$J$7:$J$306,I118)&lt;&gt;1,"Currency mismatch",IF(AND(M118&lt;&gt;"",OR(M118=A118,COUNTIFS('Execution log'!$A$7:$A$306,M118,'Execution log'!$B$7:$B$306,B118,'Execution log'!$L$7:$L$306,"Corrected")&lt;&gt;1)),"Correction ref to check","Valid input"))))))))))</x:f>
      </x:c>
    </x:row>
    <x:row r="119" ht="25" customHeight="1">
      <x:c r="A119" s="3"/>
      <x:c r="B119" s="3"/>
      <x:c r="C119" s="3"/>
      <x:c r="D119" s="3"/>
      <x:c r="E119" s="25"/>
      <x:c r="F119" s="25"/>
      <x:c r="G119" s="3"/>
      <x:c r="H119" s="22"/>
      <x:c r="I119" s="3"/>
      <x:c r="J119" s="22"/>
      <x:c r="K119" s="3"/>
      <x:c r="L119" s="3"/>
      <x:c r="M119" s="3"/>
      <x:c r="N119" s="3"/>
      <x:c r="O119" s="3"/>
      <x:c r="P119" s="19" t="str">
        <x:f>IF(A119="","",IF(COUNTIFS('Execution log'!$A$7:$A$306,A119)&lt;&gt;1,"Duplicate ID",IF(COUNTIFS('Cases overview'!$A$7:$A$306,B119)&lt;&gt;1,"Invalid case ref",IF(OR(L119="Corrected",L119="Revoked"),"Excluded from totals",IF(L119&lt;&gt;"Valid","Record status missing",IF(COUNTIFS('Plan versions'!$A$7:$A$306,C119,'Plan versions'!$B$7:$B$306,B119,'Plan versions'!$L$7:$L$306,"Frozen")&lt;&gt;1,"Invalid plan ref",IF(OR(D119="",NOT(ISNUMBER(E119)),NOT(ISNUMBER(F119)),G119="",K119=""),"Execution info missing",IF(OR(NOT(ISNUMBER(H119)),H119&lt;0,NOT(ISNUMBER(J119)),J119&lt;0),"Spend or time missing",IF(COUNTIFS('Cases overview'!$A$7:$A$306,B119,'Cases overview'!$J$7:$J$306,I119)&lt;&gt;1,"Currency mismatch",IF(AND(M119&lt;&gt;"",OR(M119=A119,COUNTIFS('Execution log'!$A$7:$A$306,M119,'Execution log'!$B$7:$B$306,B119,'Execution log'!$L$7:$L$306,"Corrected")&lt;&gt;1)),"Correction ref to check","Valid input"))))))))))</x:f>
      </x:c>
    </x:row>
    <x:row r="120" ht="25" customHeight="1">
      <x:c r="A120" s="3"/>
      <x:c r="B120" s="3"/>
      <x:c r="C120" s="3"/>
      <x:c r="D120" s="3"/>
      <x:c r="E120" s="25"/>
      <x:c r="F120" s="25"/>
      <x:c r="G120" s="3"/>
      <x:c r="H120" s="22"/>
      <x:c r="I120" s="3"/>
      <x:c r="J120" s="22"/>
      <x:c r="K120" s="3"/>
      <x:c r="L120" s="3"/>
      <x:c r="M120" s="3"/>
      <x:c r="N120" s="3"/>
      <x:c r="O120" s="3"/>
      <x:c r="P120" s="19" t="str">
        <x:f>IF(A120="","",IF(COUNTIFS('Execution log'!$A$7:$A$306,A120)&lt;&gt;1,"Duplicate ID",IF(COUNTIFS('Cases overview'!$A$7:$A$306,B120)&lt;&gt;1,"Invalid case ref",IF(OR(L120="Corrected",L120="Revoked"),"Excluded from totals",IF(L120&lt;&gt;"Valid","Record status missing",IF(COUNTIFS('Plan versions'!$A$7:$A$306,C120,'Plan versions'!$B$7:$B$306,B120,'Plan versions'!$L$7:$L$306,"Frozen")&lt;&gt;1,"Invalid plan ref",IF(OR(D120="",NOT(ISNUMBER(E120)),NOT(ISNUMBER(F120)),G120="",K120=""),"Execution info missing",IF(OR(NOT(ISNUMBER(H120)),H120&lt;0,NOT(ISNUMBER(J120)),J120&lt;0),"Spend or time missing",IF(COUNTIFS('Cases overview'!$A$7:$A$306,B120,'Cases overview'!$J$7:$J$306,I120)&lt;&gt;1,"Currency mismatch",IF(AND(M120&lt;&gt;"",OR(M120=A120,COUNTIFS('Execution log'!$A$7:$A$306,M120,'Execution log'!$B$7:$B$306,B120,'Execution log'!$L$7:$L$306,"Corrected")&lt;&gt;1)),"Correction ref to check","Valid input"))))))))))</x:f>
      </x:c>
    </x:row>
    <x:row r="121" ht="25" customHeight="1">
      <x:c r="A121" s="3"/>
      <x:c r="B121" s="3"/>
      <x:c r="C121" s="3"/>
      <x:c r="D121" s="3"/>
      <x:c r="E121" s="25"/>
      <x:c r="F121" s="25"/>
      <x:c r="G121" s="3"/>
      <x:c r="H121" s="22"/>
      <x:c r="I121" s="3"/>
      <x:c r="J121" s="22"/>
      <x:c r="K121" s="3"/>
      <x:c r="L121" s="3"/>
      <x:c r="M121" s="3"/>
      <x:c r="N121" s="3"/>
      <x:c r="O121" s="3"/>
      <x:c r="P121" s="19" t="str">
        <x:f>IF(A121="","",IF(COUNTIFS('Execution log'!$A$7:$A$306,A121)&lt;&gt;1,"Duplicate ID",IF(COUNTIFS('Cases overview'!$A$7:$A$306,B121)&lt;&gt;1,"Invalid case ref",IF(OR(L121="Corrected",L121="Revoked"),"Excluded from totals",IF(L121&lt;&gt;"Valid","Record status missing",IF(COUNTIFS('Plan versions'!$A$7:$A$306,C121,'Plan versions'!$B$7:$B$306,B121,'Plan versions'!$L$7:$L$306,"Frozen")&lt;&gt;1,"Invalid plan ref",IF(OR(D121="",NOT(ISNUMBER(E121)),NOT(ISNUMBER(F121)),G121="",K121=""),"Execution info missing",IF(OR(NOT(ISNUMBER(H121)),H121&lt;0,NOT(ISNUMBER(J121)),J121&lt;0),"Spend or time missing",IF(COUNTIFS('Cases overview'!$A$7:$A$306,B121,'Cases overview'!$J$7:$J$306,I121)&lt;&gt;1,"Currency mismatch",IF(AND(M121&lt;&gt;"",OR(M121=A121,COUNTIFS('Execution log'!$A$7:$A$306,M121,'Execution log'!$B$7:$B$306,B121,'Execution log'!$L$7:$L$306,"Corrected")&lt;&gt;1)),"Correction ref to check","Valid input"))))))))))</x:f>
      </x:c>
    </x:row>
    <x:row r="122" ht="25" customHeight="1">
      <x:c r="A122" s="3"/>
      <x:c r="B122" s="3"/>
      <x:c r="C122" s="3"/>
      <x:c r="D122" s="3"/>
      <x:c r="E122" s="25"/>
      <x:c r="F122" s="25"/>
      <x:c r="G122" s="3"/>
      <x:c r="H122" s="22"/>
      <x:c r="I122" s="3"/>
      <x:c r="J122" s="22"/>
      <x:c r="K122" s="3"/>
      <x:c r="L122" s="3"/>
      <x:c r="M122" s="3"/>
      <x:c r="N122" s="3"/>
      <x:c r="O122" s="3"/>
      <x:c r="P122" s="19" t="str">
        <x:f>IF(A122="","",IF(COUNTIFS('Execution log'!$A$7:$A$306,A122)&lt;&gt;1,"Duplicate ID",IF(COUNTIFS('Cases overview'!$A$7:$A$306,B122)&lt;&gt;1,"Invalid case ref",IF(OR(L122="Corrected",L122="Revoked"),"Excluded from totals",IF(L122&lt;&gt;"Valid","Record status missing",IF(COUNTIFS('Plan versions'!$A$7:$A$306,C122,'Plan versions'!$B$7:$B$306,B122,'Plan versions'!$L$7:$L$306,"Frozen")&lt;&gt;1,"Invalid plan ref",IF(OR(D122="",NOT(ISNUMBER(E122)),NOT(ISNUMBER(F122)),G122="",K122=""),"Execution info missing",IF(OR(NOT(ISNUMBER(H122)),H122&lt;0,NOT(ISNUMBER(J122)),J122&lt;0),"Spend or time missing",IF(COUNTIFS('Cases overview'!$A$7:$A$306,B122,'Cases overview'!$J$7:$J$306,I122)&lt;&gt;1,"Currency mismatch",IF(AND(M122&lt;&gt;"",OR(M122=A122,COUNTIFS('Execution log'!$A$7:$A$306,M122,'Execution log'!$B$7:$B$306,B122,'Execution log'!$L$7:$L$306,"Corrected")&lt;&gt;1)),"Correction ref to check","Valid input"))))))))))</x:f>
      </x:c>
    </x:row>
    <x:row r="123" ht="25" customHeight="1">
      <x:c r="A123" s="3"/>
      <x:c r="B123" s="3"/>
      <x:c r="C123" s="3"/>
      <x:c r="D123" s="3"/>
      <x:c r="E123" s="25"/>
      <x:c r="F123" s="25"/>
      <x:c r="G123" s="3"/>
      <x:c r="H123" s="22"/>
      <x:c r="I123" s="3"/>
      <x:c r="J123" s="22"/>
      <x:c r="K123" s="3"/>
      <x:c r="L123" s="3"/>
      <x:c r="M123" s="3"/>
      <x:c r="N123" s="3"/>
      <x:c r="O123" s="3"/>
      <x:c r="P123" s="19" t="str">
        <x:f>IF(A123="","",IF(COUNTIFS('Execution log'!$A$7:$A$306,A123)&lt;&gt;1,"Duplicate ID",IF(COUNTIFS('Cases overview'!$A$7:$A$306,B123)&lt;&gt;1,"Invalid case ref",IF(OR(L123="Corrected",L123="Revoked"),"Excluded from totals",IF(L123&lt;&gt;"Valid","Record status missing",IF(COUNTIFS('Plan versions'!$A$7:$A$306,C123,'Plan versions'!$B$7:$B$306,B123,'Plan versions'!$L$7:$L$306,"Frozen")&lt;&gt;1,"Invalid plan ref",IF(OR(D123="",NOT(ISNUMBER(E123)),NOT(ISNUMBER(F123)),G123="",K123=""),"Execution info missing",IF(OR(NOT(ISNUMBER(H123)),H123&lt;0,NOT(ISNUMBER(J123)),J123&lt;0),"Spend or time missing",IF(COUNTIFS('Cases overview'!$A$7:$A$306,B123,'Cases overview'!$J$7:$J$306,I123)&lt;&gt;1,"Currency mismatch",IF(AND(M123&lt;&gt;"",OR(M123=A123,COUNTIFS('Execution log'!$A$7:$A$306,M123,'Execution log'!$B$7:$B$306,B123,'Execution log'!$L$7:$L$306,"Corrected")&lt;&gt;1)),"Correction ref to check","Valid input"))))))))))</x:f>
      </x:c>
    </x:row>
    <x:row r="124" ht="25" customHeight="1">
      <x:c r="A124" s="3"/>
      <x:c r="B124" s="3"/>
      <x:c r="C124" s="3"/>
      <x:c r="D124" s="3"/>
      <x:c r="E124" s="25"/>
      <x:c r="F124" s="25"/>
      <x:c r="G124" s="3"/>
      <x:c r="H124" s="22"/>
      <x:c r="I124" s="3"/>
      <x:c r="J124" s="22"/>
      <x:c r="K124" s="3"/>
      <x:c r="L124" s="3"/>
      <x:c r="M124" s="3"/>
      <x:c r="N124" s="3"/>
      <x:c r="O124" s="3"/>
      <x:c r="P124" s="19" t="str">
        <x:f>IF(A124="","",IF(COUNTIFS('Execution log'!$A$7:$A$306,A124)&lt;&gt;1,"Duplicate ID",IF(COUNTIFS('Cases overview'!$A$7:$A$306,B124)&lt;&gt;1,"Invalid case ref",IF(OR(L124="Corrected",L124="Revoked"),"Excluded from totals",IF(L124&lt;&gt;"Valid","Record status missing",IF(COUNTIFS('Plan versions'!$A$7:$A$306,C124,'Plan versions'!$B$7:$B$306,B124,'Plan versions'!$L$7:$L$306,"Frozen")&lt;&gt;1,"Invalid plan ref",IF(OR(D124="",NOT(ISNUMBER(E124)),NOT(ISNUMBER(F124)),G124="",K124=""),"Execution info missing",IF(OR(NOT(ISNUMBER(H124)),H124&lt;0,NOT(ISNUMBER(J124)),J124&lt;0),"Spend or time missing",IF(COUNTIFS('Cases overview'!$A$7:$A$306,B124,'Cases overview'!$J$7:$J$306,I124)&lt;&gt;1,"Currency mismatch",IF(AND(M124&lt;&gt;"",OR(M124=A124,COUNTIFS('Execution log'!$A$7:$A$306,M124,'Execution log'!$B$7:$B$306,B124,'Execution log'!$L$7:$L$306,"Corrected")&lt;&gt;1)),"Correction ref to check","Valid input"))))))))))</x:f>
      </x:c>
    </x:row>
    <x:row r="125" ht="25" customHeight="1">
      <x:c r="A125" s="3"/>
      <x:c r="B125" s="3"/>
      <x:c r="C125" s="3"/>
      <x:c r="D125" s="3"/>
      <x:c r="E125" s="25"/>
      <x:c r="F125" s="25"/>
      <x:c r="G125" s="3"/>
      <x:c r="H125" s="22"/>
      <x:c r="I125" s="3"/>
      <x:c r="J125" s="22"/>
      <x:c r="K125" s="3"/>
      <x:c r="L125" s="3"/>
      <x:c r="M125" s="3"/>
      <x:c r="N125" s="3"/>
      <x:c r="O125" s="3"/>
      <x:c r="P125" s="19" t="str">
        <x:f>IF(A125="","",IF(COUNTIFS('Execution log'!$A$7:$A$306,A125)&lt;&gt;1,"Duplicate ID",IF(COUNTIFS('Cases overview'!$A$7:$A$306,B125)&lt;&gt;1,"Invalid case ref",IF(OR(L125="Corrected",L125="Revoked"),"Excluded from totals",IF(L125&lt;&gt;"Valid","Record status missing",IF(COUNTIFS('Plan versions'!$A$7:$A$306,C125,'Plan versions'!$B$7:$B$306,B125,'Plan versions'!$L$7:$L$306,"Frozen")&lt;&gt;1,"Invalid plan ref",IF(OR(D125="",NOT(ISNUMBER(E125)),NOT(ISNUMBER(F125)),G125="",K125=""),"Execution info missing",IF(OR(NOT(ISNUMBER(H125)),H125&lt;0,NOT(ISNUMBER(J125)),J125&lt;0),"Spend or time missing",IF(COUNTIFS('Cases overview'!$A$7:$A$306,B125,'Cases overview'!$J$7:$J$306,I125)&lt;&gt;1,"Currency mismatch",IF(AND(M125&lt;&gt;"",OR(M125=A125,COUNTIFS('Execution log'!$A$7:$A$306,M125,'Execution log'!$B$7:$B$306,B125,'Execution log'!$L$7:$L$306,"Corrected")&lt;&gt;1)),"Correction ref to check","Valid input"))))))))))</x:f>
      </x:c>
    </x:row>
    <x:row r="126" ht="25" customHeight="1">
      <x:c r="A126" s="3"/>
      <x:c r="B126" s="3"/>
      <x:c r="C126" s="3"/>
      <x:c r="D126" s="3"/>
      <x:c r="E126" s="25"/>
      <x:c r="F126" s="25"/>
      <x:c r="G126" s="3"/>
      <x:c r="H126" s="22"/>
      <x:c r="I126" s="3"/>
      <x:c r="J126" s="22"/>
      <x:c r="K126" s="3"/>
      <x:c r="L126" s="3"/>
      <x:c r="M126" s="3"/>
      <x:c r="N126" s="3"/>
      <x:c r="O126" s="3"/>
      <x:c r="P126" s="19" t="str">
        <x:f>IF(A126="","",IF(COUNTIFS('Execution log'!$A$7:$A$306,A126)&lt;&gt;1,"Duplicate ID",IF(COUNTIFS('Cases overview'!$A$7:$A$306,B126)&lt;&gt;1,"Invalid case ref",IF(OR(L126="Corrected",L126="Revoked"),"Excluded from totals",IF(L126&lt;&gt;"Valid","Record status missing",IF(COUNTIFS('Plan versions'!$A$7:$A$306,C126,'Plan versions'!$B$7:$B$306,B126,'Plan versions'!$L$7:$L$306,"Frozen")&lt;&gt;1,"Invalid plan ref",IF(OR(D126="",NOT(ISNUMBER(E126)),NOT(ISNUMBER(F126)),G126="",K126=""),"Execution info missing",IF(OR(NOT(ISNUMBER(H126)),H126&lt;0,NOT(ISNUMBER(J126)),J126&lt;0),"Spend or time missing",IF(COUNTIFS('Cases overview'!$A$7:$A$306,B126,'Cases overview'!$J$7:$J$306,I126)&lt;&gt;1,"Currency mismatch",IF(AND(M126&lt;&gt;"",OR(M126=A126,COUNTIFS('Execution log'!$A$7:$A$306,M126,'Execution log'!$B$7:$B$306,B126,'Execution log'!$L$7:$L$306,"Corrected")&lt;&gt;1)),"Correction ref to check","Valid input"))))))))))</x:f>
      </x:c>
    </x:row>
    <x:row r="127" ht="25" customHeight="1">
      <x:c r="A127" s="3"/>
      <x:c r="B127" s="3"/>
      <x:c r="C127" s="3"/>
      <x:c r="D127" s="3"/>
      <x:c r="E127" s="25"/>
      <x:c r="F127" s="25"/>
      <x:c r="G127" s="3"/>
      <x:c r="H127" s="22"/>
      <x:c r="I127" s="3"/>
      <x:c r="J127" s="22"/>
      <x:c r="K127" s="3"/>
      <x:c r="L127" s="3"/>
      <x:c r="M127" s="3"/>
      <x:c r="N127" s="3"/>
      <x:c r="O127" s="3"/>
      <x:c r="P127" s="19" t="str">
        <x:f>IF(A127="","",IF(COUNTIFS('Execution log'!$A$7:$A$306,A127)&lt;&gt;1,"Duplicate ID",IF(COUNTIFS('Cases overview'!$A$7:$A$306,B127)&lt;&gt;1,"Invalid case ref",IF(OR(L127="Corrected",L127="Revoked"),"Excluded from totals",IF(L127&lt;&gt;"Valid","Record status missing",IF(COUNTIFS('Plan versions'!$A$7:$A$306,C127,'Plan versions'!$B$7:$B$306,B127,'Plan versions'!$L$7:$L$306,"Frozen")&lt;&gt;1,"Invalid plan ref",IF(OR(D127="",NOT(ISNUMBER(E127)),NOT(ISNUMBER(F127)),G127="",K127=""),"Execution info missing",IF(OR(NOT(ISNUMBER(H127)),H127&lt;0,NOT(ISNUMBER(J127)),J127&lt;0),"Spend or time missing",IF(COUNTIFS('Cases overview'!$A$7:$A$306,B127,'Cases overview'!$J$7:$J$306,I127)&lt;&gt;1,"Currency mismatch",IF(AND(M127&lt;&gt;"",OR(M127=A127,COUNTIFS('Execution log'!$A$7:$A$306,M127,'Execution log'!$B$7:$B$306,B127,'Execution log'!$L$7:$L$306,"Corrected")&lt;&gt;1)),"Correction ref to check","Valid input"))))))))))</x:f>
      </x:c>
    </x:row>
    <x:row r="128" ht="25" customHeight="1">
      <x:c r="A128" s="3"/>
      <x:c r="B128" s="3"/>
      <x:c r="C128" s="3"/>
      <x:c r="D128" s="3"/>
      <x:c r="E128" s="25"/>
      <x:c r="F128" s="25"/>
      <x:c r="G128" s="3"/>
      <x:c r="H128" s="22"/>
      <x:c r="I128" s="3"/>
      <x:c r="J128" s="22"/>
      <x:c r="K128" s="3"/>
      <x:c r="L128" s="3"/>
      <x:c r="M128" s="3"/>
      <x:c r="N128" s="3"/>
      <x:c r="O128" s="3"/>
      <x:c r="P128" s="19" t="str">
        <x:f>IF(A128="","",IF(COUNTIFS('Execution log'!$A$7:$A$306,A128)&lt;&gt;1,"Duplicate ID",IF(COUNTIFS('Cases overview'!$A$7:$A$306,B128)&lt;&gt;1,"Invalid case ref",IF(OR(L128="Corrected",L128="Revoked"),"Excluded from totals",IF(L128&lt;&gt;"Valid","Record status missing",IF(COUNTIFS('Plan versions'!$A$7:$A$306,C128,'Plan versions'!$B$7:$B$306,B128,'Plan versions'!$L$7:$L$306,"Frozen")&lt;&gt;1,"Invalid plan ref",IF(OR(D128="",NOT(ISNUMBER(E128)),NOT(ISNUMBER(F128)),G128="",K128=""),"Execution info missing",IF(OR(NOT(ISNUMBER(H128)),H128&lt;0,NOT(ISNUMBER(J128)),J128&lt;0),"Spend or time missing",IF(COUNTIFS('Cases overview'!$A$7:$A$306,B128,'Cases overview'!$J$7:$J$306,I128)&lt;&gt;1,"Currency mismatch",IF(AND(M128&lt;&gt;"",OR(M128=A128,COUNTIFS('Execution log'!$A$7:$A$306,M128,'Execution log'!$B$7:$B$306,B128,'Execution log'!$L$7:$L$306,"Corrected")&lt;&gt;1)),"Correction ref to check","Valid input"))))))))))</x:f>
      </x:c>
    </x:row>
    <x:row r="129" ht="25" customHeight="1">
      <x:c r="A129" s="3"/>
      <x:c r="B129" s="3"/>
      <x:c r="C129" s="3"/>
      <x:c r="D129" s="3"/>
      <x:c r="E129" s="25"/>
      <x:c r="F129" s="25"/>
      <x:c r="G129" s="3"/>
      <x:c r="H129" s="22"/>
      <x:c r="I129" s="3"/>
      <x:c r="J129" s="22"/>
      <x:c r="K129" s="3"/>
      <x:c r="L129" s="3"/>
      <x:c r="M129" s="3"/>
      <x:c r="N129" s="3"/>
      <x:c r="O129" s="3"/>
      <x:c r="P129" s="19" t="str">
        <x:f>IF(A129="","",IF(COUNTIFS('Execution log'!$A$7:$A$306,A129)&lt;&gt;1,"Duplicate ID",IF(COUNTIFS('Cases overview'!$A$7:$A$306,B129)&lt;&gt;1,"Invalid case ref",IF(OR(L129="Corrected",L129="Revoked"),"Excluded from totals",IF(L129&lt;&gt;"Valid","Record status missing",IF(COUNTIFS('Plan versions'!$A$7:$A$306,C129,'Plan versions'!$B$7:$B$306,B129,'Plan versions'!$L$7:$L$306,"Frozen")&lt;&gt;1,"Invalid plan ref",IF(OR(D129="",NOT(ISNUMBER(E129)),NOT(ISNUMBER(F129)),G129="",K129=""),"Execution info missing",IF(OR(NOT(ISNUMBER(H129)),H129&lt;0,NOT(ISNUMBER(J129)),J129&lt;0),"Spend or time missing",IF(COUNTIFS('Cases overview'!$A$7:$A$306,B129,'Cases overview'!$J$7:$J$306,I129)&lt;&gt;1,"Currency mismatch",IF(AND(M129&lt;&gt;"",OR(M129=A129,COUNTIFS('Execution log'!$A$7:$A$306,M129,'Execution log'!$B$7:$B$306,B129,'Execution log'!$L$7:$L$306,"Corrected")&lt;&gt;1)),"Correction ref to check","Valid input"))))))))))</x:f>
      </x:c>
    </x:row>
    <x:row r="130" ht="25" customHeight="1">
      <x:c r="A130" s="3"/>
      <x:c r="B130" s="3"/>
      <x:c r="C130" s="3"/>
      <x:c r="D130" s="3"/>
      <x:c r="E130" s="25"/>
      <x:c r="F130" s="25"/>
      <x:c r="G130" s="3"/>
      <x:c r="H130" s="22"/>
      <x:c r="I130" s="3"/>
      <x:c r="J130" s="22"/>
      <x:c r="K130" s="3"/>
      <x:c r="L130" s="3"/>
      <x:c r="M130" s="3"/>
      <x:c r="N130" s="3"/>
      <x:c r="O130" s="3"/>
      <x:c r="P130" s="19" t="str">
        <x:f>IF(A130="","",IF(COUNTIFS('Execution log'!$A$7:$A$306,A130)&lt;&gt;1,"Duplicate ID",IF(COUNTIFS('Cases overview'!$A$7:$A$306,B130)&lt;&gt;1,"Invalid case ref",IF(OR(L130="Corrected",L130="Revoked"),"Excluded from totals",IF(L130&lt;&gt;"Valid","Record status missing",IF(COUNTIFS('Plan versions'!$A$7:$A$306,C130,'Plan versions'!$B$7:$B$306,B130,'Plan versions'!$L$7:$L$306,"Frozen")&lt;&gt;1,"Invalid plan ref",IF(OR(D130="",NOT(ISNUMBER(E130)),NOT(ISNUMBER(F130)),G130="",K130=""),"Execution info missing",IF(OR(NOT(ISNUMBER(H130)),H130&lt;0,NOT(ISNUMBER(J130)),J130&lt;0),"Spend or time missing",IF(COUNTIFS('Cases overview'!$A$7:$A$306,B130,'Cases overview'!$J$7:$J$306,I130)&lt;&gt;1,"Currency mismatch",IF(AND(M130&lt;&gt;"",OR(M130=A130,COUNTIFS('Execution log'!$A$7:$A$306,M130,'Execution log'!$B$7:$B$306,B130,'Execution log'!$L$7:$L$306,"Corrected")&lt;&gt;1)),"Correction ref to check","Valid input"))))))))))</x:f>
      </x:c>
    </x:row>
    <x:row r="131" ht="25" customHeight="1">
      <x:c r="A131" s="3"/>
      <x:c r="B131" s="3"/>
      <x:c r="C131" s="3"/>
      <x:c r="D131" s="3"/>
      <x:c r="E131" s="25"/>
      <x:c r="F131" s="25"/>
      <x:c r="G131" s="3"/>
      <x:c r="H131" s="22"/>
      <x:c r="I131" s="3"/>
      <x:c r="J131" s="22"/>
      <x:c r="K131" s="3"/>
      <x:c r="L131" s="3"/>
      <x:c r="M131" s="3"/>
      <x:c r="N131" s="3"/>
      <x:c r="O131" s="3"/>
      <x:c r="P131" s="19" t="str">
        <x:f>IF(A131="","",IF(COUNTIFS('Execution log'!$A$7:$A$306,A131)&lt;&gt;1,"Duplicate ID",IF(COUNTIFS('Cases overview'!$A$7:$A$306,B131)&lt;&gt;1,"Invalid case ref",IF(OR(L131="Corrected",L131="Revoked"),"Excluded from totals",IF(L131&lt;&gt;"Valid","Record status missing",IF(COUNTIFS('Plan versions'!$A$7:$A$306,C131,'Plan versions'!$B$7:$B$306,B131,'Plan versions'!$L$7:$L$306,"Frozen")&lt;&gt;1,"Invalid plan ref",IF(OR(D131="",NOT(ISNUMBER(E131)),NOT(ISNUMBER(F131)),G131="",K131=""),"Execution info missing",IF(OR(NOT(ISNUMBER(H131)),H131&lt;0,NOT(ISNUMBER(J131)),J131&lt;0),"Spend or time missing",IF(COUNTIFS('Cases overview'!$A$7:$A$306,B131,'Cases overview'!$J$7:$J$306,I131)&lt;&gt;1,"Currency mismatch",IF(AND(M131&lt;&gt;"",OR(M131=A131,COUNTIFS('Execution log'!$A$7:$A$306,M131,'Execution log'!$B$7:$B$306,B131,'Execution log'!$L$7:$L$306,"Corrected")&lt;&gt;1)),"Correction ref to check","Valid input"))))))))))</x:f>
      </x:c>
    </x:row>
    <x:row r="132" ht="25" customHeight="1">
      <x:c r="A132" s="3"/>
      <x:c r="B132" s="3"/>
      <x:c r="C132" s="3"/>
      <x:c r="D132" s="3"/>
      <x:c r="E132" s="25"/>
      <x:c r="F132" s="25"/>
      <x:c r="G132" s="3"/>
      <x:c r="H132" s="22"/>
      <x:c r="I132" s="3"/>
      <x:c r="J132" s="22"/>
      <x:c r="K132" s="3"/>
      <x:c r="L132" s="3"/>
      <x:c r="M132" s="3"/>
      <x:c r="N132" s="3"/>
      <x:c r="O132" s="3"/>
      <x:c r="P132" s="19" t="str">
        <x:f>IF(A132="","",IF(COUNTIFS('Execution log'!$A$7:$A$306,A132)&lt;&gt;1,"Duplicate ID",IF(COUNTIFS('Cases overview'!$A$7:$A$306,B132)&lt;&gt;1,"Invalid case ref",IF(OR(L132="Corrected",L132="Revoked"),"Excluded from totals",IF(L132&lt;&gt;"Valid","Record status missing",IF(COUNTIFS('Plan versions'!$A$7:$A$306,C132,'Plan versions'!$B$7:$B$306,B132,'Plan versions'!$L$7:$L$306,"Frozen")&lt;&gt;1,"Invalid plan ref",IF(OR(D132="",NOT(ISNUMBER(E132)),NOT(ISNUMBER(F132)),G132="",K132=""),"Execution info missing",IF(OR(NOT(ISNUMBER(H132)),H132&lt;0,NOT(ISNUMBER(J132)),J132&lt;0),"Spend or time missing",IF(COUNTIFS('Cases overview'!$A$7:$A$306,B132,'Cases overview'!$J$7:$J$306,I132)&lt;&gt;1,"Currency mismatch",IF(AND(M132&lt;&gt;"",OR(M132=A132,COUNTIFS('Execution log'!$A$7:$A$306,M132,'Execution log'!$B$7:$B$306,B132,'Execution log'!$L$7:$L$306,"Corrected")&lt;&gt;1)),"Correction ref to check","Valid input"))))))))))</x:f>
      </x:c>
    </x:row>
    <x:row r="133" ht="25" customHeight="1">
      <x:c r="A133" s="3"/>
      <x:c r="B133" s="3"/>
      <x:c r="C133" s="3"/>
      <x:c r="D133" s="3"/>
      <x:c r="E133" s="25"/>
      <x:c r="F133" s="25"/>
      <x:c r="G133" s="3"/>
      <x:c r="H133" s="22"/>
      <x:c r="I133" s="3"/>
      <x:c r="J133" s="22"/>
      <x:c r="K133" s="3"/>
      <x:c r="L133" s="3"/>
      <x:c r="M133" s="3"/>
      <x:c r="N133" s="3"/>
      <x:c r="O133" s="3"/>
      <x:c r="P133" s="19" t="str">
        <x:f>IF(A133="","",IF(COUNTIFS('Execution log'!$A$7:$A$306,A133)&lt;&gt;1,"Duplicate ID",IF(COUNTIFS('Cases overview'!$A$7:$A$306,B133)&lt;&gt;1,"Invalid case ref",IF(OR(L133="Corrected",L133="Revoked"),"Excluded from totals",IF(L133&lt;&gt;"Valid","Record status missing",IF(COUNTIFS('Plan versions'!$A$7:$A$306,C133,'Plan versions'!$B$7:$B$306,B133,'Plan versions'!$L$7:$L$306,"Frozen")&lt;&gt;1,"Invalid plan ref",IF(OR(D133="",NOT(ISNUMBER(E133)),NOT(ISNUMBER(F133)),G133="",K133=""),"Execution info missing",IF(OR(NOT(ISNUMBER(H133)),H133&lt;0,NOT(ISNUMBER(J133)),J133&lt;0),"Spend or time missing",IF(COUNTIFS('Cases overview'!$A$7:$A$306,B133,'Cases overview'!$J$7:$J$306,I133)&lt;&gt;1,"Currency mismatch",IF(AND(M133&lt;&gt;"",OR(M133=A133,COUNTIFS('Execution log'!$A$7:$A$306,M133,'Execution log'!$B$7:$B$306,B133,'Execution log'!$L$7:$L$306,"Corrected")&lt;&gt;1)),"Correction ref to check","Valid input"))))))))))</x:f>
      </x:c>
    </x:row>
    <x:row r="134" ht="25" customHeight="1">
      <x:c r="A134" s="3"/>
      <x:c r="B134" s="3"/>
      <x:c r="C134" s="3"/>
      <x:c r="D134" s="3"/>
      <x:c r="E134" s="25"/>
      <x:c r="F134" s="25"/>
      <x:c r="G134" s="3"/>
      <x:c r="H134" s="22"/>
      <x:c r="I134" s="3"/>
      <x:c r="J134" s="22"/>
      <x:c r="K134" s="3"/>
      <x:c r="L134" s="3"/>
      <x:c r="M134" s="3"/>
      <x:c r="N134" s="3"/>
      <x:c r="O134" s="3"/>
      <x:c r="P134" s="19" t="str">
        <x:f>IF(A134="","",IF(COUNTIFS('Execution log'!$A$7:$A$306,A134)&lt;&gt;1,"Duplicate ID",IF(COUNTIFS('Cases overview'!$A$7:$A$306,B134)&lt;&gt;1,"Invalid case ref",IF(OR(L134="Corrected",L134="Revoked"),"Excluded from totals",IF(L134&lt;&gt;"Valid","Record status missing",IF(COUNTIFS('Plan versions'!$A$7:$A$306,C134,'Plan versions'!$B$7:$B$306,B134,'Plan versions'!$L$7:$L$306,"Frozen")&lt;&gt;1,"Invalid plan ref",IF(OR(D134="",NOT(ISNUMBER(E134)),NOT(ISNUMBER(F134)),G134="",K134=""),"Execution info missing",IF(OR(NOT(ISNUMBER(H134)),H134&lt;0,NOT(ISNUMBER(J134)),J134&lt;0),"Spend or time missing",IF(COUNTIFS('Cases overview'!$A$7:$A$306,B134,'Cases overview'!$J$7:$J$306,I134)&lt;&gt;1,"Currency mismatch",IF(AND(M134&lt;&gt;"",OR(M134=A134,COUNTIFS('Execution log'!$A$7:$A$306,M134,'Execution log'!$B$7:$B$306,B134,'Execution log'!$L$7:$L$306,"Corrected")&lt;&gt;1)),"Correction ref to check","Valid input"))))))))))</x:f>
      </x:c>
    </x:row>
    <x:row r="135" ht="25" customHeight="1">
      <x:c r="A135" s="3"/>
      <x:c r="B135" s="3"/>
      <x:c r="C135" s="3"/>
      <x:c r="D135" s="3"/>
      <x:c r="E135" s="25"/>
      <x:c r="F135" s="25"/>
      <x:c r="G135" s="3"/>
      <x:c r="H135" s="22"/>
      <x:c r="I135" s="3"/>
      <x:c r="J135" s="22"/>
      <x:c r="K135" s="3"/>
      <x:c r="L135" s="3"/>
      <x:c r="M135" s="3"/>
      <x:c r="N135" s="3"/>
      <x:c r="O135" s="3"/>
      <x:c r="P135" s="19" t="str">
        <x:f>IF(A135="","",IF(COUNTIFS('Execution log'!$A$7:$A$306,A135)&lt;&gt;1,"Duplicate ID",IF(COUNTIFS('Cases overview'!$A$7:$A$306,B135)&lt;&gt;1,"Invalid case ref",IF(OR(L135="Corrected",L135="Revoked"),"Excluded from totals",IF(L135&lt;&gt;"Valid","Record status missing",IF(COUNTIFS('Plan versions'!$A$7:$A$306,C135,'Plan versions'!$B$7:$B$306,B135,'Plan versions'!$L$7:$L$306,"Frozen")&lt;&gt;1,"Invalid plan ref",IF(OR(D135="",NOT(ISNUMBER(E135)),NOT(ISNUMBER(F135)),G135="",K135=""),"Execution info missing",IF(OR(NOT(ISNUMBER(H135)),H135&lt;0,NOT(ISNUMBER(J135)),J135&lt;0),"Spend or time missing",IF(COUNTIFS('Cases overview'!$A$7:$A$306,B135,'Cases overview'!$J$7:$J$306,I135)&lt;&gt;1,"Currency mismatch",IF(AND(M135&lt;&gt;"",OR(M135=A135,COUNTIFS('Execution log'!$A$7:$A$306,M135,'Execution log'!$B$7:$B$306,B135,'Execution log'!$L$7:$L$306,"Corrected")&lt;&gt;1)),"Correction ref to check","Valid input"))))))))))</x:f>
      </x:c>
    </x:row>
    <x:row r="136" ht="25" customHeight="1">
      <x:c r="A136" s="3"/>
      <x:c r="B136" s="3"/>
      <x:c r="C136" s="3"/>
      <x:c r="D136" s="3"/>
      <x:c r="E136" s="25"/>
      <x:c r="F136" s="25"/>
      <x:c r="G136" s="3"/>
      <x:c r="H136" s="22"/>
      <x:c r="I136" s="3"/>
      <x:c r="J136" s="22"/>
      <x:c r="K136" s="3"/>
      <x:c r="L136" s="3"/>
      <x:c r="M136" s="3"/>
      <x:c r="N136" s="3"/>
      <x:c r="O136" s="3"/>
      <x:c r="P136" s="19" t="str">
        <x:f>IF(A136="","",IF(COUNTIFS('Execution log'!$A$7:$A$306,A136)&lt;&gt;1,"Duplicate ID",IF(COUNTIFS('Cases overview'!$A$7:$A$306,B136)&lt;&gt;1,"Invalid case ref",IF(OR(L136="Corrected",L136="Revoked"),"Excluded from totals",IF(L136&lt;&gt;"Valid","Record status missing",IF(COUNTIFS('Plan versions'!$A$7:$A$306,C136,'Plan versions'!$B$7:$B$306,B136,'Plan versions'!$L$7:$L$306,"Frozen")&lt;&gt;1,"Invalid plan ref",IF(OR(D136="",NOT(ISNUMBER(E136)),NOT(ISNUMBER(F136)),G136="",K136=""),"Execution info missing",IF(OR(NOT(ISNUMBER(H136)),H136&lt;0,NOT(ISNUMBER(J136)),J136&lt;0),"Spend or time missing",IF(COUNTIFS('Cases overview'!$A$7:$A$306,B136,'Cases overview'!$J$7:$J$306,I136)&lt;&gt;1,"Currency mismatch",IF(AND(M136&lt;&gt;"",OR(M136=A136,COUNTIFS('Execution log'!$A$7:$A$306,M136,'Execution log'!$B$7:$B$306,B136,'Execution log'!$L$7:$L$306,"Corrected")&lt;&gt;1)),"Correction ref to check","Valid input"))))))))))</x:f>
      </x:c>
    </x:row>
    <x:row r="137" ht="25" customHeight="1">
      <x:c r="A137" s="3"/>
      <x:c r="B137" s="3"/>
      <x:c r="C137" s="3"/>
      <x:c r="D137" s="3"/>
      <x:c r="E137" s="25"/>
      <x:c r="F137" s="25"/>
      <x:c r="G137" s="3"/>
      <x:c r="H137" s="22"/>
      <x:c r="I137" s="3"/>
      <x:c r="J137" s="22"/>
      <x:c r="K137" s="3"/>
      <x:c r="L137" s="3"/>
      <x:c r="M137" s="3"/>
      <x:c r="N137" s="3"/>
      <x:c r="O137" s="3"/>
      <x:c r="P137" s="19" t="str">
        <x:f>IF(A137="","",IF(COUNTIFS('Execution log'!$A$7:$A$306,A137)&lt;&gt;1,"Duplicate ID",IF(COUNTIFS('Cases overview'!$A$7:$A$306,B137)&lt;&gt;1,"Invalid case ref",IF(OR(L137="Corrected",L137="Revoked"),"Excluded from totals",IF(L137&lt;&gt;"Valid","Record status missing",IF(COUNTIFS('Plan versions'!$A$7:$A$306,C137,'Plan versions'!$B$7:$B$306,B137,'Plan versions'!$L$7:$L$306,"Frozen")&lt;&gt;1,"Invalid plan ref",IF(OR(D137="",NOT(ISNUMBER(E137)),NOT(ISNUMBER(F137)),G137="",K137=""),"Execution info missing",IF(OR(NOT(ISNUMBER(H137)),H137&lt;0,NOT(ISNUMBER(J137)),J137&lt;0),"Spend or time missing",IF(COUNTIFS('Cases overview'!$A$7:$A$306,B137,'Cases overview'!$J$7:$J$306,I137)&lt;&gt;1,"Currency mismatch",IF(AND(M137&lt;&gt;"",OR(M137=A137,COUNTIFS('Execution log'!$A$7:$A$306,M137,'Execution log'!$B$7:$B$306,B137,'Execution log'!$L$7:$L$306,"Corrected")&lt;&gt;1)),"Correction ref to check","Valid input"))))))))))</x:f>
      </x:c>
    </x:row>
    <x:row r="138" ht="25" customHeight="1">
      <x:c r="A138" s="3"/>
      <x:c r="B138" s="3"/>
      <x:c r="C138" s="3"/>
      <x:c r="D138" s="3"/>
      <x:c r="E138" s="25"/>
      <x:c r="F138" s="25"/>
      <x:c r="G138" s="3"/>
      <x:c r="H138" s="22"/>
      <x:c r="I138" s="3"/>
      <x:c r="J138" s="22"/>
      <x:c r="K138" s="3"/>
      <x:c r="L138" s="3"/>
      <x:c r="M138" s="3"/>
      <x:c r="N138" s="3"/>
      <x:c r="O138" s="3"/>
      <x:c r="P138" s="19" t="str">
        <x:f>IF(A138="","",IF(COUNTIFS('Execution log'!$A$7:$A$306,A138)&lt;&gt;1,"Duplicate ID",IF(COUNTIFS('Cases overview'!$A$7:$A$306,B138)&lt;&gt;1,"Invalid case ref",IF(OR(L138="Corrected",L138="Revoked"),"Excluded from totals",IF(L138&lt;&gt;"Valid","Record status missing",IF(COUNTIFS('Plan versions'!$A$7:$A$306,C138,'Plan versions'!$B$7:$B$306,B138,'Plan versions'!$L$7:$L$306,"Frozen")&lt;&gt;1,"Invalid plan ref",IF(OR(D138="",NOT(ISNUMBER(E138)),NOT(ISNUMBER(F138)),G138="",K138=""),"Execution info missing",IF(OR(NOT(ISNUMBER(H138)),H138&lt;0,NOT(ISNUMBER(J138)),J138&lt;0),"Spend or time missing",IF(COUNTIFS('Cases overview'!$A$7:$A$306,B138,'Cases overview'!$J$7:$J$306,I138)&lt;&gt;1,"Currency mismatch",IF(AND(M138&lt;&gt;"",OR(M138=A138,COUNTIFS('Execution log'!$A$7:$A$306,M138,'Execution log'!$B$7:$B$306,B138,'Execution log'!$L$7:$L$306,"Corrected")&lt;&gt;1)),"Correction ref to check","Valid input"))))))))))</x:f>
      </x:c>
    </x:row>
    <x:row r="139" ht="25" customHeight="1">
      <x:c r="A139" s="3"/>
      <x:c r="B139" s="3"/>
      <x:c r="C139" s="3"/>
      <x:c r="D139" s="3"/>
      <x:c r="E139" s="25"/>
      <x:c r="F139" s="25"/>
      <x:c r="G139" s="3"/>
      <x:c r="H139" s="22"/>
      <x:c r="I139" s="3"/>
      <x:c r="J139" s="22"/>
      <x:c r="K139" s="3"/>
      <x:c r="L139" s="3"/>
      <x:c r="M139" s="3"/>
      <x:c r="N139" s="3"/>
      <x:c r="O139" s="3"/>
      <x:c r="P139" s="19" t="str">
        <x:f>IF(A139="","",IF(COUNTIFS('Execution log'!$A$7:$A$306,A139)&lt;&gt;1,"Duplicate ID",IF(COUNTIFS('Cases overview'!$A$7:$A$306,B139)&lt;&gt;1,"Invalid case ref",IF(OR(L139="Corrected",L139="Revoked"),"Excluded from totals",IF(L139&lt;&gt;"Valid","Record status missing",IF(COUNTIFS('Plan versions'!$A$7:$A$306,C139,'Plan versions'!$B$7:$B$306,B139,'Plan versions'!$L$7:$L$306,"Frozen")&lt;&gt;1,"Invalid plan ref",IF(OR(D139="",NOT(ISNUMBER(E139)),NOT(ISNUMBER(F139)),G139="",K139=""),"Execution info missing",IF(OR(NOT(ISNUMBER(H139)),H139&lt;0,NOT(ISNUMBER(J139)),J139&lt;0),"Spend or time missing",IF(COUNTIFS('Cases overview'!$A$7:$A$306,B139,'Cases overview'!$J$7:$J$306,I139)&lt;&gt;1,"Currency mismatch",IF(AND(M139&lt;&gt;"",OR(M139=A139,COUNTIFS('Execution log'!$A$7:$A$306,M139,'Execution log'!$B$7:$B$306,B139,'Execution log'!$L$7:$L$306,"Corrected")&lt;&gt;1)),"Correction ref to check","Valid input"))))))))))</x:f>
      </x:c>
    </x:row>
    <x:row r="140" ht="25" customHeight="1">
      <x:c r="A140" s="3"/>
      <x:c r="B140" s="3"/>
      <x:c r="C140" s="3"/>
      <x:c r="D140" s="3"/>
      <x:c r="E140" s="25"/>
      <x:c r="F140" s="25"/>
      <x:c r="G140" s="3"/>
      <x:c r="H140" s="22"/>
      <x:c r="I140" s="3"/>
      <x:c r="J140" s="22"/>
      <x:c r="K140" s="3"/>
      <x:c r="L140" s="3"/>
      <x:c r="M140" s="3"/>
      <x:c r="N140" s="3"/>
      <x:c r="O140" s="3"/>
      <x:c r="P140" s="19" t="str">
        <x:f>IF(A140="","",IF(COUNTIFS('Execution log'!$A$7:$A$306,A140)&lt;&gt;1,"Duplicate ID",IF(COUNTIFS('Cases overview'!$A$7:$A$306,B140)&lt;&gt;1,"Invalid case ref",IF(OR(L140="Corrected",L140="Revoked"),"Excluded from totals",IF(L140&lt;&gt;"Valid","Record status missing",IF(COUNTIFS('Plan versions'!$A$7:$A$306,C140,'Plan versions'!$B$7:$B$306,B140,'Plan versions'!$L$7:$L$306,"Frozen")&lt;&gt;1,"Invalid plan ref",IF(OR(D140="",NOT(ISNUMBER(E140)),NOT(ISNUMBER(F140)),G140="",K140=""),"Execution info missing",IF(OR(NOT(ISNUMBER(H140)),H140&lt;0,NOT(ISNUMBER(J140)),J140&lt;0),"Spend or time missing",IF(COUNTIFS('Cases overview'!$A$7:$A$306,B140,'Cases overview'!$J$7:$J$306,I140)&lt;&gt;1,"Currency mismatch",IF(AND(M140&lt;&gt;"",OR(M140=A140,COUNTIFS('Execution log'!$A$7:$A$306,M140,'Execution log'!$B$7:$B$306,B140,'Execution log'!$L$7:$L$306,"Corrected")&lt;&gt;1)),"Correction ref to check","Valid input"))))))))))</x:f>
      </x:c>
    </x:row>
    <x:row r="141" ht="25" customHeight="1">
      <x:c r="A141" s="3"/>
      <x:c r="B141" s="3"/>
      <x:c r="C141" s="3"/>
      <x:c r="D141" s="3"/>
      <x:c r="E141" s="25"/>
      <x:c r="F141" s="25"/>
      <x:c r="G141" s="3"/>
      <x:c r="H141" s="22"/>
      <x:c r="I141" s="3"/>
      <x:c r="J141" s="22"/>
      <x:c r="K141" s="3"/>
      <x:c r="L141" s="3"/>
      <x:c r="M141" s="3"/>
      <x:c r="N141" s="3"/>
      <x:c r="O141" s="3"/>
      <x:c r="P141" s="19" t="str">
        <x:f>IF(A141="","",IF(COUNTIFS('Execution log'!$A$7:$A$306,A141)&lt;&gt;1,"Duplicate ID",IF(COUNTIFS('Cases overview'!$A$7:$A$306,B141)&lt;&gt;1,"Invalid case ref",IF(OR(L141="Corrected",L141="Revoked"),"Excluded from totals",IF(L141&lt;&gt;"Valid","Record status missing",IF(COUNTIFS('Plan versions'!$A$7:$A$306,C141,'Plan versions'!$B$7:$B$306,B141,'Plan versions'!$L$7:$L$306,"Frozen")&lt;&gt;1,"Invalid plan ref",IF(OR(D141="",NOT(ISNUMBER(E141)),NOT(ISNUMBER(F141)),G141="",K141=""),"Execution info missing",IF(OR(NOT(ISNUMBER(H141)),H141&lt;0,NOT(ISNUMBER(J141)),J141&lt;0),"Spend or time missing",IF(COUNTIFS('Cases overview'!$A$7:$A$306,B141,'Cases overview'!$J$7:$J$306,I141)&lt;&gt;1,"Currency mismatch",IF(AND(M141&lt;&gt;"",OR(M141=A141,COUNTIFS('Execution log'!$A$7:$A$306,M141,'Execution log'!$B$7:$B$306,B141,'Execution log'!$L$7:$L$306,"Corrected")&lt;&gt;1)),"Correction ref to check","Valid input"))))))))))</x:f>
      </x:c>
    </x:row>
    <x:row r="142" ht="25" customHeight="1">
      <x:c r="A142" s="3"/>
      <x:c r="B142" s="3"/>
      <x:c r="C142" s="3"/>
      <x:c r="D142" s="3"/>
      <x:c r="E142" s="25"/>
      <x:c r="F142" s="25"/>
      <x:c r="G142" s="3"/>
      <x:c r="H142" s="22"/>
      <x:c r="I142" s="3"/>
      <x:c r="J142" s="22"/>
      <x:c r="K142" s="3"/>
      <x:c r="L142" s="3"/>
      <x:c r="M142" s="3"/>
      <x:c r="N142" s="3"/>
      <x:c r="O142" s="3"/>
      <x:c r="P142" s="19" t="str">
        <x:f>IF(A142="","",IF(COUNTIFS('Execution log'!$A$7:$A$306,A142)&lt;&gt;1,"Duplicate ID",IF(COUNTIFS('Cases overview'!$A$7:$A$306,B142)&lt;&gt;1,"Invalid case ref",IF(OR(L142="Corrected",L142="Revoked"),"Excluded from totals",IF(L142&lt;&gt;"Valid","Record status missing",IF(COUNTIFS('Plan versions'!$A$7:$A$306,C142,'Plan versions'!$B$7:$B$306,B142,'Plan versions'!$L$7:$L$306,"Frozen")&lt;&gt;1,"Invalid plan ref",IF(OR(D142="",NOT(ISNUMBER(E142)),NOT(ISNUMBER(F142)),G142="",K142=""),"Execution info missing",IF(OR(NOT(ISNUMBER(H142)),H142&lt;0,NOT(ISNUMBER(J142)),J142&lt;0),"Spend or time missing",IF(COUNTIFS('Cases overview'!$A$7:$A$306,B142,'Cases overview'!$J$7:$J$306,I142)&lt;&gt;1,"Currency mismatch",IF(AND(M142&lt;&gt;"",OR(M142=A142,COUNTIFS('Execution log'!$A$7:$A$306,M142,'Execution log'!$B$7:$B$306,B142,'Execution log'!$L$7:$L$306,"Corrected")&lt;&gt;1)),"Correction ref to check","Valid input"))))))))))</x:f>
      </x:c>
    </x:row>
    <x:row r="143" ht="25" customHeight="1">
      <x:c r="A143" s="3"/>
      <x:c r="B143" s="3"/>
      <x:c r="C143" s="3"/>
      <x:c r="D143" s="3"/>
      <x:c r="E143" s="25"/>
      <x:c r="F143" s="25"/>
      <x:c r="G143" s="3"/>
      <x:c r="H143" s="22"/>
      <x:c r="I143" s="3"/>
      <x:c r="J143" s="22"/>
      <x:c r="K143" s="3"/>
      <x:c r="L143" s="3"/>
      <x:c r="M143" s="3"/>
      <x:c r="N143" s="3"/>
      <x:c r="O143" s="3"/>
      <x:c r="P143" s="19" t="str">
        <x:f>IF(A143="","",IF(COUNTIFS('Execution log'!$A$7:$A$306,A143)&lt;&gt;1,"Duplicate ID",IF(COUNTIFS('Cases overview'!$A$7:$A$306,B143)&lt;&gt;1,"Invalid case ref",IF(OR(L143="Corrected",L143="Revoked"),"Excluded from totals",IF(L143&lt;&gt;"Valid","Record status missing",IF(COUNTIFS('Plan versions'!$A$7:$A$306,C143,'Plan versions'!$B$7:$B$306,B143,'Plan versions'!$L$7:$L$306,"Frozen")&lt;&gt;1,"Invalid plan ref",IF(OR(D143="",NOT(ISNUMBER(E143)),NOT(ISNUMBER(F143)),G143="",K143=""),"Execution info missing",IF(OR(NOT(ISNUMBER(H143)),H143&lt;0,NOT(ISNUMBER(J143)),J143&lt;0),"Spend or time missing",IF(COUNTIFS('Cases overview'!$A$7:$A$306,B143,'Cases overview'!$J$7:$J$306,I143)&lt;&gt;1,"Currency mismatch",IF(AND(M143&lt;&gt;"",OR(M143=A143,COUNTIFS('Execution log'!$A$7:$A$306,M143,'Execution log'!$B$7:$B$306,B143,'Execution log'!$L$7:$L$306,"Corrected")&lt;&gt;1)),"Correction ref to check","Valid input"))))))))))</x:f>
      </x:c>
    </x:row>
    <x:row r="144" ht="25" customHeight="1">
      <x:c r="A144" s="3"/>
      <x:c r="B144" s="3"/>
      <x:c r="C144" s="3"/>
      <x:c r="D144" s="3"/>
      <x:c r="E144" s="25"/>
      <x:c r="F144" s="25"/>
      <x:c r="G144" s="3"/>
      <x:c r="H144" s="22"/>
      <x:c r="I144" s="3"/>
      <x:c r="J144" s="22"/>
      <x:c r="K144" s="3"/>
      <x:c r="L144" s="3"/>
      <x:c r="M144" s="3"/>
      <x:c r="N144" s="3"/>
      <x:c r="O144" s="3"/>
      <x:c r="P144" s="19" t="str">
        <x:f>IF(A144="","",IF(COUNTIFS('Execution log'!$A$7:$A$306,A144)&lt;&gt;1,"Duplicate ID",IF(COUNTIFS('Cases overview'!$A$7:$A$306,B144)&lt;&gt;1,"Invalid case ref",IF(OR(L144="Corrected",L144="Revoked"),"Excluded from totals",IF(L144&lt;&gt;"Valid","Record status missing",IF(COUNTIFS('Plan versions'!$A$7:$A$306,C144,'Plan versions'!$B$7:$B$306,B144,'Plan versions'!$L$7:$L$306,"Frozen")&lt;&gt;1,"Invalid plan ref",IF(OR(D144="",NOT(ISNUMBER(E144)),NOT(ISNUMBER(F144)),G144="",K144=""),"Execution info missing",IF(OR(NOT(ISNUMBER(H144)),H144&lt;0,NOT(ISNUMBER(J144)),J144&lt;0),"Spend or time missing",IF(COUNTIFS('Cases overview'!$A$7:$A$306,B144,'Cases overview'!$J$7:$J$306,I144)&lt;&gt;1,"Currency mismatch",IF(AND(M144&lt;&gt;"",OR(M144=A144,COUNTIFS('Execution log'!$A$7:$A$306,M144,'Execution log'!$B$7:$B$306,B144,'Execution log'!$L$7:$L$306,"Corrected")&lt;&gt;1)),"Correction ref to check","Valid input"))))))))))</x:f>
      </x:c>
    </x:row>
    <x:row r="145" ht="25" customHeight="1">
      <x:c r="A145" s="3"/>
      <x:c r="B145" s="3"/>
      <x:c r="C145" s="3"/>
      <x:c r="D145" s="3"/>
      <x:c r="E145" s="25"/>
      <x:c r="F145" s="25"/>
      <x:c r="G145" s="3"/>
      <x:c r="H145" s="22"/>
      <x:c r="I145" s="3"/>
      <x:c r="J145" s="22"/>
      <x:c r="K145" s="3"/>
      <x:c r="L145" s="3"/>
      <x:c r="M145" s="3"/>
      <x:c r="N145" s="3"/>
      <x:c r="O145" s="3"/>
      <x:c r="P145" s="19" t="str">
        <x:f>IF(A145="","",IF(COUNTIFS('Execution log'!$A$7:$A$306,A145)&lt;&gt;1,"Duplicate ID",IF(COUNTIFS('Cases overview'!$A$7:$A$306,B145)&lt;&gt;1,"Invalid case ref",IF(OR(L145="Corrected",L145="Revoked"),"Excluded from totals",IF(L145&lt;&gt;"Valid","Record status missing",IF(COUNTIFS('Plan versions'!$A$7:$A$306,C145,'Plan versions'!$B$7:$B$306,B145,'Plan versions'!$L$7:$L$306,"Frozen")&lt;&gt;1,"Invalid plan ref",IF(OR(D145="",NOT(ISNUMBER(E145)),NOT(ISNUMBER(F145)),G145="",K145=""),"Execution info missing",IF(OR(NOT(ISNUMBER(H145)),H145&lt;0,NOT(ISNUMBER(J145)),J145&lt;0),"Spend or time missing",IF(COUNTIFS('Cases overview'!$A$7:$A$306,B145,'Cases overview'!$J$7:$J$306,I145)&lt;&gt;1,"Currency mismatch",IF(AND(M145&lt;&gt;"",OR(M145=A145,COUNTIFS('Execution log'!$A$7:$A$306,M145,'Execution log'!$B$7:$B$306,B145,'Execution log'!$L$7:$L$306,"Corrected")&lt;&gt;1)),"Correction ref to check","Valid input"))))))))))</x:f>
      </x:c>
    </x:row>
    <x:row r="146" ht="25" customHeight="1">
      <x:c r="A146" s="3"/>
      <x:c r="B146" s="3"/>
      <x:c r="C146" s="3"/>
      <x:c r="D146" s="3"/>
      <x:c r="E146" s="25"/>
      <x:c r="F146" s="25"/>
      <x:c r="G146" s="3"/>
      <x:c r="H146" s="22"/>
      <x:c r="I146" s="3"/>
      <x:c r="J146" s="22"/>
      <x:c r="K146" s="3"/>
      <x:c r="L146" s="3"/>
      <x:c r="M146" s="3"/>
      <x:c r="N146" s="3"/>
      <x:c r="O146" s="3"/>
      <x:c r="P146" s="19" t="str">
        <x:f>IF(A146="","",IF(COUNTIFS('Execution log'!$A$7:$A$306,A146)&lt;&gt;1,"Duplicate ID",IF(COUNTIFS('Cases overview'!$A$7:$A$306,B146)&lt;&gt;1,"Invalid case ref",IF(OR(L146="Corrected",L146="Revoked"),"Excluded from totals",IF(L146&lt;&gt;"Valid","Record status missing",IF(COUNTIFS('Plan versions'!$A$7:$A$306,C146,'Plan versions'!$B$7:$B$306,B146,'Plan versions'!$L$7:$L$306,"Frozen")&lt;&gt;1,"Invalid plan ref",IF(OR(D146="",NOT(ISNUMBER(E146)),NOT(ISNUMBER(F146)),G146="",K146=""),"Execution info missing",IF(OR(NOT(ISNUMBER(H146)),H146&lt;0,NOT(ISNUMBER(J146)),J146&lt;0),"Spend or time missing",IF(COUNTIFS('Cases overview'!$A$7:$A$306,B146,'Cases overview'!$J$7:$J$306,I146)&lt;&gt;1,"Currency mismatch",IF(AND(M146&lt;&gt;"",OR(M146=A146,COUNTIFS('Execution log'!$A$7:$A$306,M146,'Execution log'!$B$7:$B$306,B146,'Execution log'!$L$7:$L$306,"Corrected")&lt;&gt;1)),"Correction ref to check","Valid input"))))))))))</x:f>
      </x:c>
    </x:row>
    <x:row r="147" ht="25" customHeight="1">
      <x:c r="A147" s="3"/>
      <x:c r="B147" s="3"/>
      <x:c r="C147" s="3"/>
      <x:c r="D147" s="3"/>
      <x:c r="E147" s="25"/>
      <x:c r="F147" s="25"/>
      <x:c r="G147" s="3"/>
      <x:c r="H147" s="22"/>
      <x:c r="I147" s="3"/>
      <x:c r="J147" s="22"/>
      <x:c r="K147" s="3"/>
      <x:c r="L147" s="3"/>
      <x:c r="M147" s="3"/>
      <x:c r="N147" s="3"/>
      <x:c r="O147" s="3"/>
      <x:c r="P147" s="19" t="str">
        <x:f>IF(A147="","",IF(COUNTIFS('Execution log'!$A$7:$A$306,A147)&lt;&gt;1,"Duplicate ID",IF(COUNTIFS('Cases overview'!$A$7:$A$306,B147)&lt;&gt;1,"Invalid case ref",IF(OR(L147="Corrected",L147="Revoked"),"Excluded from totals",IF(L147&lt;&gt;"Valid","Record status missing",IF(COUNTIFS('Plan versions'!$A$7:$A$306,C147,'Plan versions'!$B$7:$B$306,B147,'Plan versions'!$L$7:$L$306,"Frozen")&lt;&gt;1,"Invalid plan ref",IF(OR(D147="",NOT(ISNUMBER(E147)),NOT(ISNUMBER(F147)),G147="",K147=""),"Execution info missing",IF(OR(NOT(ISNUMBER(H147)),H147&lt;0,NOT(ISNUMBER(J147)),J147&lt;0),"Spend or time missing",IF(COUNTIFS('Cases overview'!$A$7:$A$306,B147,'Cases overview'!$J$7:$J$306,I147)&lt;&gt;1,"Currency mismatch",IF(AND(M147&lt;&gt;"",OR(M147=A147,COUNTIFS('Execution log'!$A$7:$A$306,M147,'Execution log'!$B$7:$B$306,B147,'Execution log'!$L$7:$L$306,"Corrected")&lt;&gt;1)),"Correction ref to check","Valid input"))))))))))</x:f>
      </x:c>
    </x:row>
    <x:row r="148" ht="25" customHeight="1">
      <x:c r="A148" s="3"/>
      <x:c r="B148" s="3"/>
      <x:c r="C148" s="3"/>
      <x:c r="D148" s="3"/>
      <x:c r="E148" s="25"/>
      <x:c r="F148" s="25"/>
      <x:c r="G148" s="3"/>
      <x:c r="H148" s="22"/>
      <x:c r="I148" s="3"/>
      <x:c r="J148" s="22"/>
      <x:c r="K148" s="3"/>
      <x:c r="L148" s="3"/>
      <x:c r="M148" s="3"/>
      <x:c r="N148" s="3"/>
      <x:c r="O148" s="3"/>
      <x:c r="P148" s="19" t="str">
        <x:f>IF(A148="","",IF(COUNTIFS('Execution log'!$A$7:$A$306,A148)&lt;&gt;1,"Duplicate ID",IF(COUNTIFS('Cases overview'!$A$7:$A$306,B148)&lt;&gt;1,"Invalid case ref",IF(OR(L148="Corrected",L148="Revoked"),"Excluded from totals",IF(L148&lt;&gt;"Valid","Record status missing",IF(COUNTIFS('Plan versions'!$A$7:$A$306,C148,'Plan versions'!$B$7:$B$306,B148,'Plan versions'!$L$7:$L$306,"Frozen")&lt;&gt;1,"Invalid plan ref",IF(OR(D148="",NOT(ISNUMBER(E148)),NOT(ISNUMBER(F148)),G148="",K148=""),"Execution info missing",IF(OR(NOT(ISNUMBER(H148)),H148&lt;0,NOT(ISNUMBER(J148)),J148&lt;0),"Spend or time missing",IF(COUNTIFS('Cases overview'!$A$7:$A$306,B148,'Cases overview'!$J$7:$J$306,I148)&lt;&gt;1,"Currency mismatch",IF(AND(M148&lt;&gt;"",OR(M148=A148,COUNTIFS('Execution log'!$A$7:$A$306,M148,'Execution log'!$B$7:$B$306,B148,'Execution log'!$L$7:$L$306,"Corrected")&lt;&gt;1)),"Correction ref to check","Valid input"))))))))))</x:f>
      </x:c>
    </x:row>
    <x:row r="149" ht="25" customHeight="1">
      <x:c r="A149" s="3"/>
      <x:c r="B149" s="3"/>
      <x:c r="C149" s="3"/>
      <x:c r="D149" s="3"/>
      <x:c r="E149" s="25"/>
      <x:c r="F149" s="25"/>
      <x:c r="G149" s="3"/>
      <x:c r="H149" s="22"/>
      <x:c r="I149" s="3"/>
      <x:c r="J149" s="22"/>
      <x:c r="K149" s="3"/>
      <x:c r="L149" s="3"/>
      <x:c r="M149" s="3"/>
      <x:c r="N149" s="3"/>
      <x:c r="O149" s="3"/>
      <x:c r="P149" s="19" t="str">
        <x:f>IF(A149="","",IF(COUNTIFS('Execution log'!$A$7:$A$306,A149)&lt;&gt;1,"Duplicate ID",IF(COUNTIFS('Cases overview'!$A$7:$A$306,B149)&lt;&gt;1,"Invalid case ref",IF(OR(L149="Corrected",L149="Revoked"),"Excluded from totals",IF(L149&lt;&gt;"Valid","Record status missing",IF(COUNTIFS('Plan versions'!$A$7:$A$306,C149,'Plan versions'!$B$7:$B$306,B149,'Plan versions'!$L$7:$L$306,"Frozen")&lt;&gt;1,"Invalid plan ref",IF(OR(D149="",NOT(ISNUMBER(E149)),NOT(ISNUMBER(F149)),G149="",K149=""),"Execution info missing",IF(OR(NOT(ISNUMBER(H149)),H149&lt;0,NOT(ISNUMBER(J149)),J149&lt;0),"Spend or time missing",IF(COUNTIFS('Cases overview'!$A$7:$A$306,B149,'Cases overview'!$J$7:$J$306,I149)&lt;&gt;1,"Currency mismatch",IF(AND(M149&lt;&gt;"",OR(M149=A149,COUNTIFS('Execution log'!$A$7:$A$306,M149,'Execution log'!$B$7:$B$306,B149,'Execution log'!$L$7:$L$306,"Corrected")&lt;&gt;1)),"Correction ref to check","Valid input"))))))))))</x:f>
      </x:c>
    </x:row>
    <x:row r="150" ht="25" customHeight="1">
      <x:c r="A150" s="3"/>
      <x:c r="B150" s="3"/>
      <x:c r="C150" s="3"/>
      <x:c r="D150" s="3"/>
      <x:c r="E150" s="25"/>
      <x:c r="F150" s="25"/>
      <x:c r="G150" s="3"/>
      <x:c r="H150" s="22"/>
      <x:c r="I150" s="3"/>
      <x:c r="J150" s="22"/>
      <x:c r="K150" s="3"/>
      <x:c r="L150" s="3"/>
      <x:c r="M150" s="3"/>
      <x:c r="N150" s="3"/>
      <x:c r="O150" s="3"/>
      <x:c r="P150" s="19" t="str">
        <x:f>IF(A150="","",IF(COUNTIFS('Execution log'!$A$7:$A$306,A150)&lt;&gt;1,"Duplicate ID",IF(COUNTIFS('Cases overview'!$A$7:$A$306,B150)&lt;&gt;1,"Invalid case ref",IF(OR(L150="Corrected",L150="Revoked"),"Excluded from totals",IF(L150&lt;&gt;"Valid","Record status missing",IF(COUNTIFS('Plan versions'!$A$7:$A$306,C150,'Plan versions'!$B$7:$B$306,B150,'Plan versions'!$L$7:$L$306,"Frozen")&lt;&gt;1,"Invalid plan ref",IF(OR(D150="",NOT(ISNUMBER(E150)),NOT(ISNUMBER(F150)),G150="",K150=""),"Execution info missing",IF(OR(NOT(ISNUMBER(H150)),H150&lt;0,NOT(ISNUMBER(J150)),J150&lt;0),"Spend or time missing",IF(COUNTIFS('Cases overview'!$A$7:$A$306,B150,'Cases overview'!$J$7:$J$306,I150)&lt;&gt;1,"Currency mismatch",IF(AND(M150&lt;&gt;"",OR(M150=A150,COUNTIFS('Execution log'!$A$7:$A$306,M150,'Execution log'!$B$7:$B$306,B150,'Execution log'!$L$7:$L$306,"Corrected")&lt;&gt;1)),"Correction ref to check","Valid input"))))))))))</x:f>
      </x:c>
    </x:row>
    <x:row r="151" ht="25" customHeight="1">
      <x:c r="A151" s="3"/>
      <x:c r="B151" s="3"/>
      <x:c r="C151" s="3"/>
      <x:c r="D151" s="3"/>
      <x:c r="E151" s="25"/>
      <x:c r="F151" s="25"/>
      <x:c r="G151" s="3"/>
      <x:c r="H151" s="22"/>
      <x:c r="I151" s="3"/>
      <x:c r="J151" s="22"/>
      <x:c r="K151" s="3"/>
      <x:c r="L151" s="3"/>
      <x:c r="M151" s="3"/>
      <x:c r="N151" s="3"/>
      <x:c r="O151" s="3"/>
      <x:c r="P151" s="19" t="str">
        <x:f>IF(A151="","",IF(COUNTIFS('Execution log'!$A$7:$A$306,A151)&lt;&gt;1,"Duplicate ID",IF(COUNTIFS('Cases overview'!$A$7:$A$306,B151)&lt;&gt;1,"Invalid case ref",IF(OR(L151="Corrected",L151="Revoked"),"Excluded from totals",IF(L151&lt;&gt;"Valid","Record status missing",IF(COUNTIFS('Plan versions'!$A$7:$A$306,C151,'Plan versions'!$B$7:$B$306,B151,'Plan versions'!$L$7:$L$306,"Frozen")&lt;&gt;1,"Invalid plan ref",IF(OR(D151="",NOT(ISNUMBER(E151)),NOT(ISNUMBER(F151)),G151="",K151=""),"Execution info missing",IF(OR(NOT(ISNUMBER(H151)),H151&lt;0,NOT(ISNUMBER(J151)),J151&lt;0),"Spend or time missing",IF(COUNTIFS('Cases overview'!$A$7:$A$306,B151,'Cases overview'!$J$7:$J$306,I151)&lt;&gt;1,"Currency mismatch",IF(AND(M151&lt;&gt;"",OR(M151=A151,COUNTIFS('Execution log'!$A$7:$A$306,M151,'Execution log'!$B$7:$B$306,B151,'Execution log'!$L$7:$L$306,"Corrected")&lt;&gt;1)),"Correction ref to check","Valid input"))))))))))</x:f>
      </x:c>
    </x:row>
    <x:row r="152" ht="25" customHeight="1">
      <x:c r="A152" s="3"/>
      <x:c r="B152" s="3"/>
      <x:c r="C152" s="3"/>
      <x:c r="D152" s="3"/>
      <x:c r="E152" s="25"/>
      <x:c r="F152" s="25"/>
      <x:c r="G152" s="3"/>
      <x:c r="H152" s="22"/>
      <x:c r="I152" s="3"/>
      <x:c r="J152" s="22"/>
      <x:c r="K152" s="3"/>
      <x:c r="L152" s="3"/>
      <x:c r="M152" s="3"/>
      <x:c r="N152" s="3"/>
      <x:c r="O152" s="3"/>
      <x:c r="P152" s="19" t="str">
        <x:f>IF(A152="","",IF(COUNTIFS('Execution log'!$A$7:$A$306,A152)&lt;&gt;1,"Duplicate ID",IF(COUNTIFS('Cases overview'!$A$7:$A$306,B152)&lt;&gt;1,"Invalid case ref",IF(OR(L152="Corrected",L152="Revoked"),"Excluded from totals",IF(L152&lt;&gt;"Valid","Record status missing",IF(COUNTIFS('Plan versions'!$A$7:$A$306,C152,'Plan versions'!$B$7:$B$306,B152,'Plan versions'!$L$7:$L$306,"Frozen")&lt;&gt;1,"Invalid plan ref",IF(OR(D152="",NOT(ISNUMBER(E152)),NOT(ISNUMBER(F152)),G152="",K152=""),"Execution info missing",IF(OR(NOT(ISNUMBER(H152)),H152&lt;0,NOT(ISNUMBER(J152)),J152&lt;0),"Spend or time missing",IF(COUNTIFS('Cases overview'!$A$7:$A$306,B152,'Cases overview'!$J$7:$J$306,I152)&lt;&gt;1,"Currency mismatch",IF(AND(M152&lt;&gt;"",OR(M152=A152,COUNTIFS('Execution log'!$A$7:$A$306,M152,'Execution log'!$B$7:$B$306,B152,'Execution log'!$L$7:$L$306,"Corrected")&lt;&gt;1)),"Correction ref to check","Valid input"))))))))))</x:f>
      </x:c>
    </x:row>
    <x:row r="153" ht="25" customHeight="1">
      <x:c r="A153" s="3"/>
      <x:c r="B153" s="3"/>
      <x:c r="C153" s="3"/>
      <x:c r="D153" s="3"/>
      <x:c r="E153" s="25"/>
      <x:c r="F153" s="25"/>
      <x:c r="G153" s="3"/>
      <x:c r="H153" s="22"/>
      <x:c r="I153" s="3"/>
      <x:c r="J153" s="22"/>
      <x:c r="K153" s="3"/>
      <x:c r="L153" s="3"/>
      <x:c r="M153" s="3"/>
      <x:c r="N153" s="3"/>
      <x:c r="O153" s="3"/>
      <x:c r="P153" s="19" t="str">
        <x:f>IF(A153="","",IF(COUNTIFS('Execution log'!$A$7:$A$306,A153)&lt;&gt;1,"Duplicate ID",IF(COUNTIFS('Cases overview'!$A$7:$A$306,B153)&lt;&gt;1,"Invalid case ref",IF(OR(L153="Corrected",L153="Revoked"),"Excluded from totals",IF(L153&lt;&gt;"Valid","Record status missing",IF(COUNTIFS('Plan versions'!$A$7:$A$306,C153,'Plan versions'!$B$7:$B$306,B153,'Plan versions'!$L$7:$L$306,"Frozen")&lt;&gt;1,"Invalid plan ref",IF(OR(D153="",NOT(ISNUMBER(E153)),NOT(ISNUMBER(F153)),G153="",K153=""),"Execution info missing",IF(OR(NOT(ISNUMBER(H153)),H153&lt;0,NOT(ISNUMBER(J153)),J153&lt;0),"Spend or time missing",IF(COUNTIFS('Cases overview'!$A$7:$A$306,B153,'Cases overview'!$J$7:$J$306,I153)&lt;&gt;1,"Currency mismatch",IF(AND(M153&lt;&gt;"",OR(M153=A153,COUNTIFS('Execution log'!$A$7:$A$306,M153,'Execution log'!$B$7:$B$306,B153,'Execution log'!$L$7:$L$306,"Corrected")&lt;&gt;1)),"Correction ref to check","Valid input"))))))))))</x:f>
      </x:c>
    </x:row>
    <x:row r="154" ht="25" customHeight="1">
      <x:c r="A154" s="3"/>
      <x:c r="B154" s="3"/>
      <x:c r="C154" s="3"/>
      <x:c r="D154" s="3"/>
      <x:c r="E154" s="25"/>
      <x:c r="F154" s="25"/>
      <x:c r="G154" s="3"/>
      <x:c r="H154" s="22"/>
      <x:c r="I154" s="3"/>
      <x:c r="J154" s="22"/>
      <x:c r="K154" s="3"/>
      <x:c r="L154" s="3"/>
      <x:c r="M154" s="3"/>
      <x:c r="N154" s="3"/>
      <x:c r="O154" s="3"/>
      <x:c r="P154" s="19" t="str">
        <x:f>IF(A154="","",IF(COUNTIFS('Execution log'!$A$7:$A$306,A154)&lt;&gt;1,"Duplicate ID",IF(COUNTIFS('Cases overview'!$A$7:$A$306,B154)&lt;&gt;1,"Invalid case ref",IF(OR(L154="Corrected",L154="Revoked"),"Excluded from totals",IF(L154&lt;&gt;"Valid","Record status missing",IF(COUNTIFS('Plan versions'!$A$7:$A$306,C154,'Plan versions'!$B$7:$B$306,B154,'Plan versions'!$L$7:$L$306,"Frozen")&lt;&gt;1,"Invalid plan ref",IF(OR(D154="",NOT(ISNUMBER(E154)),NOT(ISNUMBER(F154)),G154="",K154=""),"Execution info missing",IF(OR(NOT(ISNUMBER(H154)),H154&lt;0,NOT(ISNUMBER(J154)),J154&lt;0),"Spend or time missing",IF(COUNTIFS('Cases overview'!$A$7:$A$306,B154,'Cases overview'!$J$7:$J$306,I154)&lt;&gt;1,"Currency mismatch",IF(AND(M154&lt;&gt;"",OR(M154=A154,COUNTIFS('Execution log'!$A$7:$A$306,M154,'Execution log'!$B$7:$B$306,B154,'Execution log'!$L$7:$L$306,"Corrected")&lt;&gt;1)),"Correction ref to check","Valid input"))))))))))</x:f>
      </x:c>
    </x:row>
    <x:row r="155" ht="25" customHeight="1">
      <x:c r="A155" s="3"/>
      <x:c r="B155" s="3"/>
      <x:c r="C155" s="3"/>
      <x:c r="D155" s="3"/>
      <x:c r="E155" s="25"/>
      <x:c r="F155" s="25"/>
      <x:c r="G155" s="3"/>
      <x:c r="H155" s="22"/>
      <x:c r="I155" s="3"/>
      <x:c r="J155" s="22"/>
      <x:c r="K155" s="3"/>
      <x:c r="L155" s="3"/>
      <x:c r="M155" s="3"/>
      <x:c r="N155" s="3"/>
      <x:c r="O155" s="3"/>
      <x:c r="P155" s="19" t="str">
        <x:f>IF(A155="","",IF(COUNTIFS('Execution log'!$A$7:$A$306,A155)&lt;&gt;1,"Duplicate ID",IF(COUNTIFS('Cases overview'!$A$7:$A$306,B155)&lt;&gt;1,"Invalid case ref",IF(OR(L155="Corrected",L155="Revoked"),"Excluded from totals",IF(L155&lt;&gt;"Valid","Record status missing",IF(COUNTIFS('Plan versions'!$A$7:$A$306,C155,'Plan versions'!$B$7:$B$306,B155,'Plan versions'!$L$7:$L$306,"Frozen")&lt;&gt;1,"Invalid plan ref",IF(OR(D155="",NOT(ISNUMBER(E155)),NOT(ISNUMBER(F155)),G155="",K155=""),"Execution info missing",IF(OR(NOT(ISNUMBER(H155)),H155&lt;0,NOT(ISNUMBER(J155)),J155&lt;0),"Spend or time missing",IF(COUNTIFS('Cases overview'!$A$7:$A$306,B155,'Cases overview'!$J$7:$J$306,I155)&lt;&gt;1,"Currency mismatch",IF(AND(M155&lt;&gt;"",OR(M155=A155,COUNTIFS('Execution log'!$A$7:$A$306,M155,'Execution log'!$B$7:$B$306,B155,'Execution log'!$L$7:$L$306,"Corrected")&lt;&gt;1)),"Correction ref to check","Valid input"))))))))))</x:f>
      </x:c>
    </x:row>
    <x:row r="156" ht="25" customHeight="1">
      <x:c r="A156" s="3"/>
      <x:c r="B156" s="3"/>
      <x:c r="C156" s="3"/>
      <x:c r="D156" s="3"/>
      <x:c r="E156" s="25"/>
      <x:c r="F156" s="25"/>
      <x:c r="G156" s="3"/>
      <x:c r="H156" s="22"/>
      <x:c r="I156" s="3"/>
      <x:c r="J156" s="22"/>
      <x:c r="K156" s="3"/>
      <x:c r="L156" s="3"/>
      <x:c r="M156" s="3"/>
      <x:c r="N156" s="3"/>
      <x:c r="O156" s="3"/>
      <x:c r="P156" s="19" t="str">
        <x:f>IF(A156="","",IF(COUNTIFS('Execution log'!$A$7:$A$306,A156)&lt;&gt;1,"Duplicate ID",IF(COUNTIFS('Cases overview'!$A$7:$A$306,B156)&lt;&gt;1,"Invalid case ref",IF(OR(L156="Corrected",L156="Revoked"),"Excluded from totals",IF(L156&lt;&gt;"Valid","Record status missing",IF(COUNTIFS('Plan versions'!$A$7:$A$306,C156,'Plan versions'!$B$7:$B$306,B156,'Plan versions'!$L$7:$L$306,"Frozen")&lt;&gt;1,"Invalid plan ref",IF(OR(D156="",NOT(ISNUMBER(E156)),NOT(ISNUMBER(F156)),G156="",K156=""),"Execution info missing",IF(OR(NOT(ISNUMBER(H156)),H156&lt;0,NOT(ISNUMBER(J156)),J156&lt;0),"Spend or time missing",IF(COUNTIFS('Cases overview'!$A$7:$A$306,B156,'Cases overview'!$J$7:$J$306,I156)&lt;&gt;1,"Currency mismatch",IF(AND(M156&lt;&gt;"",OR(M156=A156,COUNTIFS('Execution log'!$A$7:$A$306,M156,'Execution log'!$B$7:$B$306,B156,'Execution log'!$L$7:$L$306,"Corrected")&lt;&gt;1)),"Correction ref to check","Valid input"))))))))))</x:f>
      </x:c>
    </x:row>
    <x:row r="157" ht="25" customHeight="1">
      <x:c r="A157" s="3"/>
      <x:c r="B157" s="3"/>
      <x:c r="C157" s="3"/>
      <x:c r="D157" s="3"/>
      <x:c r="E157" s="25"/>
      <x:c r="F157" s="25"/>
      <x:c r="G157" s="3"/>
      <x:c r="H157" s="22"/>
      <x:c r="I157" s="3"/>
      <x:c r="J157" s="22"/>
      <x:c r="K157" s="3"/>
      <x:c r="L157" s="3"/>
      <x:c r="M157" s="3"/>
      <x:c r="N157" s="3"/>
      <x:c r="O157" s="3"/>
      <x:c r="P157" s="19" t="str">
        <x:f>IF(A157="","",IF(COUNTIFS('Execution log'!$A$7:$A$306,A157)&lt;&gt;1,"Duplicate ID",IF(COUNTIFS('Cases overview'!$A$7:$A$306,B157)&lt;&gt;1,"Invalid case ref",IF(OR(L157="Corrected",L157="Revoked"),"Excluded from totals",IF(L157&lt;&gt;"Valid","Record status missing",IF(COUNTIFS('Plan versions'!$A$7:$A$306,C157,'Plan versions'!$B$7:$B$306,B157,'Plan versions'!$L$7:$L$306,"Frozen")&lt;&gt;1,"Invalid plan ref",IF(OR(D157="",NOT(ISNUMBER(E157)),NOT(ISNUMBER(F157)),G157="",K157=""),"Execution info missing",IF(OR(NOT(ISNUMBER(H157)),H157&lt;0,NOT(ISNUMBER(J157)),J157&lt;0),"Spend or time missing",IF(COUNTIFS('Cases overview'!$A$7:$A$306,B157,'Cases overview'!$J$7:$J$306,I157)&lt;&gt;1,"Currency mismatch",IF(AND(M157&lt;&gt;"",OR(M157=A157,COUNTIFS('Execution log'!$A$7:$A$306,M157,'Execution log'!$B$7:$B$306,B157,'Execution log'!$L$7:$L$306,"Corrected")&lt;&gt;1)),"Correction ref to check","Valid input"))))))))))</x:f>
      </x:c>
    </x:row>
    <x:row r="158" ht="25" customHeight="1">
      <x:c r="A158" s="3"/>
      <x:c r="B158" s="3"/>
      <x:c r="C158" s="3"/>
      <x:c r="D158" s="3"/>
      <x:c r="E158" s="25"/>
      <x:c r="F158" s="25"/>
      <x:c r="G158" s="3"/>
      <x:c r="H158" s="22"/>
      <x:c r="I158" s="3"/>
      <x:c r="J158" s="22"/>
      <x:c r="K158" s="3"/>
      <x:c r="L158" s="3"/>
      <x:c r="M158" s="3"/>
      <x:c r="N158" s="3"/>
      <x:c r="O158" s="3"/>
      <x:c r="P158" s="19" t="str">
        <x:f>IF(A158="","",IF(COUNTIFS('Execution log'!$A$7:$A$306,A158)&lt;&gt;1,"Duplicate ID",IF(COUNTIFS('Cases overview'!$A$7:$A$306,B158)&lt;&gt;1,"Invalid case ref",IF(OR(L158="Corrected",L158="Revoked"),"Excluded from totals",IF(L158&lt;&gt;"Valid","Record status missing",IF(COUNTIFS('Plan versions'!$A$7:$A$306,C158,'Plan versions'!$B$7:$B$306,B158,'Plan versions'!$L$7:$L$306,"Frozen")&lt;&gt;1,"Invalid plan ref",IF(OR(D158="",NOT(ISNUMBER(E158)),NOT(ISNUMBER(F158)),G158="",K158=""),"Execution info missing",IF(OR(NOT(ISNUMBER(H158)),H158&lt;0,NOT(ISNUMBER(J158)),J158&lt;0),"Spend or time missing",IF(COUNTIFS('Cases overview'!$A$7:$A$306,B158,'Cases overview'!$J$7:$J$306,I158)&lt;&gt;1,"Currency mismatch",IF(AND(M158&lt;&gt;"",OR(M158=A158,COUNTIFS('Execution log'!$A$7:$A$306,M158,'Execution log'!$B$7:$B$306,B158,'Execution log'!$L$7:$L$306,"Corrected")&lt;&gt;1)),"Correction ref to check","Valid input"))))))))))</x:f>
      </x:c>
    </x:row>
    <x:row r="159" ht="25" customHeight="1">
      <x:c r="A159" s="3"/>
      <x:c r="B159" s="3"/>
      <x:c r="C159" s="3"/>
      <x:c r="D159" s="3"/>
      <x:c r="E159" s="25"/>
      <x:c r="F159" s="25"/>
      <x:c r="G159" s="3"/>
      <x:c r="H159" s="22"/>
      <x:c r="I159" s="3"/>
      <x:c r="J159" s="22"/>
      <x:c r="K159" s="3"/>
      <x:c r="L159" s="3"/>
      <x:c r="M159" s="3"/>
      <x:c r="N159" s="3"/>
      <x:c r="O159" s="3"/>
      <x:c r="P159" s="19" t="str">
        <x:f>IF(A159="","",IF(COUNTIFS('Execution log'!$A$7:$A$306,A159)&lt;&gt;1,"Duplicate ID",IF(COUNTIFS('Cases overview'!$A$7:$A$306,B159)&lt;&gt;1,"Invalid case ref",IF(OR(L159="Corrected",L159="Revoked"),"Excluded from totals",IF(L159&lt;&gt;"Valid","Record status missing",IF(COUNTIFS('Plan versions'!$A$7:$A$306,C159,'Plan versions'!$B$7:$B$306,B159,'Plan versions'!$L$7:$L$306,"Frozen")&lt;&gt;1,"Invalid plan ref",IF(OR(D159="",NOT(ISNUMBER(E159)),NOT(ISNUMBER(F159)),G159="",K159=""),"Execution info missing",IF(OR(NOT(ISNUMBER(H159)),H159&lt;0,NOT(ISNUMBER(J159)),J159&lt;0),"Spend or time missing",IF(COUNTIFS('Cases overview'!$A$7:$A$306,B159,'Cases overview'!$J$7:$J$306,I159)&lt;&gt;1,"Currency mismatch",IF(AND(M159&lt;&gt;"",OR(M159=A159,COUNTIFS('Execution log'!$A$7:$A$306,M159,'Execution log'!$B$7:$B$306,B159,'Execution log'!$L$7:$L$306,"Corrected")&lt;&gt;1)),"Correction ref to check","Valid input"))))))))))</x:f>
      </x:c>
    </x:row>
    <x:row r="160" ht="25" customHeight="1">
      <x:c r="A160" s="3"/>
      <x:c r="B160" s="3"/>
      <x:c r="C160" s="3"/>
      <x:c r="D160" s="3"/>
      <x:c r="E160" s="25"/>
      <x:c r="F160" s="25"/>
      <x:c r="G160" s="3"/>
      <x:c r="H160" s="22"/>
      <x:c r="I160" s="3"/>
      <x:c r="J160" s="22"/>
      <x:c r="K160" s="3"/>
      <x:c r="L160" s="3"/>
      <x:c r="M160" s="3"/>
      <x:c r="N160" s="3"/>
      <x:c r="O160" s="3"/>
      <x:c r="P160" s="19" t="str">
        <x:f>IF(A160="","",IF(COUNTIFS('Execution log'!$A$7:$A$306,A160)&lt;&gt;1,"Duplicate ID",IF(COUNTIFS('Cases overview'!$A$7:$A$306,B160)&lt;&gt;1,"Invalid case ref",IF(OR(L160="Corrected",L160="Revoked"),"Excluded from totals",IF(L160&lt;&gt;"Valid","Record status missing",IF(COUNTIFS('Plan versions'!$A$7:$A$306,C160,'Plan versions'!$B$7:$B$306,B160,'Plan versions'!$L$7:$L$306,"Frozen")&lt;&gt;1,"Invalid plan ref",IF(OR(D160="",NOT(ISNUMBER(E160)),NOT(ISNUMBER(F160)),G160="",K160=""),"Execution info missing",IF(OR(NOT(ISNUMBER(H160)),H160&lt;0,NOT(ISNUMBER(J160)),J160&lt;0),"Spend or time missing",IF(COUNTIFS('Cases overview'!$A$7:$A$306,B160,'Cases overview'!$J$7:$J$306,I160)&lt;&gt;1,"Currency mismatch",IF(AND(M160&lt;&gt;"",OR(M160=A160,COUNTIFS('Execution log'!$A$7:$A$306,M160,'Execution log'!$B$7:$B$306,B160,'Execution log'!$L$7:$L$306,"Corrected")&lt;&gt;1)),"Correction ref to check","Valid input"))))))))))</x:f>
      </x:c>
    </x:row>
    <x:row r="161" ht="25" customHeight="1">
      <x:c r="A161" s="3"/>
      <x:c r="B161" s="3"/>
      <x:c r="C161" s="3"/>
      <x:c r="D161" s="3"/>
      <x:c r="E161" s="25"/>
      <x:c r="F161" s="25"/>
      <x:c r="G161" s="3"/>
      <x:c r="H161" s="22"/>
      <x:c r="I161" s="3"/>
      <x:c r="J161" s="22"/>
      <x:c r="K161" s="3"/>
      <x:c r="L161" s="3"/>
      <x:c r="M161" s="3"/>
      <x:c r="N161" s="3"/>
      <x:c r="O161" s="3"/>
      <x:c r="P161" s="19" t="str">
        <x:f>IF(A161="","",IF(COUNTIFS('Execution log'!$A$7:$A$306,A161)&lt;&gt;1,"Duplicate ID",IF(COUNTIFS('Cases overview'!$A$7:$A$306,B161)&lt;&gt;1,"Invalid case ref",IF(OR(L161="Corrected",L161="Revoked"),"Excluded from totals",IF(L161&lt;&gt;"Valid","Record status missing",IF(COUNTIFS('Plan versions'!$A$7:$A$306,C161,'Plan versions'!$B$7:$B$306,B161,'Plan versions'!$L$7:$L$306,"Frozen")&lt;&gt;1,"Invalid plan ref",IF(OR(D161="",NOT(ISNUMBER(E161)),NOT(ISNUMBER(F161)),G161="",K161=""),"Execution info missing",IF(OR(NOT(ISNUMBER(H161)),H161&lt;0,NOT(ISNUMBER(J161)),J161&lt;0),"Spend or time missing",IF(COUNTIFS('Cases overview'!$A$7:$A$306,B161,'Cases overview'!$J$7:$J$306,I161)&lt;&gt;1,"Currency mismatch",IF(AND(M161&lt;&gt;"",OR(M161=A161,COUNTIFS('Execution log'!$A$7:$A$306,M161,'Execution log'!$B$7:$B$306,B161,'Execution log'!$L$7:$L$306,"Corrected")&lt;&gt;1)),"Correction ref to check","Valid input"))))))))))</x:f>
      </x:c>
    </x:row>
    <x:row r="162" ht="25" customHeight="1">
      <x:c r="A162" s="3"/>
      <x:c r="B162" s="3"/>
      <x:c r="C162" s="3"/>
      <x:c r="D162" s="3"/>
      <x:c r="E162" s="25"/>
      <x:c r="F162" s="25"/>
      <x:c r="G162" s="3"/>
      <x:c r="H162" s="22"/>
      <x:c r="I162" s="3"/>
      <x:c r="J162" s="22"/>
      <x:c r="K162" s="3"/>
      <x:c r="L162" s="3"/>
      <x:c r="M162" s="3"/>
      <x:c r="N162" s="3"/>
      <x:c r="O162" s="3"/>
      <x:c r="P162" s="19" t="str">
        <x:f>IF(A162="","",IF(COUNTIFS('Execution log'!$A$7:$A$306,A162)&lt;&gt;1,"Duplicate ID",IF(COUNTIFS('Cases overview'!$A$7:$A$306,B162)&lt;&gt;1,"Invalid case ref",IF(OR(L162="Corrected",L162="Revoked"),"Excluded from totals",IF(L162&lt;&gt;"Valid","Record status missing",IF(COUNTIFS('Plan versions'!$A$7:$A$306,C162,'Plan versions'!$B$7:$B$306,B162,'Plan versions'!$L$7:$L$306,"Frozen")&lt;&gt;1,"Invalid plan ref",IF(OR(D162="",NOT(ISNUMBER(E162)),NOT(ISNUMBER(F162)),G162="",K162=""),"Execution info missing",IF(OR(NOT(ISNUMBER(H162)),H162&lt;0,NOT(ISNUMBER(J162)),J162&lt;0),"Spend or time missing",IF(COUNTIFS('Cases overview'!$A$7:$A$306,B162,'Cases overview'!$J$7:$J$306,I162)&lt;&gt;1,"Currency mismatch",IF(AND(M162&lt;&gt;"",OR(M162=A162,COUNTIFS('Execution log'!$A$7:$A$306,M162,'Execution log'!$B$7:$B$306,B162,'Execution log'!$L$7:$L$306,"Corrected")&lt;&gt;1)),"Correction ref to check","Valid input"))))))))))</x:f>
      </x:c>
    </x:row>
    <x:row r="163" ht="25" customHeight="1">
      <x:c r="A163" s="3"/>
      <x:c r="B163" s="3"/>
      <x:c r="C163" s="3"/>
      <x:c r="D163" s="3"/>
      <x:c r="E163" s="25"/>
      <x:c r="F163" s="25"/>
      <x:c r="G163" s="3"/>
      <x:c r="H163" s="22"/>
      <x:c r="I163" s="3"/>
      <x:c r="J163" s="22"/>
      <x:c r="K163" s="3"/>
      <x:c r="L163" s="3"/>
      <x:c r="M163" s="3"/>
      <x:c r="N163" s="3"/>
      <x:c r="O163" s="3"/>
      <x:c r="P163" s="19" t="str">
        <x:f>IF(A163="","",IF(COUNTIFS('Execution log'!$A$7:$A$306,A163)&lt;&gt;1,"Duplicate ID",IF(COUNTIFS('Cases overview'!$A$7:$A$306,B163)&lt;&gt;1,"Invalid case ref",IF(OR(L163="Corrected",L163="Revoked"),"Excluded from totals",IF(L163&lt;&gt;"Valid","Record status missing",IF(COUNTIFS('Plan versions'!$A$7:$A$306,C163,'Plan versions'!$B$7:$B$306,B163,'Plan versions'!$L$7:$L$306,"Frozen")&lt;&gt;1,"Invalid plan ref",IF(OR(D163="",NOT(ISNUMBER(E163)),NOT(ISNUMBER(F163)),G163="",K163=""),"Execution info missing",IF(OR(NOT(ISNUMBER(H163)),H163&lt;0,NOT(ISNUMBER(J163)),J163&lt;0),"Spend or time missing",IF(COUNTIFS('Cases overview'!$A$7:$A$306,B163,'Cases overview'!$J$7:$J$306,I163)&lt;&gt;1,"Currency mismatch",IF(AND(M163&lt;&gt;"",OR(M163=A163,COUNTIFS('Execution log'!$A$7:$A$306,M163,'Execution log'!$B$7:$B$306,B163,'Execution log'!$L$7:$L$306,"Corrected")&lt;&gt;1)),"Correction ref to check","Valid input"))))))))))</x:f>
      </x:c>
    </x:row>
    <x:row r="164" ht="25" customHeight="1">
      <x:c r="A164" s="3"/>
      <x:c r="B164" s="3"/>
      <x:c r="C164" s="3"/>
      <x:c r="D164" s="3"/>
      <x:c r="E164" s="25"/>
      <x:c r="F164" s="25"/>
      <x:c r="G164" s="3"/>
      <x:c r="H164" s="22"/>
      <x:c r="I164" s="3"/>
      <x:c r="J164" s="22"/>
      <x:c r="K164" s="3"/>
      <x:c r="L164" s="3"/>
      <x:c r="M164" s="3"/>
      <x:c r="N164" s="3"/>
      <x:c r="O164" s="3"/>
      <x:c r="P164" s="19" t="str">
        <x:f>IF(A164="","",IF(COUNTIFS('Execution log'!$A$7:$A$306,A164)&lt;&gt;1,"Duplicate ID",IF(COUNTIFS('Cases overview'!$A$7:$A$306,B164)&lt;&gt;1,"Invalid case ref",IF(OR(L164="Corrected",L164="Revoked"),"Excluded from totals",IF(L164&lt;&gt;"Valid","Record status missing",IF(COUNTIFS('Plan versions'!$A$7:$A$306,C164,'Plan versions'!$B$7:$B$306,B164,'Plan versions'!$L$7:$L$306,"Frozen")&lt;&gt;1,"Invalid plan ref",IF(OR(D164="",NOT(ISNUMBER(E164)),NOT(ISNUMBER(F164)),G164="",K164=""),"Execution info missing",IF(OR(NOT(ISNUMBER(H164)),H164&lt;0,NOT(ISNUMBER(J164)),J164&lt;0),"Spend or time missing",IF(COUNTIFS('Cases overview'!$A$7:$A$306,B164,'Cases overview'!$J$7:$J$306,I164)&lt;&gt;1,"Currency mismatch",IF(AND(M164&lt;&gt;"",OR(M164=A164,COUNTIFS('Execution log'!$A$7:$A$306,M164,'Execution log'!$B$7:$B$306,B164,'Execution log'!$L$7:$L$306,"Corrected")&lt;&gt;1)),"Correction ref to check","Valid input"))))))))))</x:f>
      </x:c>
    </x:row>
    <x:row r="165" ht="25" customHeight="1">
      <x:c r="A165" s="3"/>
      <x:c r="B165" s="3"/>
      <x:c r="C165" s="3"/>
      <x:c r="D165" s="3"/>
      <x:c r="E165" s="25"/>
      <x:c r="F165" s="25"/>
      <x:c r="G165" s="3"/>
      <x:c r="H165" s="22"/>
      <x:c r="I165" s="3"/>
      <x:c r="J165" s="22"/>
      <x:c r="K165" s="3"/>
      <x:c r="L165" s="3"/>
      <x:c r="M165" s="3"/>
      <x:c r="N165" s="3"/>
      <x:c r="O165" s="3"/>
      <x:c r="P165" s="19" t="str">
        <x:f>IF(A165="","",IF(COUNTIFS('Execution log'!$A$7:$A$306,A165)&lt;&gt;1,"Duplicate ID",IF(COUNTIFS('Cases overview'!$A$7:$A$306,B165)&lt;&gt;1,"Invalid case ref",IF(OR(L165="Corrected",L165="Revoked"),"Excluded from totals",IF(L165&lt;&gt;"Valid","Record status missing",IF(COUNTIFS('Plan versions'!$A$7:$A$306,C165,'Plan versions'!$B$7:$B$306,B165,'Plan versions'!$L$7:$L$306,"Frozen")&lt;&gt;1,"Invalid plan ref",IF(OR(D165="",NOT(ISNUMBER(E165)),NOT(ISNUMBER(F165)),G165="",K165=""),"Execution info missing",IF(OR(NOT(ISNUMBER(H165)),H165&lt;0,NOT(ISNUMBER(J165)),J165&lt;0),"Spend or time missing",IF(COUNTIFS('Cases overview'!$A$7:$A$306,B165,'Cases overview'!$J$7:$J$306,I165)&lt;&gt;1,"Currency mismatch",IF(AND(M165&lt;&gt;"",OR(M165=A165,COUNTIFS('Execution log'!$A$7:$A$306,M165,'Execution log'!$B$7:$B$306,B165,'Execution log'!$L$7:$L$306,"Corrected")&lt;&gt;1)),"Correction ref to check","Valid input"))))))))))</x:f>
      </x:c>
    </x:row>
    <x:row r="166" ht="25" customHeight="1">
      <x:c r="A166" s="3"/>
      <x:c r="B166" s="3"/>
      <x:c r="C166" s="3"/>
      <x:c r="D166" s="3"/>
      <x:c r="E166" s="25"/>
      <x:c r="F166" s="25"/>
      <x:c r="G166" s="3"/>
      <x:c r="H166" s="22"/>
      <x:c r="I166" s="3"/>
      <x:c r="J166" s="22"/>
      <x:c r="K166" s="3"/>
      <x:c r="L166" s="3"/>
      <x:c r="M166" s="3"/>
      <x:c r="N166" s="3"/>
      <x:c r="O166" s="3"/>
      <x:c r="P166" s="19" t="str">
        <x:f>IF(A166="","",IF(COUNTIFS('Execution log'!$A$7:$A$306,A166)&lt;&gt;1,"Duplicate ID",IF(COUNTIFS('Cases overview'!$A$7:$A$306,B166)&lt;&gt;1,"Invalid case ref",IF(OR(L166="Corrected",L166="Revoked"),"Excluded from totals",IF(L166&lt;&gt;"Valid","Record status missing",IF(COUNTIFS('Plan versions'!$A$7:$A$306,C166,'Plan versions'!$B$7:$B$306,B166,'Plan versions'!$L$7:$L$306,"Frozen")&lt;&gt;1,"Invalid plan ref",IF(OR(D166="",NOT(ISNUMBER(E166)),NOT(ISNUMBER(F166)),G166="",K166=""),"Execution info missing",IF(OR(NOT(ISNUMBER(H166)),H166&lt;0,NOT(ISNUMBER(J166)),J166&lt;0),"Spend or time missing",IF(COUNTIFS('Cases overview'!$A$7:$A$306,B166,'Cases overview'!$J$7:$J$306,I166)&lt;&gt;1,"Currency mismatch",IF(AND(M166&lt;&gt;"",OR(M166=A166,COUNTIFS('Execution log'!$A$7:$A$306,M166,'Execution log'!$B$7:$B$306,B166,'Execution log'!$L$7:$L$306,"Corrected")&lt;&gt;1)),"Correction ref to check","Valid input"))))))))))</x:f>
      </x:c>
    </x:row>
    <x:row r="167" ht="25" customHeight="1">
      <x:c r="A167" s="3"/>
      <x:c r="B167" s="3"/>
      <x:c r="C167" s="3"/>
      <x:c r="D167" s="3"/>
      <x:c r="E167" s="25"/>
      <x:c r="F167" s="25"/>
      <x:c r="G167" s="3"/>
      <x:c r="H167" s="22"/>
      <x:c r="I167" s="3"/>
      <x:c r="J167" s="22"/>
      <x:c r="K167" s="3"/>
      <x:c r="L167" s="3"/>
      <x:c r="M167" s="3"/>
      <x:c r="N167" s="3"/>
      <x:c r="O167" s="3"/>
      <x:c r="P167" s="19" t="str">
        <x:f>IF(A167="","",IF(COUNTIFS('Execution log'!$A$7:$A$306,A167)&lt;&gt;1,"Duplicate ID",IF(COUNTIFS('Cases overview'!$A$7:$A$306,B167)&lt;&gt;1,"Invalid case ref",IF(OR(L167="Corrected",L167="Revoked"),"Excluded from totals",IF(L167&lt;&gt;"Valid","Record status missing",IF(COUNTIFS('Plan versions'!$A$7:$A$306,C167,'Plan versions'!$B$7:$B$306,B167,'Plan versions'!$L$7:$L$306,"Frozen")&lt;&gt;1,"Invalid plan ref",IF(OR(D167="",NOT(ISNUMBER(E167)),NOT(ISNUMBER(F167)),G167="",K167=""),"Execution info missing",IF(OR(NOT(ISNUMBER(H167)),H167&lt;0,NOT(ISNUMBER(J167)),J167&lt;0),"Spend or time missing",IF(COUNTIFS('Cases overview'!$A$7:$A$306,B167,'Cases overview'!$J$7:$J$306,I167)&lt;&gt;1,"Currency mismatch",IF(AND(M167&lt;&gt;"",OR(M167=A167,COUNTIFS('Execution log'!$A$7:$A$306,M167,'Execution log'!$B$7:$B$306,B167,'Execution log'!$L$7:$L$306,"Corrected")&lt;&gt;1)),"Correction ref to check","Valid input"))))))))))</x:f>
      </x:c>
    </x:row>
    <x:row r="168" ht="25" customHeight="1">
      <x:c r="A168" s="3"/>
      <x:c r="B168" s="3"/>
      <x:c r="C168" s="3"/>
      <x:c r="D168" s="3"/>
      <x:c r="E168" s="25"/>
      <x:c r="F168" s="25"/>
      <x:c r="G168" s="3"/>
      <x:c r="H168" s="22"/>
      <x:c r="I168" s="3"/>
      <x:c r="J168" s="22"/>
      <x:c r="K168" s="3"/>
      <x:c r="L168" s="3"/>
      <x:c r="M168" s="3"/>
      <x:c r="N168" s="3"/>
      <x:c r="O168" s="3"/>
      <x:c r="P168" s="19" t="str">
        <x:f>IF(A168="","",IF(COUNTIFS('Execution log'!$A$7:$A$306,A168)&lt;&gt;1,"Duplicate ID",IF(COUNTIFS('Cases overview'!$A$7:$A$306,B168)&lt;&gt;1,"Invalid case ref",IF(OR(L168="Corrected",L168="Revoked"),"Excluded from totals",IF(L168&lt;&gt;"Valid","Record status missing",IF(COUNTIFS('Plan versions'!$A$7:$A$306,C168,'Plan versions'!$B$7:$B$306,B168,'Plan versions'!$L$7:$L$306,"Frozen")&lt;&gt;1,"Invalid plan ref",IF(OR(D168="",NOT(ISNUMBER(E168)),NOT(ISNUMBER(F168)),G168="",K168=""),"Execution info missing",IF(OR(NOT(ISNUMBER(H168)),H168&lt;0,NOT(ISNUMBER(J168)),J168&lt;0),"Spend or time missing",IF(COUNTIFS('Cases overview'!$A$7:$A$306,B168,'Cases overview'!$J$7:$J$306,I168)&lt;&gt;1,"Currency mismatch",IF(AND(M168&lt;&gt;"",OR(M168=A168,COUNTIFS('Execution log'!$A$7:$A$306,M168,'Execution log'!$B$7:$B$306,B168,'Execution log'!$L$7:$L$306,"Corrected")&lt;&gt;1)),"Correction ref to check","Valid input"))))))))))</x:f>
      </x:c>
    </x:row>
    <x:row r="169" ht="25" customHeight="1">
      <x:c r="A169" s="3"/>
      <x:c r="B169" s="3"/>
      <x:c r="C169" s="3"/>
      <x:c r="D169" s="3"/>
      <x:c r="E169" s="25"/>
      <x:c r="F169" s="25"/>
      <x:c r="G169" s="3"/>
      <x:c r="H169" s="22"/>
      <x:c r="I169" s="3"/>
      <x:c r="J169" s="22"/>
      <x:c r="K169" s="3"/>
      <x:c r="L169" s="3"/>
      <x:c r="M169" s="3"/>
      <x:c r="N169" s="3"/>
      <x:c r="O169" s="3"/>
      <x:c r="P169" s="19" t="str">
        <x:f>IF(A169="","",IF(COUNTIFS('Execution log'!$A$7:$A$306,A169)&lt;&gt;1,"Duplicate ID",IF(COUNTIFS('Cases overview'!$A$7:$A$306,B169)&lt;&gt;1,"Invalid case ref",IF(OR(L169="Corrected",L169="Revoked"),"Excluded from totals",IF(L169&lt;&gt;"Valid","Record status missing",IF(COUNTIFS('Plan versions'!$A$7:$A$306,C169,'Plan versions'!$B$7:$B$306,B169,'Plan versions'!$L$7:$L$306,"Frozen")&lt;&gt;1,"Invalid plan ref",IF(OR(D169="",NOT(ISNUMBER(E169)),NOT(ISNUMBER(F169)),G169="",K169=""),"Execution info missing",IF(OR(NOT(ISNUMBER(H169)),H169&lt;0,NOT(ISNUMBER(J169)),J169&lt;0),"Spend or time missing",IF(COUNTIFS('Cases overview'!$A$7:$A$306,B169,'Cases overview'!$J$7:$J$306,I169)&lt;&gt;1,"Currency mismatch",IF(AND(M169&lt;&gt;"",OR(M169=A169,COUNTIFS('Execution log'!$A$7:$A$306,M169,'Execution log'!$B$7:$B$306,B169,'Execution log'!$L$7:$L$306,"Corrected")&lt;&gt;1)),"Correction ref to check","Valid input"))))))))))</x:f>
      </x:c>
    </x:row>
    <x:row r="170" ht="25" customHeight="1">
      <x:c r="A170" s="3"/>
      <x:c r="B170" s="3"/>
      <x:c r="C170" s="3"/>
      <x:c r="D170" s="3"/>
      <x:c r="E170" s="25"/>
      <x:c r="F170" s="25"/>
      <x:c r="G170" s="3"/>
      <x:c r="H170" s="22"/>
      <x:c r="I170" s="3"/>
      <x:c r="J170" s="22"/>
      <x:c r="K170" s="3"/>
      <x:c r="L170" s="3"/>
      <x:c r="M170" s="3"/>
      <x:c r="N170" s="3"/>
      <x:c r="O170" s="3"/>
      <x:c r="P170" s="19" t="str">
        <x:f>IF(A170="","",IF(COUNTIFS('Execution log'!$A$7:$A$306,A170)&lt;&gt;1,"Duplicate ID",IF(COUNTIFS('Cases overview'!$A$7:$A$306,B170)&lt;&gt;1,"Invalid case ref",IF(OR(L170="Corrected",L170="Revoked"),"Excluded from totals",IF(L170&lt;&gt;"Valid","Record status missing",IF(COUNTIFS('Plan versions'!$A$7:$A$306,C170,'Plan versions'!$B$7:$B$306,B170,'Plan versions'!$L$7:$L$306,"Frozen")&lt;&gt;1,"Invalid plan ref",IF(OR(D170="",NOT(ISNUMBER(E170)),NOT(ISNUMBER(F170)),G170="",K170=""),"Execution info missing",IF(OR(NOT(ISNUMBER(H170)),H170&lt;0,NOT(ISNUMBER(J170)),J170&lt;0),"Spend or time missing",IF(COUNTIFS('Cases overview'!$A$7:$A$306,B170,'Cases overview'!$J$7:$J$306,I170)&lt;&gt;1,"Currency mismatch",IF(AND(M170&lt;&gt;"",OR(M170=A170,COUNTIFS('Execution log'!$A$7:$A$306,M170,'Execution log'!$B$7:$B$306,B170,'Execution log'!$L$7:$L$306,"Corrected")&lt;&gt;1)),"Correction ref to check","Valid input"))))))))))</x:f>
      </x:c>
    </x:row>
    <x:row r="171" ht="25" customHeight="1">
      <x:c r="A171" s="3"/>
      <x:c r="B171" s="3"/>
      <x:c r="C171" s="3"/>
      <x:c r="D171" s="3"/>
      <x:c r="E171" s="25"/>
      <x:c r="F171" s="25"/>
      <x:c r="G171" s="3"/>
      <x:c r="H171" s="22"/>
      <x:c r="I171" s="3"/>
      <x:c r="J171" s="22"/>
      <x:c r="K171" s="3"/>
      <x:c r="L171" s="3"/>
      <x:c r="M171" s="3"/>
      <x:c r="N171" s="3"/>
      <x:c r="O171" s="3"/>
      <x:c r="P171" s="19" t="str">
        <x:f>IF(A171="","",IF(COUNTIFS('Execution log'!$A$7:$A$306,A171)&lt;&gt;1,"Duplicate ID",IF(COUNTIFS('Cases overview'!$A$7:$A$306,B171)&lt;&gt;1,"Invalid case ref",IF(OR(L171="Corrected",L171="Revoked"),"Excluded from totals",IF(L171&lt;&gt;"Valid","Record status missing",IF(COUNTIFS('Plan versions'!$A$7:$A$306,C171,'Plan versions'!$B$7:$B$306,B171,'Plan versions'!$L$7:$L$306,"Frozen")&lt;&gt;1,"Invalid plan ref",IF(OR(D171="",NOT(ISNUMBER(E171)),NOT(ISNUMBER(F171)),G171="",K171=""),"Execution info missing",IF(OR(NOT(ISNUMBER(H171)),H171&lt;0,NOT(ISNUMBER(J171)),J171&lt;0),"Spend or time missing",IF(COUNTIFS('Cases overview'!$A$7:$A$306,B171,'Cases overview'!$J$7:$J$306,I171)&lt;&gt;1,"Currency mismatch",IF(AND(M171&lt;&gt;"",OR(M171=A171,COUNTIFS('Execution log'!$A$7:$A$306,M171,'Execution log'!$B$7:$B$306,B171,'Execution log'!$L$7:$L$306,"Corrected")&lt;&gt;1)),"Correction ref to check","Valid input"))))))))))</x:f>
      </x:c>
    </x:row>
    <x:row r="172" ht="25" customHeight="1">
      <x:c r="A172" s="3"/>
      <x:c r="B172" s="3"/>
      <x:c r="C172" s="3"/>
      <x:c r="D172" s="3"/>
      <x:c r="E172" s="25"/>
      <x:c r="F172" s="25"/>
      <x:c r="G172" s="3"/>
      <x:c r="H172" s="22"/>
      <x:c r="I172" s="3"/>
      <x:c r="J172" s="22"/>
      <x:c r="K172" s="3"/>
      <x:c r="L172" s="3"/>
      <x:c r="M172" s="3"/>
      <x:c r="N172" s="3"/>
      <x:c r="O172" s="3"/>
      <x:c r="P172" s="19" t="str">
        <x:f>IF(A172="","",IF(COUNTIFS('Execution log'!$A$7:$A$306,A172)&lt;&gt;1,"Duplicate ID",IF(COUNTIFS('Cases overview'!$A$7:$A$306,B172)&lt;&gt;1,"Invalid case ref",IF(OR(L172="Corrected",L172="Revoked"),"Excluded from totals",IF(L172&lt;&gt;"Valid","Record status missing",IF(COUNTIFS('Plan versions'!$A$7:$A$306,C172,'Plan versions'!$B$7:$B$306,B172,'Plan versions'!$L$7:$L$306,"Frozen")&lt;&gt;1,"Invalid plan ref",IF(OR(D172="",NOT(ISNUMBER(E172)),NOT(ISNUMBER(F172)),G172="",K172=""),"Execution info missing",IF(OR(NOT(ISNUMBER(H172)),H172&lt;0,NOT(ISNUMBER(J172)),J172&lt;0),"Spend or time missing",IF(COUNTIFS('Cases overview'!$A$7:$A$306,B172,'Cases overview'!$J$7:$J$306,I172)&lt;&gt;1,"Currency mismatch",IF(AND(M172&lt;&gt;"",OR(M172=A172,COUNTIFS('Execution log'!$A$7:$A$306,M172,'Execution log'!$B$7:$B$306,B172,'Execution log'!$L$7:$L$306,"Corrected")&lt;&gt;1)),"Correction ref to check","Valid input"))))))))))</x:f>
      </x:c>
    </x:row>
    <x:row r="173" ht="25" customHeight="1">
      <x:c r="A173" s="3"/>
      <x:c r="B173" s="3"/>
      <x:c r="C173" s="3"/>
      <x:c r="D173" s="3"/>
      <x:c r="E173" s="25"/>
      <x:c r="F173" s="25"/>
      <x:c r="G173" s="3"/>
      <x:c r="H173" s="22"/>
      <x:c r="I173" s="3"/>
      <x:c r="J173" s="22"/>
      <x:c r="K173" s="3"/>
      <x:c r="L173" s="3"/>
      <x:c r="M173" s="3"/>
      <x:c r="N173" s="3"/>
      <x:c r="O173" s="3"/>
      <x:c r="P173" s="19" t="str">
        <x:f>IF(A173="","",IF(COUNTIFS('Execution log'!$A$7:$A$306,A173)&lt;&gt;1,"Duplicate ID",IF(COUNTIFS('Cases overview'!$A$7:$A$306,B173)&lt;&gt;1,"Invalid case ref",IF(OR(L173="Corrected",L173="Revoked"),"Excluded from totals",IF(L173&lt;&gt;"Valid","Record status missing",IF(COUNTIFS('Plan versions'!$A$7:$A$306,C173,'Plan versions'!$B$7:$B$306,B173,'Plan versions'!$L$7:$L$306,"Frozen")&lt;&gt;1,"Invalid plan ref",IF(OR(D173="",NOT(ISNUMBER(E173)),NOT(ISNUMBER(F173)),G173="",K173=""),"Execution info missing",IF(OR(NOT(ISNUMBER(H173)),H173&lt;0,NOT(ISNUMBER(J173)),J173&lt;0),"Spend or time missing",IF(COUNTIFS('Cases overview'!$A$7:$A$306,B173,'Cases overview'!$J$7:$J$306,I173)&lt;&gt;1,"Currency mismatch",IF(AND(M173&lt;&gt;"",OR(M173=A173,COUNTIFS('Execution log'!$A$7:$A$306,M173,'Execution log'!$B$7:$B$306,B173,'Execution log'!$L$7:$L$306,"Corrected")&lt;&gt;1)),"Correction ref to check","Valid input"))))))))))</x:f>
      </x:c>
    </x:row>
    <x:row r="174" ht="25" customHeight="1">
      <x:c r="A174" s="3"/>
      <x:c r="B174" s="3"/>
      <x:c r="C174" s="3"/>
      <x:c r="D174" s="3"/>
      <x:c r="E174" s="25"/>
      <x:c r="F174" s="25"/>
      <x:c r="G174" s="3"/>
      <x:c r="H174" s="22"/>
      <x:c r="I174" s="3"/>
      <x:c r="J174" s="22"/>
      <x:c r="K174" s="3"/>
      <x:c r="L174" s="3"/>
      <x:c r="M174" s="3"/>
      <x:c r="N174" s="3"/>
      <x:c r="O174" s="3"/>
      <x:c r="P174" s="19" t="str">
        <x:f>IF(A174="","",IF(COUNTIFS('Execution log'!$A$7:$A$306,A174)&lt;&gt;1,"Duplicate ID",IF(COUNTIFS('Cases overview'!$A$7:$A$306,B174)&lt;&gt;1,"Invalid case ref",IF(OR(L174="Corrected",L174="Revoked"),"Excluded from totals",IF(L174&lt;&gt;"Valid","Record status missing",IF(COUNTIFS('Plan versions'!$A$7:$A$306,C174,'Plan versions'!$B$7:$B$306,B174,'Plan versions'!$L$7:$L$306,"Frozen")&lt;&gt;1,"Invalid plan ref",IF(OR(D174="",NOT(ISNUMBER(E174)),NOT(ISNUMBER(F174)),G174="",K174=""),"Execution info missing",IF(OR(NOT(ISNUMBER(H174)),H174&lt;0,NOT(ISNUMBER(J174)),J174&lt;0),"Spend or time missing",IF(COUNTIFS('Cases overview'!$A$7:$A$306,B174,'Cases overview'!$J$7:$J$306,I174)&lt;&gt;1,"Currency mismatch",IF(AND(M174&lt;&gt;"",OR(M174=A174,COUNTIFS('Execution log'!$A$7:$A$306,M174,'Execution log'!$B$7:$B$306,B174,'Execution log'!$L$7:$L$306,"Corrected")&lt;&gt;1)),"Correction ref to check","Valid input"))))))))))</x:f>
      </x:c>
    </x:row>
    <x:row r="175" ht="25" customHeight="1">
      <x:c r="A175" s="3"/>
      <x:c r="B175" s="3"/>
      <x:c r="C175" s="3"/>
      <x:c r="D175" s="3"/>
      <x:c r="E175" s="25"/>
      <x:c r="F175" s="25"/>
      <x:c r="G175" s="3"/>
      <x:c r="H175" s="22"/>
      <x:c r="I175" s="3"/>
      <x:c r="J175" s="22"/>
      <x:c r="K175" s="3"/>
      <x:c r="L175" s="3"/>
      <x:c r="M175" s="3"/>
      <x:c r="N175" s="3"/>
      <x:c r="O175" s="3"/>
      <x:c r="P175" s="19" t="str">
        <x:f>IF(A175="","",IF(COUNTIFS('Execution log'!$A$7:$A$306,A175)&lt;&gt;1,"Duplicate ID",IF(COUNTIFS('Cases overview'!$A$7:$A$306,B175)&lt;&gt;1,"Invalid case ref",IF(OR(L175="Corrected",L175="Revoked"),"Excluded from totals",IF(L175&lt;&gt;"Valid","Record status missing",IF(COUNTIFS('Plan versions'!$A$7:$A$306,C175,'Plan versions'!$B$7:$B$306,B175,'Plan versions'!$L$7:$L$306,"Frozen")&lt;&gt;1,"Invalid plan ref",IF(OR(D175="",NOT(ISNUMBER(E175)),NOT(ISNUMBER(F175)),G175="",K175=""),"Execution info missing",IF(OR(NOT(ISNUMBER(H175)),H175&lt;0,NOT(ISNUMBER(J175)),J175&lt;0),"Spend or time missing",IF(COUNTIFS('Cases overview'!$A$7:$A$306,B175,'Cases overview'!$J$7:$J$306,I175)&lt;&gt;1,"Currency mismatch",IF(AND(M175&lt;&gt;"",OR(M175=A175,COUNTIFS('Execution log'!$A$7:$A$306,M175,'Execution log'!$B$7:$B$306,B175,'Execution log'!$L$7:$L$306,"Corrected")&lt;&gt;1)),"Correction ref to check","Valid input"))))))))))</x:f>
      </x:c>
    </x:row>
    <x:row r="176" ht="25" customHeight="1">
      <x:c r="A176" s="3"/>
      <x:c r="B176" s="3"/>
      <x:c r="C176" s="3"/>
      <x:c r="D176" s="3"/>
      <x:c r="E176" s="25"/>
      <x:c r="F176" s="25"/>
      <x:c r="G176" s="3"/>
      <x:c r="H176" s="22"/>
      <x:c r="I176" s="3"/>
      <x:c r="J176" s="22"/>
      <x:c r="K176" s="3"/>
      <x:c r="L176" s="3"/>
      <x:c r="M176" s="3"/>
      <x:c r="N176" s="3"/>
      <x:c r="O176" s="3"/>
      <x:c r="P176" s="19" t="str">
        <x:f>IF(A176="","",IF(COUNTIFS('Execution log'!$A$7:$A$306,A176)&lt;&gt;1,"Duplicate ID",IF(COUNTIFS('Cases overview'!$A$7:$A$306,B176)&lt;&gt;1,"Invalid case ref",IF(OR(L176="Corrected",L176="Revoked"),"Excluded from totals",IF(L176&lt;&gt;"Valid","Record status missing",IF(COUNTIFS('Plan versions'!$A$7:$A$306,C176,'Plan versions'!$B$7:$B$306,B176,'Plan versions'!$L$7:$L$306,"Frozen")&lt;&gt;1,"Invalid plan ref",IF(OR(D176="",NOT(ISNUMBER(E176)),NOT(ISNUMBER(F176)),G176="",K176=""),"Execution info missing",IF(OR(NOT(ISNUMBER(H176)),H176&lt;0,NOT(ISNUMBER(J176)),J176&lt;0),"Spend or time missing",IF(COUNTIFS('Cases overview'!$A$7:$A$306,B176,'Cases overview'!$J$7:$J$306,I176)&lt;&gt;1,"Currency mismatch",IF(AND(M176&lt;&gt;"",OR(M176=A176,COUNTIFS('Execution log'!$A$7:$A$306,M176,'Execution log'!$B$7:$B$306,B176,'Execution log'!$L$7:$L$306,"Corrected")&lt;&gt;1)),"Correction ref to check","Valid input"))))))))))</x:f>
      </x:c>
    </x:row>
    <x:row r="177" ht="25" customHeight="1">
      <x:c r="A177" s="3"/>
      <x:c r="B177" s="3"/>
      <x:c r="C177" s="3"/>
      <x:c r="D177" s="3"/>
      <x:c r="E177" s="25"/>
      <x:c r="F177" s="25"/>
      <x:c r="G177" s="3"/>
      <x:c r="H177" s="22"/>
      <x:c r="I177" s="3"/>
      <x:c r="J177" s="22"/>
      <x:c r="K177" s="3"/>
      <x:c r="L177" s="3"/>
      <x:c r="M177" s="3"/>
      <x:c r="N177" s="3"/>
      <x:c r="O177" s="3"/>
      <x:c r="P177" s="19" t="str">
        <x:f>IF(A177="","",IF(COUNTIFS('Execution log'!$A$7:$A$306,A177)&lt;&gt;1,"Duplicate ID",IF(COUNTIFS('Cases overview'!$A$7:$A$306,B177)&lt;&gt;1,"Invalid case ref",IF(OR(L177="Corrected",L177="Revoked"),"Excluded from totals",IF(L177&lt;&gt;"Valid","Record status missing",IF(COUNTIFS('Plan versions'!$A$7:$A$306,C177,'Plan versions'!$B$7:$B$306,B177,'Plan versions'!$L$7:$L$306,"Frozen")&lt;&gt;1,"Invalid plan ref",IF(OR(D177="",NOT(ISNUMBER(E177)),NOT(ISNUMBER(F177)),G177="",K177=""),"Execution info missing",IF(OR(NOT(ISNUMBER(H177)),H177&lt;0,NOT(ISNUMBER(J177)),J177&lt;0),"Spend or time missing",IF(COUNTIFS('Cases overview'!$A$7:$A$306,B177,'Cases overview'!$J$7:$J$306,I177)&lt;&gt;1,"Currency mismatch",IF(AND(M177&lt;&gt;"",OR(M177=A177,COUNTIFS('Execution log'!$A$7:$A$306,M177,'Execution log'!$B$7:$B$306,B177,'Execution log'!$L$7:$L$306,"Corrected")&lt;&gt;1)),"Correction ref to check","Valid input"))))))))))</x:f>
      </x:c>
    </x:row>
    <x:row r="178" ht="25" customHeight="1">
      <x:c r="A178" s="3"/>
      <x:c r="B178" s="3"/>
      <x:c r="C178" s="3"/>
      <x:c r="D178" s="3"/>
      <x:c r="E178" s="25"/>
      <x:c r="F178" s="25"/>
      <x:c r="G178" s="3"/>
      <x:c r="H178" s="22"/>
      <x:c r="I178" s="3"/>
      <x:c r="J178" s="22"/>
      <x:c r="K178" s="3"/>
      <x:c r="L178" s="3"/>
      <x:c r="M178" s="3"/>
      <x:c r="N178" s="3"/>
      <x:c r="O178" s="3"/>
      <x:c r="P178" s="19" t="str">
        <x:f>IF(A178="","",IF(COUNTIFS('Execution log'!$A$7:$A$306,A178)&lt;&gt;1,"Duplicate ID",IF(COUNTIFS('Cases overview'!$A$7:$A$306,B178)&lt;&gt;1,"Invalid case ref",IF(OR(L178="Corrected",L178="Revoked"),"Excluded from totals",IF(L178&lt;&gt;"Valid","Record status missing",IF(COUNTIFS('Plan versions'!$A$7:$A$306,C178,'Plan versions'!$B$7:$B$306,B178,'Plan versions'!$L$7:$L$306,"Frozen")&lt;&gt;1,"Invalid plan ref",IF(OR(D178="",NOT(ISNUMBER(E178)),NOT(ISNUMBER(F178)),G178="",K178=""),"Execution info missing",IF(OR(NOT(ISNUMBER(H178)),H178&lt;0,NOT(ISNUMBER(J178)),J178&lt;0),"Spend or time missing",IF(COUNTIFS('Cases overview'!$A$7:$A$306,B178,'Cases overview'!$J$7:$J$306,I178)&lt;&gt;1,"Currency mismatch",IF(AND(M178&lt;&gt;"",OR(M178=A178,COUNTIFS('Execution log'!$A$7:$A$306,M178,'Execution log'!$B$7:$B$306,B178,'Execution log'!$L$7:$L$306,"Corrected")&lt;&gt;1)),"Correction ref to check","Valid input"))))))))))</x:f>
      </x:c>
    </x:row>
    <x:row r="179" ht="25" customHeight="1">
      <x:c r="A179" s="3"/>
      <x:c r="B179" s="3"/>
      <x:c r="C179" s="3"/>
      <x:c r="D179" s="3"/>
      <x:c r="E179" s="25"/>
      <x:c r="F179" s="25"/>
      <x:c r="G179" s="3"/>
      <x:c r="H179" s="22"/>
      <x:c r="I179" s="3"/>
      <x:c r="J179" s="22"/>
      <x:c r="K179" s="3"/>
      <x:c r="L179" s="3"/>
      <x:c r="M179" s="3"/>
      <x:c r="N179" s="3"/>
      <x:c r="O179" s="3"/>
      <x:c r="P179" s="19" t="str">
        <x:f>IF(A179="","",IF(COUNTIFS('Execution log'!$A$7:$A$306,A179)&lt;&gt;1,"Duplicate ID",IF(COUNTIFS('Cases overview'!$A$7:$A$306,B179)&lt;&gt;1,"Invalid case ref",IF(OR(L179="Corrected",L179="Revoked"),"Excluded from totals",IF(L179&lt;&gt;"Valid","Record status missing",IF(COUNTIFS('Plan versions'!$A$7:$A$306,C179,'Plan versions'!$B$7:$B$306,B179,'Plan versions'!$L$7:$L$306,"Frozen")&lt;&gt;1,"Invalid plan ref",IF(OR(D179="",NOT(ISNUMBER(E179)),NOT(ISNUMBER(F179)),G179="",K179=""),"Execution info missing",IF(OR(NOT(ISNUMBER(H179)),H179&lt;0,NOT(ISNUMBER(J179)),J179&lt;0),"Spend or time missing",IF(COUNTIFS('Cases overview'!$A$7:$A$306,B179,'Cases overview'!$J$7:$J$306,I179)&lt;&gt;1,"Currency mismatch",IF(AND(M179&lt;&gt;"",OR(M179=A179,COUNTIFS('Execution log'!$A$7:$A$306,M179,'Execution log'!$B$7:$B$306,B179,'Execution log'!$L$7:$L$306,"Corrected")&lt;&gt;1)),"Correction ref to check","Valid input"))))))))))</x:f>
      </x:c>
    </x:row>
    <x:row r="180" ht="25" customHeight="1">
      <x:c r="A180" s="3"/>
      <x:c r="B180" s="3"/>
      <x:c r="C180" s="3"/>
      <x:c r="D180" s="3"/>
      <x:c r="E180" s="25"/>
      <x:c r="F180" s="25"/>
      <x:c r="G180" s="3"/>
      <x:c r="H180" s="22"/>
      <x:c r="I180" s="3"/>
      <x:c r="J180" s="22"/>
      <x:c r="K180" s="3"/>
      <x:c r="L180" s="3"/>
      <x:c r="M180" s="3"/>
      <x:c r="N180" s="3"/>
      <x:c r="O180" s="3"/>
      <x:c r="P180" s="19" t="str">
        <x:f>IF(A180="","",IF(COUNTIFS('Execution log'!$A$7:$A$306,A180)&lt;&gt;1,"Duplicate ID",IF(COUNTIFS('Cases overview'!$A$7:$A$306,B180)&lt;&gt;1,"Invalid case ref",IF(OR(L180="Corrected",L180="Revoked"),"Excluded from totals",IF(L180&lt;&gt;"Valid","Record status missing",IF(COUNTIFS('Plan versions'!$A$7:$A$306,C180,'Plan versions'!$B$7:$B$306,B180,'Plan versions'!$L$7:$L$306,"Frozen")&lt;&gt;1,"Invalid plan ref",IF(OR(D180="",NOT(ISNUMBER(E180)),NOT(ISNUMBER(F180)),G180="",K180=""),"Execution info missing",IF(OR(NOT(ISNUMBER(H180)),H180&lt;0,NOT(ISNUMBER(J180)),J180&lt;0),"Spend or time missing",IF(COUNTIFS('Cases overview'!$A$7:$A$306,B180,'Cases overview'!$J$7:$J$306,I180)&lt;&gt;1,"Currency mismatch",IF(AND(M180&lt;&gt;"",OR(M180=A180,COUNTIFS('Execution log'!$A$7:$A$306,M180,'Execution log'!$B$7:$B$306,B180,'Execution log'!$L$7:$L$306,"Corrected")&lt;&gt;1)),"Correction ref to check","Valid input"))))))))))</x:f>
      </x:c>
    </x:row>
    <x:row r="181" ht="25" customHeight="1">
      <x:c r="A181" s="3"/>
      <x:c r="B181" s="3"/>
      <x:c r="C181" s="3"/>
      <x:c r="D181" s="3"/>
      <x:c r="E181" s="25"/>
      <x:c r="F181" s="25"/>
      <x:c r="G181" s="3"/>
      <x:c r="H181" s="22"/>
      <x:c r="I181" s="3"/>
      <x:c r="J181" s="22"/>
      <x:c r="K181" s="3"/>
      <x:c r="L181" s="3"/>
      <x:c r="M181" s="3"/>
      <x:c r="N181" s="3"/>
      <x:c r="O181" s="3"/>
      <x:c r="P181" s="19" t="str">
        <x:f>IF(A181="","",IF(COUNTIFS('Execution log'!$A$7:$A$306,A181)&lt;&gt;1,"Duplicate ID",IF(COUNTIFS('Cases overview'!$A$7:$A$306,B181)&lt;&gt;1,"Invalid case ref",IF(OR(L181="Corrected",L181="Revoked"),"Excluded from totals",IF(L181&lt;&gt;"Valid","Record status missing",IF(COUNTIFS('Plan versions'!$A$7:$A$306,C181,'Plan versions'!$B$7:$B$306,B181,'Plan versions'!$L$7:$L$306,"Frozen")&lt;&gt;1,"Invalid plan ref",IF(OR(D181="",NOT(ISNUMBER(E181)),NOT(ISNUMBER(F181)),G181="",K181=""),"Execution info missing",IF(OR(NOT(ISNUMBER(H181)),H181&lt;0,NOT(ISNUMBER(J181)),J181&lt;0),"Spend or time missing",IF(COUNTIFS('Cases overview'!$A$7:$A$306,B181,'Cases overview'!$J$7:$J$306,I181)&lt;&gt;1,"Currency mismatch",IF(AND(M181&lt;&gt;"",OR(M181=A181,COUNTIFS('Execution log'!$A$7:$A$306,M181,'Execution log'!$B$7:$B$306,B181,'Execution log'!$L$7:$L$306,"Corrected")&lt;&gt;1)),"Correction ref to check","Valid input"))))))))))</x:f>
      </x:c>
    </x:row>
    <x:row r="182" ht="25" customHeight="1">
      <x:c r="A182" s="3"/>
      <x:c r="B182" s="3"/>
      <x:c r="C182" s="3"/>
      <x:c r="D182" s="3"/>
      <x:c r="E182" s="25"/>
      <x:c r="F182" s="25"/>
      <x:c r="G182" s="3"/>
      <x:c r="H182" s="22"/>
      <x:c r="I182" s="3"/>
      <x:c r="J182" s="22"/>
      <x:c r="K182" s="3"/>
      <x:c r="L182" s="3"/>
      <x:c r="M182" s="3"/>
      <x:c r="N182" s="3"/>
      <x:c r="O182" s="3"/>
      <x:c r="P182" s="19" t="str">
        <x:f>IF(A182="","",IF(COUNTIFS('Execution log'!$A$7:$A$306,A182)&lt;&gt;1,"Duplicate ID",IF(COUNTIFS('Cases overview'!$A$7:$A$306,B182)&lt;&gt;1,"Invalid case ref",IF(OR(L182="Corrected",L182="Revoked"),"Excluded from totals",IF(L182&lt;&gt;"Valid","Record status missing",IF(COUNTIFS('Plan versions'!$A$7:$A$306,C182,'Plan versions'!$B$7:$B$306,B182,'Plan versions'!$L$7:$L$306,"Frozen")&lt;&gt;1,"Invalid plan ref",IF(OR(D182="",NOT(ISNUMBER(E182)),NOT(ISNUMBER(F182)),G182="",K182=""),"Execution info missing",IF(OR(NOT(ISNUMBER(H182)),H182&lt;0,NOT(ISNUMBER(J182)),J182&lt;0),"Spend or time missing",IF(COUNTIFS('Cases overview'!$A$7:$A$306,B182,'Cases overview'!$J$7:$J$306,I182)&lt;&gt;1,"Currency mismatch",IF(AND(M182&lt;&gt;"",OR(M182=A182,COUNTIFS('Execution log'!$A$7:$A$306,M182,'Execution log'!$B$7:$B$306,B182,'Execution log'!$L$7:$L$306,"Corrected")&lt;&gt;1)),"Correction ref to check","Valid input"))))))))))</x:f>
      </x:c>
    </x:row>
    <x:row r="183" ht="25" customHeight="1">
      <x:c r="A183" s="3"/>
      <x:c r="B183" s="3"/>
      <x:c r="C183" s="3"/>
      <x:c r="D183" s="3"/>
      <x:c r="E183" s="25"/>
      <x:c r="F183" s="25"/>
      <x:c r="G183" s="3"/>
      <x:c r="H183" s="22"/>
      <x:c r="I183" s="3"/>
      <x:c r="J183" s="22"/>
      <x:c r="K183" s="3"/>
      <x:c r="L183" s="3"/>
      <x:c r="M183" s="3"/>
      <x:c r="N183" s="3"/>
      <x:c r="O183" s="3"/>
      <x:c r="P183" s="19" t="str">
        <x:f>IF(A183="","",IF(COUNTIFS('Execution log'!$A$7:$A$306,A183)&lt;&gt;1,"Duplicate ID",IF(COUNTIFS('Cases overview'!$A$7:$A$306,B183)&lt;&gt;1,"Invalid case ref",IF(OR(L183="Corrected",L183="Revoked"),"Excluded from totals",IF(L183&lt;&gt;"Valid","Record status missing",IF(COUNTIFS('Plan versions'!$A$7:$A$306,C183,'Plan versions'!$B$7:$B$306,B183,'Plan versions'!$L$7:$L$306,"Frozen")&lt;&gt;1,"Invalid plan ref",IF(OR(D183="",NOT(ISNUMBER(E183)),NOT(ISNUMBER(F183)),G183="",K183=""),"Execution info missing",IF(OR(NOT(ISNUMBER(H183)),H183&lt;0,NOT(ISNUMBER(J183)),J183&lt;0),"Spend or time missing",IF(COUNTIFS('Cases overview'!$A$7:$A$306,B183,'Cases overview'!$J$7:$J$306,I183)&lt;&gt;1,"Currency mismatch",IF(AND(M183&lt;&gt;"",OR(M183=A183,COUNTIFS('Execution log'!$A$7:$A$306,M183,'Execution log'!$B$7:$B$306,B183,'Execution log'!$L$7:$L$306,"Corrected")&lt;&gt;1)),"Correction ref to check","Valid input"))))))))))</x:f>
      </x:c>
    </x:row>
    <x:row r="184" ht="25" customHeight="1">
      <x:c r="A184" s="3"/>
      <x:c r="B184" s="3"/>
      <x:c r="C184" s="3"/>
      <x:c r="D184" s="3"/>
      <x:c r="E184" s="25"/>
      <x:c r="F184" s="25"/>
      <x:c r="G184" s="3"/>
      <x:c r="H184" s="22"/>
      <x:c r="I184" s="3"/>
      <x:c r="J184" s="22"/>
      <x:c r="K184" s="3"/>
      <x:c r="L184" s="3"/>
      <x:c r="M184" s="3"/>
      <x:c r="N184" s="3"/>
      <x:c r="O184" s="3"/>
      <x:c r="P184" s="19" t="str">
        <x:f>IF(A184="","",IF(COUNTIFS('Execution log'!$A$7:$A$306,A184)&lt;&gt;1,"Duplicate ID",IF(COUNTIFS('Cases overview'!$A$7:$A$306,B184)&lt;&gt;1,"Invalid case ref",IF(OR(L184="Corrected",L184="Revoked"),"Excluded from totals",IF(L184&lt;&gt;"Valid","Record status missing",IF(COUNTIFS('Plan versions'!$A$7:$A$306,C184,'Plan versions'!$B$7:$B$306,B184,'Plan versions'!$L$7:$L$306,"Frozen")&lt;&gt;1,"Invalid plan ref",IF(OR(D184="",NOT(ISNUMBER(E184)),NOT(ISNUMBER(F184)),G184="",K184=""),"Execution info missing",IF(OR(NOT(ISNUMBER(H184)),H184&lt;0,NOT(ISNUMBER(J184)),J184&lt;0),"Spend or time missing",IF(COUNTIFS('Cases overview'!$A$7:$A$306,B184,'Cases overview'!$J$7:$J$306,I184)&lt;&gt;1,"Currency mismatch",IF(AND(M184&lt;&gt;"",OR(M184=A184,COUNTIFS('Execution log'!$A$7:$A$306,M184,'Execution log'!$B$7:$B$306,B184,'Execution log'!$L$7:$L$306,"Corrected")&lt;&gt;1)),"Correction ref to check","Valid input"))))))))))</x:f>
      </x:c>
    </x:row>
    <x:row r="185" ht="25" customHeight="1">
      <x:c r="A185" s="3"/>
      <x:c r="B185" s="3"/>
      <x:c r="C185" s="3"/>
      <x:c r="D185" s="3"/>
      <x:c r="E185" s="25"/>
      <x:c r="F185" s="25"/>
      <x:c r="G185" s="3"/>
      <x:c r="H185" s="22"/>
      <x:c r="I185" s="3"/>
      <x:c r="J185" s="22"/>
      <x:c r="K185" s="3"/>
      <x:c r="L185" s="3"/>
      <x:c r="M185" s="3"/>
      <x:c r="N185" s="3"/>
      <x:c r="O185" s="3"/>
      <x:c r="P185" s="19" t="str">
        <x:f>IF(A185="","",IF(COUNTIFS('Execution log'!$A$7:$A$306,A185)&lt;&gt;1,"Duplicate ID",IF(COUNTIFS('Cases overview'!$A$7:$A$306,B185)&lt;&gt;1,"Invalid case ref",IF(OR(L185="Corrected",L185="Revoked"),"Excluded from totals",IF(L185&lt;&gt;"Valid","Record status missing",IF(COUNTIFS('Plan versions'!$A$7:$A$306,C185,'Plan versions'!$B$7:$B$306,B185,'Plan versions'!$L$7:$L$306,"Frozen")&lt;&gt;1,"Invalid plan ref",IF(OR(D185="",NOT(ISNUMBER(E185)),NOT(ISNUMBER(F185)),G185="",K185=""),"Execution info missing",IF(OR(NOT(ISNUMBER(H185)),H185&lt;0,NOT(ISNUMBER(J185)),J185&lt;0),"Spend or time missing",IF(COUNTIFS('Cases overview'!$A$7:$A$306,B185,'Cases overview'!$J$7:$J$306,I185)&lt;&gt;1,"Currency mismatch",IF(AND(M185&lt;&gt;"",OR(M185=A185,COUNTIFS('Execution log'!$A$7:$A$306,M185,'Execution log'!$B$7:$B$306,B185,'Execution log'!$L$7:$L$306,"Corrected")&lt;&gt;1)),"Correction ref to check","Valid input"))))))))))</x:f>
      </x:c>
    </x:row>
    <x:row r="186" ht="25" customHeight="1">
      <x:c r="A186" s="3"/>
      <x:c r="B186" s="3"/>
      <x:c r="C186" s="3"/>
      <x:c r="D186" s="3"/>
      <x:c r="E186" s="25"/>
      <x:c r="F186" s="25"/>
      <x:c r="G186" s="3"/>
      <x:c r="H186" s="22"/>
      <x:c r="I186" s="3"/>
      <x:c r="J186" s="22"/>
      <x:c r="K186" s="3"/>
      <x:c r="L186" s="3"/>
      <x:c r="M186" s="3"/>
      <x:c r="N186" s="3"/>
      <x:c r="O186" s="3"/>
      <x:c r="P186" s="19" t="str">
        <x:f>IF(A186="","",IF(COUNTIFS('Execution log'!$A$7:$A$306,A186)&lt;&gt;1,"Duplicate ID",IF(COUNTIFS('Cases overview'!$A$7:$A$306,B186)&lt;&gt;1,"Invalid case ref",IF(OR(L186="Corrected",L186="Revoked"),"Excluded from totals",IF(L186&lt;&gt;"Valid","Record status missing",IF(COUNTIFS('Plan versions'!$A$7:$A$306,C186,'Plan versions'!$B$7:$B$306,B186,'Plan versions'!$L$7:$L$306,"Frozen")&lt;&gt;1,"Invalid plan ref",IF(OR(D186="",NOT(ISNUMBER(E186)),NOT(ISNUMBER(F186)),G186="",K186=""),"Execution info missing",IF(OR(NOT(ISNUMBER(H186)),H186&lt;0,NOT(ISNUMBER(J186)),J186&lt;0),"Spend or time missing",IF(COUNTIFS('Cases overview'!$A$7:$A$306,B186,'Cases overview'!$J$7:$J$306,I186)&lt;&gt;1,"Currency mismatch",IF(AND(M186&lt;&gt;"",OR(M186=A186,COUNTIFS('Execution log'!$A$7:$A$306,M186,'Execution log'!$B$7:$B$306,B186,'Execution log'!$L$7:$L$306,"Corrected")&lt;&gt;1)),"Correction ref to check","Valid input"))))))))))</x:f>
      </x:c>
    </x:row>
    <x:row r="187" ht="25" customHeight="1">
      <x:c r="A187" s="3"/>
      <x:c r="B187" s="3"/>
      <x:c r="C187" s="3"/>
      <x:c r="D187" s="3"/>
      <x:c r="E187" s="25"/>
      <x:c r="F187" s="25"/>
      <x:c r="G187" s="3"/>
      <x:c r="H187" s="22"/>
      <x:c r="I187" s="3"/>
      <x:c r="J187" s="22"/>
      <x:c r="K187" s="3"/>
      <x:c r="L187" s="3"/>
      <x:c r="M187" s="3"/>
      <x:c r="N187" s="3"/>
      <x:c r="O187" s="3"/>
      <x:c r="P187" s="19" t="str">
        <x:f>IF(A187="","",IF(COUNTIFS('Execution log'!$A$7:$A$306,A187)&lt;&gt;1,"Duplicate ID",IF(COUNTIFS('Cases overview'!$A$7:$A$306,B187)&lt;&gt;1,"Invalid case ref",IF(OR(L187="Corrected",L187="Revoked"),"Excluded from totals",IF(L187&lt;&gt;"Valid","Record status missing",IF(COUNTIFS('Plan versions'!$A$7:$A$306,C187,'Plan versions'!$B$7:$B$306,B187,'Plan versions'!$L$7:$L$306,"Frozen")&lt;&gt;1,"Invalid plan ref",IF(OR(D187="",NOT(ISNUMBER(E187)),NOT(ISNUMBER(F187)),G187="",K187=""),"Execution info missing",IF(OR(NOT(ISNUMBER(H187)),H187&lt;0,NOT(ISNUMBER(J187)),J187&lt;0),"Spend or time missing",IF(COUNTIFS('Cases overview'!$A$7:$A$306,B187,'Cases overview'!$J$7:$J$306,I187)&lt;&gt;1,"Currency mismatch",IF(AND(M187&lt;&gt;"",OR(M187=A187,COUNTIFS('Execution log'!$A$7:$A$306,M187,'Execution log'!$B$7:$B$306,B187,'Execution log'!$L$7:$L$306,"Corrected")&lt;&gt;1)),"Correction ref to check","Valid input"))))))))))</x:f>
      </x:c>
    </x:row>
    <x:row r="188" ht="25" customHeight="1">
      <x:c r="A188" s="3"/>
      <x:c r="B188" s="3"/>
      <x:c r="C188" s="3"/>
      <x:c r="D188" s="3"/>
      <x:c r="E188" s="25"/>
      <x:c r="F188" s="25"/>
      <x:c r="G188" s="3"/>
      <x:c r="H188" s="22"/>
      <x:c r="I188" s="3"/>
      <x:c r="J188" s="22"/>
      <x:c r="K188" s="3"/>
      <x:c r="L188" s="3"/>
      <x:c r="M188" s="3"/>
      <x:c r="N188" s="3"/>
      <x:c r="O188" s="3"/>
      <x:c r="P188" s="19" t="str">
        <x:f>IF(A188="","",IF(COUNTIFS('Execution log'!$A$7:$A$306,A188)&lt;&gt;1,"Duplicate ID",IF(COUNTIFS('Cases overview'!$A$7:$A$306,B188)&lt;&gt;1,"Invalid case ref",IF(OR(L188="Corrected",L188="Revoked"),"Excluded from totals",IF(L188&lt;&gt;"Valid","Record status missing",IF(COUNTIFS('Plan versions'!$A$7:$A$306,C188,'Plan versions'!$B$7:$B$306,B188,'Plan versions'!$L$7:$L$306,"Frozen")&lt;&gt;1,"Invalid plan ref",IF(OR(D188="",NOT(ISNUMBER(E188)),NOT(ISNUMBER(F188)),G188="",K188=""),"Execution info missing",IF(OR(NOT(ISNUMBER(H188)),H188&lt;0,NOT(ISNUMBER(J188)),J188&lt;0),"Spend or time missing",IF(COUNTIFS('Cases overview'!$A$7:$A$306,B188,'Cases overview'!$J$7:$J$306,I188)&lt;&gt;1,"Currency mismatch",IF(AND(M188&lt;&gt;"",OR(M188=A188,COUNTIFS('Execution log'!$A$7:$A$306,M188,'Execution log'!$B$7:$B$306,B188,'Execution log'!$L$7:$L$306,"Corrected")&lt;&gt;1)),"Correction ref to check","Valid input"))))))))))</x:f>
      </x:c>
    </x:row>
    <x:row r="189" ht="25" customHeight="1">
      <x:c r="A189" s="3"/>
      <x:c r="B189" s="3"/>
      <x:c r="C189" s="3"/>
      <x:c r="D189" s="3"/>
      <x:c r="E189" s="25"/>
      <x:c r="F189" s="25"/>
      <x:c r="G189" s="3"/>
      <x:c r="H189" s="22"/>
      <x:c r="I189" s="3"/>
      <x:c r="J189" s="22"/>
      <x:c r="K189" s="3"/>
      <x:c r="L189" s="3"/>
      <x:c r="M189" s="3"/>
      <x:c r="N189" s="3"/>
      <x:c r="O189" s="3"/>
      <x:c r="P189" s="19" t="str">
        <x:f>IF(A189="","",IF(COUNTIFS('Execution log'!$A$7:$A$306,A189)&lt;&gt;1,"Duplicate ID",IF(COUNTIFS('Cases overview'!$A$7:$A$306,B189)&lt;&gt;1,"Invalid case ref",IF(OR(L189="Corrected",L189="Revoked"),"Excluded from totals",IF(L189&lt;&gt;"Valid","Record status missing",IF(COUNTIFS('Plan versions'!$A$7:$A$306,C189,'Plan versions'!$B$7:$B$306,B189,'Plan versions'!$L$7:$L$306,"Frozen")&lt;&gt;1,"Invalid plan ref",IF(OR(D189="",NOT(ISNUMBER(E189)),NOT(ISNUMBER(F189)),G189="",K189=""),"Execution info missing",IF(OR(NOT(ISNUMBER(H189)),H189&lt;0,NOT(ISNUMBER(J189)),J189&lt;0),"Spend or time missing",IF(COUNTIFS('Cases overview'!$A$7:$A$306,B189,'Cases overview'!$J$7:$J$306,I189)&lt;&gt;1,"Currency mismatch",IF(AND(M189&lt;&gt;"",OR(M189=A189,COUNTIFS('Execution log'!$A$7:$A$306,M189,'Execution log'!$B$7:$B$306,B189,'Execution log'!$L$7:$L$306,"Corrected")&lt;&gt;1)),"Correction ref to check","Valid input"))))))))))</x:f>
      </x:c>
    </x:row>
    <x:row r="190" ht="25" customHeight="1">
      <x:c r="A190" s="3"/>
      <x:c r="B190" s="3"/>
      <x:c r="C190" s="3"/>
      <x:c r="D190" s="3"/>
      <x:c r="E190" s="25"/>
      <x:c r="F190" s="25"/>
      <x:c r="G190" s="3"/>
      <x:c r="H190" s="22"/>
      <x:c r="I190" s="3"/>
      <x:c r="J190" s="22"/>
      <x:c r="K190" s="3"/>
      <x:c r="L190" s="3"/>
      <x:c r="M190" s="3"/>
      <x:c r="N190" s="3"/>
      <x:c r="O190" s="3"/>
      <x:c r="P190" s="19" t="str">
        <x:f>IF(A190="","",IF(COUNTIFS('Execution log'!$A$7:$A$306,A190)&lt;&gt;1,"Duplicate ID",IF(COUNTIFS('Cases overview'!$A$7:$A$306,B190)&lt;&gt;1,"Invalid case ref",IF(OR(L190="Corrected",L190="Revoked"),"Excluded from totals",IF(L190&lt;&gt;"Valid","Record status missing",IF(COUNTIFS('Plan versions'!$A$7:$A$306,C190,'Plan versions'!$B$7:$B$306,B190,'Plan versions'!$L$7:$L$306,"Frozen")&lt;&gt;1,"Invalid plan ref",IF(OR(D190="",NOT(ISNUMBER(E190)),NOT(ISNUMBER(F190)),G190="",K190=""),"Execution info missing",IF(OR(NOT(ISNUMBER(H190)),H190&lt;0,NOT(ISNUMBER(J190)),J190&lt;0),"Spend or time missing",IF(COUNTIFS('Cases overview'!$A$7:$A$306,B190,'Cases overview'!$J$7:$J$306,I190)&lt;&gt;1,"Currency mismatch",IF(AND(M190&lt;&gt;"",OR(M190=A190,COUNTIFS('Execution log'!$A$7:$A$306,M190,'Execution log'!$B$7:$B$306,B190,'Execution log'!$L$7:$L$306,"Corrected")&lt;&gt;1)),"Correction ref to check","Valid input"))))))))))</x:f>
      </x:c>
    </x:row>
    <x:row r="191" ht="25" customHeight="1">
      <x:c r="A191" s="3"/>
      <x:c r="B191" s="3"/>
      <x:c r="C191" s="3"/>
      <x:c r="D191" s="3"/>
      <x:c r="E191" s="25"/>
      <x:c r="F191" s="25"/>
      <x:c r="G191" s="3"/>
      <x:c r="H191" s="22"/>
      <x:c r="I191" s="3"/>
      <x:c r="J191" s="22"/>
      <x:c r="K191" s="3"/>
      <x:c r="L191" s="3"/>
      <x:c r="M191" s="3"/>
      <x:c r="N191" s="3"/>
      <x:c r="O191" s="3"/>
      <x:c r="P191" s="19" t="str">
        <x:f>IF(A191="","",IF(COUNTIFS('Execution log'!$A$7:$A$306,A191)&lt;&gt;1,"Duplicate ID",IF(COUNTIFS('Cases overview'!$A$7:$A$306,B191)&lt;&gt;1,"Invalid case ref",IF(OR(L191="Corrected",L191="Revoked"),"Excluded from totals",IF(L191&lt;&gt;"Valid","Record status missing",IF(COUNTIFS('Plan versions'!$A$7:$A$306,C191,'Plan versions'!$B$7:$B$306,B191,'Plan versions'!$L$7:$L$306,"Frozen")&lt;&gt;1,"Invalid plan ref",IF(OR(D191="",NOT(ISNUMBER(E191)),NOT(ISNUMBER(F191)),G191="",K191=""),"Execution info missing",IF(OR(NOT(ISNUMBER(H191)),H191&lt;0,NOT(ISNUMBER(J191)),J191&lt;0),"Spend or time missing",IF(COUNTIFS('Cases overview'!$A$7:$A$306,B191,'Cases overview'!$J$7:$J$306,I191)&lt;&gt;1,"Currency mismatch",IF(AND(M191&lt;&gt;"",OR(M191=A191,COUNTIFS('Execution log'!$A$7:$A$306,M191,'Execution log'!$B$7:$B$306,B191,'Execution log'!$L$7:$L$306,"Corrected")&lt;&gt;1)),"Correction ref to check","Valid input"))))))))))</x:f>
      </x:c>
    </x:row>
    <x:row r="192" ht="25" customHeight="1">
      <x:c r="A192" s="3"/>
      <x:c r="B192" s="3"/>
      <x:c r="C192" s="3"/>
      <x:c r="D192" s="3"/>
      <x:c r="E192" s="25"/>
      <x:c r="F192" s="25"/>
      <x:c r="G192" s="3"/>
      <x:c r="H192" s="22"/>
      <x:c r="I192" s="3"/>
      <x:c r="J192" s="22"/>
      <x:c r="K192" s="3"/>
      <x:c r="L192" s="3"/>
      <x:c r="M192" s="3"/>
      <x:c r="N192" s="3"/>
      <x:c r="O192" s="3"/>
      <x:c r="P192" s="19" t="str">
        <x:f>IF(A192="","",IF(COUNTIFS('Execution log'!$A$7:$A$306,A192)&lt;&gt;1,"Duplicate ID",IF(COUNTIFS('Cases overview'!$A$7:$A$306,B192)&lt;&gt;1,"Invalid case ref",IF(OR(L192="Corrected",L192="Revoked"),"Excluded from totals",IF(L192&lt;&gt;"Valid","Record status missing",IF(COUNTIFS('Plan versions'!$A$7:$A$306,C192,'Plan versions'!$B$7:$B$306,B192,'Plan versions'!$L$7:$L$306,"Frozen")&lt;&gt;1,"Invalid plan ref",IF(OR(D192="",NOT(ISNUMBER(E192)),NOT(ISNUMBER(F192)),G192="",K192=""),"Execution info missing",IF(OR(NOT(ISNUMBER(H192)),H192&lt;0,NOT(ISNUMBER(J192)),J192&lt;0),"Spend or time missing",IF(COUNTIFS('Cases overview'!$A$7:$A$306,B192,'Cases overview'!$J$7:$J$306,I192)&lt;&gt;1,"Currency mismatch",IF(AND(M192&lt;&gt;"",OR(M192=A192,COUNTIFS('Execution log'!$A$7:$A$306,M192,'Execution log'!$B$7:$B$306,B192,'Execution log'!$L$7:$L$306,"Corrected")&lt;&gt;1)),"Correction ref to check","Valid input"))))))))))</x:f>
      </x:c>
    </x:row>
    <x:row r="193" ht="25" customHeight="1">
      <x:c r="A193" s="3"/>
      <x:c r="B193" s="3"/>
      <x:c r="C193" s="3"/>
      <x:c r="D193" s="3"/>
      <x:c r="E193" s="25"/>
      <x:c r="F193" s="25"/>
      <x:c r="G193" s="3"/>
      <x:c r="H193" s="22"/>
      <x:c r="I193" s="3"/>
      <x:c r="J193" s="22"/>
      <x:c r="K193" s="3"/>
      <x:c r="L193" s="3"/>
      <x:c r="M193" s="3"/>
      <x:c r="N193" s="3"/>
      <x:c r="O193" s="3"/>
      <x:c r="P193" s="19" t="str">
        <x:f>IF(A193="","",IF(COUNTIFS('Execution log'!$A$7:$A$306,A193)&lt;&gt;1,"Duplicate ID",IF(COUNTIFS('Cases overview'!$A$7:$A$306,B193)&lt;&gt;1,"Invalid case ref",IF(OR(L193="Corrected",L193="Revoked"),"Excluded from totals",IF(L193&lt;&gt;"Valid","Record status missing",IF(COUNTIFS('Plan versions'!$A$7:$A$306,C193,'Plan versions'!$B$7:$B$306,B193,'Plan versions'!$L$7:$L$306,"Frozen")&lt;&gt;1,"Invalid plan ref",IF(OR(D193="",NOT(ISNUMBER(E193)),NOT(ISNUMBER(F193)),G193="",K193=""),"Execution info missing",IF(OR(NOT(ISNUMBER(H193)),H193&lt;0,NOT(ISNUMBER(J193)),J193&lt;0),"Spend or time missing",IF(COUNTIFS('Cases overview'!$A$7:$A$306,B193,'Cases overview'!$J$7:$J$306,I193)&lt;&gt;1,"Currency mismatch",IF(AND(M193&lt;&gt;"",OR(M193=A193,COUNTIFS('Execution log'!$A$7:$A$306,M193,'Execution log'!$B$7:$B$306,B193,'Execution log'!$L$7:$L$306,"Corrected")&lt;&gt;1)),"Correction ref to check","Valid input"))))))))))</x:f>
      </x:c>
    </x:row>
    <x:row r="194" ht="25" customHeight="1">
      <x:c r="A194" s="3"/>
      <x:c r="B194" s="3"/>
      <x:c r="C194" s="3"/>
      <x:c r="D194" s="3"/>
      <x:c r="E194" s="25"/>
      <x:c r="F194" s="25"/>
      <x:c r="G194" s="3"/>
      <x:c r="H194" s="22"/>
      <x:c r="I194" s="3"/>
      <x:c r="J194" s="22"/>
      <x:c r="K194" s="3"/>
      <x:c r="L194" s="3"/>
      <x:c r="M194" s="3"/>
      <x:c r="N194" s="3"/>
      <x:c r="O194" s="3"/>
      <x:c r="P194" s="19" t="str">
        <x:f>IF(A194="","",IF(COUNTIFS('Execution log'!$A$7:$A$306,A194)&lt;&gt;1,"Duplicate ID",IF(COUNTIFS('Cases overview'!$A$7:$A$306,B194)&lt;&gt;1,"Invalid case ref",IF(OR(L194="Corrected",L194="Revoked"),"Excluded from totals",IF(L194&lt;&gt;"Valid","Record status missing",IF(COUNTIFS('Plan versions'!$A$7:$A$306,C194,'Plan versions'!$B$7:$B$306,B194,'Plan versions'!$L$7:$L$306,"Frozen")&lt;&gt;1,"Invalid plan ref",IF(OR(D194="",NOT(ISNUMBER(E194)),NOT(ISNUMBER(F194)),G194="",K194=""),"Execution info missing",IF(OR(NOT(ISNUMBER(H194)),H194&lt;0,NOT(ISNUMBER(J194)),J194&lt;0),"Spend or time missing",IF(COUNTIFS('Cases overview'!$A$7:$A$306,B194,'Cases overview'!$J$7:$J$306,I194)&lt;&gt;1,"Currency mismatch",IF(AND(M194&lt;&gt;"",OR(M194=A194,COUNTIFS('Execution log'!$A$7:$A$306,M194,'Execution log'!$B$7:$B$306,B194,'Execution log'!$L$7:$L$306,"Corrected")&lt;&gt;1)),"Correction ref to check","Valid input"))))))))))</x:f>
      </x:c>
    </x:row>
    <x:row r="195" ht="25" customHeight="1">
      <x:c r="A195" s="3"/>
      <x:c r="B195" s="3"/>
      <x:c r="C195" s="3"/>
      <x:c r="D195" s="3"/>
      <x:c r="E195" s="25"/>
      <x:c r="F195" s="25"/>
      <x:c r="G195" s="3"/>
      <x:c r="H195" s="22"/>
      <x:c r="I195" s="3"/>
      <x:c r="J195" s="22"/>
      <x:c r="K195" s="3"/>
      <x:c r="L195" s="3"/>
      <x:c r="M195" s="3"/>
      <x:c r="N195" s="3"/>
      <x:c r="O195" s="3"/>
      <x:c r="P195" s="19" t="str">
        <x:f>IF(A195="","",IF(COUNTIFS('Execution log'!$A$7:$A$306,A195)&lt;&gt;1,"Duplicate ID",IF(COUNTIFS('Cases overview'!$A$7:$A$306,B195)&lt;&gt;1,"Invalid case ref",IF(OR(L195="Corrected",L195="Revoked"),"Excluded from totals",IF(L195&lt;&gt;"Valid","Record status missing",IF(COUNTIFS('Plan versions'!$A$7:$A$306,C195,'Plan versions'!$B$7:$B$306,B195,'Plan versions'!$L$7:$L$306,"Frozen")&lt;&gt;1,"Invalid plan ref",IF(OR(D195="",NOT(ISNUMBER(E195)),NOT(ISNUMBER(F195)),G195="",K195=""),"Execution info missing",IF(OR(NOT(ISNUMBER(H195)),H195&lt;0,NOT(ISNUMBER(J195)),J195&lt;0),"Spend or time missing",IF(COUNTIFS('Cases overview'!$A$7:$A$306,B195,'Cases overview'!$J$7:$J$306,I195)&lt;&gt;1,"Currency mismatch",IF(AND(M195&lt;&gt;"",OR(M195=A195,COUNTIFS('Execution log'!$A$7:$A$306,M195,'Execution log'!$B$7:$B$306,B195,'Execution log'!$L$7:$L$306,"Corrected")&lt;&gt;1)),"Correction ref to check","Valid input"))))))))))</x:f>
      </x:c>
    </x:row>
    <x:row r="196" ht="25" customHeight="1">
      <x:c r="A196" s="3"/>
      <x:c r="B196" s="3"/>
      <x:c r="C196" s="3"/>
      <x:c r="D196" s="3"/>
      <x:c r="E196" s="25"/>
      <x:c r="F196" s="25"/>
      <x:c r="G196" s="3"/>
      <x:c r="H196" s="22"/>
      <x:c r="I196" s="3"/>
      <x:c r="J196" s="22"/>
      <x:c r="K196" s="3"/>
      <x:c r="L196" s="3"/>
      <x:c r="M196" s="3"/>
      <x:c r="N196" s="3"/>
      <x:c r="O196" s="3"/>
      <x:c r="P196" s="19" t="str">
        <x:f>IF(A196="","",IF(COUNTIFS('Execution log'!$A$7:$A$306,A196)&lt;&gt;1,"Duplicate ID",IF(COUNTIFS('Cases overview'!$A$7:$A$306,B196)&lt;&gt;1,"Invalid case ref",IF(OR(L196="Corrected",L196="Revoked"),"Excluded from totals",IF(L196&lt;&gt;"Valid","Record status missing",IF(COUNTIFS('Plan versions'!$A$7:$A$306,C196,'Plan versions'!$B$7:$B$306,B196,'Plan versions'!$L$7:$L$306,"Frozen")&lt;&gt;1,"Invalid plan ref",IF(OR(D196="",NOT(ISNUMBER(E196)),NOT(ISNUMBER(F196)),G196="",K196=""),"Execution info missing",IF(OR(NOT(ISNUMBER(H196)),H196&lt;0,NOT(ISNUMBER(J196)),J196&lt;0),"Spend or time missing",IF(COUNTIFS('Cases overview'!$A$7:$A$306,B196,'Cases overview'!$J$7:$J$306,I196)&lt;&gt;1,"Currency mismatch",IF(AND(M196&lt;&gt;"",OR(M196=A196,COUNTIFS('Execution log'!$A$7:$A$306,M196,'Execution log'!$B$7:$B$306,B196,'Execution log'!$L$7:$L$306,"Corrected")&lt;&gt;1)),"Correction ref to check","Valid input"))))))))))</x:f>
      </x:c>
    </x:row>
    <x:row r="197" ht="25" customHeight="1">
      <x:c r="A197" s="3"/>
      <x:c r="B197" s="3"/>
      <x:c r="C197" s="3"/>
      <x:c r="D197" s="3"/>
      <x:c r="E197" s="25"/>
      <x:c r="F197" s="25"/>
      <x:c r="G197" s="3"/>
      <x:c r="H197" s="22"/>
      <x:c r="I197" s="3"/>
      <x:c r="J197" s="22"/>
      <x:c r="K197" s="3"/>
      <x:c r="L197" s="3"/>
      <x:c r="M197" s="3"/>
      <x:c r="N197" s="3"/>
      <x:c r="O197" s="3"/>
      <x:c r="P197" s="19" t="str">
        <x:f>IF(A197="","",IF(COUNTIFS('Execution log'!$A$7:$A$306,A197)&lt;&gt;1,"Duplicate ID",IF(COUNTIFS('Cases overview'!$A$7:$A$306,B197)&lt;&gt;1,"Invalid case ref",IF(OR(L197="Corrected",L197="Revoked"),"Excluded from totals",IF(L197&lt;&gt;"Valid","Record status missing",IF(COUNTIFS('Plan versions'!$A$7:$A$306,C197,'Plan versions'!$B$7:$B$306,B197,'Plan versions'!$L$7:$L$306,"Frozen")&lt;&gt;1,"Invalid plan ref",IF(OR(D197="",NOT(ISNUMBER(E197)),NOT(ISNUMBER(F197)),G197="",K197=""),"Execution info missing",IF(OR(NOT(ISNUMBER(H197)),H197&lt;0,NOT(ISNUMBER(J197)),J197&lt;0),"Spend or time missing",IF(COUNTIFS('Cases overview'!$A$7:$A$306,B197,'Cases overview'!$J$7:$J$306,I197)&lt;&gt;1,"Currency mismatch",IF(AND(M197&lt;&gt;"",OR(M197=A197,COUNTIFS('Execution log'!$A$7:$A$306,M197,'Execution log'!$B$7:$B$306,B197,'Execution log'!$L$7:$L$306,"Corrected")&lt;&gt;1)),"Correction ref to check","Valid input"))))))))))</x:f>
      </x:c>
    </x:row>
    <x:row r="198" ht="25" customHeight="1">
      <x:c r="A198" s="3"/>
      <x:c r="B198" s="3"/>
      <x:c r="C198" s="3"/>
      <x:c r="D198" s="3"/>
      <x:c r="E198" s="25"/>
      <x:c r="F198" s="25"/>
      <x:c r="G198" s="3"/>
      <x:c r="H198" s="22"/>
      <x:c r="I198" s="3"/>
      <x:c r="J198" s="22"/>
      <x:c r="K198" s="3"/>
      <x:c r="L198" s="3"/>
      <x:c r="M198" s="3"/>
      <x:c r="N198" s="3"/>
      <x:c r="O198" s="3"/>
      <x:c r="P198" s="19" t="str">
        <x:f>IF(A198="","",IF(COUNTIFS('Execution log'!$A$7:$A$306,A198)&lt;&gt;1,"Duplicate ID",IF(COUNTIFS('Cases overview'!$A$7:$A$306,B198)&lt;&gt;1,"Invalid case ref",IF(OR(L198="Corrected",L198="Revoked"),"Excluded from totals",IF(L198&lt;&gt;"Valid","Record status missing",IF(COUNTIFS('Plan versions'!$A$7:$A$306,C198,'Plan versions'!$B$7:$B$306,B198,'Plan versions'!$L$7:$L$306,"Frozen")&lt;&gt;1,"Invalid plan ref",IF(OR(D198="",NOT(ISNUMBER(E198)),NOT(ISNUMBER(F198)),G198="",K198=""),"Execution info missing",IF(OR(NOT(ISNUMBER(H198)),H198&lt;0,NOT(ISNUMBER(J198)),J198&lt;0),"Spend or time missing",IF(COUNTIFS('Cases overview'!$A$7:$A$306,B198,'Cases overview'!$J$7:$J$306,I198)&lt;&gt;1,"Currency mismatch",IF(AND(M198&lt;&gt;"",OR(M198=A198,COUNTIFS('Execution log'!$A$7:$A$306,M198,'Execution log'!$B$7:$B$306,B198,'Execution log'!$L$7:$L$306,"Corrected")&lt;&gt;1)),"Correction ref to check","Valid input"))))))))))</x:f>
      </x:c>
    </x:row>
    <x:row r="199" ht="25" customHeight="1">
      <x:c r="A199" s="3"/>
      <x:c r="B199" s="3"/>
      <x:c r="C199" s="3"/>
      <x:c r="D199" s="3"/>
      <x:c r="E199" s="25"/>
      <x:c r="F199" s="25"/>
      <x:c r="G199" s="3"/>
      <x:c r="H199" s="22"/>
      <x:c r="I199" s="3"/>
      <x:c r="J199" s="22"/>
      <x:c r="K199" s="3"/>
      <x:c r="L199" s="3"/>
      <x:c r="M199" s="3"/>
      <x:c r="N199" s="3"/>
      <x:c r="O199" s="3"/>
      <x:c r="P199" s="19" t="str">
        <x:f>IF(A199="","",IF(COUNTIFS('Execution log'!$A$7:$A$306,A199)&lt;&gt;1,"Duplicate ID",IF(COUNTIFS('Cases overview'!$A$7:$A$306,B199)&lt;&gt;1,"Invalid case ref",IF(OR(L199="Corrected",L199="Revoked"),"Excluded from totals",IF(L199&lt;&gt;"Valid","Record status missing",IF(COUNTIFS('Plan versions'!$A$7:$A$306,C199,'Plan versions'!$B$7:$B$306,B199,'Plan versions'!$L$7:$L$306,"Frozen")&lt;&gt;1,"Invalid plan ref",IF(OR(D199="",NOT(ISNUMBER(E199)),NOT(ISNUMBER(F199)),G199="",K199=""),"Execution info missing",IF(OR(NOT(ISNUMBER(H199)),H199&lt;0,NOT(ISNUMBER(J199)),J199&lt;0),"Spend or time missing",IF(COUNTIFS('Cases overview'!$A$7:$A$306,B199,'Cases overview'!$J$7:$J$306,I199)&lt;&gt;1,"Currency mismatch",IF(AND(M199&lt;&gt;"",OR(M199=A199,COUNTIFS('Execution log'!$A$7:$A$306,M199,'Execution log'!$B$7:$B$306,B199,'Execution log'!$L$7:$L$306,"Corrected")&lt;&gt;1)),"Correction ref to check","Valid input"))))))))))</x:f>
      </x:c>
    </x:row>
    <x:row r="200" ht="25" customHeight="1">
      <x:c r="A200" s="3"/>
      <x:c r="B200" s="3"/>
      <x:c r="C200" s="3"/>
      <x:c r="D200" s="3"/>
      <x:c r="E200" s="25"/>
      <x:c r="F200" s="25"/>
      <x:c r="G200" s="3"/>
      <x:c r="H200" s="22"/>
      <x:c r="I200" s="3"/>
      <x:c r="J200" s="22"/>
      <x:c r="K200" s="3"/>
      <x:c r="L200" s="3"/>
      <x:c r="M200" s="3"/>
      <x:c r="N200" s="3"/>
      <x:c r="O200" s="3"/>
      <x:c r="P200" s="19" t="str">
        <x:f>IF(A200="","",IF(COUNTIFS('Execution log'!$A$7:$A$306,A200)&lt;&gt;1,"Duplicate ID",IF(COUNTIFS('Cases overview'!$A$7:$A$306,B200)&lt;&gt;1,"Invalid case ref",IF(OR(L200="Corrected",L200="Revoked"),"Excluded from totals",IF(L200&lt;&gt;"Valid","Record status missing",IF(COUNTIFS('Plan versions'!$A$7:$A$306,C200,'Plan versions'!$B$7:$B$306,B200,'Plan versions'!$L$7:$L$306,"Frozen")&lt;&gt;1,"Invalid plan ref",IF(OR(D200="",NOT(ISNUMBER(E200)),NOT(ISNUMBER(F200)),G200="",K200=""),"Execution info missing",IF(OR(NOT(ISNUMBER(H200)),H200&lt;0,NOT(ISNUMBER(J200)),J200&lt;0),"Spend or time missing",IF(COUNTIFS('Cases overview'!$A$7:$A$306,B200,'Cases overview'!$J$7:$J$306,I200)&lt;&gt;1,"Currency mismatch",IF(AND(M200&lt;&gt;"",OR(M200=A200,COUNTIFS('Execution log'!$A$7:$A$306,M200,'Execution log'!$B$7:$B$306,B200,'Execution log'!$L$7:$L$306,"Corrected")&lt;&gt;1)),"Correction ref to check","Valid input"))))))))))</x:f>
      </x:c>
    </x:row>
    <x:row r="201" ht="25" customHeight="1">
      <x:c r="A201" s="3"/>
      <x:c r="B201" s="3"/>
      <x:c r="C201" s="3"/>
      <x:c r="D201" s="3"/>
      <x:c r="E201" s="25"/>
      <x:c r="F201" s="25"/>
      <x:c r="G201" s="3"/>
      <x:c r="H201" s="22"/>
      <x:c r="I201" s="3"/>
      <x:c r="J201" s="22"/>
      <x:c r="K201" s="3"/>
      <x:c r="L201" s="3"/>
      <x:c r="M201" s="3"/>
      <x:c r="N201" s="3"/>
      <x:c r="O201" s="3"/>
      <x:c r="P201" s="19" t="str">
        <x:f>IF(A201="","",IF(COUNTIFS('Execution log'!$A$7:$A$306,A201)&lt;&gt;1,"Duplicate ID",IF(COUNTIFS('Cases overview'!$A$7:$A$306,B201)&lt;&gt;1,"Invalid case ref",IF(OR(L201="Corrected",L201="Revoked"),"Excluded from totals",IF(L201&lt;&gt;"Valid","Record status missing",IF(COUNTIFS('Plan versions'!$A$7:$A$306,C201,'Plan versions'!$B$7:$B$306,B201,'Plan versions'!$L$7:$L$306,"Frozen")&lt;&gt;1,"Invalid plan ref",IF(OR(D201="",NOT(ISNUMBER(E201)),NOT(ISNUMBER(F201)),G201="",K201=""),"Execution info missing",IF(OR(NOT(ISNUMBER(H201)),H201&lt;0,NOT(ISNUMBER(J201)),J201&lt;0),"Spend or time missing",IF(COUNTIFS('Cases overview'!$A$7:$A$306,B201,'Cases overview'!$J$7:$J$306,I201)&lt;&gt;1,"Currency mismatch",IF(AND(M201&lt;&gt;"",OR(M201=A201,COUNTIFS('Execution log'!$A$7:$A$306,M201,'Execution log'!$B$7:$B$306,B201,'Execution log'!$L$7:$L$306,"Corrected")&lt;&gt;1)),"Correction ref to check","Valid input"))))))))))</x:f>
      </x:c>
    </x:row>
    <x:row r="202" ht="25" customHeight="1">
      <x:c r="A202" s="3"/>
      <x:c r="B202" s="3"/>
      <x:c r="C202" s="3"/>
      <x:c r="D202" s="3"/>
      <x:c r="E202" s="25"/>
      <x:c r="F202" s="25"/>
      <x:c r="G202" s="3"/>
      <x:c r="H202" s="22"/>
      <x:c r="I202" s="3"/>
      <x:c r="J202" s="22"/>
      <x:c r="K202" s="3"/>
      <x:c r="L202" s="3"/>
      <x:c r="M202" s="3"/>
      <x:c r="N202" s="3"/>
      <x:c r="O202" s="3"/>
      <x:c r="P202" s="19" t="str">
        <x:f>IF(A202="","",IF(COUNTIFS('Execution log'!$A$7:$A$306,A202)&lt;&gt;1,"Duplicate ID",IF(COUNTIFS('Cases overview'!$A$7:$A$306,B202)&lt;&gt;1,"Invalid case ref",IF(OR(L202="Corrected",L202="Revoked"),"Excluded from totals",IF(L202&lt;&gt;"Valid","Record status missing",IF(COUNTIFS('Plan versions'!$A$7:$A$306,C202,'Plan versions'!$B$7:$B$306,B202,'Plan versions'!$L$7:$L$306,"Frozen")&lt;&gt;1,"Invalid plan ref",IF(OR(D202="",NOT(ISNUMBER(E202)),NOT(ISNUMBER(F202)),G202="",K202=""),"Execution info missing",IF(OR(NOT(ISNUMBER(H202)),H202&lt;0,NOT(ISNUMBER(J202)),J202&lt;0),"Spend or time missing",IF(COUNTIFS('Cases overview'!$A$7:$A$306,B202,'Cases overview'!$J$7:$J$306,I202)&lt;&gt;1,"Currency mismatch",IF(AND(M202&lt;&gt;"",OR(M202=A202,COUNTIFS('Execution log'!$A$7:$A$306,M202,'Execution log'!$B$7:$B$306,B202,'Execution log'!$L$7:$L$306,"Corrected")&lt;&gt;1)),"Correction ref to check","Valid input"))))))))))</x:f>
      </x:c>
    </x:row>
    <x:row r="203" ht="25" customHeight="1">
      <x:c r="A203" s="3"/>
      <x:c r="B203" s="3"/>
      <x:c r="C203" s="3"/>
      <x:c r="D203" s="3"/>
      <x:c r="E203" s="25"/>
      <x:c r="F203" s="25"/>
      <x:c r="G203" s="3"/>
      <x:c r="H203" s="22"/>
      <x:c r="I203" s="3"/>
      <x:c r="J203" s="22"/>
      <x:c r="K203" s="3"/>
      <x:c r="L203" s="3"/>
      <x:c r="M203" s="3"/>
      <x:c r="N203" s="3"/>
      <x:c r="O203" s="3"/>
      <x:c r="P203" s="19" t="str">
        <x:f>IF(A203="","",IF(COUNTIFS('Execution log'!$A$7:$A$306,A203)&lt;&gt;1,"Duplicate ID",IF(COUNTIFS('Cases overview'!$A$7:$A$306,B203)&lt;&gt;1,"Invalid case ref",IF(OR(L203="Corrected",L203="Revoked"),"Excluded from totals",IF(L203&lt;&gt;"Valid","Record status missing",IF(COUNTIFS('Plan versions'!$A$7:$A$306,C203,'Plan versions'!$B$7:$B$306,B203,'Plan versions'!$L$7:$L$306,"Frozen")&lt;&gt;1,"Invalid plan ref",IF(OR(D203="",NOT(ISNUMBER(E203)),NOT(ISNUMBER(F203)),G203="",K203=""),"Execution info missing",IF(OR(NOT(ISNUMBER(H203)),H203&lt;0,NOT(ISNUMBER(J203)),J203&lt;0),"Spend or time missing",IF(COUNTIFS('Cases overview'!$A$7:$A$306,B203,'Cases overview'!$J$7:$J$306,I203)&lt;&gt;1,"Currency mismatch",IF(AND(M203&lt;&gt;"",OR(M203=A203,COUNTIFS('Execution log'!$A$7:$A$306,M203,'Execution log'!$B$7:$B$306,B203,'Execution log'!$L$7:$L$306,"Corrected")&lt;&gt;1)),"Correction ref to check","Valid input"))))))))))</x:f>
      </x:c>
    </x:row>
    <x:row r="204" ht="25" customHeight="1">
      <x:c r="A204" s="3"/>
      <x:c r="B204" s="3"/>
      <x:c r="C204" s="3"/>
      <x:c r="D204" s="3"/>
      <x:c r="E204" s="25"/>
      <x:c r="F204" s="25"/>
      <x:c r="G204" s="3"/>
      <x:c r="H204" s="22"/>
      <x:c r="I204" s="3"/>
      <x:c r="J204" s="22"/>
      <x:c r="K204" s="3"/>
      <x:c r="L204" s="3"/>
      <x:c r="M204" s="3"/>
      <x:c r="N204" s="3"/>
      <x:c r="O204" s="3"/>
      <x:c r="P204" s="19" t="str">
        <x:f>IF(A204="","",IF(COUNTIFS('Execution log'!$A$7:$A$306,A204)&lt;&gt;1,"Duplicate ID",IF(COUNTIFS('Cases overview'!$A$7:$A$306,B204)&lt;&gt;1,"Invalid case ref",IF(OR(L204="Corrected",L204="Revoked"),"Excluded from totals",IF(L204&lt;&gt;"Valid","Record status missing",IF(COUNTIFS('Plan versions'!$A$7:$A$306,C204,'Plan versions'!$B$7:$B$306,B204,'Plan versions'!$L$7:$L$306,"Frozen")&lt;&gt;1,"Invalid plan ref",IF(OR(D204="",NOT(ISNUMBER(E204)),NOT(ISNUMBER(F204)),G204="",K204=""),"Execution info missing",IF(OR(NOT(ISNUMBER(H204)),H204&lt;0,NOT(ISNUMBER(J204)),J204&lt;0),"Spend or time missing",IF(COUNTIFS('Cases overview'!$A$7:$A$306,B204,'Cases overview'!$J$7:$J$306,I204)&lt;&gt;1,"Currency mismatch",IF(AND(M204&lt;&gt;"",OR(M204=A204,COUNTIFS('Execution log'!$A$7:$A$306,M204,'Execution log'!$B$7:$B$306,B204,'Execution log'!$L$7:$L$306,"Corrected")&lt;&gt;1)),"Correction ref to check","Valid input"))))))))))</x:f>
      </x:c>
    </x:row>
    <x:row r="205" ht="25" customHeight="1">
      <x:c r="A205" s="3"/>
      <x:c r="B205" s="3"/>
      <x:c r="C205" s="3"/>
      <x:c r="D205" s="3"/>
      <x:c r="E205" s="25"/>
      <x:c r="F205" s="25"/>
      <x:c r="G205" s="3"/>
      <x:c r="H205" s="22"/>
      <x:c r="I205" s="3"/>
      <x:c r="J205" s="22"/>
      <x:c r="K205" s="3"/>
      <x:c r="L205" s="3"/>
      <x:c r="M205" s="3"/>
      <x:c r="N205" s="3"/>
      <x:c r="O205" s="3"/>
      <x:c r="P205" s="19" t="str">
        <x:f>IF(A205="","",IF(COUNTIFS('Execution log'!$A$7:$A$306,A205)&lt;&gt;1,"Duplicate ID",IF(COUNTIFS('Cases overview'!$A$7:$A$306,B205)&lt;&gt;1,"Invalid case ref",IF(OR(L205="Corrected",L205="Revoked"),"Excluded from totals",IF(L205&lt;&gt;"Valid","Record status missing",IF(COUNTIFS('Plan versions'!$A$7:$A$306,C205,'Plan versions'!$B$7:$B$306,B205,'Plan versions'!$L$7:$L$306,"Frozen")&lt;&gt;1,"Invalid plan ref",IF(OR(D205="",NOT(ISNUMBER(E205)),NOT(ISNUMBER(F205)),G205="",K205=""),"Execution info missing",IF(OR(NOT(ISNUMBER(H205)),H205&lt;0,NOT(ISNUMBER(J205)),J205&lt;0),"Spend or time missing",IF(COUNTIFS('Cases overview'!$A$7:$A$306,B205,'Cases overview'!$J$7:$J$306,I205)&lt;&gt;1,"Currency mismatch",IF(AND(M205&lt;&gt;"",OR(M205=A205,COUNTIFS('Execution log'!$A$7:$A$306,M205,'Execution log'!$B$7:$B$306,B205,'Execution log'!$L$7:$L$306,"Corrected")&lt;&gt;1)),"Correction ref to check","Valid input"))))))))))</x:f>
      </x:c>
    </x:row>
    <x:row r="206" ht="25" customHeight="1">
      <x:c r="A206" s="3"/>
      <x:c r="B206" s="3"/>
      <x:c r="C206" s="3"/>
      <x:c r="D206" s="3"/>
      <x:c r="E206" s="25"/>
      <x:c r="F206" s="25"/>
      <x:c r="G206" s="3"/>
      <x:c r="H206" s="22"/>
      <x:c r="I206" s="3"/>
      <x:c r="J206" s="22"/>
      <x:c r="K206" s="3"/>
      <x:c r="L206" s="3"/>
      <x:c r="M206" s="3"/>
      <x:c r="N206" s="3"/>
      <x:c r="O206" s="3"/>
      <x:c r="P206" s="19" t="str">
        <x:f>IF(A206="","",IF(COUNTIFS('Execution log'!$A$7:$A$306,A206)&lt;&gt;1,"Duplicate ID",IF(COUNTIFS('Cases overview'!$A$7:$A$306,B206)&lt;&gt;1,"Invalid case ref",IF(OR(L206="Corrected",L206="Revoked"),"Excluded from totals",IF(L206&lt;&gt;"Valid","Record status missing",IF(COUNTIFS('Plan versions'!$A$7:$A$306,C206,'Plan versions'!$B$7:$B$306,B206,'Plan versions'!$L$7:$L$306,"Frozen")&lt;&gt;1,"Invalid plan ref",IF(OR(D206="",NOT(ISNUMBER(E206)),NOT(ISNUMBER(F206)),G206="",K206=""),"Execution info missing",IF(OR(NOT(ISNUMBER(H206)),H206&lt;0,NOT(ISNUMBER(J206)),J206&lt;0),"Spend or time missing",IF(COUNTIFS('Cases overview'!$A$7:$A$306,B206,'Cases overview'!$J$7:$J$306,I206)&lt;&gt;1,"Currency mismatch",IF(AND(M206&lt;&gt;"",OR(M206=A206,COUNTIFS('Execution log'!$A$7:$A$306,M206,'Execution log'!$B$7:$B$306,B206,'Execution log'!$L$7:$L$306,"Corrected")&lt;&gt;1)),"Correction ref to check","Valid input"))))))))))</x:f>
      </x:c>
    </x:row>
    <x:row r="207" ht="25" customHeight="1">
      <x:c r="A207" s="3"/>
      <x:c r="B207" s="3"/>
      <x:c r="C207" s="3"/>
      <x:c r="D207" s="3"/>
      <x:c r="E207" s="25"/>
      <x:c r="F207" s="25"/>
      <x:c r="G207" s="3"/>
      <x:c r="H207" s="22"/>
      <x:c r="I207" s="3"/>
      <x:c r="J207" s="22"/>
      <x:c r="K207" s="3"/>
      <x:c r="L207" s="3"/>
      <x:c r="M207" s="3"/>
      <x:c r="N207" s="3"/>
      <x:c r="O207" s="3"/>
      <x:c r="P207" s="19" t="str">
        <x:f>IF(A207="","",IF(COUNTIFS('Execution log'!$A$7:$A$306,A207)&lt;&gt;1,"Duplicate ID",IF(COUNTIFS('Cases overview'!$A$7:$A$306,B207)&lt;&gt;1,"Invalid case ref",IF(OR(L207="Corrected",L207="Revoked"),"Excluded from totals",IF(L207&lt;&gt;"Valid","Record status missing",IF(COUNTIFS('Plan versions'!$A$7:$A$306,C207,'Plan versions'!$B$7:$B$306,B207,'Plan versions'!$L$7:$L$306,"Frozen")&lt;&gt;1,"Invalid plan ref",IF(OR(D207="",NOT(ISNUMBER(E207)),NOT(ISNUMBER(F207)),G207="",K207=""),"Execution info missing",IF(OR(NOT(ISNUMBER(H207)),H207&lt;0,NOT(ISNUMBER(J207)),J207&lt;0),"Spend or time missing",IF(COUNTIFS('Cases overview'!$A$7:$A$306,B207,'Cases overview'!$J$7:$J$306,I207)&lt;&gt;1,"Currency mismatch",IF(AND(M207&lt;&gt;"",OR(M207=A207,COUNTIFS('Execution log'!$A$7:$A$306,M207,'Execution log'!$B$7:$B$306,B207,'Execution log'!$L$7:$L$306,"Corrected")&lt;&gt;1)),"Correction ref to check","Valid input"))))))))))</x:f>
      </x:c>
    </x:row>
    <x:row r="208" ht="25" customHeight="1">
      <x:c r="A208" s="3"/>
      <x:c r="B208" s="3"/>
      <x:c r="C208" s="3"/>
      <x:c r="D208" s="3"/>
      <x:c r="E208" s="25"/>
      <x:c r="F208" s="25"/>
      <x:c r="G208" s="3"/>
      <x:c r="H208" s="22"/>
      <x:c r="I208" s="3"/>
      <x:c r="J208" s="22"/>
      <x:c r="K208" s="3"/>
      <x:c r="L208" s="3"/>
      <x:c r="M208" s="3"/>
      <x:c r="N208" s="3"/>
      <x:c r="O208" s="3"/>
      <x:c r="P208" s="19" t="str">
        <x:f>IF(A208="","",IF(COUNTIFS('Execution log'!$A$7:$A$306,A208)&lt;&gt;1,"Duplicate ID",IF(COUNTIFS('Cases overview'!$A$7:$A$306,B208)&lt;&gt;1,"Invalid case ref",IF(OR(L208="Corrected",L208="Revoked"),"Excluded from totals",IF(L208&lt;&gt;"Valid","Record status missing",IF(COUNTIFS('Plan versions'!$A$7:$A$306,C208,'Plan versions'!$B$7:$B$306,B208,'Plan versions'!$L$7:$L$306,"Frozen")&lt;&gt;1,"Invalid plan ref",IF(OR(D208="",NOT(ISNUMBER(E208)),NOT(ISNUMBER(F208)),G208="",K208=""),"Execution info missing",IF(OR(NOT(ISNUMBER(H208)),H208&lt;0,NOT(ISNUMBER(J208)),J208&lt;0),"Spend or time missing",IF(COUNTIFS('Cases overview'!$A$7:$A$306,B208,'Cases overview'!$J$7:$J$306,I208)&lt;&gt;1,"Currency mismatch",IF(AND(M208&lt;&gt;"",OR(M208=A208,COUNTIFS('Execution log'!$A$7:$A$306,M208,'Execution log'!$B$7:$B$306,B208,'Execution log'!$L$7:$L$306,"Corrected")&lt;&gt;1)),"Correction ref to check","Valid input"))))))))))</x:f>
      </x:c>
    </x:row>
    <x:row r="209" ht="25" customHeight="1">
      <x:c r="A209" s="3"/>
      <x:c r="B209" s="3"/>
      <x:c r="C209" s="3"/>
      <x:c r="D209" s="3"/>
      <x:c r="E209" s="25"/>
      <x:c r="F209" s="25"/>
      <x:c r="G209" s="3"/>
      <x:c r="H209" s="22"/>
      <x:c r="I209" s="3"/>
      <x:c r="J209" s="22"/>
      <x:c r="K209" s="3"/>
      <x:c r="L209" s="3"/>
      <x:c r="M209" s="3"/>
      <x:c r="N209" s="3"/>
      <x:c r="O209" s="3"/>
      <x:c r="P209" s="19" t="str">
        <x:f>IF(A209="","",IF(COUNTIFS('Execution log'!$A$7:$A$306,A209)&lt;&gt;1,"Duplicate ID",IF(COUNTIFS('Cases overview'!$A$7:$A$306,B209)&lt;&gt;1,"Invalid case ref",IF(OR(L209="Corrected",L209="Revoked"),"Excluded from totals",IF(L209&lt;&gt;"Valid","Record status missing",IF(COUNTIFS('Plan versions'!$A$7:$A$306,C209,'Plan versions'!$B$7:$B$306,B209,'Plan versions'!$L$7:$L$306,"Frozen")&lt;&gt;1,"Invalid plan ref",IF(OR(D209="",NOT(ISNUMBER(E209)),NOT(ISNUMBER(F209)),G209="",K209=""),"Execution info missing",IF(OR(NOT(ISNUMBER(H209)),H209&lt;0,NOT(ISNUMBER(J209)),J209&lt;0),"Spend or time missing",IF(COUNTIFS('Cases overview'!$A$7:$A$306,B209,'Cases overview'!$J$7:$J$306,I209)&lt;&gt;1,"Currency mismatch",IF(AND(M209&lt;&gt;"",OR(M209=A209,COUNTIFS('Execution log'!$A$7:$A$306,M209,'Execution log'!$B$7:$B$306,B209,'Execution log'!$L$7:$L$306,"Corrected")&lt;&gt;1)),"Correction ref to check","Valid input"))))))))))</x:f>
      </x:c>
    </x:row>
    <x:row r="210" ht="25" customHeight="1">
      <x:c r="A210" s="3"/>
      <x:c r="B210" s="3"/>
      <x:c r="C210" s="3"/>
      <x:c r="D210" s="3"/>
      <x:c r="E210" s="25"/>
      <x:c r="F210" s="25"/>
      <x:c r="G210" s="3"/>
      <x:c r="H210" s="22"/>
      <x:c r="I210" s="3"/>
      <x:c r="J210" s="22"/>
      <x:c r="K210" s="3"/>
      <x:c r="L210" s="3"/>
      <x:c r="M210" s="3"/>
      <x:c r="N210" s="3"/>
      <x:c r="O210" s="3"/>
      <x:c r="P210" s="19" t="str">
        <x:f>IF(A210="","",IF(COUNTIFS('Execution log'!$A$7:$A$306,A210)&lt;&gt;1,"Duplicate ID",IF(COUNTIFS('Cases overview'!$A$7:$A$306,B210)&lt;&gt;1,"Invalid case ref",IF(OR(L210="Corrected",L210="Revoked"),"Excluded from totals",IF(L210&lt;&gt;"Valid","Record status missing",IF(COUNTIFS('Plan versions'!$A$7:$A$306,C210,'Plan versions'!$B$7:$B$306,B210,'Plan versions'!$L$7:$L$306,"Frozen")&lt;&gt;1,"Invalid plan ref",IF(OR(D210="",NOT(ISNUMBER(E210)),NOT(ISNUMBER(F210)),G210="",K210=""),"Execution info missing",IF(OR(NOT(ISNUMBER(H210)),H210&lt;0,NOT(ISNUMBER(J210)),J210&lt;0),"Spend or time missing",IF(COUNTIFS('Cases overview'!$A$7:$A$306,B210,'Cases overview'!$J$7:$J$306,I210)&lt;&gt;1,"Currency mismatch",IF(AND(M210&lt;&gt;"",OR(M210=A210,COUNTIFS('Execution log'!$A$7:$A$306,M210,'Execution log'!$B$7:$B$306,B210,'Execution log'!$L$7:$L$306,"Corrected")&lt;&gt;1)),"Correction ref to check","Valid input"))))))))))</x:f>
      </x:c>
    </x:row>
    <x:row r="211" ht="25" customHeight="1">
      <x:c r="A211" s="3"/>
      <x:c r="B211" s="3"/>
      <x:c r="C211" s="3"/>
      <x:c r="D211" s="3"/>
      <x:c r="E211" s="25"/>
      <x:c r="F211" s="25"/>
      <x:c r="G211" s="3"/>
      <x:c r="H211" s="22"/>
      <x:c r="I211" s="3"/>
      <x:c r="J211" s="22"/>
      <x:c r="K211" s="3"/>
      <x:c r="L211" s="3"/>
      <x:c r="M211" s="3"/>
      <x:c r="N211" s="3"/>
      <x:c r="O211" s="3"/>
      <x:c r="P211" s="19" t="str">
        <x:f>IF(A211="","",IF(COUNTIFS('Execution log'!$A$7:$A$306,A211)&lt;&gt;1,"Duplicate ID",IF(COUNTIFS('Cases overview'!$A$7:$A$306,B211)&lt;&gt;1,"Invalid case ref",IF(OR(L211="Corrected",L211="Revoked"),"Excluded from totals",IF(L211&lt;&gt;"Valid","Record status missing",IF(COUNTIFS('Plan versions'!$A$7:$A$306,C211,'Plan versions'!$B$7:$B$306,B211,'Plan versions'!$L$7:$L$306,"Frozen")&lt;&gt;1,"Invalid plan ref",IF(OR(D211="",NOT(ISNUMBER(E211)),NOT(ISNUMBER(F211)),G211="",K211=""),"Execution info missing",IF(OR(NOT(ISNUMBER(H211)),H211&lt;0,NOT(ISNUMBER(J211)),J211&lt;0),"Spend or time missing",IF(COUNTIFS('Cases overview'!$A$7:$A$306,B211,'Cases overview'!$J$7:$J$306,I211)&lt;&gt;1,"Currency mismatch",IF(AND(M211&lt;&gt;"",OR(M211=A211,COUNTIFS('Execution log'!$A$7:$A$306,M211,'Execution log'!$B$7:$B$306,B211,'Execution log'!$L$7:$L$306,"Corrected")&lt;&gt;1)),"Correction ref to check","Valid input"))))))))))</x:f>
      </x:c>
    </x:row>
    <x:row r="212" ht="25" customHeight="1">
      <x:c r="A212" s="3"/>
      <x:c r="B212" s="3"/>
      <x:c r="C212" s="3"/>
      <x:c r="D212" s="3"/>
      <x:c r="E212" s="25"/>
      <x:c r="F212" s="25"/>
      <x:c r="G212" s="3"/>
      <x:c r="H212" s="22"/>
      <x:c r="I212" s="3"/>
      <x:c r="J212" s="22"/>
      <x:c r="K212" s="3"/>
      <x:c r="L212" s="3"/>
      <x:c r="M212" s="3"/>
      <x:c r="N212" s="3"/>
      <x:c r="O212" s="3"/>
      <x:c r="P212" s="19" t="str">
        <x:f>IF(A212="","",IF(COUNTIFS('Execution log'!$A$7:$A$306,A212)&lt;&gt;1,"Duplicate ID",IF(COUNTIFS('Cases overview'!$A$7:$A$306,B212)&lt;&gt;1,"Invalid case ref",IF(OR(L212="Corrected",L212="Revoked"),"Excluded from totals",IF(L212&lt;&gt;"Valid","Record status missing",IF(COUNTIFS('Plan versions'!$A$7:$A$306,C212,'Plan versions'!$B$7:$B$306,B212,'Plan versions'!$L$7:$L$306,"Frozen")&lt;&gt;1,"Invalid plan ref",IF(OR(D212="",NOT(ISNUMBER(E212)),NOT(ISNUMBER(F212)),G212="",K212=""),"Execution info missing",IF(OR(NOT(ISNUMBER(H212)),H212&lt;0,NOT(ISNUMBER(J212)),J212&lt;0),"Spend or time missing",IF(COUNTIFS('Cases overview'!$A$7:$A$306,B212,'Cases overview'!$J$7:$J$306,I212)&lt;&gt;1,"Currency mismatch",IF(AND(M212&lt;&gt;"",OR(M212=A212,COUNTIFS('Execution log'!$A$7:$A$306,M212,'Execution log'!$B$7:$B$306,B212,'Execution log'!$L$7:$L$306,"Corrected")&lt;&gt;1)),"Correction ref to check","Valid input"))))))))))</x:f>
      </x:c>
    </x:row>
    <x:row r="213" ht="25" customHeight="1">
      <x:c r="A213" s="3"/>
      <x:c r="B213" s="3"/>
      <x:c r="C213" s="3"/>
      <x:c r="D213" s="3"/>
      <x:c r="E213" s="25"/>
      <x:c r="F213" s="25"/>
      <x:c r="G213" s="3"/>
      <x:c r="H213" s="22"/>
      <x:c r="I213" s="3"/>
      <x:c r="J213" s="22"/>
      <x:c r="K213" s="3"/>
      <x:c r="L213" s="3"/>
      <x:c r="M213" s="3"/>
      <x:c r="N213" s="3"/>
      <x:c r="O213" s="3"/>
      <x:c r="P213" s="19" t="str">
        <x:f>IF(A213="","",IF(COUNTIFS('Execution log'!$A$7:$A$306,A213)&lt;&gt;1,"Duplicate ID",IF(COUNTIFS('Cases overview'!$A$7:$A$306,B213)&lt;&gt;1,"Invalid case ref",IF(OR(L213="Corrected",L213="Revoked"),"Excluded from totals",IF(L213&lt;&gt;"Valid","Record status missing",IF(COUNTIFS('Plan versions'!$A$7:$A$306,C213,'Plan versions'!$B$7:$B$306,B213,'Plan versions'!$L$7:$L$306,"Frozen")&lt;&gt;1,"Invalid plan ref",IF(OR(D213="",NOT(ISNUMBER(E213)),NOT(ISNUMBER(F213)),G213="",K213=""),"Execution info missing",IF(OR(NOT(ISNUMBER(H213)),H213&lt;0,NOT(ISNUMBER(J213)),J213&lt;0),"Spend or time missing",IF(COUNTIFS('Cases overview'!$A$7:$A$306,B213,'Cases overview'!$J$7:$J$306,I213)&lt;&gt;1,"Currency mismatch",IF(AND(M213&lt;&gt;"",OR(M213=A213,COUNTIFS('Execution log'!$A$7:$A$306,M213,'Execution log'!$B$7:$B$306,B213,'Execution log'!$L$7:$L$306,"Corrected")&lt;&gt;1)),"Correction ref to check","Valid input"))))))))))</x:f>
      </x:c>
    </x:row>
    <x:row r="214" ht="25" customHeight="1">
      <x:c r="A214" s="3"/>
      <x:c r="B214" s="3"/>
      <x:c r="C214" s="3"/>
      <x:c r="D214" s="3"/>
      <x:c r="E214" s="25"/>
      <x:c r="F214" s="25"/>
      <x:c r="G214" s="3"/>
      <x:c r="H214" s="22"/>
      <x:c r="I214" s="3"/>
      <x:c r="J214" s="22"/>
      <x:c r="K214" s="3"/>
      <x:c r="L214" s="3"/>
      <x:c r="M214" s="3"/>
      <x:c r="N214" s="3"/>
      <x:c r="O214" s="3"/>
      <x:c r="P214" s="19" t="str">
        <x:f>IF(A214="","",IF(COUNTIFS('Execution log'!$A$7:$A$306,A214)&lt;&gt;1,"Duplicate ID",IF(COUNTIFS('Cases overview'!$A$7:$A$306,B214)&lt;&gt;1,"Invalid case ref",IF(OR(L214="Corrected",L214="Revoked"),"Excluded from totals",IF(L214&lt;&gt;"Valid","Record status missing",IF(COUNTIFS('Plan versions'!$A$7:$A$306,C214,'Plan versions'!$B$7:$B$306,B214,'Plan versions'!$L$7:$L$306,"Frozen")&lt;&gt;1,"Invalid plan ref",IF(OR(D214="",NOT(ISNUMBER(E214)),NOT(ISNUMBER(F214)),G214="",K214=""),"Execution info missing",IF(OR(NOT(ISNUMBER(H214)),H214&lt;0,NOT(ISNUMBER(J214)),J214&lt;0),"Spend or time missing",IF(COUNTIFS('Cases overview'!$A$7:$A$306,B214,'Cases overview'!$J$7:$J$306,I214)&lt;&gt;1,"Currency mismatch",IF(AND(M214&lt;&gt;"",OR(M214=A214,COUNTIFS('Execution log'!$A$7:$A$306,M214,'Execution log'!$B$7:$B$306,B214,'Execution log'!$L$7:$L$306,"Corrected")&lt;&gt;1)),"Correction ref to check","Valid input"))))))))))</x:f>
      </x:c>
    </x:row>
    <x:row r="215" ht="25" customHeight="1">
      <x:c r="A215" s="3"/>
      <x:c r="B215" s="3"/>
      <x:c r="C215" s="3"/>
      <x:c r="D215" s="3"/>
      <x:c r="E215" s="25"/>
      <x:c r="F215" s="25"/>
      <x:c r="G215" s="3"/>
      <x:c r="H215" s="22"/>
      <x:c r="I215" s="3"/>
      <x:c r="J215" s="22"/>
      <x:c r="K215" s="3"/>
      <x:c r="L215" s="3"/>
      <x:c r="M215" s="3"/>
      <x:c r="N215" s="3"/>
      <x:c r="O215" s="3"/>
      <x:c r="P215" s="19" t="str">
        <x:f>IF(A215="","",IF(COUNTIFS('Execution log'!$A$7:$A$306,A215)&lt;&gt;1,"Duplicate ID",IF(COUNTIFS('Cases overview'!$A$7:$A$306,B215)&lt;&gt;1,"Invalid case ref",IF(OR(L215="Corrected",L215="Revoked"),"Excluded from totals",IF(L215&lt;&gt;"Valid","Record status missing",IF(COUNTIFS('Plan versions'!$A$7:$A$306,C215,'Plan versions'!$B$7:$B$306,B215,'Plan versions'!$L$7:$L$306,"Frozen")&lt;&gt;1,"Invalid plan ref",IF(OR(D215="",NOT(ISNUMBER(E215)),NOT(ISNUMBER(F215)),G215="",K215=""),"Execution info missing",IF(OR(NOT(ISNUMBER(H215)),H215&lt;0,NOT(ISNUMBER(J215)),J215&lt;0),"Spend or time missing",IF(COUNTIFS('Cases overview'!$A$7:$A$306,B215,'Cases overview'!$J$7:$J$306,I215)&lt;&gt;1,"Currency mismatch",IF(AND(M215&lt;&gt;"",OR(M215=A215,COUNTIFS('Execution log'!$A$7:$A$306,M215,'Execution log'!$B$7:$B$306,B215,'Execution log'!$L$7:$L$306,"Corrected")&lt;&gt;1)),"Correction ref to check","Valid input"))))))))))</x:f>
      </x:c>
    </x:row>
    <x:row r="216" ht="25" customHeight="1">
      <x:c r="A216" s="3"/>
      <x:c r="B216" s="3"/>
      <x:c r="C216" s="3"/>
      <x:c r="D216" s="3"/>
      <x:c r="E216" s="25"/>
      <x:c r="F216" s="25"/>
      <x:c r="G216" s="3"/>
      <x:c r="H216" s="22"/>
      <x:c r="I216" s="3"/>
      <x:c r="J216" s="22"/>
      <x:c r="K216" s="3"/>
      <x:c r="L216" s="3"/>
      <x:c r="M216" s="3"/>
      <x:c r="N216" s="3"/>
      <x:c r="O216" s="3"/>
      <x:c r="P216" s="19" t="str">
        <x:f>IF(A216="","",IF(COUNTIFS('Execution log'!$A$7:$A$306,A216)&lt;&gt;1,"Duplicate ID",IF(COUNTIFS('Cases overview'!$A$7:$A$306,B216)&lt;&gt;1,"Invalid case ref",IF(OR(L216="Corrected",L216="Revoked"),"Excluded from totals",IF(L216&lt;&gt;"Valid","Record status missing",IF(COUNTIFS('Plan versions'!$A$7:$A$306,C216,'Plan versions'!$B$7:$B$306,B216,'Plan versions'!$L$7:$L$306,"Frozen")&lt;&gt;1,"Invalid plan ref",IF(OR(D216="",NOT(ISNUMBER(E216)),NOT(ISNUMBER(F216)),G216="",K216=""),"Execution info missing",IF(OR(NOT(ISNUMBER(H216)),H216&lt;0,NOT(ISNUMBER(J216)),J216&lt;0),"Spend or time missing",IF(COUNTIFS('Cases overview'!$A$7:$A$306,B216,'Cases overview'!$J$7:$J$306,I216)&lt;&gt;1,"Currency mismatch",IF(AND(M216&lt;&gt;"",OR(M216=A216,COUNTIFS('Execution log'!$A$7:$A$306,M216,'Execution log'!$B$7:$B$306,B216,'Execution log'!$L$7:$L$306,"Corrected")&lt;&gt;1)),"Correction ref to check","Valid input"))))))))))</x:f>
      </x:c>
    </x:row>
    <x:row r="217" ht="25" customHeight="1">
      <x:c r="A217" s="3"/>
      <x:c r="B217" s="3"/>
      <x:c r="C217" s="3"/>
      <x:c r="D217" s="3"/>
      <x:c r="E217" s="25"/>
      <x:c r="F217" s="25"/>
      <x:c r="G217" s="3"/>
      <x:c r="H217" s="22"/>
      <x:c r="I217" s="3"/>
      <x:c r="J217" s="22"/>
      <x:c r="K217" s="3"/>
      <x:c r="L217" s="3"/>
      <x:c r="M217" s="3"/>
      <x:c r="N217" s="3"/>
      <x:c r="O217" s="3"/>
      <x:c r="P217" s="19" t="str">
        <x:f>IF(A217="","",IF(COUNTIFS('Execution log'!$A$7:$A$306,A217)&lt;&gt;1,"Duplicate ID",IF(COUNTIFS('Cases overview'!$A$7:$A$306,B217)&lt;&gt;1,"Invalid case ref",IF(OR(L217="Corrected",L217="Revoked"),"Excluded from totals",IF(L217&lt;&gt;"Valid","Record status missing",IF(COUNTIFS('Plan versions'!$A$7:$A$306,C217,'Plan versions'!$B$7:$B$306,B217,'Plan versions'!$L$7:$L$306,"Frozen")&lt;&gt;1,"Invalid plan ref",IF(OR(D217="",NOT(ISNUMBER(E217)),NOT(ISNUMBER(F217)),G217="",K217=""),"Execution info missing",IF(OR(NOT(ISNUMBER(H217)),H217&lt;0,NOT(ISNUMBER(J217)),J217&lt;0),"Spend or time missing",IF(COUNTIFS('Cases overview'!$A$7:$A$306,B217,'Cases overview'!$J$7:$J$306,I217)&lt;&gt;1,"Currency mismatch",IF(AND(M217&lt;&gt;"",OR(M217=A217,COUNTIFS('Execution log'!$A$7:$A$306,M217,'Execution log'!$B$7:$B$306,B217,'Execution log'!$L$7:$L$306,"Corrected")&lt;&gt;1)),"Correction ref to check","Valid input"))))))))))</x:f>
      </x:c>
    </x:row>
    <x:row r="218" ht="25" customHeight="1">
      <x:c r="A218" s="3"/>
      <x:c r="B218" s="3"/>
      <x:c r="C218" s="3"/>
      <x:c r="D218" s="3"/>
      <x:c r="E218" s="25"/>
      <x:c r="F218" s="25"/>
      <x:c r="G218" s="3"/>
      <x:c r="H218" s="22"/>
      <x:c r="I218" s="3"/>
      <x:c r="J218" s="22"/>
      <x:c r="K218" s="3"/>
      <x:c r="L218" s="3"/>
      <x:c r="M218" s="3"/>
      <x:c r="N218" s="3"/>
      <x:c r="O218" s="3"/>
      <x:c r="P218" s="19" t="str">
        <x:f>IF(A218="","",IF(COUNTIFS('Execution log'!$A$7:$A$306,A218)&lt;&gt;1,"Duplicate ID",IF(COUNTIFS('Cases overview'!$A$7:$A$306,B218)&lt;&gt;1,"Invalid case ref",IF(OR(L218="Corrected",L218="Revoked"),"Excluded from totals",IF(L218&lt;&gt;"Valid","Record status missing",IF(COUNTIFS('Plan versions'!$A$7:$A$306,C218,'Plan versions'!$B$7:$B$306,B218,'Plan versions'!$L$7:$L$306,"Frozen")&lt;&gt;1,"Invalid plan ref",IF(OR(D218="",NOT(ISNUMBER(E218)),NOT(ISNUMBER(F218)),G218="",K218=""),"Execution info missing",IF(OR(NOT(ISNUMBER(H218)),H218&lt;0,NOT(ISNUMBER(J218)),J218&lt;0),"Spend or time missing",IF(COUNTIFS('Cases overview'!$A$7:$A$306,B218,'Cases overview'!$J$7:$J$306,I218)&lt;&gt;1,"Currency mismatch",IF(AND(M218&lt;&gt;"",OR(M218=A218,COUNTIFS('Execution log'!$A$7:$A$306,M218,'Execution log'!$B$7:$B$306,B218,'Execution log'!$L$7:$L$306,"Corrected")&lt;&gt;1)),"Correction ref to check","Valid input"))))))))))</x:f>
      </x:c>
    </x:row>
    <x:row r="219" ht="25" customHeight="1">
      <x:c r="A219" s="3"/>
      <x:c r="B219" s="3"/>
      <x:c r="C219" s="3"/>
      <x:c r="D219" s="3"/>
      <x:c r="E219" s="25"/>
      <x:c r="F219" s="25"/>
      <x:c r="G219" s="3"/>
      <x:c r="H219" s="22"/>
      <x:c r="I219" s="3"/>
      <x:c r="J219" s="22"/>
      <x:c r="K219" s="3"/>
      <x:c r="L219" s="3"/>
      <x:c r="M219" s="3"/>
      <x:c r="N219" s="3"/>
      <x:c r="O219" s="3"/>
      <x:c r="P219" s="19" t="str">
        <x:f>IF(A219="","",IF(COUNTIFS('Execution log'!$A$7:$A$306,A219)&lt;&gt;1,"Duplicate ID",IF(COUNTIFS('Cases overview'!$A$7:$A$306,B219)&lt;&gt;1,"Invalid case ref",IF(OR(L219="Corrected",L219="Revoked"),"Excluded from totals",IF(L219&lt;&gt;"Valid","Record status missing",IF(COUNTIFS('Plan versions'!$A$7:$A$306,C219,'Plan versions'!$B$7:$B$306,B219,'Plan versions'!$L$7:$L$306,"Frozen")&lt;&gt;1,"Invalid plan ref",IF(OR(D219="",NOT(ISNUMBER(E219)),NOT(ISNUMBER(F219)),G219="",K219=""),"Execution info missing",IF(OR(NOT(ISNUMBER(H219)),H219&lt;0,NOT(ISNUMBER(J219)),J219&lt;0),"Spend or time missing",IF(COUNTIFS('Cases overview'!$A$7:$A$306,B219,'Cases overview'!$J$7:$J$306,I219)&lt;&gt;1,"Currency mismatch",IF(AND(M219&lt;&gt;"",OR(M219=A219,COUNTIFS('Execution log'!$A$7:$A$306,M219,'Execution log'!$B$7:$B$306,B219,'Execution log'!$L$7:$L$306,"Corrected")&lt;&gt;1)),"Correction ref to check","Valid input"))))))))))</x:f>
      </x:c>
    </x:row>
    <x:row r="220" ht="25" customHeight="1">
      <x:c r="A220" s="3"/>
      <x:c r="B220" s="3"/>
      <x:c r="C220" s="3"/>
      <x:c r="D220" s="3"/>
      <x:c r="E220" s="25"/>
      <x:c r="F220" s="25"/>
      <x:c r="G220" s="3"/>
      <x:c r="H220" s="22"/>
      <x:c r="I220" s="3"/>
      <x:c r="J220" s="22"/>
      <x:c r="K220" s="3"/>
      <x:c r="L220" s="3"/>
      <x:c r="M220" s="3"/>
      <x:c r="N220" s="3"/>
      <x:c r="O220" s="3"/>
      <x:c r="P220" s="19" t="str">
        <x:f>IF(A220="","",IF(COUNTIFS('Execution log'!$A$7:$A$306,A220)&lt;&gt;1,"Duplicate ID",IF(COUNTIFS('Cases overview'!$A$7:$A$306,B220)&lt;&gt;1,"Invalid case ref",IF(OR(L220="Corrected",L220="Revoked"),"Excluded from totals",IF(L220&lt;&gt;"Valid","Record status missing",IF(COUNTIFS('Plan versions'!$A$7:$A$306,C220,'Plan versions'!$B$7:$B$306,B220,'Plan versions'!$L$7:$L$306,"Frozen")&lt;&gt;1,"Invalid plan ref",IF(OR(D220="",NOT(ISNUMBER(E220)),NOT(ISNUMBER(F220)),G220="",K220=""),"Execution info missing",IF(OR(NOT(ISNUMBER(H220)),H220&lt;0,NOT(ISNUMBER(J220)),J220&lt;0),"Spend or time missing",IF(COUNTIFS('Cases overview'!$A$7:$A$306,B220,'Cases overview'!$J$7:$J$306,I220)&lt;&gt;1,"Currency mismatch",IF(AND(M220&lt;&gt;"",OR(M220=A220,COUNTIFS('Execution log'!$A$7:$A$306,M220,'Execution log'!$B$7:$B$306,B220,'Execution log'!$L$7:$L$306,"Corrected")&lt;&gt;1)),"Correction ref to check","Valid input"))))))))))</x:f>
      </x:c>
    </x:row>
    <x:row r="221" ht="25" customHeight="1">
      <x:c r="A221" s="3"/>
      <x:c r="B221" s="3"/>
      <x:c r="C221" s="3"/>
      <x:c r="D221" s="3"/>
      <x:c r="E221" s="25"/>
      <x:c r="F221" s="25"/>
      <x:c r="G221" s="3"/>
      <x:c r="H221" s="22"/>
      <x:c r="I221" s="3"/>
      <x:c r="J221" s="22"/>
      <x:c r="K221" s="3"/>
      <x:c r="L221" s="3"/>
      <x:c r="M221" s="3"/>
      <x:c r="N221" s="3"/>
      <x:c r="O221" s="3"/>
      <x:c r="P221" s="19" t="str">
        <x:f>IF(A221="","",IF(COUNTIFS('Execution log'!$A$7:$A$306,A221)&lt;&gt;1,"Duplicate ID",IF(COUNTIFS('Cases overview'!$A$7:$A$306,B221)&lt;&gt;1,"Invalid case ref",IF(OR(L221="Corrected",L221="Revoked"),"Excluded from totals",IF(L221&lt;&gt;"Valid","Record status missing",IF(COUNTIFS('Plan versions'!$A$7:$A$306,C221,'Plan versions'!$B$7:$B$306,B221,'Plan versions'!$L$7:$L$306,"Frozen")&lt;&gt;1,"Invalid plan ref",IF(OR(D221="",NOT(ISNUMBER(E221)),NOT(ISNUMBER(F221)),G221="",K221=""),"Execution info missing",IF(OR(NOT(ISNUMBER(H221)),H221&lt;0,NOT(ISNUMBER(J221)),J221&lt;0),"Spend or time missing",IF(COUNTIFS('Cases overview'!$A$7:$A$306,B221,'Cases overview'!$J$7:$J$306,I221)&lt;&gt;1,"Currency mismatch",IF(AND(M221&lt;&gt;"",OR(M221=A221,COUNTIFS('Execution log'!$A$7:$A$306,M221,'Execution log'!$B$7:$B$306,B221,'Execution log'!$L$7:$L$306,"Corrected")&lt;&gt;1)),"Correction ref to check","Valid input"))))))))))</x:f>
      </x:c>
    </x:row>
    <x:row r="222" ht="25" customHeight="1">
      <x:c r="A222" s="3"/>
      <x:c r="B222" s="3"/>
      <x:c r="C222" s="3"/>
      <x:c r="D222" s="3"/>
      <x:c r="E222" s="25"/>
      <x:c r="F222" s="25"/>
      <x:c r="G222" s="3"/>
      <x:c r="H222" s="22"/>
      <x:c r="I222" s="3"/>
      <x:c r="J222" s="22"/>
      <x:c r="K222" s="3"/>
      <x:c r="L222" s="3"/>
      <x:c r="M222" s="3"/>
      <x:c r="N222" s="3"/>
      <x:c r="O222" s="3"/>
      <x:c r="P222" s="19" t="str">
        <x:f>IF(A222="","",IF(COUNTIFS('Execution log'!$A$7:$A$306,A222)&lt;&gt;1,"Duplicate ID",IF(COUNTIFS('Cases overview'!$A$7:$A$306,B222)&lt;&gt;1,"Invalid case ref",IF(OR(L222="Corrected",L222="Revoked"),"Excluded from totals",IF(L222&lt;&gt;"Valid","Record status missing",IF(COUNTIFS('Plan versions'!$A$7:$A$306,C222,'Plan versions'!$B$7:$B$306,B222,'Plan versions'!$L$7:$L$306,"Frozen")&lt;&gt;1,"Invalid plan ref",IF(OR(D222="",NOT(ISNUMBER(E222)),NOT(ISNUMBER(F222)),G222="",K222=""),"Execution info missing",IF(OR(NOT(ISNUMBER(H222)),H222&lt;0,NOT(ISNUMBER(J222)),J222&lt;0),"Spend or time missing",IF(COUNTIFS('Cases overview'!$A$7:$A$306,B222,'Cases overview'!$J$7:$J$306,I222)&lt;&gt;1,"Currency mismatch",IF(AND(M222&lt;&gt;"",OR(M222=A222,COUNTIFS('Execution log'!$A$7:$A$306,M222,'Execution log'!$B$7:$B$306,B222,'Execution log'!$L$7:$L$306,"Corrected")&lt;&gt;1)),"Correction ref to check","Valid input"))))))))))</x:f>
      </x:c>
    </x:row>
    <x:row r="223" ht="25" customHeight="1">
      <x:c r="A223" s="3"/>
      <x:c r="B223" s="3"/>
      <x:c r="C223" s="3"/>
      <x:c r="D223" s="3"/>
      <x:c r="E223" s="25"/>
      <x:c r="F223" s="25"/>
      <x:c r="G223" s="3"/>
      <x:c r="H223" s="22"/>
      <x:c r="I223" s="3"/>
      <x:c r="J223" s="22"/>
      <x:c r="K223" s="3"/>
      <x:c r="L223" s="3"/>
      <x:c r="M223" s="3"/>
      <x:c r="N223" s="3"/>
      <x:c r="O223" s="3"/>
      <x:c r="P223" s="19" t="str">
        <x:f>IF(A223="","",IF(COUNTIFS('Execution log'!$A$7:$A$306,A223)&lt;&gt;1,"Duplicate ID",IF(COUNTIFS('Cases overview'!$A$7:$A$306,B223)&lt;&gt;1,"Invalid case ref",IF(OR(L223="Corrected",L223="Revoked"),"Excluded from totals",IF(L223&lt;&gt;"Valid","Record status missing",IF(COUNTIFS('Plan versions'!$A$7:$A$306,C223,'Plan versions'!$B$7:$B$306,B223,'Plan versions'!$L$7:$L$306,"Frozen")&lt;&gt;1,"Invalid plan ref",IF(OR(D223="",NOT(ISNUMBER(E223)),NOT(ISNUMBER(F223)),G223="",K223=""),"Execution info missing",IF(OR(NOT(ISNUMBER(H223)),H223&lt;0,NOT(ISNUMBER(J223)),J223&lt;0),"Spend or time missing",IF(COUNTIFS('Cases overview'!$A$7:$A$306,B223,'Cases overview'!$J$7:$J$306,I223)&lt;&gt;1,"Currency mismatch",IF(AND(M223&lt;&gt;"",OR(M223=A223,COUNTIFS('Execution log'!$A$7:$A$306,M223,'Execution log'!$B$7:$B$306,B223,'Execution log'!$L$7:$L$306,"Corrected")&lt;&gt;1)),"Correction ref to check","Valid input"))))))))))</x:f>
      </x:c>
    </x:row>
    <x:row r="224" ht="25" customHeight="1">
      <x:c r="A224" s="3"/>
      <x:c r="B224" s="3"/>
      <x:c r="C224" s="3"/>
      <x:c r="D224" s="3"/>
      <x:c r="E224" s="25"/>
      <x:c r="F224" s="25"/>
      <x:c r="G224" s="3"/>
      <x:c r="H224" s="22"/>
      <x:c r="I224" s="3"/>
      <x:c r="J224" s="22"/>
      <x:c r="K224" s="3"/>
      <x:c r="L224" s="3"/>
      <x:c r="M224" s="3"/>
      <x:c r="N224" s="3"/>
      <x:c r="O224" s="3"/>
      <x:c r="P224" s="19" t="str">
        <x:f>IF(A224="","",IF(COUNTIFS('Execution log'!$A$7:$A$306,A224)&lt;&gt;1,"Duplicate ID",IF(COUNTIFS('Cases overview'!$A$7:$A$306,B224)&lt;&gt;1,"Invalid case ref",IF(OR(L224="Corrected",L224="Revoked"),"Excluded from totals",IF(L224&lt;&gt;"Valid","Record status missing",IF(COUNTIFS('Plan versions'!$A$7:$A$306,C224,'Plan versions'!$B$7:$B$306,B224,'Plan versions'!$L$7:$L$306,"Frozen")&lt;&gt;1,"Invalid plan ref",IF(OR(D224="",NOT(ISNUMBER(E224)),NOT(ISNUMBER(F224)),G224="",K224=""),"Execution info missing",IF(OR(NOT(ISNUMBER(H224)),H224&lt;0,NOT(ISNUMBER(J224)),J224&lt;0),"Spend or time missing",IF(COUNTIFS('Cases overview'!$A$7:$A$306,B224,'Cases overview'!$J$7:$J$306,I224)&lt;&gt;1,"Currency mismatch",IF(AND(M224&lt;&gt;"",OR(M224=A224,COUNTIFS('Execution log'!$A$7:$A$306,M224,'Execution log'!$B$7:$B$306,B224,'Execution log'!$L$7:$L$306,"Corrected")&lt;&gt;1)),"Correction ref to check","Valid input"))))))))))</x:f>
      </x:c>
    </x:row>
    <x:row r="225" ht="25" customHeight="1">
      <x:c r="A225" s="3"/>
      <x:c r="B225" s="3"/>
      <x:c r="C225" s="3"/>
      <x:c r="D225" s="3"/>
      <x:c r="E225" s="25"/>
      <x:c r="F225" s="25"/>
      <x:c r="G225" s="3"/>
      <x:c r="H225" s="22"/>
      <x:c r="I225" s="3"/>
      <x:c r="J225" s="22"/>
      <x:c r="K225" s="3"/>
      <x:c r="L225" s="3"/>
      <x:c r="M225" s="3"/>
      <x:c r="N225" s="3"/>
      <x:c r="O225" s="3"/>
      <x:c r="P225" s="19" t="str">
        <x:f>IF(A225="","",IF(COUNTIFS('Execution log'!$A$7:$A$306,A225)&lt;&gt;1,"Duplicate ID",IF(COUNTIFS('Cases overview'!$A$7:$A$306,B225)&lt;&gt;1,"Invalid case ref",IF(OR(L225="Corrected",L225="Revoked"),"Excluded from totals",IF(L225&lt;&gt;"Valid","Record status missing",IF(COUNTIFS('Plan versions'!$A$7:$A$306,C225,'Plan versions'!$B$7:$B$306,B225,'Plan versions'!$L$7:$L$306,"Frozen")&lt;&gt;1,"Invalid plan ref",IF(OR(D225="",NOT(ISNUMBER(E225)),NOT(ISNUMBER(F225)),G225="",K225=""),"Execution info missing",IF(OR(NOT(ISNUMBER(H225)),H225&lt;0,NOT(ISNUMBER(J225)),J225&lt;0),"Spend or time missing",IF(COUNTIFS('Cases overview'!$A$7:$A$306,B225,'Cases overview'!$J$7:$J$306,I225)&lt;&gt;1,"Currency mismatch",IF(AND(M225&lt;&gt;"",OR(M225=A225,COUNTIFS('Execution log'!$A$7:$A$306,M225,'Execution log'!$B$7:$B$306,B225,'Execution log'!$L$7:$L$306,"Corrected")&lt;&gt;1)),"Correction ref to check","Valid input"))))))))))</x:f>
      </x:c>
    </x:row>
    <x:row r="226" ht="25" customHeight="1">
      <x:c r="A226" s="3"/>
      <x:c r="B226" s="3"/>
      <x:c r="C226" s="3"/>
      <x:c r="D226" s="3"/>
      <x:c r="E226" s="25"/>
      <x:c r="F226" s="25"/>
      <x:c r="G226" s="3"/>
      <x:c r="H226" s="22"/>
      <x:c r="I226" s="3"/>
      <x:c r="J226" s="22"/>
      <x:c r="K226" s="3"/>
      <x:c r="L226" s="3"/>
      <x:c r="M226" s="3"/>
      <x:c r="N226" s="3"/>
      <x:c r="O226" s="3"/>
      <x:c r="P226" s="19" t="str">
        <x:f>IF(A226="","",IF(COUNTIFS('Execution log'!$A$7:$A$306,A226)&lt;&gt;1,"Duplicate ID",IF(COUNTIFS('Cases overview'!$A$7:$A$306,B226)&lt;&gt;1,"Invalid case ref",IF(OR(L226="Corrected",L226="Revoked"),"Excluded from totals",IF(L226&lt;&gt;"Valid","Record status missing",IF(COUNTIFS('Plan versions'!$A$7:$A$306,C226,'Plan versions'!$B$7:$B$306,B226,'Plan versions'!$L$7:$L$306,"Frozen")&lt;&gt;1,"Invalid plan ref",IF(OR(D226="",NOT(ISNUMBER(E226)),NOT(ISNUMBER(F226)),G226="",K226=""),"Execution info missing",IF(OR(NOT(ISNUMBER(H226)),H226&lt;0,NOT(ISNUMBER(J226)),J226&lt;0),"Spend or time missing",IF(COUNTIFS('Cases overview'!$A$7:$A$306,B226,'Cases overview'!$J$7:$J$306,I226)&lt;&gt;1,"Currency mismatch",IF(AND(M226&lt;&gt;"",OR(M226=A226,COUNTIFS('Execution log'!$A$7:$A$306,M226,'Execution log'!$B$7:$B$306,B226,'Execution log'!$L$7:$L$306,"Corrected")&lt;&gt;1)),"Correction ref to check","Valid input"))))))))))</x:f>
      </x:c>
    </x:row>
    <x:row r="227" ht="25" customHeight="1">
      <x:c r="A227" s="3"/>
      <x:c r="B227" s="3"/>
      <x:c r="C227" s="3"/>
      <x:c r="D227" s="3"/>
      <x:c r="E227" s="25"/>
      <x:c r="F227" s="25"/>
      <x:c r="G227" s="3"/>
      <x:c r="H227" s="22"/>
      <x:c r="I227" s="3"/>
      <x:c r="J227" s="22"/>
      <x:c r="K227" s="3"/>
      <x:c r="L227" s="3"/>
      <x:c r="M227" s="3"/>
      <x:c r="N227" s="3"/>
      <x:c r="O227" s="3"/>
      <x:c r="P227" s="19" t="str">
        <x:f>IF(A227="","",IF(COUNTIFS('Execution log'!$A$7:$A$306,A227)&lt;&gt;1,"Duplicate ID",IF(COUNTIFS('Cases overview'!$A$7:$A$306,B227)&lt;&gt;1,"Invalid case ref",IF(OR(L227="Corrected",L227="Revoked"),"Excluded from totals",IF(L227&lt;&gt;"Valid","Record status missing",IF(COUNTIFS('Plan versions'!$A$7:$A$306,C227,'Plan versions'!$B$7:$B$306,B227,'Plan versions'!$L$7:$L$306,"Frozen")&lt;&gt;1,"Invalid plan ref",IF(OR(D227="",NOT(ISNUMBER(E227)),NOT(ISNUMBER(F227)),G227="",K227=""),"Execution info missing",IF(OR(NOT(ISNUMBER(H227)),H227&lt;0,NOT(ISNUMBER(J227)),J227&lt;0),"Spend or time missing",IF(COUNTIFS('Cases overview'!$A$7:$A$306,B227,'Cases overview'!$J$7:$J$306,I227)&lt;&gt;1,"Currency mismatch",IF(AND(M227&lt;&gt;"",OR(M227=A227,COUNTIFS('Execution log'!$A$7:$A$306,M227,'Execution log'!$B$7:$B$306,B227,'Execution log'!$L$7:$L$306,"Corrected")&lt;&gt;1)),"Correction ref to check","Valid input"))))))))))</x:f>
      </x:c>
    </x:row>
    <x:row r="228" ht="25" customHeight="1">
      <x:c r="A228" s="3"/>
      <x:c r="B228" s="3"/>
      <x:c r="C228" s="3"/>
      <x:c r="D228" s="3"/>
      <x:c r="E228" s="25"/>
      <x:c r="F228" s="25"/>
      <x:c r="G228" s="3"/>
      <x:c r="H228" s="22"/>
      <x:c r="I228" s="3"/>
      <x:c r="J228" s="22"/>
      <x:c r="K228" s="3"/>
      <x:c r="L228" s="3"/>
      <x:c r="M228" s="3"/>
      <x:c r="N228" s="3"/>
      <x:c r="O228" s="3"/>
      <x:c r="P228" s="19" t="str">
        <x:f>IF(A228="","",IF(COUNTIFS('Execution log'!$A$7:$A$306,A228)&lt;&gt;1,"Duplicate ID",IF(COUNTIFS('Cases overview'!$A$7:$A$306,B228)&lt;&gt;1,"Invalid case ref",IF(OR(L228="Corrected",L228="Revoked"),"Excluded from totals",IF(L228&lt;&gt;"Valid","Record status missing",IF(COUNTIFS('Plan versions'!$A$7:$A$306,C228,'Plan versions'!$B$7:$B$306,B228,'Plan versions'!$L$7:$L$306,"Frozen")&lt;&gt;1,"Invalid plan ref",IF(OR(D228="",NOT(ISNUMBER(E228)),NOT(ISNUMBER(F228)),G228="",K228=""),"Execution info missing",IF(OR(NOT(ISNUMBER(H228)),H228&lt;0,NOT(ISNUMBER(J228)),J228&lt;0),"Spend or time missing",IF(COUNTIFS('Cases overview'!$A$7:$A$306,B228,'Cases overview'!$J$7:$J$306,I228)&lt;&gt;1,"Currency mismatch",IF(AND(M228&lt;&gt;"",OR(M228=A228,COUNTIFS('Execution log'!$A$7:$A$306,M228,'Execution log'!$B$7:$B$306,B228,'Execution log'!$L$7:$L$306,"Corrected")&lt;&gt;1)),"Correction ref to check","Valid input"))))))))))</x:f>
      </x:c>
    </x:row>
    <x:row r="229" ht="25" customHeight="1">
      <x:c r="A229" s="3"/>
      <x:c r="B229" s="3"/>
      <x:c r="C229" s="3"/>
      <x:c r="D229" s="3"/>
      <x:c r="E229" s="25"/>
      <x:c r="F229" s="25"/>
      <x:c r="G229" s="3"/>
      <x:c r="H229" s="22"/>
      <x:c r="I229" s="3"/>
      <x:c r="J229" s="22"/>
      <x:c r="K229" s="3"/>
      <x:c r="L229" s="3"/>
      <x:c r="M229" s="3"/>
      <x:c r="N229" s="3"/>
      <x:c r="O229" s="3"/>
      <x:c r="P229" s="19" t="str">
        <x:f>IF(A229="","",IF(COUNTIFS('Execution log'!$A$7:$A$306,A229)&lt;&gt;1,"Duplicate ID",IF(COUNTIFS('Cases overview'!$A$7:$A$306,B229)&lt;&gt;1,"Invalid case ref",IF(OR(L229="Corrected",L229="Revoked"),"Excluded from totals",IF(L229&lt;&gt;"Valid","Record status missing",IF(COUNTIFS('Plan versions'!$A$7:$A$306,C229,'Plan versions'!$B$7:$B$306,B229,'Plan versions'!$L$7:$L$306,"Frozen")&lt;&gt;1,"Invalid plan ref",IF(OR(D229="",NOT(ISNUMBER(E229)),NOT(ISNUMBER(F229)),G229="",K229=""),"Execution info missing",IF(OR(NOT(ISNUMBER(H229)),H229&lt;0,NOT(ISNUMBER(J229)),J229&lt;0),"Spend or time missing",IF(COUNTIFS('Cases overview'!$A$7:$A$306,B229,'Cases overview'!$J$7:$J$306,I229)&lt;&gt;1,"Currency mismatch",IF(AND(M229&lt;&gt;"",OR(M229=A229,COUNTIFS('Execution log'!$A$7:$A$306,M229,'Execution log'!$B$7:$B$306,B229,'Execution log'!$L$7:$L$306,"Corrected")&lt;&gt;1)),"Correction ref to check","Valid input"))))))))))</x:f>
      </x:c>
    </x:row>
    <x:row r="230" ht="25" customHeight="1">
      <x:c r="A230" s="3"/>
      <x:c r="B230" s="3"/>
      <x:c r="C230" s="3"/>
      <x:c r="D230" s="3"/>
      <x:c r="E230" s="25"/>
      <x:c r="F230" s="25"/>
      <x:c r="G230" s="3"/>
      <x:c r="H230" s="22"/>
      <x:c r="I230" s="3"/>
      <x:c r="J230" s="22"/>
      <x:c r="K230" s="3"/>
      <x:c r="L230" s="3"/>
      <x:c r="M230" s="3"/>
      <x:c r="N230" s="3"/>
      <x:c r="O230" s="3"/>
      <x:c r="P230" s="19" t="str">
        <x:f>IF(A230="","",IF(COUNTIFS('Execution log'!$A$7:$A$306,A230)&lt;&gt;1,"Duplicate ID",IF(COUNTIFS('Cases overview'!$A$7:$A$306,B230)&lt;&gt;1,"Invalid case ref",IF(OR(L230="Corrected",L230="Revoked"),"Excluded from totals",IF(L230&lt;&gt;"Valid","Record status missing",IF(COUNTIFS('Plan versions'!$A$7:$A$306,C230,'Plan versions'!$B$7:$B$306,B230,'Plan versions'!$L$7:$L$306,"Frozen")&lt;&gt;1,"Invalid plan ref",IF(OR(D230="",NOT(ISNUMBER(E230)),NOT(ISNUMBER(F230)),G230="",K230=""),"Execution info missing",IF(OR(NOT(ISNUMBER(H230)),H230&lt;0,NOT(ISNUMBER(J230)),J230&lt;0),"Spend or time missing",IF(COUNTIFS('Cases overview'!$A$7:$A$306,B230,'Cases overview'!$J$7:$J$306,I230)&lt;&gt;1,"Currency mismatch",IF(AND(M230&lt;&gt;"",OR(M230=A230,COUNTIFS('Execution log'!$A$7:$A$306,M230,'Execution log'!$B$7:$B$306,B230,'Execution log'!$L$7:$L$306,"Corrected")&lt;&gt;1)),"Correction ref to check","Valid input"))))))))))</x:f>
      </x:c>
    </x:row>
    <x:row r="231" ht="25" customHeight="1">
      <x:c r="A231" s="3"/>
      <x:c r="B231" s="3"/>
      <x:c r="C231" s="3"/>
      <x:c r="D231" s="3"/>
      <x:c r="E231" s="25"/>
      <x:c r="F231" s="25"/>
      <x:c r="G231" s="3"/>
      <x:c r="H231" s="22"/>
      <x:c r="I231" s="3"/>
      <x:c r="J231" s="22"/>
      <x:c r="K231" s="3"/>
      <x:c r="L231" s="3"/>
      <x:c r="M231" s="3"/>
      <x:c r="N231" s="3"/>
      <x:c r="O231" s="3"/>
      <x:c r="P231" s="19" t="str">
        <x:f>IF(A231="","",IF(COUNTIFS('Execution log'!$A$7:$A$306,A231)&lt;&gt;1,"Duplicate ID",IF(COUNTIFS('Cases overview'!$A$7:$A$306,B231)&lt;&gt;1,"Invalid case ref",IF(OR(L231="Corrected",L231="Revoked"),"Excluded from totals",IF(L231&lt;&gt;"Valid","Record status missing",IF(COUNTIFS('Plan versions'!$A$7:$A$306,C231,'Plan versions'!$B$7:$B$306,B231,'Plan versions'!$L$7:$L$306,"Frozen")&lt;&gt;1,"Invalid plan ref",IF(OR(D231="",NOT(ISNUMBER(E231)),NOT(ISNUMBER(F231)),G231="",K231=""),"Execution info missing",IF(OR(NOT(ISNUMBER(H231)),H231&lt;0,NOT(ISNUMBER(J231)),J231&lt;0),"Spend or time missing",IF(COUNTIFS('Cases overview'!$A$7:$A$306,B231,'Cases overview'!$J$7:$J$306,I231)&lt;&gt;1,"Currency mismatch",IF(AND(M231&lt;&gt;"",OR(M231=A231,COUNTIFS('Execution log'!$A$7:$A$306,M231,'Execution log'!$B$7:$B$306,B231,'Execution log'!$L$7:$L$306,"Corrected")&lt;&gt;1)),"Correction ref to check","Valid input"))))))))))</x:f>
      </x:c>
    </x:row>
    <x:row r="232" ht="25" customHeight="1">
      <x:c r="A232" s="3"/>
      <x:c r="B232" s="3"/>
      <x:c r="C232" s="3"/>
      <x:c r="D232" s="3"/>
      <x:c r="E232" s="25"/>
      <x:c r="F232" s="25"/>
      <x:c r="G232" s="3"/>
      <x:c r="H232" s="22"/>
      <x:c r="I232" s="3"/>
      <x:c r="J232" s="22"/>
      <x:c r="K232" s="3"/>
      <x:c r="L232" s="3"/>
      <x:c r="M232" s="3"/>
      <x:c r="N232" s="3"/>
      <x:c r="O232" s="3"/>
      <x:c r="P232" s="19" t="str">
        <x:f>IF(A232="","",IF(COUNTIFS('Execution log'!$A$7:$A$306,A232)&lt;&gt;1,"Duplicate ID",IF(COUNTIFS('Cases overview'!$A$7:$A$306,B232)&lt;&gt;1,"Invalid case ref",IF(OR(L232="Corrected",L232="Revoked"),"Excluded from totals",IF(L232&lt;&gt;"Valid","Record status missing",IF(COUNTIFS('Plan versions'!$A$7:$A$306,C232,'Plan versions'!$B$7:$B$306,B232,'Plan versions'!$L$7:$L$306,"Frozen")&lt;&gt;1,"Invalid plan ref",IF(OR(D232="",NOT(ISNUMBER(E232)),NOT(ISNUMBER(F232)),G232="",K232=""),"Execution info missing",IF(OR(NOT(ISNUMBER(H232)),H232&lt;0,NOT(ISNUMBER(J232)),J232&lt;0),"Spend or time missing",IF(COUNTIFS('Cases overview'!$A$7:$A$306,B232,'Cases overview'!$J$7:$J$306,I232)&lt;&gt;1,"Currency mismatch",IF(AND(M232&lt;&gt;"",OR(M232=A232,COUNTIFS('Execution log'!$A$7:$A$306,M232,'Execution log'!$B$7:$B$306,B232,'Execution log'!$L$7:$L$306,"Corrected")&lt;&gt;1)),"Correction ref to check","Valid input"))))))))))</x:f>
      </x:c>
    </x:row>
    <x:row r="233" ht="25" customHeight="1">
      <x:c r="A233" s="3"/>
      <x:c r="B233" s="3"/>
      <x:c r="C233" s="3"/>
      <x:c r="D233" s="3"/>
      <x:c r="E233" s="25"/>
      <x:c r="F233" s="25"/>
      <x:c r="G233" s="3"/>
      <x:c r="H233" s="22"/>
      <x:c r="I233" s="3"/>
      <x:c r="J233" s="22"/>
      <x:c r="K233" s="3"/>
      <x:c r="L233" s="3"/>
      <x:c r="M233" s="3"/>
      <x:c r="N233" s="3"/>
      <x:c r="O233" s="3"/>
      <x:c r="P233" s="19" t="str">
        <x:f>IF(A233="","",IF(COUNTIFS('Execution log'!$A$7:$A$306,A233)&lt;&gt;1,"Duplicate ID",IF(COUNTIFS('Cases overview'!$A$7:$A$306,B233)&lt;&gt;1,"Invalid case ref",IF(OR(L233="Corrected",L233="Revoked"),"Excluded from totals",IF(L233&lt;&gt;"Valid","Record status missing",IF(COUNTIFS('Plan versions'!$A$7:$A$306,C233,'Plan versions'!$B$7:$B$306,B233,'Plan versions'!$L$7:$L$306,"Frozen")&lt;&gt;1,"Invalid plan ref",IF(OR(D233="",NOT(ISNUMBER(E233)),NOT(ISNUMBER(F233)),G233="",K233=""),"Execution info missing",IF(OR(NOT(ISNUMBER(H233)),H233&lt;0,NOT(ISNUMBER(J233)),J233&lt;0),"Spend or time missing",IF(COUNTIFS('Cases overview'!$A$7:$A$306,B233,'Cases overview'!$J$7:$J$306,I233)&lt;&gt;1,"Currency mismatch",IF(AND(M233&lt;&gt;"",OR(M233=A233,COUNTIFS('Execution log'!$A$7:$A$306,M233,'Execution log'!$B$7:$B$306,B233,'Execution log'!$L$7:$L$306,"Corrected")&lt;&gt;1)),"Correction ref to check","Valid input"))))))))))</x:f>
      </x:c>
    </x:row>
    <x:row r="234" ht="25" customHeight="1">
      <x:c r="A234" s="3"/>
      <x:c r="B234" s="3"/>
      <x:c r="C234" s="3"/>
      <x:c r="D234" s="3"/>
      <x:c r="E234" s="25"/>
      <x:c r="F234" s="25"/>
      <x:c r="G234" s="3"/>
      <x:c r="H234" s="22"/>
      <x:c r="I234" s="3"/>
      <x:c r="J234" s="22"/>
      <x:c r="K234" s="3"/>
      <x:c r="L234" s="3"/>
      <x:c r="M234" s="3"/>
      <x:c r="N234" s="3"/>
      <x:c r="O234" s="3"/>
      <x:c r="P234" s="19" t="str">
        <x:f>IF(A234="","",IF(COUNTIFS('Execution log'!$A$7:$A$306,A234)&lt;&gt;1,"Duplicate ID",IF(COUNTIFS('Cases overview'!$A$7:$A$306,B234)&lt;&gt;1,"Invalid case ref",IF(OR(L234="Corrected",L234="Revoked"),"Excluded from totals",IF(L234&lt;&gt;"Valid","Record status missing",IF(COUNTIFS('Plan versions'!$A$7:$A$306,C234,'Plan versions'!$B$7:$B$306,B234,'Plan versions'!$L$7:$L$306,"Frozen")&lt;&gt;1,"Invalid plan ref",IF(OR(D234="",NOT(ISNUMBER(E234)),NOT(ISNUMBER(F234)),G234="",K234=""),"Execution info missing",IF(OR(NOT(ISNUMBER(H234)),H234&lt;0,NOT(ISNUMBER(J234)),J234&lt;0),"Spend or time missing",IF(COUNTIFS('Cases overview'!$A$7:$A$306,B234,'Cases overview'!$J$7:$J$306,I234)&lt;&gt;1,"Currency mismatch",IF(AND(M234&lt;&gt;"",OR(M234=A234,COUNTIFS('Execution log'!$A$7:$A$306,M234,'Execution log'!$B$7:$B$306,B234,'Execution log'!$L$7:$L$306,"Corrected")&lt;&gt;1)),"Correction ref to check","Valid input"))))))))))</x:f>
      </x:c>
    </x:row>
    <x:row r="235" ht="25" customHeight="1">
      <x:c r="A235" s="3"/>
      <x:c r="B235" s="3"/>
      <x:c r="C235" s="3"/>
      <x:c r="D235" s="3"/>
      <x:c r="E235" s="25"/>
      <x:c r="F235" s="25"/>
      <x:c r="G235" s="3"/>
      <x:c r="H235" s="22"/>
      <x:c r="I235" s="3"/>
      <x:c r="J235" s="22"/>
      <x:c r="K235" s="3"/>
      <x:c r="L235" s="3"/>
      <x:c r="M235" s="3"/>
      <x:c r="N235" s="3"/>
      <x:c r="O235" s="3"/>
      <x:c r="P235" s="19" t="str">
        <x:f>IF(A235="","",IF(COUNTIFS('Execution log'!$A$7:$A$306,A235)&lt;&gt;1,"Duplicate ID",IF(COUNTIFS('Cases overview'!$A$7:$A$306,B235)&lt;&gt;1,"Invalid case ref",IF(OR(L235="Corrected",L235="Revoked"),"Excluded from totals",IF(L235&lt;&gt;"Valid","Record status missing",IF(COUNTIFS('Plan versions'!$A$7:$A$306,C235,'Plan versions'!$B$7:$B$306,B235,'Plan versions'!$L$7:$L$306,"Frozen")&lt;&gt;1,"Invalid plan ref",IF(OR(D235="",NOT(ISNUMBER(E235)),NOT(ISNUMBER(F235)),G235="",K235=""),"Execution info missing",IF(OR(NOT(ISNUMBER(H235)),H235&lt;0,NOT(ISNUMBER(J235)),J235&lt;0),"Spend or time missing",IF(COUNTIFS('Cases overview'!$A$7:$A$306,B235,'Cases overview'!$J$7:$J$306,I235)&lt;&gt;1,"Currency mismatch",IF(AND(M235&lt;&gt;"",OR(M235=A235,COUNTIFS('Execution log'!$A$7:$A$306,M235,'Execution log'!$B$7:$B$306,B235,'Execution log'!$L$7:$L$306,"Corrected")&lt;&gt;1)),"Correction ref to check","Valid input"))))))))))</x:f>
      </x:c>
    </x:row>
    <x:row r="236" ht="25" customHeight="1">
      <x:c r="A236" s="3"/>
      <x:c r="B236" s="3"/>
      <x:c r="C236" s="3"/>
      <x:c r="D236" s="3"/>
      <x:c r="E236" s="25"/>
      <x:c r="F236" s="25"/>
      <x:c r="G236" s="3"/>
      <x:c r="H236" s="22"/>
      <x:c r="I236" s="3"/>
      <x:c r="J236" s="22"/>
      <x:c r="K236" s="3"/>
      <x:c r="L236" s="3"/>
      <x:c r="M236" s="3"/>
      <x:c r="N236" s="3"/>
      <x:c r="O236" s="3"/>
      <x:c r="P236" s="19" t="str">
        <x:f>IF(A236="","",IF(COUNTIFS('Execution log'!$A$7:$A$306,A236)&lt;&gt;1,"Duplicate ID",IF(COUNTIFS('Cases overview'!$A$7:$A$306,B236)&lt;&gt;1,"Invalid case ref",IF(OR(L236="Corrected",L236="Revoked"),"Excluded from totals",IF(L236&lt;&gt;"Valid","Record status missing",IF(COUNTIFS('Plan versions'!$A$7:$A$306,C236,'Plan versions'!$B$7:$B$306,B236,'Plan versions'!$L$7:$L$306,"Frozen")&lt;&gt;1,"Invalid plan ref",IF(OR(D236="",NOT(ISNUMBER(E236)),NOT(ISNUMBER(F236)),G236="",K236=""),"Execution info missing",IF(OR(NOT(ISNUMBER(H236)),H236&lt;0,NOT(ISNUMBER(J236)),J236&lt;0),"Spend or time missing",IF(COUNTIFS('Cases overview'!$A$7:$A$306,B236,'Cases overview'!$J$7:$J$306,I236)&lt;&gt;1,"Currency mismatch",IF(AND(M236&lt;&gt;"",OR(M236=A236,COUNTIFS('Execution log'!$A$7:$A$306,M236,'Execution log'!$B$7:$B$306,B236,'Execution log'!$L$7:$L$306,"Corrected")&lt;&gt;1)),"Correction ref to check","Valid input"))))))))))</x:f>
      </x:c>
    </x:row>
    <x:row r="237" ht="25" customHeight="1">
      <x:c r="A237" s="3"/>
      <x:c r="B237" s="3"/>
      <x:c r="C237" s="3"/>
      <x:c r="D237" s="3"/>
      <x:c r="E237" s="25"/>
      <x:c r="F237" s="25"/>
      <x:c r="G237" s="3"/>
      <x:c r="H237" s="22"/>
      <x:c r="I237" s="3"/>
      <x:c r="J237" s="22"/>
      <x:c r="K237" s="3"/>
      <x:c r="L237" s="3"/>
      <x:c r="M237" s="3"/>
      <x:c r="N237" s="3"/>
      <x:c r="O237" s="3"/>
      <x:c r="P237" s="19" t="str">
        <x:f>IF(A237="","",IF(COUNTIFS('Execution log'!$A$7:$A$306,A237)&lt;&gt;1,"Duplicate ID",IF(COUNTIFS('Cases overview'!$A$7:$A$306,B237)&lt;&gt;1,"Invalid case ref",IF(OR(L237="Corrected",L237="Revoked"),"Excluded from totals",IF(L237&lt;&gt;"Valid","Record status missing",IF(COUNTIFS('Plan versions'!$A$7:$A$306,C237,'Plan versions'!$B$7:$B$306,B237,'Plan versions'!$L$7:$L$306,"Frozen")&lt;&gt;1,"Invalid plan ref",IF(OR(D237="",NOT(ISNUMBER(E237)),NOT(ISNUMBER(F237)),G237="",K237=""),"Execution info missing",IF(OR(NOT(ISNUMBER(H237)),H237&lt;0,NOT(ISNUMBER(J237)),J237&lt;0),"Spend or time missing",IF(COUNTIFS('Cases overview'!$A$7:$A$306,B237,'Cases overview'!$J$7:$J$306,I237)&lt;&gt;1,"Currency mismatch",IF(AND(M237&lt;&gt;"",OR(M237=A237,COUNTIFS('Execution log'!$A$7:$A$306,M237,'Execution log'!$B$7:$B$306,B237,'Execution log'!$L$7:$L$306,"Corrected")&lt;&gt;1)),"Correction ref to check","Valid input"))))))))))</x:f>
      </x:c>
    </x:row>
    <x:row r="238" ht="25" customHeight="1">
      <x:c r="A238" s="3"/>
      <x:c r="B238" s="3"/>
      <x:c r="C238" s="3"/>
      <x:c r="D238" s="3"/>
      <x:c r="E238" s="25"/>
      <x:c r="F238" s="25"/>
      <x:c r="G238" s="3"/>
      <x:c r="H238" s="22"/>
      <x:c r="I238" s="3"/>
      <x:c r="J238" s="22"/>
      <x:c r="K238" s="3"/>
      <x:c r="L238" s="3"/>
      <x:c r="M238" s="3"/>
      <x:c r="N238" s="3"/>
      <x:c r="O238" s="3"/>
      <x:c r="P238" s="19" t="str">
        <x:f>IF(A238="","",IF(COUNTIFS('Execution log'!$A$7:$A$306,A238)&lt;&gt;1,"Duplicate ID",IF(COUNTIFS('Cases overview'!$A$7:$A$306,B238)&lt;&gt;1,"Invalid case ref",IF(OR(L238="Corrected",L238="Revoked"),"Excluded from totals",IF(L238&lt;&gt;"Valid","Record status missing",IF(COUNTIFS('Plan versions'!$A$7:$A$306,C238,'Plan versions'!$B$7:$B$306,B238,'Plan versions'!$L$7:$L$306,"Frozen")&lt;&gt;1,"Invalid plan ref",IF(OR(D238="",NOT(ISNUMBER(E238)),NOT(ISNUMBER(F238)),G238="",K238=""),"Execution info missing",IF(OR(NOT(ISNUMBER(H238)),H238&lt;0,NOT(ISNUMBER(J238)),J238&lt;0),"Spend or time missing",IF(COUNTIFS('Cases overview'!$A$7:$A$306,B238,'Cases overview'!$J$7:$J$306,I238)&lt;&gt;1,"Currency mismatch",IF(AND(M238&lt;&gt;"",OR(M238=A238,COUNTIFS('Execution log'!$A$7:$A$306,M238,'Execution log'!$B$7:$B$306,B238,'Execution log'!$L$7:$L$306,"Corrected")&lt;&gt;1)),"Correction ref to check","Valid input"))))))))))</x:f>
      </x:c>
    </x:row>
    <x:row r="239" ht="25" customHeight="1">
      <x:c r="A239" s="3"/>
      <x:c r="B239" s="3"/>
      <x:c r="C239" s="3"/>
      <x:c r="D239" s="3"/>
      <x:c r="E239" s="25"/>
      <x:c r="F239" s="25"/>
      <x:c r="G239" s="3"/>
      <x:c r="H239" s="22"/>
      <x:c r="I239" s="3"/>
      <x:c r="J239" s="22"/>
      <x:c r="K239" s="3"/>
      <x:c r="L239" s="3"/>
      <x:c r="M239" s="3"/>
      <x:c r="N239" s="3"/>
      <x:c r="O239" s="3"/>
      <x:c r="P239" s="19" t="str">
        <x:f>IF(A239="","",IF(COUNTIFS('Execution log'!$A$7:$A$306,A239)&lt;&gt;1,"Duplicate ID",IF(COUNTIFS('Cases overview'!$A$7:$A$306,B239)&lt;&gt;1,"Invalid case ref",IF(OR(L239="Corrected",L239="Revoked"),"Excluded from totals",IF(L239&lt;&gt;"Valid","Record status missing",IF(COUNTIFS('Plan versions'!$A$7:$A$306,C239,'Plan versions'!$B$7:$B$306,B239,'Plan versions'!$L$7:$L$306,"Frozen")&lt;&gt;1,"Invalid plan ref",IF(OR(D239="",NOT(ISNUMBER(E239)),NOT(ISNUMBER(F239)),G239="",K239=""),"Execution info missing",IF(OR(NOT(ISNUMBER(H239)),H239&lt;0,NOT(ISNUMBER(J239)),J239&lt;0),"Spend or time missing",IF(COUNTIFS('Cases overview'!$A$7:$A$306,B239,'Cases overview'!$J$7:$J$306,I239)&lt;&gt;1,"Currency mismatch",IF(AND(M239&lt;&gt;"",OR(M239=A239,COUNTIFS('Execution log'!$A$7:$A$306,M239,'Execution log'!$B$7:$B$306,B239,'Execution log'!$L$7:$L$306,"Corrected")&lt;&gt;1)),"Correction ref to check","Valid input"))))))))))</x:f>
      </x:c>
    </x:row>
    <x:row r="240" ht="25" customHeight="1">
      <x:c r="A240" s="3"/>
      <x:c r="B240" s="3"/>
      <x:c r="C240" s="3"/>
      <x:c r="D240" s="3"/>
      <x:c r="E240" s="25"/>
      <x:c r="F240" s="25"/>
      <x:c r="G240" s="3"/>
      <x:c r="H240" s="22"/>
      <x:c r="I240" s="3"/>
      <x:c r="J240" s="22"/>
      <x:c r="K240" s="3"/>
      <x:c r="L240" s="3"/>
      <x:c r="M240" s="3"/>
      <x:c r="N240" s="3"/>
      <x:c r="O240" s="3"/>
      <x:c r="P240" s="19" t="str">
        <x:f>IF(A240="","",IF(COUNTIFS('Execution log'!$A$7:$A$306,A240)&lt;&gt;1,"Duplicate ID",IF(COUNTIFS('Cases overview'!$A$7:$A$306,B240)&lt;&gt;1,"Invalid case ref",IF(OR(L240="Corrected",L240="Revoked"),"Excluded from totals",IF(L240&lt;&gt;"Valid","Record status missing",IF(COUNTIFS('Plan versions'!$A$7:$A$306,C240,'Plan versions'!$B$7:$B$306,B240,'Plan versions'!$L$7:$L$306,"Frozen")&lt;&gt;1,"Invalid plan ref",IF(OR(D240="",NOT(ISNUMBER(E240)),NOT(ISNUMBER(F240)),G240="",K240=""),"Execution info missing",IF(OR(NOT(ISNUMBER(H240)),H240&lt;0,NOT(ISNUMBER(J240)),J240&lt;0),"Spend or time missing",IF(COUNTIFS('Cases overview'!$A$7:$A$306,B240,'Cases overview'!$J$7:$J$306,I240)&lt;&gt;1,"Currency mismatch",IF(AND(M240&lt;&gt;"",OR(M240=A240,COUNTIFS('Execution log'!$A$7:$A$306,M240,'Execution log'!$B$7:$B$306,B240,'Execution log'!$L$7:$L$306,"Corrected")&lt;&gt;1)),"Correction ref to check","Valid input"))))))))))</x:f>
      </x:c>
    </x:row>
    <x:row r="241" ht="25" customHeight="1">
      <x:c r="A241" s="3"/>
      <x:c r="B241" s="3"/>
      <x:c r="C241" s="3"/>
      <x:c r="D241" s="3"/>
      <x:c r="E241" s="25"/>
      <x:c r="F241" s="25"/>
      <x:c r="G241" s="3"/>
      <x:c r="H241" s="22"/>
      <x:c r="I241" s="3"/>
      <x:c r="J241" s="22"/>
      <x:c r="K241" s="3"/>
      <x:c r="L241" s="3"/>
      <x:c r="M241" s="3"/>
      <x:c r="N241" s="3"/>
      <x:c r="O241" s="3"/>
      <x:c r="P241" s="19" t="str">
        <x:f>IF(A241="","",IF(COUNTIFS('Execution log'!$A$7:$A$306,A241)&lt;&gt;1,"Duplicate ID",IF(COUNTIFS('Cases overview'!$A$7:$A$306,B241)&lt;&gt;1,"Invalid case ref",IF(OR(L241="Corrected",L241="Revoked"),"Excluded from totals",IF(L241&lt;&gt;"Valid","Record status missing",IF(COUNTIFS('Plan versions'!$A$7:$A$306,C241,'Plan versions'!$B$7:$B$306,B241,'Plan versions'!$L$7:$L$306,"Frozen")&lt;&gt;1,"Invalid plan ref",IF(OR(D241="",NOT(ISNUMBER(E241)),NOT(ISNUMBER(F241)),G241="",K241=""),"Execution info missing",IF(OR(NOT(ISNUMBER(H241)),H241&lt;0,NOT(ISNUMBER(J241)),J241&lt;0),"Spend or time missing",IF(COUNTIFS('Cases overview'!$A$7:$A$306,B241,'Cases overview'!$J$7:$J$306,I241)&lt;&gt;1,"Currency mismatch",IF(AND(M241&lt;&gt;"",OR(M241=A241,COUNTIFS('Execution log'!$A$7:$A$306,M241,'Execution log'!$B$7:$B$306,B241,'Execution log'!$L$7:$L$306,"Corrected")&lt;&gt;1)),"Correction ref to check","Valid input"))))))))))</x:f>
      </x:c>
    </x:row>
    <x:row r="242" ht="25" customHeight="1">
      <x:c r="A242" s="3"/>
      <x:c r="B242" s="3"/>
      <x:c r="C242" s="3"/>
      <x:c r="D242" s="3"/>
      <x:c r="E242" s="25"/>
      <x:c r="F242" s="25"/>
      <x:c r="G242" s="3"/>
      <x:c r="H242" s="22"/>
      <x:c r="I242" s="3"/>
      <x:c r="J242" s="22"/>
      <x:c r="K242" s="3"/>
      <x:c r="L242" s="3"/>
      <x:c r="M242" s="3"/>
      <x:c r="N242" s="3"/>
      <x:c r="O242" s="3"/>
      <x:c r="P242" s="19" t="str">
        <x:f>IF(A242="","",IF(COUNTIFS('Execution log'!$A$7:$A$306,A242)&lt;&gt;1,"Duplicate ID",IF(COUNTIFS('Cases overview'!$A$7:$A$306,B242)&lt;&gt;1,"Invalid case ref",IF(OR(L242="Corrected",L242="Revoked"),"Excluded from totals",IF(L242&lt;&gt;"Valid","Record status missing",IF(COUNTIFS('Plan versions'!$A$7:$A$306,C242,'Plan versions'!$B$7:$B$306,B242,'Plan versions'!$L$7:$L$306,"Frozen")&lt;&gt;1,"Invalid plan ref",IF(OR(D242="",NOT(ISNUMBER(E242)),NOT(ISNUMBER(F242)),G242="",K242=""),"Execution info missing",IF(OR(NOT(ISNUMBER(H242)),H242&lt;0,NOT(ISNUMBER(J242)),J242&lt;0),"Spend or time missing",IF(COUNTIFS('Cases overview'!$A$7:$A$306,B242,'Cases overview'!$J$7:$J$306,I242)&lt;&gt;1,"Currency mismatch",IF(AND(M242&lt;&gt;"",OR(M242=A242,COUNTIFS('Execution log'!$A$7:$A$306,M242,'Execution log'!$B$7:$B$306,B242,'Execution log'!$L$7:$L$306,"Corrected")&lt;&gt;1)),"Correction ref to check","Valid input"))))))))))</x:f>
      </x:c>
    </x:row>
    <x:row r="243" ht="25" customHeight="1">
      <x:c r="A243" s="3"/>
      <x:c r="B243" s="3"/>
      <x:c r="C243" s="3"/>
      <x:c r="D243" s="3"/>
      <x:c r="E243" s="25"/>
      <x:c r="F243" s="25"/>
      <x:c r="G243" s="3"/>
      <x:c r="H243" s="22"/>
      <x:c r="I243" s="3"/>
      <x:c r="J243" s="22"/>
      <x:c r="K243" s="3"/>
      <x:c r="L243" s="3"/>
      <x:c r="M243" s="3"/>
      <x:c r="N243" s="3"/>
      <x:c r="O243" s="3"/>
      <x:c r="P243" s="19" t="str">
        <x:f>IF(A243="","",IF(COUNTIFS('Execution log'!$A$7:$A$306,A243)&lt;&gt;1,"Duplicate ID",IF(COUNTIFS('Cases overview'!$A$7:$A$306,B243)&lt;&gt;1,"Invalid case ref",IF(OR(L243="Corrected",L243="Revoked"),"Excluded from totals",IF(L243&lt;&gt;"Valid","Record status missing",IF(COUNTIFS('Plan versions'!$A$7:$A$306,C243,'Plan versions'!$B$7:$B$306,B243,'Plan versions'!$L$7:$L$306,"Frozen")&lt;&gt;1,"Invalid plan ref",IF(OR(D243="",NOT(ISNUMBER(E243)),NOT(ISNUMBER(F243)),G243="",K243=""),"Execution info missing",IF(OR(NOT(ISNUMBER(H243)),H243&lt;0,NOT(ISNUMBER(J243)),J243&lt;0),"Spend or time missing",IF(COUNTIFS('Cases overview'!$A$7:$A$306,B243,'Cases overview'!$J$7:$J$306,I243)&lt;&gt;1,"Currency mismatch",IF(AND(M243&lt;&gt;"",OR(M243=A243,COUNTIFS('Execution log'!$A$7:$A$306,M243,'Execution log'!$B$7:$B$306,B243,'Execution log'!$L$7:$L$306,"Corrected")&lt;&gt;1)),"Correction ref to check","Valid input"))))))))))</x:f>
      </x:c>
    </x:row>
    <x:row r="244" ht="25" customHeight="1">
      <x:c r="A244" s="3"/>
      <x:c r="B244" s="3"/>
      <x:c r="C244" s="3"/>
      <x:c r="D244" s="3"/>
      <x:c r="E244" s="25"/>
      <x:c r="F244" s="25"/>
      <x:c r="G244" s="3"/>
      <x:c r="H244" s="22"/>
      <x:c r="I244" s="3"/>
      <x:c r="J244" s="22"/>
      <x:c r="K244" s="3"/>
      <x:c r="L244" s="3"/>
      <x:c r="M244" s="3"/>
      <x:c r="N244" s="3"/>
      <x:c r="O244" s="3"/>
      <x:c r="P244" s="19" t="str">
        <x:f>IF(A244="","",IF(COUNTIFS('Execution log'!$A$7:$A$306,A244)&lt;&gt;1,"Duplicate ID",IF(COUNTIFS('Cases overview'!$A$7:$A$306,B244)&lt;&gt;1,"Invalid case ref",IF(OR(L244="Corrected",L244="Revoked"),"Excluded from totals",IF(L244&lt;&gt;"Valid","Record status missing",IF(COUNTIFS('Plan versions'!$A$7:$A$306,C244,'Plan versions'!$B$7:$B$306,B244,'Plan versions'!$L$7:$L$306,"Frozen")&lt;&gt;1,"Invalid plan ref",IF(OR(D244="",NOT(ISNUMBER(E244)),NOT(ISNUMBER(F244)),G244="",K244=""),"Execution info missing",IF(OR(NOT(ISNUMBER(H244)),H244&lt;0,NOT(ISNUMBER(J244)),J244&lt;0),"Spend or time missing",IF(COUNTIFS('Cases overview'!$A$7:$A$306,B244,'Cases overview'!$J$7:$J$306,I244)&lt;&gt;1,"Currency mismatch",IF(AND(M244&lt;&gt;"",OR(M244=A244,COUNTIFS('Execution log'!$A$7:$A$306,M244,'Execution log'!$B$7:$B$306,B244,'Execution log'!$L$7:$L$306,"Corrected")&lt;&gt;1)),"Correction ref to check","Valid input"))))))))))</x:f>
      </x:c>
    </x:row>
    <x:row r="245" ht="25" customHeight="1">
      <x:c r="A245" s="3"/>
      <x:c r="B245" s="3"/>
      <x:c r="C245" s="3"/>
      <x:c r="D245" s="3"/>
      <x:c r="E245" s="25"/>
      <x:c r="F245" s="25"/>
      <x:c r="G245" s="3"/>
      <x:c r="H245" s="22"/>
      <x:c r="I245" s="3"/>
      <x:c r="J245" s="22"/>
      <x:c r="K245" s="3"/>
      <x:c r="L245" s="3"/>
      <x:c r="M245" s="3"/>
      <x:c r="N245" s="3"/>
      <x:c r="O245" s="3"/>
      <x:c r="P245" s="19" t="str">
        <x:f>IF(A245="","",IF(COUNTIFS('Execution log'!$A$7:$A$306,A245)&lt;&gt;1,"Duplicate ID",IF(COUNTIFS('Cases overview'!$A$7:$A$306,B245)&lt;&gt;1,"Invalid case ref",IF(OR(L245="Corrected",L245="Revoked"),"Excluded from totals",IF(L245&lt;&gt;"Valid","Record status missing",IF(COUNTIFS('Plan versions'!$A$7:$A$306,C245,'Plan versions'!$B$7:$B$306,B245,'Plan versions'!$L$7:$L$306,"Frozen")&lt;&gt;1,"Invalid plan ref",IF(OR(D245="",NOT(ISNUMBER(E245)),NOT(ISNUMBER(F245)),G245="",K245=""),"Execution info missing",IF(OR(NOT(ISNUMBER(H245)),H245&lt;0,NOT(ISNUMBER(J245)),J245&lt;0),"Spend or time missing",IF(COUNTIFS('Cases overview'!$A$7:$A$306,B245,'Cases overview'!$J$7:$J$306,I245)&lt;&gt;1,"Currency mismatch",IF(AND(M245&lt;&gt;"",OR(M245=A245,COUNTIFS('Execution log'!$A$7:$A$306,M245,'Execution log'!$B$7:$B$306,B245,'Execution log'!$L$7:$L$306,"Corrected")&lt;&gt;1)),"Correction ref to check","Valid input"))))))))))</x:f>
      </x:c>
    </x:row>
    <x:row r="246" ht="25" customHeight="1">
      <x:c r="A246" s="3"/>
      <x:c r="B246" s="3"/>
      <x:c r="C246" s="3"/>
      <x:c r="D246" s="3"/>
      <x:c r="E246" s="25"/>
      <x:c r="F246" s="25"/>
      <x:c r="G246" s="3"/>
      <x:c r="H246" s="22"/>
      <x:c r="I246" s="3"/>
      <x:c r="J246" s="22"/>
      <x:c r="K246" s="3"/>
      <x:c r="L246" s="3"/>
      <x:c r="M246" s="3"/>
      <x:c r="N246" s="3"/>
      <x:c r="O246" s="3"/>
      <x:c r="P246" s="19" t="str">
        <x:f>IF(A246="","",IF(COUNTIFS('Execution log'!$A$7:$A$306,A246)&lt;&gt;1,"Duplicate ID",IF(COUNTIFS('Cases overview'!$A$7:$A$306,B246)&lt;&gt;1,"Invalid case ref",IF(OR(L246="Corrected",L246="Revoked"),"Excluded from totals",IF(L246&lt;&gt;"Valid","Record status missing",IF(COUNTIFS('Plan versions'!$A$7:$A$306,C246,'Plan versions'!$B$7:$B$306,B246,'Plan versions'!$L$7:$L$306,"Frozen")&lt;&gt;1,"Invalid plan ref",IF(OR(D246="",NOT(ISNUMBER(E246)),NOT(ISNUMBER(F246)),G246="",K246=""),"Execution info missing",IF(OR(NOT(ISNUMBER(H246)),H246&lt;0,NOT(ISNUMBER(J246)),J246&lt;0),"Spend or time missing",IF(COUNTIFS('Cases overview'!$A$7:$A$306,B246,'Cases overview'!$J$7:$J$306,I246)&lt;&gt;1,"Currency mismatch",IF(AND(M246&lt;&gt;"",OR(M246=A246,COUNTIFS('Execution log'!$A$7:$A$306,M246,'Execution log'!$B$7:$B$306,B246,'Execution log'!$L$7:$L$306,"Corrected")&lt;&gt;1)),"Correction ref to check","Valid input"))))))))))</x:f>
      </x:c>
    </x:row>
    <x:row r="247" ht="25" customHeight="1">
      <x:c r="A247" s="3"/>
      <x:c r="B247" s="3"/>
      <x:c r="C247" s="3"/>
      <x:c r="D247" s="3"/>
      <x:c r="E247" s="25"/>
      <x:c r="F247" s="25"/>
      <x:c r="G247" s="3"/>
      <x:c r="H247" s="22"/>
      <x:c r="I247" s="3"/>
      <x:c r="J247" s="22"/>
      <x:c r="K247" s="3"/>
      <x:c r="L247" s="3"/>
      <x:c r="M247" s="3"/>
      <x:c r="N247" s="3"/>
      <x:c r="O247" s="3"/>
      <x:c r="P247" s="19" t="str">
        <x:f>IF(A247="","",IF(COUNTIFS('Execution log'!$A$7:$A$306,A247)&lt;&gt;1,"Duplicate ID",IF(COUNTIFS('Cases overview'!$A$7:$A$306,B247)&lt;&gt;1,"Invalid case ref",IF(OR(L247="Corrected",L247="Revoked"),"Excluded from totals",IF(L247&lt;&gt;"Valid","Record status missing",IF(COUNTIFS('Plan versions'!$A$7:$A$306,C247,'Plan versions'!$B$7:$B$306,B247,'Plan versions'!$L$7:$L$306,"Frozen")&lt;&gt;1,"Invalid plan ref",IF(OR(D247="",NOT(ISNUMBER(E247)),NOT(ISNUMBER(F247)),G247="",K247=""),"Execution info missing",IF(OR(NOT(ISNUMBER(H247)),H247&lt;0,NOT(ISNUMBER(J247)),J247&lt;0),"Spend or time missing",IF(COUNTIFS('Cases overview'!$A$7:$A$306,B247,'Cases overview'!$J$7:$J$306,I247)&lt;&gt;1,"Currency mismatch",IF(AND(M247&lt;&gt;"",OR(M247=A247,COUNTIFS('Execution log'!$A$7:$A$306,M247,'Execution log'!$B$7:$B$306,B247,'Execution log'!$L$7:$L$306,"Corrected")&lt;&gt;1)),"Correction ref to check","Valid input"))))))))))</x:f>
      </x:c>
    </x:row>
    <x:row r="248" ht="25" customHeight="1">
      <x:c r="A248" s="3"/>
      <x:c r="B248" s="3"/>
      <x:c r="C248" s="3"/>
      <x:c r="D248" s="3"/>
      <x:c r="E248" s="25"/>
      <x:c r="F248" s="25"/>
      <x:c r="G248" s="3"/>
      <x:c r="H248" s="22"/>
      <x:c r="I248" s="3"/>
      <x:c r="J248" s="22"/>
      <x:c r="K248" s="3"/>
      <x:c r="L248" s="3"/>
      <x:c r="M248" s="3"/>
      <x:c r="N248" s="3"/>
      <x:c r="O248" s="3"/>
      <x:c r="P248" s="19" t="str">
        <x:f>IF(A248="","",IF(COUNTIFS('Execution log'!$A$7:$A$306,A248)&lt;&gt;1,"Duplicate ID",IF(COUNTIFS('Cases overview'!$A$7:$A$306,B248)&lt;&gt;1,"Invalid case ref",IF(OR(L248="Corrected",L248="Revoked"),"Excluded from totals",IF(L248&lt;&gt;"Valid","Record status missing",IF(COUNTIFS('Plan versions'!$A$7:$A$306,C248,'Plan versions'!$B$7:$B$306,B248,'Plan versions'!$L$7:$L$306,"Frozen")&lt;&gt;1,"Invalid plan ref",IF(OR(D248="",NOT(ISNUMBER(E248)),NOT(ISNUMBER(F248)),G248="",K248=""),"Execution info missing",IF(OR(NOT(ISNUMBER(H248)),H248&lt;0,NOT(ISNUMBER(J248)),J248&lt;0),"Spend or time missing",IF(COUNTIFS('Cases overview'!$A$7:$A$306,B248,'Cases overview'!$J$7:$J$306,I248)&lt;&gt;1,"Currency mismatch",IF(AND(M248&lt;&gt;"",OR(M248=A248,COUNTIFS('Execution log'!$A$7:$A$306,M248,'Execution log'!$B$7:$B$306,B248,'Execution log'!$L$7:$L$306,"Corrected")&lt;&gt;1)),"Correction ref to check","Valid input"))))))))))</x:f>
      </x:c>
    </x:row>
    <x:row r="249" ht="25" customHeight="1">
      <x:c r="A249" s="3"/>
      <x:c r="B249" s="3"/>
      <x:c r="C249" s="3"/>
      <x:c r="D249" s="3"/>
      <x:c r="E249" s="25"/>
      <x:c r="F249" s="25"/>
      <x:c r="G249" s="3"/>
      <x:c r="H249" s="22"/>
      <x:c r="I249" s="3"/>
      <x:c r="J249" s="22"/>
      <x:c r="K249" s="3"/>
      <x:c r="L249" s="3"/>
      <x:c r="M249" s="3"/>
      <x:c r="N249" s="3"/>
      <x:c r="O249" s="3"/>
      <x:c r="P249" s="19" t="str">
        <x:f>IF(A249="","",IF(COUNTIFS('Execution log'!$A$7:$A$306,A249)&lt;&gt;1,"Duplicate ID",IF(COUNTIFS('Cases overview'!$A$7:$A$306,B249)&lt;&gt;1,"Invalid case ref",IF(OR(L249="Corrected",L249="Revoked"),"Excluded from totals",IF(L249&lt;&gt;"Valid","Record status missing",IF(COUNTIFS('Plan versions'!$A$7:$A$306,C249,'Plan versions'!$B$7:$B$306,B249,'Plan versions'!$L$7:$L$306,"Frozen")&lt;&gt;1,"Invalid plan ref",IF(OR(D249="",NOT(ISNUMBER(E249)),NOT(ISNUMBER(F249)),G249="",K249=""),"Execution info missing",IF(OR(NOT(ISNUMBER(H249)),H249&lt;0,NOT(ISNUMBER(J249)),J249&lt;0),"Spend or time missing",IF(COUNTIFS('Cases overview'!$A$7:$A$306,B249,'Cases overview'!$J$7:$J$306,I249)&lt;&gt;1,"Currency mismatch",IF(AND(M249&lt;&gt;"",OR(M249=A249,COUNTIFS('Execution log'!$A$7:$A$306,M249,'Execution log'!$B$7:$B$306,B249,'Execution log'!$L$7:$L$306,"Corrected")&lt;&gt;1)),"Correction ref to check","Valid input"))))))))))</x:f>
      </x:c>
    </x:row>
    <x:row r="250" ht="25" customHeight="1">
      <x:c r="A250" s="3"/>
      <x:c r="B250" s="3"/>
      <x:c r="C250" s="3"/>
      <x:c r="D250" s="3"/>
      <x:c r="E250" s="25"/>
      <x:c r="F250" s="25"/>
      <x:c r="G250" s="3"/>
      <x:c r="H250" s="22"/>
      <x:c r="I250" s="3"/>
      <x:c r="J250" s="22"/>
      <x:c r="K250" s="3"/>
      <x:c r="L250" s="3"/>
      <x:c r="M250" s="3"/>
      <x:c r="N250" s="3"/>
      <x:c r="O250" s="3"/>
      <x:c r="P250" s="19" t="str">
        <x:f>IF(A250="","",IF(COUNTIFS('Execution log'!$A$7:$A$306,A250)&lt;&gt;1,"Duplicate ID",IF(COUNTIFS('Cases overview'!$A$7:$A$306,B250)&lt;&gt;1,"Invalid case ref",IF(OR(L250="Corrected",L250="Revoked"),"Excluded from totals",IF(L250&lt;&gt;"Valid","Record status missing",IF(COUNTIFS('Plan versions'!$A$7:$A$306,C250,'Plan versions'!$B$7:$B$306,B250,'Plan versions'!$L$7:$L$306,"Frozen")&lt;&gt;1,"Invalid plan ref",IF(OR(D250="",NOT(ISNUMBER(E250)),NOT(ISNUMBER(F250)),G250="",K250=""),"Execution info missing",IF(OR(NOT(ISNUMBER(H250)),H250&lt;0,NOT(ISNUMBER(J250)),J250&lt;0),"Spend or time missing",IF(COUNTIFS('Cases overview'!$A$7:$A$306,B250,'Cases overview'!$J$7:$J$306,I250)&lt;&gt;1,"Currency mismatch",IF(AND(M250&lt;&gt;"",OR(M250=A250,COUNTIFS('Execution log'!$A$7:$A$306,M250,'Execution log'!$B$7:$B$306,B250,'Execution log'!$L$7:$L$306,"Corrected")&lt;&gt;1)),"Correction ref to check","Valid input"))))))))))</x:f>
      </x:c>
    </x:row>
    <x:row r="251" ht="25" customHeight="1">
      <x:c r="A251" s="3"/>
      <x:c r="B251" s="3"/>
      <x:c r="C251" s="3"/>
      <x:c r="D251" s="3"/>
      <x:c r="E251" s="25"/>
      <x:c r="F251" s="25"/>
      <x:c r="G251" s="3"/>
      <x:c r="H251" s="22"/>
      <x:c r="I251" s="3"/>
      <x:c r="J251" s="22"/>
      <x:c r="K251" s="3"/>
      <x:c r="L251" s="3"/>
      <x:c r="M251" s="3"/>
      <x:c r="N251" s="3"/>
      <x:c r="O251" s="3"/>
      <x:c r="P251" s="19" t="str">
        <x:f>IF(A251="","",IF(COUNTIFS('Execution log'!$A$7:$A$306,A251)&lt;&gt;1,"Duplicate ID",IF(COUNTIFS('Cases overview'!$A$7:$A$306,B251)&lt;&gt;1,"Invalid case ref",IF(OR(L251="Corrected",L251="Revoked"),"Excluded from totals",IF(L251&lt;&gt;"Valid","Record status missing",IF(COUNTIFS('Plan versions'!$A$7:$A$306,C251,'Plan versions'!$B$7:$B$306,B251,'Plan versions'!$L$7:$L$306,"Frozen")&lt;&gt;1,"Invalid plan ref",IF(OR(D251="",NOT(ISNUMBER(E251)),NOT(ISNUMBER(F251)),G251="",K251=""),"Execution info missing",IF(OR(NOT(ISNUMBER(H251)),H251&lt;0,NOT(ISNUMBER(J251)),J251&lt;0),"Spend or time missing",IF(COUNTIFS('Cases overview'!$A$7:$A$306,B251,'Cases overview'!$J$7:$J$306,I251)&lt;&gt;1,"Currency mismatch",IF(AND(M251&lt;&gt;"",OR(M251=A251,COUNTIFS('Execution log'!$A$7:$A$306,M251,'Execution log'!$B$7:$B$306,B251,'Execution log'!$L$7:$L$306,"Corrected")&lt;&gt;1)),"Correction ref to check","Valid input"))))))))))</x:f>
      </x:c>
    </x:row>
    <x:row r="252" ht="25" customHeight="1">
      <x:c r="A252" s="3"/>
      <x:c r="B252" s="3"/>
      <x:c r="C252" s="3"/>
      <x:c r="D252" s="3"/>
      <x:c r="E252" s="25"/>
      <x:c r="F252" s="25"/>
      <x:c r="G252" s="3"/>
      <x:c r="H252" s="22"/>
      <x:c r="I252" s="3"/>
      <x:c r="J252" s="22"/>
      <x:c r="K252" s="3"/>
      <x:c r="L252" s="3"/>
      <x:c r="M252" s="3"/>
      <x:c r="N252" s="3"/>
      <x:c r="O252" s="3"/>
      <x:c r="P252" s="19" t="str">
        <x:f>IF(A252="","",IF(COUNTIFS('Execution log'!$A$7:$A$306,A252)&lt;&gt;1,"Duplicate ID",IF(COUNTIFS('Cases overview'!$A$7:$A$306,B252)&lt;&gt;1,"Invalid case ref",IF(OR(L252="Corrected",L252="Revoked"),"Excluded from totals",IF(L252&lt;&gt;"Valid","Record status missing",IF(COUNTIFS('Plan versions'!$A$7:$A$306,C252,'Plan versions'!$B$7:$B$306,B252,'Plan versions'!$L$7:$L$306,"Frozen")&lt;&gt;1,"Invalid plan ref",IF(OR(D252="",NOT(ISNUMBER(E252)),NOT(ISNUMBER(F252)),G252="",K252=""),"Execution info missing",IF(OR(NOT(ISNUMBER(H252)),H252&lt;0,NOT(ISNUMBER(J252)),J252&lt;0),"Spend or time missing",IF(COUNTIFS('Cases overview'!$A$7:$A$306,B252,'Cases overview'!$J$7:$J$306,I252)&lt;&gt;1,"Currency mismatch",IF(AND(M252&lt;&gt;"",OR(M252=A252,COUNTIFS('Execution log'!$A$7:$A$306,M252,'Execution log'!$B$7:$B$306,B252,'Execution log'!$L$7:$L$306,"Corrected")&lt;&gt;1)),"Correction ref to check","Valid input"))))))))))</x:f>
      </x:c>
    </x:row>
    <x:row r="253" ht="25" customHeight="1">
      <x:c r="A253" s="3"/>
      <x:c r="B253" s="3"/>
      <x:c r="C253" s="3"/>
      <x:c r="D253" s="3"/>
      <x:c r="E253" s="25"/>
      <x:c r="F253" s="25"/>
      <x:c r="G253" s="3"/>
      <x:c r="H253" s="22"/>
      <x:c r="I253" s="3"/>
      <x:c r="J253" s="22"/>
      <x:c r="K253" s="3"/>
      <x:c r="L253" s="3"/>
      <x:c r="M253" s="3"/>
      <x:c r="N253" s="3"/>
      <x:c r="O253" s="3"/>
      <x:c r="P253" s="19" t="str">
        <x:f>IF(A253="","",IF(COUNTIFS('Execution log'!$A$7:$A$306,A253)&lt;&gt;1,"Duplicate ID",IF(COUNTIFS('Cases overview'!$A$7:$A$306,B253)&lt;&gt;1,"Invalid case ref",IF(OR(L253="Corrected",L253="Revoked"),"Excluded from totals",IF(L253&lt;&gt;"Valid","Record status missing",IF(COUNTIFS('Plan versions'!$A$7:$A$306,C253,'Plan versions'!$B$7:$B$306,B253,'Plan versions'!$L$7:$L$306,"Frozen")&lt;&gt;1,"Invalid plan ref",IF(OR(D253="",NOT(ISNUMBER(E253)),NOT(ISNUMBER(F253)),G253="",K253=""),"Execution info missing",IF(OR(NOT(ISNUMBER(H253)),H253&lt;0,NOT(ISNUMBER(J253)),J253&lt;0),"Spend or time missing",IF(COUNTIFS('Cases overview'!$A$7:$A$306,B253,'Cases overview'!$J$7:$J$306,I253)&lt;&gt;1,"Currency mismatch",IF(AND(M253&lt;&gt;"",OR(M253=A253,COUNTIFS('Execution log'!$A$7:$A$306,M253,'Execution log'!$B$7:$B$306,B253,'Execution log'!$L$7:$L$306,"Corrected")&lt;&gt;1)),"Correction ref to check","Valid input"))))))))))</x:f>
      </x:c>
    </x:row>
    <x:row r="254" ht="25" customHeight="1">
      <x:c r="A254" s="3"/>
      <x:c r="B254" s="3"/>
      <x:c r="C254" s="3"/>
      <x:c r="D254" s="3"/>
      <x:c r="E254" s="25"/>
      <x:c r="F254" s="25"/>
      <x:c r="G254" s="3"/>
      <x:c r="H254" s="22"/>
      <x:c r="I254" s="3"/>
      <x:c r="J254" s="22"/>
      <x:c r="K254" s="3"/>
      <x:c r="L254" s="3"/>
      <x:c r="M254" s="3"/>
      <x:c r="N254" s="3"/>
      <x:c r="O254" s="3"/>
      <x:c r="P254" s="19" t="str">
        <x:f>IF(A254="","",IF(COUNTIFS('Execution log'!$A$7:$A$306,A254)&lt;&gt;1,"Duplicate ID",IF(COUNTIFS('Cases overview'!$A$7:$A$306,B254)&lt;&gt;1,"Invalid case ref",IF(OR(L254="Corrected",L254="Revoked"),"Excluded from totals",IF(L254&lt;&gt;"Valid","Record status missing",IF(COUNTIFS('Plan versions'!$A$7:$A$306,C254,'Plan versions'!$B$7:$B$306,B254,'Plan versions'!$L$7:$L$306,"Frozen")&lt;&gt;1,"Invalid plan ref",IF(OR(D254="",NOT(ISNUMBER(E254)),NOT(ISNUMBER(F254)),G254="",K254=""),"Execution info missing",IF(OR(NOT(ISNUMBER(H254)),H254&lt;0,NOT(ISNUMBER(J254)),J254&lt;0),"Spend or time missing",IF(COUNTIFS('Cases overview'!$A$7:$A$306,B254,'Cases overview'!$J$7:$J$306,I254)&lt;&gt;1,"Currency mismatch",IF(AND(M254&lt;&gt;"",OR(M254=A254,COUNTIFS('Execution log'!$A$7:$A$306,M254,'Execution log'!$B$7:$B$306,B254,'Execution log'!$L$7:$L$306,"Corrected")&lt;&gt;1)),"Correction ref to check","Valid input"))))))))))</x:f>
      </x:c>
    </x:row>
    <x:row r="255" ht="25" customHeight="1">
      <x:c r="A255" s="3"/>
      <x:c r="B255" s="3"/>
      <x:c r="C255" s="3"/>
      <x:c r="D255" s="3"/>
      <x:c r="E255" s="25"/>
      <x:c r="F255" s="25"/>
      <x:c r="G255" s="3"/>
      <x:c r="H255" s="22"/>
      <x:c r="I255" s="3"/>
      <x:c r="J255" s="22"/>
      <x:c r="K255" s="3"/>
      <x:c r="L255" s="3"/>
      <x:c r="M255" s="3"/>
      <x:c r="N255" s="3"/>
      <x:c r="O255" s="3"/>
      <x:c r="P255" s="19" t="str">
        <x:f>IF(A255="","",IF(COUNTIFS('Execution log'!$A$7:$A$306,A255)&lt;&gt;1,"Duplicate ID",IF(COUNTIFS('Cases overview'!$A$7:$A$306,B255)&lt;&gt;1,"Invalid case ref",IF(OR(L255="Corrected",L255="Revoked"),"Excluded from totals",IF(L255&lt;&gt;"Valid","Record status missing",IF(COUNTIFS('Plan versions'!$A$7:$A$306,C255,'Plan versions'!$B$7:$B$306,B255,'Plan versions'!$L$7:$L$306,"Frozen")&lt;&gt;1,"Invalid plan ref",IF(OR(D255="",NOT(ISNUMBER(E255)),NOT(ISNUMBER(F255)),G255="",K255=""),"Execution info missing",IF(OR(NOT(ISNUMBER(H255)),H255&lt;0,NOT(ISNUMBER(J255)),J255&lt;0),"Spend or time missing",IF(COUNTIFS('Cases overview'!$A$7:$A$306,B255,'Cases overview'!$J$7:$J$306,I255)&lt;&gt;1,"Currency mismatch",IF(AND(M255&lt;&gt;"",OR(M255=A255,COUNTIFS('Execution log'!$A$7:$A$306,M255,'Execution log'!$B$7:$B$306,B255,'Execution log'!$L$7:$L$306,"Corrected")&lt;&gt;1)),"Correction ref to check","Valid input"))))))))))</x:f>
      </x:c>
    </x:row>
    <x:row r="256" ht="25" customHeight="1">
      <x:c r="A256" s="3"/>
      <x:c r="B256" s="3"/>
      <x:c r="C256" s="3"/>
      <x:c r="D256" s="3"/>
      <x:c r="E256" s="25"/>
      <x:c r="F256" s="25"/>
      <x:c r="G256" s="3"/>
      <x:c r="H256" s="22"/>
      <x:c r="I256" s="3"/>
      <x:c r="J256" s="22"/>
      <x:c r="K256" s="3"/>
      <x:c r="L256" s="3"/>
      <x:c r="M256" s="3"/>
      <x:c r="N256" s="3"/>
      <x:c r="O256" s="3"/>
      <x:c r="P256" s="19" t="str">
        <x:f>IF(A256="","",IF(COUNTIFS('Execution log'!$A$7:$A$306,A256)&lt;&gt;1,"Duplicate ID",IF(COUNTIFS('Cases overview'!$A$7:$A$306,B256)&lt;&gt;1,"Invalid case ref",IF(OR(L256="Corrected",L256="Revoked"),"Excluded from totals",IF(L256&lt;&gt;"Valid","Record status missing",IF(COUNTIFS('Plan versions'!$A$7:$A$306,C256,'Plan versions'!$B$7:$B$306,B256,'Plan versions'!$L$7:$L$306,"Frozen")&lt;&gt;1,"Invalid plan ref",IF(OR(D256="",NOT(ISNUMBER(E256)),NOT(ISNUMBER(F256)),G256="",K256=""),"Execution info missing",IF(OR(NOT(ISNUMBER(H256)),H256&lt;0,NOT(ISNUMBER(J256)),J256&lt;0),"Spend or time missing",IF(COUNTIFS('Cases overview'!$A$7:$A$306,B256,'Cases overview'!$J$7:$J$306,I256)&lt;&gt;1,"Currency mismatch",IF(AND(M256&lt;&gt;"",OR(M256=A256,COUNTIFS('Execution log'!$A$7:$A$306,M256,'Execution log'!$B$7:$B$306,B256,'Execution log'!$L$7:$L$306,"Corrected")&lt;&gt;1)),"Correction ref to check","Valid input"))))))))))</x:f>
      </x:c>
    </x:row>
    <x:row r="257" ht="25" customHeight="1">
      <x:c r="A257" s="3"/>
      <x:c r="B257" s="3"/>
      <x:c r="C257" s="3"/>
      <x:c r="D257" s="3"/>
      <x:c r="E257" s="25"/>
      <x:c r="F257" s="25"/>
      <x:c r="G257" s="3"/>
      <x:c r="H257" s="22"/>
      <x:c r="I257" s="3"/>
      <x:c r="J257" s="22"/>
      <x:c r="K257" s="3"/>
      <x:c r="L257" s="3"/>
      <x:c r="M257" s="3"/>
      <x:c r="N257" s="3"/>
      <x:c r="O257" s="3"/>
      <x:c r="P257" s="19" t="str">
        <x:f>IF(A257="","",IF(COUNTIFS('Execution log'!$A$7:$A$306,A257)&lt;&gt;1,"Duplicate ID",IF(COUNTIFS('Cases overview'!$A$7:$A$306,B257)&lt;&gt;1,"Invalid case ref",IF(OR(L257="Corrected",L257="Revoked"),"Excluded from totals",IF(L257&lt;&gt;"Valid","Record status missing",IF(COUNTIFS('Plan versions'!$A$7:$A$306,C257,'Plan versions'!$B$7:$B$306,B257,'Plan versions'!$L$7:$L$306,"Frozen")&lt;&gt;1,"Invalid plan ref",IF(OR(D257="",NOT(ISNUMBER(E257)),NOT(ISNUMBER(F257)),G257="",K257=""),"Execution info missing",IF(OR(NOT(ISNUMBER(H257)),H257&lt;0,NOT(ISNUMBER(J257)),J257&lt;0),"Spend or time missing",IF(COUNTIFS('Cases overview'!$A$7:$A$306,B257,'Cases overview'!$J$7:$J$306,I257)&lt;&gt;1,"Currency mismatch",IF(AND(M257&lt;&gt;"",OR(M257=A257,COUNTIFS('Execution log'!$A$7:$A$306,M257,'Execution log'!$B$7:$B$306,B257,'Execution log'!$L$7:$L$306,"Corrected")&lt;&gt;1)),"Correction ref to check","Valid input"))))))))))</x:f>
      </x:c>
    </x:row>
    <x:row r="258" ht="25" customHeight="1">
      <x:c r="A258" s="3"/>
      <x:c r="B258" s="3"/>
      <x:c r="C258" s="3"/>
      <x:c r="D258" s="3"/>
      <x:c r="E258" s="25"/>
      <x:c r="F258" s="25"/>
      <x:c r="G258" s="3"/>
      <x:c r="H258" s="22"/>
      <x:c r="I258" s="3"/>
      <x:c r="J258" s="22"/>
      <x:c r="K258" s="3"/>
      <x:c r="L258" s="3"/>
      <x:c r="M258" s="3"/>
      <x:c r="N258" s="3"/>
      <x:c r="O258" s="3"/>
      <x:c r="P258" s="19" t="str">
        <x:f>IF(A258="","",IF(COUNTIFS('Execution log'!$A$7:$A$306,A258)&lt;&gt;1,"Duplicate ID",IF(COUNTIFS('Cases overview'!$A$7:$A$306,B258)&lt;&gt;1,"Invalid case ref",IF(OR(L258="Corrected",L258="Revoked"),"Excluded from totals",IF(L258&lt;&gt;"Valid","Record status missing",IF(COUNTIFS('Plan versions'!$A$7:$A$306,C258,'Plan versions'!$B$7:$B$306,B258,'Plan versions'!$L$7:$L$306,"Frozen")&lt;&gt;1,"Invalid plan ref",IF(OR(D258="",NOT(ISNUMBER(E258)),NOT(ISNUMBER(F258)),G258="",K258=""),"Execution info missing",IF(OR(NOT(ISNUMBER(H258)),H258&lt;0,NOT(ISNUMBER(J258)),J258&lt;0),"Spend or time missing",IF(COUNTIFS('Cases overview'!$A$7:$A$306,B258,'Cases overview'!$J$7:$J$306,I258)&lt;&gt;1,"Currency mismatch",IF(AND(M258&lt;&gt;"",OR(M258=A258,COUNTIFS('Execution log'!$A$7:$A$306,M258,'Execution log'!$B$7:$B$306,B258,'Execution log'!$L$7:$L$306,"Corrected")&lt;&gt;1)),"Correction ref to check","Valid input"))))))))))</x:f>
      </x:c>
    </x:row>
    <x:row r="259" ht="25" customHeight="1">
      <x:c r="A259" s="3"/>
      <x:c r="B259" s="3"/>
      <x:c r="C259" s="3"/>
      <x:c r="D259" s="3"/>
      <x:c r="E259" s="25"/>
      <x:c r="F259" s="25"/>
      <x:c r="G259" s="3"/>
      <x:c r="H259" s="22"/>
      <x:c r="I259" s="3"/>
      <x:c r="J259" s="22"/>
      <x:c r="K259" s="3"/>
      <x:c r="L259" s="3"/>
      <x:c r="M259" s="3"/>
      <x:c r="N259" s="3"/>
      <x:c r="O259" s="3"/>
      <x:c r="P259" s="19" t="str">
        <x:f>IF(A259="","",IF(COUNTIFS('Execution log'!$A$7:$A$306,A259)&lt;&gt;1,"Duplicate ID",IF(COUNTIFS('Cases overview'!$A$7:$A$306,B259)&lt;&gt;1,"Invalid case ref",IF(OR(L259="Corrected",L259="Revoked"),"Excluded from totals",IF(L259&lt;&gt;"Valid","Record status missing",IF(COUNTIFS('Plan versions'!$A$7:$A$306,C259,'Plan versions'!$B$7:$B$306,B259,'Plan versions'!$L$7:$L$306,"Frozen")&lt;&gt;1,"Invalid plan ref",IF(OR(D259="",NOT(ISNUMBER(E259)),NOT(ISNUMBER(F259)),G259="",K259=""),"Execution info missing",IF(OR(NOT(ISNUMBER(H259)),H259&lt;0,NOT(ISNUMBER(J259)),J259&lt;0),"Spend or time missing",IF(COUNTIFS('Cases overview'!$A$7:$A$306,B259,'Cases overview'!$J$7:$J$306,I259)&lt;&gt;1,"Currency mismatch",IF(AND(M259&lt;&gt;"",OR(M259=A259,COUNTIFS('Execution log'!$A$7:$A$306,M259,'Execution log'!$B$7:$B$306,B259,'Execution log'!$L$7:$L$306,"Corrected")&lt;&gt;1)),"Correction ref to check","Valid input"))))))))))</x:f>
      </x:c>
    </x:row>
    <x:row r="260" ht="25" customHeight="1">
      <x:c r="A260" s="3"/>
      <x:c r="B260" s="3"/>
      <x:c r="C260" s="3"/>
      <x:c r="D260" s="3"/>
      <x:c r="E260" s="25"/>
      <x:c r="F260" s="25"/>
      <x:c r="G260" s="3"/>
      <x:c r="H260" s="22"/>
      <x:c r="I260" s="3"/>
      <x:c r="J260" s="22"/>
      <x:c r="K260" s="3"/>
      <x:c r="L260" s="3"/>
      <x:c r="M260" s="3"/>
      <x:c r="N260" s="3"/>
      <x:c r="O260" s="3"/>
      <x:c r="P260" s="19" t="str">
        <x:f>IF(A260="","",IF(COUNTIFS('Execution log'!$A$7:$A$306,A260)&lt;&gt;1,"Duplicate ID",IF(COUNTIFS('Cases overview'!$A$7:$A$306,B260)&lt;&gt;1,"Invalid case ref",IF(OR(L260="Corrected",L260="Revoked"),"Excluded from totals",IF(L260&lt;&gt;"Valid","Record status missing",IF(COUNTIFS('Plan versions'!$A$7:$A$306,C260,'Plan versions'!$B$7:$B$306,B260,'Plan versions'!$L$7:$L$306,"Frozen")&lt;&gt;1,"Invalid plan ref",IF(OR(D260="",NOT(ISNUMBER(E260)),NOT(ISNUMBER(F260)),G260="",K260=""),"Execution info missing",IF(OR(NOT(ISNUMBER(H260)),H260&lt;0,NOT(ISNUMBER(J260)),J260&lt;0),"Spend or time missing",IF(COUNTIFS('Cases overview'!$A$7:$A$306,B260,'Cases overview'!$J$7:$J$306,I260)&lt;&gt;1,"Currency mismatch",IF(AND(M260&lt;&gt;"",OR(M260=A260,COUNTIFS('Execution log'!$A$7:$A$306,M260,'Execution log'!$B$7:$B$306,B260,'Execution log'!$L$7:$L$306,"Corrected")&lt;&gt;1)),"Correction ref to check","Valid input"))))))))))</x:f>
      </x:c>
    </x:row>
    <x:row r="261" ht="25" customHeight="1">
      <x:c r="A261" s="3"/>
      <x:c r="B261" s="3"/>
      <x:c r="C261" s="3"/>
      <x:c r="D261" s="3"/>
      <x:c r="E261" s="25"/>
      <x:c r="F261" s="25"/>
      <x:c r="G261" s="3"/>
      <x:c r="H261" s="22"/>
      <x:c r="I261" s="3"/>
      <x:c r="J261" s="22"/>
      <x:c r="K261" s="3"/>
      <x:c r="L261" s="3"/>
      <x:c r="M261" s="3"/>
      <x:c r="N261" s="3"/>
      <x:c r="O261" s="3"/>
      <x:c r="P261" s="19" t="str">
        <x:f>IF(A261="","",IF(COUNTIFS('Execution log'!$A$7:$A$306,A261)&lt;&gt;1,"Duplicate ID",IF(COUNTIFS('Cases overview'!$A$7:$A$306,B261)&lt;&gt;1,"Invalid case ref",IF(OR(L261="Corrected",L261="Revoked"),"Excluded from totals",IF(L261&lt;&gt;"Valid","Record status missing",IF(COUNTIFS('Plan versions'!$A$7:$A$306,C261,'Plan versions'!$B$7:$B$306,B261,'Plan versions'!$L$7:$L$306,"Frozen")&lt;&gt;1,"Invalid plan ref",IF(OR(D261="",NOT(ISNUMBER(E261)),NOT(ISNUMBER(F261)),G261="",K261=""),"Execution info missing",IF(OR(NOT(ISNUMBER(H261)),H261&lt;0,NOT(ISNUMBER(J261)),J261&lt;0),"Spend or time missing",IF(COUNTIFS('Cases overview'!$A$7:$A$306,B261,'Cases overview'!$J$7:$J$306,I261)&lt;&gt;1,"Currency mismatch",IF(AND(M261&lt;&gt;"",OR(M261=A261,COUNTIFS('Execution log'!$A$7:$A$306,M261,'Execution log'!$B$7:$B$306,B261,'Execution log'!$L$7:$L$306,"Corrected")&lt;&gt;1)),"Correction ref to check","Valid input"))))))))))</x:f>
      </x:c>
    </x:row>
    <x:row r="262" ht="25" customHeight="1">
      <x:c r="A262" s="3"/>
      <x:c r="B262" s="3"/>
      <x:c r="C262" s="3"/>
      <x:c r="D262" s="3"/>
      <x:c r="E262" s="25"/>
      <x:c r="F262" s="25"/>
      <x:c r="G262" s="3"/>
      <x:c r="H262" s="22"/>
      <x:c r="I262" s="3"/>
      <x:c r="J262" s="22"/>
      <x:c r="K262" s="3"/>
      <x:c r="L262" s="3"/>
      <x:c r="M262" s="3"/>
      <x:c r="N262" s="3"/>
      <x:c r="O262" s="3"/>
      <x:c r="P262" s="19" t="str">
        <x:f>IF(A262="","",IF(COUNTIFS('Execution log'!$A$7:$A$306,A262)&lt;&gt;1,"Duplicate ID",IF(COUNTIFS('Cases overview'!$A$7:$A$306,B262)&lt;&gt;1,"Invalid case ref",IF(OR(L262="Corrected",L262="Revoked"),"Excluded from totals",IF(L262&lt;&gt;"Valid","Record status missing",IF(COUNTIFS('Plan versions'!$A$7:$A$306,C262,'Plan versions'!$B$7:$B$306,B262,'Plan versions'!$L$7:$L$306,"Frozen")&lt;&gt;1,"Invalid plan ref",IF(OR(D262="",NOT(ISNUMBER(E262)),NOT(ISNUMBER(F262)),G262="",K262=""),"Execution info missing",IF(OR(NOT(ISNUMBER(H262)),H262&lt;0,NOT(ISNUMBER(J262)),J262&lt;0),"Spend or time missing",IF(COUNTIFS('Cases overview'!$A$7:$A$306,B262,'Cases overview'!$J$7:$J$306,I262)&lt;&gt;1,"Currency mismatch",IF(AND(M262&lt;&gt;"",OR(M262=A262,COUNTIFS('Execution log'!$A$7:$A$306,M262,'Execution log'!$B$7:$B$306,B262,'Execution log'!$L$7:$L$306,"Corrected")&lt;&gt;1)),"Correction ref to check","Valid input"))))))))))</x:f>
      </x:c>
    </x:row>
    <x:row r="263" ht="25" customHeight="1">
      <x:c r="A263" s="3"/>
      <x:c r="B263" s="3"/>
      <x:c r="C263" s="3"/>
      <x:c r="D263" s="3"/>
      <x:c r="E263" s="25"/>
      <x:c r="F263" s="25"/>
      <x:c r="G263" s="3"/>
      <x:c r="H263" s="22"/>
      <x:c r="I263" s="3"/>
      <x:c r="J263" s="22"/>
      <x:c r="K263" s="3"/>
      <x:c r="L263" s="3"/>
      <x:c r="M263" s="3"/>
      <x:c r="N263" s="3"/>
      <x:c r="O263" s="3"/>
      <x:c r="P263" s="19" t="str">
        <x:f>IF(A263="","",IF(COUNTIFS('Execution log'!$A$7:$A$306,A263)&lt;&gt;1,"Duplicate ID",IF(COUNTIFS('Cases overview'!$A$7:$A$306,B263)&lt;&gt;1,"Invalid case ref",IF(OR(L263="Corrected",L263="Revoked"),"Excluded from totals",IF(L263&lt;&gt;"Valid","Record status missing",IF(COUNTIFS('Plan versions'!$A$7:$A$306,C263,'Plan versions'!$B$7:$B$306,B263,'Plan versions'!$L$7:$L$306,"Frozen")&lt;&gt;1,"Invalid plan ref",IF(OR(D263="",NOT(ISNUMBER(E263)),NOT(ISNUMBER(F263)),G263="",K263=""),"Execution info missing",IF(OR(NOT(ISNUMBER(H263)),H263&lt;0,NOT(ISNUMBER(J263)),J263&lt;0),"Spend or time missing",IF(COUNTIFS('Cases overview'!$A$7:$A$306,B263,'Cases overview'!$J$7:$J$306,I263)&lt;&gt;1,"Currency mismatch",IF(AND(M263&lt;&gt;"",OR(M263=A263,COUNTIFS('Execution log'!$A$7:$A$306,M263,'Execution log'!$B$7:$B$306,B263,'Execution log'!$L$7:$L$306,"Corrected")&lt;&gt;1)),"Correction ref to check","Valid input"))))))))))</x:f>
      </x:c>
    </x:row>
    <x:row r="264" ht="25" customHeight="1">
      <x:c r="A264" s="3"/>
      <x:c r="B264" s="3"/>
      <x:c r="C264" s="3"/>
      <x:c r="D264" s="3"/>
      <x:c r="E264" s="25"/>
      <x:c r="F264" s="25"/>
      <x:c r="G264" s="3"/>
      <x:c r="H264" s="22"/>
      <x:c r="I264" s="3"/>
      <x:c r="J264" s="22"/>
      <x:c r="K264" s="3"/>
      <x:c r="L264" s="3"/>
      <x:c r="M264" s="3"/>
      <x:c r="N264" s="3"/>
      <x:c r="O264" s="3"/>
      <x:c r="P264" s="19" t="str">
        <x:f>IF(A264="","",IF(COUNTIFS('Execution log'!$A$7:$A$306,A264)&lt;&gt;1,"Duplicate ID",IF(COUNTIFS('Cases overview'!$A$7:$A$306,B264)&lt;&gt;1,"Invalid case ref",IF(OR(L264="Corrected",L264="Revoked"),"Excluded from totals",IF(L264&lt;&gt;"Valid","Record status missing",IF(COUNTIFS('Plan versions'!$A$7:$A$306,C264,'Plan versions'!$B$7:$B$306,B264,'Plan versions'!$L$7:$L$306,"Frozen")&lt;&gt;1,"Invalid plan ref",IF(OR(D264="",NOT(ISNUMBER(E264)),NOT(ISNUMBER(F264)),G264="",K264=""),"Execution info missing",IF(OR(NOT(ISNUMBER(H264)),H264&lt;0,NOT(ISNUMBER(J264)),J264&lt;0),"Spend or time missing",IF(COUNTIFS('Cases overview'!$A$7:$A$306,B264,'Cases overview'!$J$7:$J$306,I264)&lt;&gt;1,"Currency mismatch",IF(AND(M264&lt;&gt;"",OR(M264=A264,COUNTIFS('Execution log'!$A$7:$A$306,M264,'Execution log'!$B$7:$B$306,B264,'Execution log'!$L$7:$L$306,"Corrected")&lt;&gt;1)),"Correction ref to check","Valid input"))))))))))</x:f>
      </x:c>
    </x:row>
    <x:row r="265" ht="25" customHeight="1">
      <x:c r="A265" s="3"/>
      <x:c r="B265" s="3"/>
      <x:c r="C265" s="3"/>
      <x:c r="D265" s="3"/>
      <x:c r="E265" s="25"/>
      <x:c r="F265" s="25"/>
      <x:c r="G265" s="3"/>
      <x:c r="H265" s="22"/>
      <x:c r="I265" s="3"/>
      <x:c r="J265" s="22"/>
      <x:c r="K265" s="3"/>
      <x:c r="L265" s="3"/>
      <x:c r="M265" s="3"/>
      <x:c r="N265" s="3"/>
      <x:c r="O265" s="3"/>
      <x:c r="P265" s="19" t="str">
        <x:f>IF(A265="","",IF(COUNTIFS('Execution log'!$A$7:$A$306,A265)&lt;&gt;1,"Duplicate ID",IF(COUNTIFS('Cases overview'!$A$7:$A$306,B265)&lt;&gt;1,"Invalid case ref",IF(OR(L265="Corrected",L265="Revoked"),"Excluded from totals",IF(L265&lt;&gt;"Valid","Record status missing",IF(COUNTIFS('Plan versions'!$A$7:$A$306,C265,'Plan versions'!$B$7:$B$306,B265,'Plan versions'!$L$7:$L$306,"Frozen")&lt;&gt;1,"Invalid plan ref",IF(OR(D265="",NOT(ISNUMBER(E265)),NOT(ISNUMBER(F265)),G265="",K265=""),"Execution info missing",IF(OR(NOT(ISNUMBER(H265)),H265&lt;0,NOT(ISNUMBER(J265)),J265&lt;0),"Spend or time missing",IF(COUNTIFS('Cases overview'!$A$7:$A$306,B265,'Cases overview'!$J$7:$J$306,I265)&lt;&gt;1,"Currency mismatch",IF(AND(M265&lt;&gt;"",OR(M265=A265,COUNTIFS('Execution log'!$A$7:$A$306,M265,'Execution log'!$B$7:$B$306,B265,'Execution log'!$L$7:$L$306,"Corrected")&lt;&gt;1)),"Correction ref to check","Valid input"))))))))))</x:f>
      </x:c>
    </x:row>
    <x:row r="266" ht="25" customHeight="1">
      <x:c r="A266" s="3"/>
      <x:c r="B266" s="3"/>
      <x:c r="C266" s="3"/>
      <x:c r="D266" s="3"/>
      <x:c r="E266" s="25"/>
      <x:c r="F266" s="25"/>
      <x:c r="G266" s="3"/>
      <x:c r="H266" s="22"/>
      <x:c r="I266" s="3"/>
      <x:c r="J266" s="22"/>
      <x:c r="K266" s="3"/>
      <x:c r="L266" s="3"/>
      <x:c r="M266" s="3"/>
      <x:c r="N266" s="3"/>
      <x:c r="O266" s="3"/>
      <x:c r="P266" s="19" t="str">
        <x:f>IF(A266="","",IF(COUNTIFS('Execution log'!$A$7:$A$306,A266)&lt;&gt;1,"Duplicate ID",IF(COUNTIFS('Cases overview'!$A$7:$A$306,B266)&lt;&gt;1,"Invalid case ref",IF(OR(L266="Corrected",L266="Revoked"),"Excluded from totals",IF(L266&lt;&gt;"Valid","Record status missing",IF(COUNTIFS('Plan versions'!$A$7:$A$306,C266,'Plan versions'!$B$7:$B$306,B266,'Plan versions'!$L$7:$L$306,"Frozen")&lt;&gt;1,"Invalid plan ref",IF(OR(D266="",NOT(ISNUMBER(E266)),NOT(ISNUMBER(F266)),G266="",K266=""),"Execution info missing",IF(OR(NOT(ISNUMBER(H266)),H266&lt;0,NOT(ISNUMBER(J266)),J266&lt;0),"Spend or time missing",IF(COUNTIFS('Cases overview'!$A$7:$A$306,B266,'Cases overview'!$J$7:$J$306,I266)&lt;&gt;1,"Currency mismatch",IF(AND(M266&lt;&gt;"",OR(M266=A266,COUNTIFS('Execution log'!$A$7:$A$306,M266,'Execution log'!$B$7:$B$306,B266,'Execution log'!$L$7:$L$306,"Corrected")&lt;&gt;1)),"Correction ref to check","Valid input"))))))))))</x:f>
      </x:c>
    </x:row>
    <x:row r="267" ht="25" customHeight="1">
      <x:c r="A267" s="3"/>
      <x:c r="B267" s="3"/>
      <x:c r="C267" s="3"/>
      <x:c r="D267" s="3"/>
      <x:c r="E267" s="25"/>
      <x:c r="F267" s="25"/>
      <x:c r="G267" s="3"/>
      <x:c r="H267" s="22"/>
      <x:c r="I267" s="3"/>
      <x:c r="J267" s="22"/>
      <x:c r="K267" s="3"/>
      <x:c r="L267" s="3"/>
      <x:c r="M267" s="3"/>
      <x:c r="N267" s="3"/>
      <x:c r="O267" s="3"/>
      <x:c r="P267" s="19" t="str">
        <x:f>IF(A267="","",IF(COUNTIFS('Execution log'!$A$7:$A$306,A267)&lt;&gt;1,"Duplicate ID",IF(COUNTIFS('Cases overview'!$A$7:$A$306,B267)&lt;&gt;1,"Invalid case ref",IF(OR(L267="Corrected",L267="Revoked"),"Excluded from totals",IF(L267&lt;&gt;"Valid","Record status missing",IF(COUNTIFS('Plan versions'!$A$7:$A$306,C267,'Plan versions'!$B$7:$B$306,B267,'Plan versions'!$L$7:$L$306,"Frozen")&lt;&gt;1,"Invalid plan ref",IF(OR(D267="",NOT(ISNUMBER(E267)),NOT(ISNUMBER(F267)),G267="",K267=""),"Execution info missing",IF(OR(NOT(ISNUMBER(H267)),H267&lt;0,NOT(ISNUMBER(J267)),J267&lt;0),"Spend or time missing",IF(COUNTIFS('Cases overview'!$A$7:$A$306,B267,'Cases overview'!$J$7:$J$306,I267)&lt;&gt;1,"Currency mismatch",IF(AND(M267&lt;&gt;"",OR(M267=A267,COUNTIFS('Execution log'!$A$7:$A$306,M267,'Execution log'!$B$7:$B$306,B267,'Execution log'!$L$7:$L$306,"Corrected")&lt;&gt;1)),"Correction ref to check","Valid input"))))))))))</x:f>
      </x:c>
    </x:row>
    <x:row r="268" ht="25" customHeight="1">
      <x:c r="A268" s="3"/>
      <x:c r="B268" s="3"/>
      <x:c r="C268" s="3"/>
      <x:c r="D268" s="3"/>
      <x:c r="E268" s="25"/>
      <x:c r="F268" s="25"/>
      <x:c r="G268" s="3"/>
      <x:c r="H268" s="22"/>
      <x:c r="I268" s="3"/>
      <x:c r="J268" s="22"/>
      <x:c r="K268" s="3"/>
      <x:c r="L268" s="3"/>
      <x:c r="M268" s="3"/>
      <x:c r="N268" s="3"/>
      <x:c r="O268" s="3"/>
      <x:c r="P268" s="19" t="str">
        <x:f>IF(A268="","",IF(COUNTIFS('Execution log'!$A$7:$A$306,A268)&lt;&gt;1,"Duplicate ID",IF(COUNTIFS('Cases overview'!$A$7:$A$306,B268)&lt;&gt;1,"Invalid case ref",IF(OR(L268="Corrected",L268="Revoked"),"Excluded from totals",IF(L268&lt;&gt;"Valid","Record status missing",IF(COUNTIFS('Plan versions'!$A$7:$A$306,C268,'Plan versions'!$B$7:$B$306,B268,'Plan versions'!$L$7:$L$306,"Frozen")&lt;&gt;1,"Invalid plan ref",IF(OR(D268="",NOT(ISNUMBER(E268)),NOT(ISNUMBER(F268)),G268="",K268=""),"Execution info missing",IF(OR(NOT(ISNUMBER(H268)),H268&lt;0,NOT(ISNUMBER(J268)),J268&lt;0),"Spend or time missing",IF(COUNTIFS('Cases overview'!$A$7:$A$306,B268,'Cases overview'!$J$7:$J$306,I268)&lt;&gt;1,"Currency mismatch",IF(AND(M268&lt;&gt;"",OR(M268=A268,COUNTIFS('Execution log'!$A$7:$A$306,M268,'Execution log'!$B$7:$B$306,B268,'Execution log'!$L$7:$L$306,"Corrected")&lt;&gt;1)),"Correction ref to check","Valid input"))))))))))</x:f>
      </x:c>
    </x:row>
    <x:row r="269" ht="25" customHeight="1">
      <x:c r="A269" s="3"/>
      <x:c r="B269" s="3"/>
      <x:c r="C269" s="3"/>
      <x:c r="D269" s="3"/>
      <x:c r="E269" s="25"/>
      <x:c r="F269" s="25"/>
      <x:c r="G269" s="3"/>
      <x:c r="H269" s="22"/>
      <x:c r="I269" s="3"/>
      <x:c r="J269" s="22"/>
      <x:c r="K269" s="3"/>
      <x:c r="L269" s="3"/>
      <x:c r="M269" s="3"/>
      <x:c r="N269" s="3"/>
      <x:c r="O269" s="3"/>
      <x:c r="P269" s="19" t="str">
        <x:f>IF(A269="","",IF(COUNTIFS('Execution log'!$A$7:$A$306,A269)&lt;&gt;1,"Duplicate ID",IF(COUNTIFS('Cases overview'!$A$7:$A$306,B269)&lt;&gt;1,"Invalid case ref",IF(OR(L269="Corrected",L269="Revoked"),"Excluded from totals",IF(L269&lt;&gt;"Valid","Record status missing",IF(COUNTIFS('Plan versions'!$A$7:$A$306,C269,'Plan versions'!$B$7:$B$306,B269,'Plan versions'!$L$7:$L$306,"Frozen")&lt;&gt;1,"Invalid plan ref",IF(OR(D269="",NOT(ISNUMBER(E269)),NOT(ISNUMBER(F269)),G269="",K269=""),"Execution info missing",IF(OR(NOT(ISNUMBER(H269)),H269&lt;0,NOT(ISNUMBER(J269)),J269&lt;0),"Spend or time missing",IF(COUNTIFS('Cases overview'!$A$7:$A$306,B269,'Cases overview'!$J$7:$J$306,I269)&lt;&gt;1,"Currency mismatch",IF(AND(M269&lt;&gt;"",OR(M269=A269,COUNTIFS('Execution log'!$A$7:$A$306,M269,'Execution log'!$B$7:$B$306,B269,'Execution log'!$L$7:$L$306,"Corrected")&lt;&gt;1)),"Correction ref to check","Valid input"))))))))))</x:f>
      </x:c>
    </x:row>
    <x:row r="270" ht="25" customHeight="1">
      <x:c r="A270" s="3"/>
      <x:c r="B270" s="3"/>
      <x:c r="C270" s="3"/>
      <x:c r="D270" s="3"/>
      <x:c r="E270" s="25"/>
      <x:c r="F270" s="25"/>
      <x:c r="G270" s="3"/>
      <x:c r="H270" s="22"/>
      <x:c r="I270" s="3"/>
      <x:c r="J270" s="22"/>
      <x:c r="K270" s="3"/>
      <x:c r="L270" s="3"/>
      <x:c r="M270" s="3"/>
      <x:c r="N270" s="3"/>
      <x:c r="O270" s="3"/>
      <x:c r="P270" s="19" t="str">
        <x:f>IF(A270="","",IF(COUNTIFS('Execution log'!$A$7:$A$306,A270)&lt;&gt;1,"Duplicate ID",IF(COUNTIFS('Cases overview'!$A$7:$A$306,B270)&lt;&gt;1,"Invalid case ref",IF(OR(L270="Corrected",L270="Revoked"),"Excluded from totals",IF(L270&lt;&gt;"Valid","Record status missing",IF(COUNTIFS('Plan versions'!$A$7:$A$306,C270,'Plan versions'!$B$7:$B$306,B270,'Plan versions'!$L$7:$L$306,"Frozen")&lt;&gt;1,"Invalid plan ref",IF(OR(D270="",NOT(ISNUMBER(E270)),NOT(ISNUMBER(F270)),G270="",K270=""),"Execution info missing",IF(OR(NOT(ISNUMBER(H270)),H270&lt;0,NOT(ISNUMBER(J270)),J270&lt;0),"Spend or time missing",IF(COUNTIFS('Cases overview'!$A$7:$A$306,B270,'Cases overview'!$J$7:$J$306,I270)&lt;&gt;1,"Currency mismatch",IF(AND(M270&lt;&gt;"",OR(M270=A270,COUNTIFS('Execution log'!$A$7:$A$306,M270,'Execution log'!$B$7:$B$306,B270,'Execution log'!$L$7:$L$306,"Corrected")&lt;&gt;1)),"Correction ref to check","Valid input"))))))))))</x:f>
      </x:c>
    </x:row>
    <x:row r="271" ht="25" customHeight="1">
      <x:c r="A271" s="3"/>
      <x:c r="B271" s="3"/>
      <x:c r="C271" s="3"/>
      <x:c r="D271" s="3"/>
      <x:c r="E271" s="25"/>
      <x:c r="F271" s="25"/>
      <x:c r="G271" s="3"/>
      <x:c r="H271" s="22"/>
      <x:c r="I271" s="3"/>
      <x:c r="J271" s="22"/>
      <x:c r="K271" s="3"/>
      <x:c r="L271" s="3"/>
      <x:c r="M271" s="3"/>
      <x:c r="N271" s="3"/>
      <x:c r="O271" s="3"/>
      <x:c r="P271" s="19" t="str">
        <x:f>IF(A271="","",IF(COUNTIFS('Execution log'!$A$7:$A$306,A271)&lt;&gt;1,"Duplicate ID",IF(COUNTIFS('Cases overview'!$A$7:$A$306,B271)&lt;&gt;1,"Invalid case ref",IF(OR(L271="Corrected",L271="Revoked"),"Excluded from totals",IF(L271&lt;&gt;"Valid","Record status missing",IF(COUNTIFS('Plan versions'!$A$7:$A$306,C271,'Plan versions'!$B$7:$B$306,B271,'Plan versions'!$L$7:$L$306,"Frozen")&lt;&gt;1,"Invalid plan ref",IF(OR(D271="",NOT(ISNUMBER(E271)),NOT(ISNUMBER(F271)),G271="",K271=""),"Execution info missing",IF(OR(NOT(ISNUMBER(H271)),H271&lt;0,NOT(ISNUMBER(J271)),J271&lt;0),"Spend or time missing",IF(COUNTIFS('Cases overview'!$A$7:$A$306,B271,'Cases overview'!$J$7:$J$306,I271)&lt;&gt;1,"Currency mismatch",IF(AND(M271&lt;&gt;"",OR(M271=A271,COUNTIFS('Execution log'!$A$7:$A$306,M271,'Execution log'!$B$7:$B$306,B271,'Execution log'!$L$7:$L$306,"Corrected")&lt;&gt;1)),"Correction ref to check","Valid input"))))))))))</x:f>
      </x:c>
    </x:row>
    <x:row r="272" ht="25" customHeight="1">
      <x:c r="A272" s="3"/>
      <x:c r="B272" s="3"/>
      <x:c r="C272" s="3"/>
      <x:c r="D272" s="3"/>
      <x:c r="E272" s="25"/>
      <x:c r="F272" s="25"/>
      <x:c r="G272" s="3"/>
      <x:c r="H272" s="22"/>
      <x:c r="I272" s="3"/>
      <x:c r="J272" s="22"/>
      <x:c r="K272" s="3"/>
      <x:c r="L272" s="3"/>
      <x:c r="M272" s="3"/>
      <x:c r="N272" s="3"/>
      <x:c r="O272" s="3"/>
      <x:c r="P272" s="19" t="str">
        <x:f>IF(A272="","",IF(COUNTIFS('Execution log'!$A$7:$A$306,A272)&lt;&gt;1,"Duplicate ID",IF(COUNTIFS('Cases overview'!$A$7:$A$306,B272)&lt;&gt;1,"Invalid case ref",IF(OR(L272="Corrected",L272="Revoked"),"Excluded from totals",IF(L272&lt;&gt;"Valid","Record status missing",IF(COUNTIFS('Plan versions'!$A$7:$A$306,C272,'Plan versions'!$B$7:$B$306,B272,'Plan versions'!$L$7:$L$306,"Frozen")&lt;&gt;1,"Invalid plan ref",IF(OR(D272="",NOT(ISNUMBER(E272)),NOT(ISNUMBER(F272)),G272="",K272=""),"Execution info missing",IF(OR(NOT(ISNUMBER(H272)),H272&lt;0,NOT(ISNUMBER(J272)),J272&lt;0),"Spend or time missing",IF(COUNTIFS('Cases overview'!$A$7:$A$306,B272,'Cases overview'!$J$7:$J$306,I272)&lt;&gt;1,"Currency mismatch",IF(AND(M272&lt;&gt;"",OR(M272=A272,COUNTIFS('Execution log'!$A$7:$A$306,M272,'Execution log'!$B$7:$B$306,B272,'Execution log'!$L$7:$L$306,"Corrected")&lt;&gt;1)),"Correction ref to check","Valid input"))))))))))</x:f>
      </x:c>
    </x:row>
    <x:row r="273" ht="25" customHeight="1">
      <x:c r="A273" s="3"/>
      <x:c r="B273" s="3"/>
      <x:c r="C273" s="3"/>
      <x:c r="D273" s="3"/>
      <x:c r="E273" s="25"/>
      <x:c r="F273" s="25"/>
      <x:c r="G273" s="3"/>
      <x:c r="H273" s="22"/>
      <x:c r="I273" s="3"/>
      <x:c r="J273" s="22"/>
      <x:c r="K273" s="3"/>
      <x:c r="L273" s="3"/>
      <x:c r="M273" s="3"/>
      <x:c r="N273" s="3"/>
      <x:c r="O273" s="3"/>
      <x:c r="P273" s="19" t="str">
        <x:f>IF(A273="","",IF(COUNTIFS('Execution log'!$A$7:$A$306,A273)&lt;&gt;1,"Duplicate ID",IF(COUNTIFS('Cases overview'!$A$7:$A$306,B273)&lt;&gt;1,"Invalid case ref",IF(OR(L273="Corrected",L273="Revoked"),"Excluded from totals",IF(L273&lt;&gt;"Valid","Record status missing",IF(COUNTIFS('Plan versions'!$A$7:$A$306,C273,'Plan versions'!$B$7:$B$306,B273,'Plan versions'!$L$7:$L$306,"Frozen")&lt;&gt;1,"Invalid plan ref",IF(OR(D273="",NOT(ISNUMBER(E273)),NOT(ISNUMBER(F273)),G273="",K273=""),"Execution info missing",IF(OR(NOT(ISNUMBER(H273)),H273&lt;0,NOT(ISNUMBER(J273)),J273&lt;0),"Spend or time missing",IF(COUNTIFS('Cases overview'!$A$7:$A$306,B273,'Cases overview'!$J$7:$J$306,I273)&lt;&gt;1,"Currency mismatch",IF(AND(M273&lt;&gt;"",OR(M273=A273,COUNTIFS('Execution log'!$A$7:$A$306,M273,'Execution log'!$B$7:$B$306,B273,'Execution log'!$L$7:$L$306,"Corrected")&lt;&gt;1)),"Correction ref to check","Valid input"))))))))))</x:f>
      </x:c>
    </x:row>
    <x:row r="274" ht="25" customHeight="1">
      <x:c r="A274" s="3"/>
      <x:c r="B274" s="3"/>
      <x:c r="C274" s="3"/>
      <x:c r="D274" s="3"/>
      <x:c r="E274" s="25"/>
      <x:c r="F274" s="25"/>
      <x:c r="G274" s="3"/>
      <x:c r="H274" s="22"/>
      <x:c r="I274" s="3"/>
      <x:c r="J274" s="22"/>
      <x:c r="K274" s="3"/>
      <x:c r="L274" s="3"/>
      <x:c r="M274" s="3"/>
      <x:c r="N274" s="3"/>
      <x:c r="O274" s="3"/>
      <x:c r="P274" s="19" t="str">
        <x:f>IF(A274="","",IF(COUNTIFS('Execution log'!$A$7:$A$306,A274)&lt;&gt;1,"Duplicate ID",IF(COUNTIFS('Cases overview'!$A$7:$A$306,B274)&lt;&gt;1,"Invalid case ref",IF(OR(L274="Corrected",L274="Revoked"),"Excluded from totals",IF(L274&lt;&gt;"Valid","Record status missing",IF(COUNTIFS('Plan versions'!$A$7:$A$306,C274,'Plan versions'!$B$7:$B$306,B274,'Plan versions'!$L$7:$L$306,"Frozen")&lt;&gt;1,"Invalid plan ref",IF(OR(D274="",NOT(ISNUMBER(E274)),NOT(ISNUMBER(F274)),G274="",K274=""),"Execution info missing",IF(OR(NOT(ISNUMBER(H274)),H274&lt;0,NOT(ISNUMBER(J274)),J274&lt;0),"Spend or time missing",IF(COUNTIFS('Cases overview'!$A$7:$A$306,B274,'Cases overview'!$J$7:$J$306,I274)&lt;&gt;1,"Currency mismatch",IF(AND(M274&lt;&gt;"",OR(M274=A274,COUNTIFS('Execution log'!$A$7:$A$306,M274,'Execution log'!$B$7:$B$306,B274,'Execution log'!$L$7:$L$306,"Corrected")&lt;&gt;1)),"Correction ref to check","Valid input"))))))))))</x:f>
      </x:c>
    </x:row>
    <x:row r="275" ht="25" customHeight="1">
      <x:c r="A275" s="3"/>
      <x:c r="B275" s="3"/>
      <x:c r="C275" s="3"/>
      <x:c r="D275" s="3"/>
      <x:c r="E275" s="25"/>
      <x:c r="F275" s="25"/>
      <x:c r="G275" s="3"/>
      <x:c r="H275" s="22"/>
      <x:c r="I275" s="3"/>
      <x:c r="J275" s="22"/>
      <x:c r="K275" s="3"/>
      <x:c r="L275" s="3"/>
      <x:c r="M275" s="3"/>
      <x:c r="N275" s="3"/>
      <x:c r="O275" s="3"/>
      <x:c r="P275" s="19" t="str">
        <x:f>IF(A275="","",IF(COUNTIFS('Execution log'!$A$7:$A$306,A275)&lt;&gt;1,"Duplicate ID",IF(COUNTIFS('Cases overview'!$A$7:$A$306,B275)&lt;&gt;1,"Invalid case ref",IF(OR(L275="Corrected",L275="Revoked"),"Excluded from totals",IF(L275&lt;&gt;"Valid","Record status missing",IF(COUNTIFS('Plan versions'!$A$7:$A$306,C275,'Plan versions'!$B$7:$B$306,B275,'Plan versions'!$L$7:$L$306,"Frozen")&lt;&gt;1,"Invalid plan ref",IF(OR(D275="",NOT(ISNUMBER(E275)),NOT(ISNUMBER(F275)),G275="",K275=""),"Execution info missing",IF(OR(NOT(ISNUMBER(H275)),H275&lt;0,NOT(ISNUMBER(J275)),J275&lt;0),"Spend or time missing",IF(COUNTIFS('Cases overview'!$A$7:$A$306,B275,'Cases overview'!$J$7:$J$306,I275)&lt;&gt;1,"Currency mismatch",IF(AND(M275&lt;&gt;"",OR(M275=A275,COUNTIFS('Execution log'!$A$7:$A$306,M275,'Execution log'!$B$7:$B$306,B275,'Execution log'!$L$7:$L$306,"Corrected")&lt;&gt;1)),"Correction ref to check","Valid input"))))))))))</x:f>
      </x:c>
    </x:row>
    <x:row r="276" ht="25" customHeight="1">
      <x:c r="A276" s="3"/>
      <x:c r="B276" s="3"/>
      <x:c r="C276" s="3"/>
      <x:c r="D276" s="3"/>
      <x:c r="E276" s="25"/>
      <x:c r="F276" s="25"/>
      <x:c r="G276" s="3"/>
      <x:c r="H276" s="22"/>
      <x:c r="I276" s="3"/>
      <x:c r="J276" s="22"/>
      <x:c r="K276" s="3"/>
      <x:c r="L276" s="3"/>
      <x:c r="M276" s="3"/>
      <x:c r="N276" s="3"/>
      <x:c r="O276" s="3"/>
      <x:c r="P276" s="19" t="str">
        <x:f>IF(A276="","",IF(COUNTIFS('Execution log'!$A$7:$A$306,A276)&lt;&gt;1,"Duplicate ID",IF(COUNTIFS('Cases overview'!$A$7:$A$306,B276)&lt;&gt;1,"Invalid case ref",IF(OR(L276="Corrected",L276="Revoked"),"Excluded from totals",IF(L276&lt;&gt;"Valid","Record status missing",IF(COUNTIFS('Plan versions'!$A$7:$A$306,C276,'Plan versions'!$B$7:$B$306,B276,'Plan versions'!$L$7:$L$306,"Frozen")&lt;&gt;1,"Invalid plan ref",IF(OR(D276="",NOT(ISNUMBER(E276)),NOT(ISNUMBER(F276)),G276="",K276=""),"Execution info missing",IF(OR(NOT(ISNUMBER(H276)),H276&lt;0,NOT(ISNUMBER(J276)),J276&lt;0),"Spend or time missing",IF(COUNTIFS('Cases overview'!$A$7:$A$306,B276,'Cases overview'!$J$7:$J$306,I276)&lt;&gt;1,"Currency mismatch",IF(AND(M276&lt;&gt;"",OR(M276=A276,COUNTIFS('Execution log'!$A$7:$A$306,M276,'Execution log'!$B$7:$B$306,B276,'Execution log'!$L$7:$L$306,"Corrected")&lt;&gt;1)),"Correction ref to check","Valid input"))))))))))</x:f>
      </x:c>
    </x:row>
    <x:row r="277" ht="25" customHeight="1">
      <x:c r="A277" s="3"/>
      <x:c r="B277" s="3"/>
      <x:c r="C277" s="3"/>
      <x:c r="D277" s="3"/>
      <x:c r="E277" s="25"/>
      <x:c r="F277" s="25"/>
      <x:c r="G277" s="3"/>
      <x:c r="H277" s="22"/>
      <x:c r="I277" s="3"/>
      <x:c r="J277" s="22"/>
      <x:c r="K277" s="3"/>
      <x:c r="L277" s="3"/>
      <x:c r="M277" s="3"/>
      <x:c r="N277" s="3"/>
      <x:c r="O277" s="3"/>
      <x:c r="P277" s="19" t="str">
        <x:f>IF(A277="","",IF(COUNTIFS('Execution log'!$A$7:$A$306,A277)&lt;&gt;1,"Duplicate ID",IF(COUNTIFS('Cases overview'!$A$7:$A$306,B277)&lt;&gt;1,"Invalid case ref",IF(OR(L277="Corrected",L277="Revoked"),"Excluded from totals",IF(L277&lt;&gt;"Valid","Record status missing",IF(COUNTIFS('Plan versions'!$A$7:$A$306,C277,'Plan versions'!$B$7:$B$306,B277,'Plan versions'!$L$7:$L$306,"Frozen")&lt;&gt;1,"Invalid plan ref",IF(OR(D277="",NOT(ISNUMBER(E277)),NOT(ISNUMBER(F277)),G277="",K277=""),"Execution info missing",IF(OR(NOT(ISNUMBER(H277)),H277&lt;0,NOT(ISNUMBER(J277)),J277&lt;0),"Spend or time missing",IF(COUNTIFS('Cases overview'!$A$7:$A$306,B277,'Cases overview'!$J$7:$J$306,I277)&lt;&gt;1,"Currency mismatch",IF(AND(M277&lt;&gt;"",OR(M277=A277,COUNTIFS('Execution log'!$A$7:$A$306,M277,'Execution log'!$B$7:$B$306,B277,'Execution log'!$L$7:$L$306,"Corrected")&lt;&gt;1)),"Correction ref to check","Valid input"))))))))))</x:f>
      </x:c>
    </x:row>
    <x:row r="278" ht="25" customHeight="1">
      <x:c r="A278" s="3"/>
      <x:c r="B278" s="3"/>
      <x:c r="C278" s="3"/>
      <x:c r="D278" s="3"/>
      <x:c r="E278" s="25"/>
      <x:c r="F278" s="25"/>
      <x:c r="G278" s="3"/>
      <x:c r="H278" s="22"/>
      <x:c r="I278" s="3"/>
      <x:c r="J278" s="22"/>
      <x:c r="K278" s="3"/>
      <x:c r="L278" s="3"/>
      <x:c r="M278" s="3"/>
      <x:c r="N278" s="3"/>
      <x:c r="O278" s="3"/>
      <x:c r="P278" s="19" t="str">
        <x:f>IF(A278="","",IF(COUNTIFS('Execution log'!$A$7:$A$306,A278)&lt;&gt;1,"Duplicate ID",IF(COUNTIFS('Cases overview'!$A$7:$A$306,B278)&lt;&gt;1,"Invalid case ref",IF(OR(L278="Corrected",L278="Revoked"),"Excluded from totals",IF(L278&lt;&gt;"Valid","Record status missing",IF(COUNTIFS('Plan versions'!$A$7:$A$306,C278,'Plan versions'!$B$7:$B$306,B278,'Plan versions'!$L$7:$L$306,"Frozen")&lt;&gt;1,"Invalid plan ref",IF(OR(D278="",NOT(ISNUMBER(E278)),NOT(ISNUMBER(F278)),G278="",K278=""),"Execution info missing",IF(OR(NOT(ISNUMBER(H278)),H278&lt;0,NOT(ISNUMBER(J278)),J278&lt;0),"Spend or time missing",IF(COUNTIFS('Cases overview'!$A$7:$A$306,B278,'Cases overview'!$J$7:$J$306,I278)&lt;&gt;1,"Currency mismatch",IF(AND(M278&lt;&gt;"",OR(M278=A278,COUNTIFS('Execution log'!$A$7:$A$306,M278,'Execution log'!$B$7:$B$306,B278,'Execution log'!$L$7:$L$306,"Corrected")&lt;&gt;1)),"Correction ref to check","Valid input"))))))))))</x:f>
      </x:c>
    </x:row>
    <x:row r="279" ht="25" customHeight="1">
      <x:c r="A279" s="3"/>
      <x:c r="B279" s="3"/>
      <x:c r="C279" s="3"/>
      <x:c r="D279" s="3"/>
      <x:c r="E279" s="25"/>
      <x:c r="F279" s="25"/>
      <x:c r="G279" s="3"/>
      <x:c r="H279" s="22"/>
      <x:c r="I279" s="3"/>
      <x:c r="J279" s="22"/>
      <x:c r="K279" s="3"/>
      <x:c r="L279" s="3"/>
      <x:c r="M279" s="3"/>
      <x:c r="N279" s="3"/>
      <x:c r="O279" s="3"/>
      <x:c r="P279" s="19" t="str">
        <x:f>IF(A279="","",IF(COUNTIFS('Execution log'!$A$7:$A$306,A279)&lt;&gt;1,"Duplicate ID",IF(COUNTIFS('Cases overview'!$A$7:$A$306,B279)&lt;&gt;1,"Invalid case ref",IF(OR(L279="Corrected",L279="Revoked"),"Excluded from totals",IF(L279&lt;&gt;"Valid","Record status missing",IF(COUNTIFS('Plan versions'!$A$7:$A$306,C279,'Plan versions'!$B$7:$B$306,B279,'Plan versions'!$L$7:$L$306,"Frozen")&lt;&gt;1,"Invalid plan ref",IF(OR(D279="",NOT(ISNUMBER(E279)),NOT(ISNUMBER(F279)),G279="",K279=""),"Execution info missing",IF(OR(NOT(ISNUMBER(H279)),H279&lt;0,NOT(ISNUMBER(J279)),J279&lt;0),"Spend or time missing",IF(COUNTIFS('Cases overview'!$A$7:$A$306,B279,'Cases overview'!$J$7:$J$306,I279)&lt;&gt;1,"Currency mismatch",IF(AND(M279&lt;&gt;"",OR(M279=A279,COUNTIFS('Execution log'!$A$7:$A$306,M279,'Execution log'!$B$7:$B$306,B279,'Execution log'!$L$7:$L$306,"Corrected")&lt;&gt;1)),"Correction ref to check","Valid input"))))))))))</x:f>
      </x:c>
    </x:row>
    <x:row r="280" ht="25" customHeight="1">
      <x:c r="A280" s="3"/>
      <x:c r="B280" s="3"/>
      <x:c r="C280" s="3"/>
      <x:c r="D280" s="3"/>
      <x:c r="E280" s="25"/>
      <x:c r="F280" s="25"/>
      <x:c r="G280" s="3"/>
      <x:c r="H280" s="22"/>
      <x:c r="I280" s="3"/>
      <x:c r="J280" s="22"/>
      <x:c r="K280" s="3"/>
      <x:c r="L280" s="3"/>
      <x:c r="M280" s="3"/>
      <x:c r="N280" s="3"/>
      <x:c r="O280" s="3"/>
      <x:c r="P280" s="19" t="str">
        <x:f>IF(A280="","",IF(COUNTIFS('Execution log'!$A$7:$A$306,A280)&lt;&gt;1,"Duplicate ID",IF(COUNTIFS('Cases overview'!$A$7:$A$306,B280)&lt;&gt;1,"Invalid case ref",IF(OR(L280="Corrected",L280="Revoked"),"Excluded from totals",IF(L280&lt;&gt;"Valid","Record status missing",IF(COUNTIFS('Plan versions'!$A$7:$A$306,C280,'Plan versions'!$B$7:$B$306,B280,'Plan versions'!$L$7:$L$306,"Frozen")&lt;&gt;1,"Invalid plan ref",IF(OR(D280="",NOT(ISNUMBER(E280)),NOT(ISNUMBER(F280)),G280="",K280=""),"Execution info missing",IF(OR(NOT(ISNUMBER(H280)),H280&lt;0,NOT(ISNUMBER(J280)),J280&lt;0),"Spend or time missing",IF(COUNTIFS('Cases overview'!$A$7:$A$306,B280,'Cases overview'!$J$7:$J$306,I280)&lt;&gt;1,"Currency mismatch",IF(AND(M280&lt;&gt;"",OR(M280=A280,COUNTIFS('Execution log'!$A$7:$A$306,M280,'Execution log'!$B$7:$B$306,B280,'Execution log'!$L$7:$L$306,"Corrected")&lt;&gt;1)),"Correction ref to check","Valid input"))))))))))</x:f>
      </x:c>
    </x:row>
    <x:row r="281" ht="25" customHeight="1">
      <x:c r="A281" s="3"/>
      <x:c r="B281" s="3"/>
      <x:c r="C281" s="3"/>
      <x:c r="D281" s="3"/>
      <x:c r="E281" s="25"/>
      <x:c r="F281" s="25"/>
      <x:c r="G281" s="3"/>
      <x:c r="H281" s="22"/>
      <x:c r="I281" s="3"/>
      <x:c r="J281" s="22"/>
      <x:c r="K281" s="3"/>
      <x:c r="L281" s="3"/>
      <x:c r="M281" s="3"/>
      <x:c r="N281" s="3"/>
      <x:c r="O281" s="3"/>
      <x:c r="P281" s="19" t="str">
        <x:f>IF(A281="","",IF(COUNTIFS('Execution log'!$A$7:$A$306,A281)&lt;&gt;1,"Duplicate ID",IF(COUNTIFS('Cases overview'!$A$7:$A$306,B281)&lt;&gt;1,"Invalid case ref",IF(OR(L281="Corrected",L281="Revoked"),"Excluded from totals",IF(L281&lt;&gt;"Valid","Record status missing",IF(COUNTIFS('Plan versions'!$A$7:$A$306,C281,'Plan versions'!$B$7:$B$306,B281,'Plan versions'!$L$7:$L$306,"Frozen")&lt;&gt;1,"Invalid plan ref",IF(OR(D281="",NOT(ISNUMBER(E281)),NOT(ISNUMBER(F281)),G281="",K281=""),"Execution info missing",IF(OR(NOT(ISNUMBER(H281)),H281&lt;0,NOT(ISNUMBER(J281)),J281&lt;0),"Spend or time missing",IF(COUNTIFS('Cases overview'!$A$7:$A$306,B281,'Cases overview'!$J$7:$J$306,I281)&lt;&gt;1,"Currency mismatch",IF(AND(M281&lt;&gt;"",OR(M281=A281,COUNTIFS('Execution log'!$A$7:$A$306,M281,'Execution log'!$B$7:$B$306,B281,'Execution log'!$L$7:$L$306,"Corrected")&lt;&gt;1)),"Correction ref to check","Valid input"))))))))))</x:f>
      </x:c>
    </x:row>
    <x:row r="282" ht="25" customHeight="1">
      <x:c r="A282" s="3"/>
      <x:c r="B282" s="3"/>
      <x:c r="C282" s="3"/>
      <x:c r="D282" s="3"/>
      <x:c r="E282" s="25"/>
      <x:c r="F282" s="25"/>
      <x:c r="G282" s="3"/>
      <x:c r="H282" s="22"/>
      <x:c r="I282" s="3"/>
      <x:c r="J282" s="22"/>
      <x:c r="K282" s="3"/>
      <x:c r="L282" s="3"/>
      <x:c r="M282" s="3"/>
      <x:c r="N282" s="3"/>
      <x:c r="O282" s="3"/>
      <x:c r="P282" s="19" t="str">
        <x:f>IF(A282="","",IF(COUNTIFS('Execution log'!$A$7:$A$306,A282)&lt;&gt;1,"Duplicate ID",IF(COUNTIFS('Cases overview'!$A$7:$A$306,B282)&lt;&gt;1,"Invalid case ref",IF(OR(L282="Corrected",L282="Revoked"),"Excluded from totals",IF(L282&lt;&gt;"Valid","Record status missing",IF(COUNTIFS('Plan versions'!$A$7:$A$306,C282,'Plan versions'!$B$7:$B$306,B282,'Plan versions'!$L$7:$L$306,"Frozen")&lt;&gt;1,"Invalid plan ref",IF(OR(D282="",NOT(ISNUMBER(E282)),NOT(ISNUMBER(F282)),G282="",K282=""),"Execution info missing",IF(OR(NOT(ISNUMBER(H282)),H282&lt;0,NOT(ISNUMBER(J282)),J282&lt;0),"Spend or time missing",IF(COUNTIFS('Cases overview'!$A$7:$A$306,B282,'Cases overview'!$J$7:$J$306,I282)&lt;&gt;1,"Currency mismatch",IF(AND(M282&lt;&gt;"",OR(M282=A282,COUNTIFS('Execution log'!$A$7:$A$306,M282,'Execution log'!$B$7:$B$306,B282,'Execution log'!$L$7:$L$306,"Corrected")&lt;&gt;1)),"Correction ref to check","Valid input"))))))))))</x:f>
      </x:c>
    </x:row>
    <x:row r="283" ht="25" customHeight="1">
      <x:c r="A283" s="3"/>
      <x:c r="B283" s="3"/>
      <x:c r="C283" s="3"/>
      <x:c r="D283" s="3"/>
      <x:c r="E283" s="25"/>
      <x:c r="F283" s="25"/>
      <x:c r="G283" s="3"/>
      <x:c r="H283" s="22"/>
      <x:c r="I283" s="3"/>
      <x:c r="J283" s="22"/>
      <x:c r="K283" s="3"/>
      <x:c r="L283" s="3"/>
      <x:c r="M283" s="3"/>
      <x:c r="N283" s="3"/>
      <x:c r="O283" s="3"/>
      <x:c r="P283" s="19" t="str">
        <x:f>IF(A283="","",IF(COUNTIFS('Execution log'!$A$7:$A$306,A283)&lt;&gt;1,"Duplicate ID",IF(COUNTIFS('Cases overview'!$A$7:$A$306,B283)&lt;&gt;1,"Invalid case ref",IF(OR(L283="Corrected",L283="Revoked"),"Excluded from totals",IF(L283&lt;&gt;"Valid","Record status missing",IF(COUNTIFS('Plan versions'!$A$7:$A$306,C283,'Plan versions'!$B$7:$B$306,B283,'Plan versions'!$L$7:$L$306,"Frozen")&lt;&gt;1,"Invalid plan ref",IF(OR(D283="",NOT(ISNUMBER(E283)),NOT(ISNUMBER(F283)),G283="",K283=""),"Execution info missing",IF(OR(NOT(ISNUMBER(H283)),H283&lt;0,NOT(ISNUMBER(J283)),J283&lt;0),"Spend or time missing",IF(COUNTIFS('Cases overview'!$A$7:$A$306,B283,'Cases overview'!$J$7:$J$306,I283)&lt;&gt;1,"Currency mismatch",IF(AND(M283&lt;&gt;"",OR(M283=A283,COUNTIFS('Execution log'!$A$7:$A$306,M283,'Execution log'!$B$7:$B$306,B283,'Execution log'!$L$7:$L$306,"Corrected")&lt;&gt;1)),"Correction ref to check","Valid input"))))))))))</x:f>
      </x:c>
    </x:row>
    <x:row r="284" ht="25" customHeight="1">
      <x:c r="A284" s="3"/>
      <x:c r="B284" s="3"/>
      <x:c r="C284" s="3"/>
      <x:c r="D284" s="3"/>
      <x:c r="E284" s="25"/>
      <x:c r="F284" s="25"/>
      <x:c r="G284" s="3"/>
      <x:c r="H284" s="22"/>
      <x:c r="I284" s="3"/>
      <x:c r="J284" s="22"/>
      <x:c r="K284" s="3"/>
      <x:c r="L284" s="3"/>
      <x:c r="M284" s="3"/>
      <x:c r="N284" s="3"/>
      <x:c r="O284" s="3"/>
      <x:c r="P284" s="19" t="str">
        <x:f>IF(A284="","",IF(COUNTIFS('Execution log'!$A$7:$A$306,A284)&lt;&gt;1,"Duplicate ID",IF(COUNTIFS('Cases overview'!$A$7:$A$306,B284)&lt;&gt;1,"Invalid case ref",IF(OR(L284="Corrected",L284="Revoked"),"Excluded from totals",IF(L284&lt;&gt;"Valid","Record status missing",IF(COUNTIFS('Plan versions'!$A$7:$A$306,C284,'Plan versions'!$B$7:$B$306,B284,'Plan versions'!$L$7:$L$306,"Frozen")&lt;&gt;1,"Invalid plan ref",IF(OR(D284="",NOT(ISNUMBER(E284)),NOT(ISNUMBER(F284)),G284="",K284=""),"Execution info missing",IF(OR(NOT(ISNUMBER(H284)),H284&lt;0,NOT(ISNUMBER(J284)),J284&lt;0),"Spend or time missing",IF(COUNTIFS('Cases overview'!$A$7:$A$306,B284,'Cases overview'!$J$7:$J$306,I284)&lt;&gt;1,"Currency mismatch",IF(AND(M284&lt;&gt;"",OR(M284=A284,COUNTIFS('Execution log'!$A$7:$A$306,M284,'Execution log'!$B$7:$B$306,B284,'Execution log'!$L$7:$L$306,"Corrected")&lt;&gt;1)),"Correction ref to check","Valid input"))))))))))</x:f>
      </x:c>
    </x:row>
    <x:row r="285" ht="25" customHeight="1">
      <x:c r="A285" s="3"/>
      <x:c r="B285" s="3"/>
      <x:c r="C285" s="3"/>
      <x:c r="D285" s="3"/>
      <x:c r="E285" s="25"/>
      <x:c r="F285" s="25"/>
      <x:c r="G285" s="3"/>
      <x:c r="H285" s="22"/>
      <x:c r="I285" s="3"/>
      <x:c r="J285" s="22"/>
      <x:c r="K285" s="3"/>
      <x:c r="L285" s="3"/>
      <x:c r="M285" s="3"/>
      <x:c r="N285" s="3"/>
      <x:c r="O285" s="3"/>
      <x:c r="P285" s="19" t="str">
        <x:f>IF(A285="","",IF(COUNTIFS('Execution log'!$A$7:$A$306,A285)&lt;&gt;1,"Duplicate ID",IF(COUNTIFS('Cases overview'!$A$7:$A$306,B285)&lt;&gt;1,"Invalid case ref",IF(OR(L285="Corrected",L285="Revoked"),"Excluded from totals",IF(L285&lt;&gt;"Valid","Record status missing",IF(COUNTIFS('Plan versions'!$A$7:$A$306,C285,'Plan versions'!$B$7:$B$306,B285,'Plan versions'!$L$7:$L$306,"Frozen")&lt;&gt;1,"Invalid plan ref",IF(OR(D285="",NOT(ISNUMBER(E285)),NOT(ISNUMBER(F285)),G285="",K285=""),"Execution info missing",IF(OR(NOT(ISNUMBER(H285)),H285&lt;0,NOT(ISNUMBER(J285)),J285&lt;0),"Spend or time missing",IF(COUNTIFS('Cases overview'!$A$7:$A$306,B285,'Cases overview'!$J$7:$J$306,I285)&lt;&gt;1,"Currency mismatch",IF(AND(M285&lt;&gt;"",OR(M285=A285,COUNTIFS('Execution log'!$A$7:$A$306,M285,'Execution log'!$B$7:$B$306,B285,'Execution log'!$L$7:$L$306,"Corrected")&lt;&gt;1)),"Correction ref to check","Valid input"))))))))))</x:f>
      </x:c>
    </x:row>
    <x:row r="286" ht="25" customHeight="1">
      <x:c r="A286" s="3"/>
      <x:c r="B286" s="3"/>
      <x:c r="C286" s="3"/>
      <x:c r="D286" s="3"/>
      <x:c r="E286" s="25"/>
      <x:c r="F286" s="25"/>
      <x:c r="G286" s="3"/>
      <x:c r="H286" s="22"/>
      <x:c r="I286" s="3"/>
      <x:c r="J286" s="22"/>
      <x:c r="K286" s="3"/>
      <x:c r="L286" s="3"/>
      <x:c r="M286" s="3"/>
      <x:c r="N286" s="3"/>
      <x:c r="O286" s="3"/>
      <x:c r="P286" s="19" t="str">
        <x:f>IF(A286="","",IF(COUNTIFS('Execution log'!$A$7:$A$306,A286)&lt;&gt;1,"Duplicate ID",IF(COUNTIFS('Cases overview'!$A$7:$A$306,B286)&lt;&gt;1,"Invalid case ref",IF(OR(L286="Corrected",L286="Revoked"),"Excluded from totals",IF(L286&lt;&gt;"Valid","Record status missing",IF(COUNTIFS('Plan versions'!$A$7:$A$306,C286,'Plan versions'!$B$7:$B$306,B286,'Plan versions'!$L$7:$L$306,"Frozen")&lt;&gt;1,"Invalid plan ref",IF(OR(D286="",NOT(ISNUMBER(E286)),NOT(ISNUMBER(F286)),G286="",K286=""),"Execution info missing",IF(OR(NOT(ISNUMBER(H286)),H286&lt;0,NOT(ISNUMBER(J286)),J286&lt;0),"Spend or time missing",IF(COUNTIFS('Cases overview'!$A$7:$A$306,B286,'Cases overview'!$J$7:$J$306,I286)&lt;&gt;1,"Currency mismatch",IF(AND(M286&lt;&gt;"",OR(M286=A286,COUNTIFS('Execution log'!$A$7:$A$306,M286,'Execution log'!$B$7:$B$306,B286,'Execution log'!$L$7:$L$306,"Corrected")&lt;&gt;1)),"Correction ref to check","Valid input"))))))))))</x:f>
      </x:c>
    </x:row>
    <x:row r="287" ht="25" customHeight="1">
      <x:c r="A287" s="3"/>
      <x:c r="B287" s="3"/>
      <x:c r="C287" s="3"/>
      <x:c r="D287" s="3"/>
      <x:c r="E287" s="25"/>
      <x:c r="F287" s="25"/>
      <x:c r="G287" s="3"/>
      <x:c r="H287" s="22"/>
      <x:c r="I287" s="3"/>
      <x:c r="J287" s="22"/>
      <x:c r="K287" s="3"/>
      <x:c r="L287" s="3"/>
      <x:c r="M287" s="3"/>
      <x:c r="N287" s="3"/>
      <x:c r="O287" s="3"/>
      <x:c r="P287" s="19" t="str">
        <x:f>IF(A287="","",IF(COUNTIFS('Execution log'!$A$7:$A$306,A287)&lt;&gt;1,"Duplicate ID",IF(COUNTIFS('Cases overview'!$A$7:$A$306,B287)&lt;&gt;1,"Invalid case ref",IF(OR(L287="Corrected",L287="Revoked"),"Excluded from totals",IF(L287&lt;&gt;"Valid","Record status missing",IF(COUNTIFS('Plan versions'!$A$7:$A$306,C287,'Plan versions'!$B$7:$B$306,B287,'Plan versions'!$L$7:$L$306,"Frozen")&lt;&gt;1,"Invalid plan ref",IF(OR(D287="",NOT(ISNUMBER(E287)),NOT(ISNUMBER(F287)),G287="",K287=""),"Execution info missing",IF(OR(NOT(ISNUMBER(H287)),H287&lt;0,NOT(ISNUMBER(J287)),J287&lt;0),"Spend or time missing",IF(COUNTIFS('Cases overview'!$A$7:$A$306,B287,'Cases overview'!$J$7:$J$306,I287)&lt;&gt;1,"Currency mismatch",IF(AND(M287&lt;&gt;"",OR(M287=A287,COUNTIFS('Execution log'!$A$7:$A$306,M287,'Execution log'!$B$7:$B$306,B287,'Execution log'!$L$7:$L$306,"Corrected")&lt;&gt;1)),"Correction ref to check","Valid input"))))))))))</x:f>
      </x:c>
    </x:row>
    <x:row r="288" ht="25" customHeight="1">
      <x:c r="A288" s="3"/>
      <x:c r="B288" s="3"/>
      <x:c r="C288" s="3"/>
      <x:c r="D288" s="3"/>
      <x:c r="E288" s="25"/>
      <x:c r="F288" s="25"/>
      <x:c r="G288" s="3"/>
      <x:c r="H288" s="22"/>
      <x:c r="I288" s="3"/>
      <x:c r="J288" s="22"/>
      <x:c r="K288" s="3"/>
      <x:c r="L288" s="3"/>
      <x:c r="M288" s="3"/>
      <x:c r="N288" s="3"/>
      <x:c r="O288" s="3"/>
      <x:c r="P288" s="19" t="str">
        <x:f>IF(A288="","",IF(COUNTIFS('Execution log'!$A$7:$A$306,A288)&lt;&gt;1,"Duplicate ID",IF(COUNTIFS('Cases overview'!$A$7:$A$306,B288)&lt;&gt;1,"Invalid case ref",IF(OR(L288="Corrected",L288="Revoked"),"Excluded from totals",IF(L288&lt;&gt;"Valid","Record status missing",IF(COUNTIFS('Plan versions'!$A$7:$A$306,C288,'Plan versions'!$B$7:$B$306,B288,'Plan versions'!$L$7:$L$306,"Frozen")&lt;&gt;1,"Invalid plan ref",IF(OR(D288="",NOT(ISNUMBER(E288)),NOT(ISNUMBER(F288)),G288="",K288=""),"Execution info missing",IF(OR(NOT(ISNUMBER(H288)),H288&lt;0,NOT(ISNUMBER(J288)),J288&lt;0),"Spend or time missing",IF(COUNTIFS('Cases overview'!$A$7:$A$306,B288,'Cases overview'!$J$7:$J$306,I288)&lt;&gt;1,"Currency mismatch",IF(AND(M288&lt;&gt;"",OR(M288=A288,COUNTIFS('Execution log'!$A$7:$A$306,M288,'Execution log'!$B$7:$B$306,B288,'Execution log'!$L$7:$L$306,"Corrected")&lt;&gt;1)),"Correction ref to check","Valid input"))))))))))</x:f>
      </x:c>
    </x:row>
    <x:row r="289" ht="25" customHeight="1">
      <x:c r="A289" s="3"/>
      <x:c r="B289" s="3"/>
      <x:c r="C289" s="3"/>
      <x:c r="D289" s="3"/>
      <x:c r="E289" s="25"/>
      <x:c r="F289" s="25"/>
      <x:c r="G289" s="3"/>
      <x:c r="H289" s="22"/>
      <x:c r="I289" s="3"/>
      <x:c r="J289" s="22"/>
      <x:c r="K289" s="3"/>
      <x:c r="L289" s="3"/>
      <x:c r="M289" s="3"/>
      <x:c r="N289" s="3"/>
      <x:c r="O289" s="3"/>
      <x:c r="P289" s="19" t="str">
        <x:f>IF(A289="","",IF(COUNTIFS('Execution log'!$A$7:$A$306,A289)&lt;&gt;1,"Duplicate ID",IF(COUNTIFS('Cases overview'!$A$7:$A$306,B289)&lt;&gt;1,"Invalid case ref",IF(OR(L289="Corrected",L289="Revoked"),"Excluded from totals",IF(L289&lt;&gt;"Valid","Record status missing",IF(COUNTIFS('Plan versions'!$A$7:$A$306,C289,'Plan versions'!$B$7:$B$306,B289,'Plan versions'!$L$7:$L$306,"Frozen")&lt;&gt;1,"Invalid plan ref",IF(OR(D289="",NOT(ISNUMBER(E289)),NOT(ISNUMBER(F289)),G289="",K289=""),"Execution info missing",IF(OR(NOT(ISNUMBER(H289)),H289&lt;0,NOT(ISNUMBER(J289)),J289&lt;0),"Spend or time missing",IF(COUNTIFS('Cases overview'!$A$7:$A$306,B289,'Cases overview'!$J$7:$J$306,I289)&lt;&gt;1,"Currency mismatch",IF(AND(M289&lt;&gt;"",OR(M289=A289,COUNTIFS('Execution log'!$A$7:$A$306,M289,'Execution log'!$B$7:$B$306,B289,'Execution log'!$L$7:$L$306,"Corrected")&lt;&gt;1)),"Correction ref to check","Valid input"))))))))))</x:f>
      </x:c>
    </x:row>
    <x:row r="290" ht="25" customHeight="1">
      <x:c r="A290" s="3"/>
      <x:c r="B290" s="3"/>
      <x:c r="C290" s="3"/>
      <x:c r="D290" s="3"/>
      <x:c r="E290" s="25"/>
      <x:c r="F290" s="25"/>
      <x:c r="G290" s="3"/>
      <x:c r="H290" s="22"/>
      <x:c r="I290" s="3"/>
      <x:c r="J290" s="22"/>
      <x:c r="K290" s="3"/>
      <x:c r="L290" s="3"/>
      <x:c r="M290" s="3"/>
      <x:c r="N290" s="3"/>
      <x:c r="O290" s="3"/>
      <x:c r="P290" s="19" t="str">
        <x:f>IF(A290="","",IF(COUNTIFS('Execution log'!$A$7:$A$306,A290)&lt;&gt;1,"Duplicate ID",IF(COUNTIFS('Cases overview'!$A$7:$A$306,B290)&lt;&gt;1,"Invalid case ref",IF(OR(L290="Corrected",L290="Revoked"),"Excluded from totals",IF(L290&lt;&gt;"Valid","Record status missing",IF(COUNTIFS('Plan versions'!$A$7:$A$306,C290,'Plan versions'!$B$7:$B$306,B290,'Plan versions'!$L$7:$L$306,"Frozen")&lt;&gt;1,"Invalid plan ref",IF(OR(D290="",NOT(ISNUMBER(E290)),NOT(ISNUMBER(F290)),G290="",K290=""),"Execution info missing",IF(OR(NOT(ISNUMBER(H290)),H290&lt;0,NOT(ISNUMBER(J290)),J290&lt;0),"Spend or time missing",IF(COUNTIFS('Cases overview'!$A$7:$A$306,B290,'Cases overview'!$J$7:$J$306,I290)&lt;&gt;1,"Currency mismatch",IF(AND(M290&lt;&gt;"",OR(M290=A290,COUNTIFS('Execution log'!$A$7:$A$306,M290,'Execution log'!$B$7:$B$306,B290,'Execution log'!$L$7:$L$306,"Corrected")&lt;&gt;1)),"Correction ref to check","Valid input"))))))))))</x:f>
      </x:c>
    </x:row>
    <x:row r="291" ht="25" customHeight="1">
      <x:c r="A291" s="3"/>
      <x:c r="B291" s="3"/>
      <x:c r="C291" s="3"/>
      <x:c r="D291" s="3"/>
      <x:c r="E291" s="25"/>
      <x:c r="F291" s="25"/>
      <x:c r="G291" s="3"/>
      <x:c r="H291" s="22"/>
      <x:c r="I291" s="3"/>
      <x:c r="J291" s="22"/>
      <x:c r="K291" s="3"/>
      <x:c r="L291" s="3"/>
      <x:c r="M291" s="3"/>
      <x:c r="N291" s="3"/>
      <x:c r="O291" s="3"/>
      <x:c r="P291" s="19" t="str">
        <x:f>IF(A291="","",IF(COUNTIFS('Execution log'!$A$7:$A$306,A291)&lt;&gt;1,"Duplicate ID",IF(COUNTIFS('Cases overview'!$A$7:$A$306,B291)&lt;&gt;1,"Invalid case ref",IF(OR(L291="Corrected",L291="Revoked"),"Excluded from totals",IF(L291&lt;&gt;"Valid","Record status missing",IF(COUNTIFS('Plan versions'!$A$7:$A$306,C291,'Plan versions'!$B$7:$B$306,B291,'Plan versions'!$L$7:$L$306,"Frozen")&lt;&gt;1,"Invalid plan ref",IF(OR(D291="",NOT(ISNUMBER(E291)),NOT(ISNUMBER(F291)),G291="",K291=""),"Execution info missing",IF(OR(NOT(ISNUMBER(H291)),H291&lt;0,NOT(ISNUMBER(J291)),J291&lt;0),"Spend or time missing",IF(COUNTIFS('Cases overview'!$A$7:$A$306,B291,'Cases overview'!$J$7:$J$306,I291)&lt;&gt;1,"Currency mismatch",IF(AND(M291&lt;&gt;"",OR(M291=A291,COUNTIFS('Execution log'!$A$7:$A$306,M291,'Execution log'!$B$7:$B$306,B291,'Execution log'!$L$7:$L$306,"Corrected")&lt;&gt;1)),"Correction ref to check","Valid input"))))))))))</x:f>
      </x:c>
    </x:row>
    <x:row r="292" ht="25" customHeight="1">
      <x:c r="A292" s="3"/>
      <x:c r="B292" s="3"/>
      <x:c r="C292" s="3"/>
      <x:c r="D292" s="3"/>
      <x:c r="E292" s="25"/>
      <x:c r="F292" s="25"/>
      <x:c r="G292" s="3"/>
      <x:c r="H292" s="22"/>
      <x:c r="I292" s="3"/>
      <x:c r="J292" s="22"/>
      <x:c r="K292" s="3"/>
      <x:c r="L292" s="3"/>
      <x:c r="M292" s="3"/>
      <x:c r="N292" s="3"/>
      <x:c r="O292" s="3"/>
      <x:c r="P292" s="19" t="str">
        <x:f>IF(A292="","",IF(COUNTIFS('Execution log'!$A$7:$A$306,A292)&lt;&gt;1,"Duplicate ID",IF(COUNTIFS('Cases overview'!$A$7:$A$306,B292)&lt;&gt;1,"Invalid case ref",IF(OR(L292="Corrected",L292="Revoked"),"Excluded from totals",IF(L292&lt;&gt;"Valid","Record status missing",IF(COUNTIFS('Plan versions'!$A$7:$A$306,C292,'Plan versions'!$B$7:$B$306,B292,'Plan versions'!$L$7:$L$306,"Frozen")&lt;&gt;1,"Invalid plan ref",IF(OR(D292="",NOT(ISNUMBER(E292)),NOT(ISNUMBER(F292)),G292="",K292=""),"Execution info missing",IF(OR(NOT(ISNUMBER(H292)),H292&lt;0,NOT(ISNUMBER(J292)),J292&lt;0),"Spend or time missing",IF(COUNTIFS('Cases overview'!$A$7:$A$306,B292,'Cases overview'!$J$7:$J$306,I292)&lt;&gt;1,"Currency mismatch",IF(AND(M292&lt;&gt;"",OR(M292=A292,COUNTIFS('Execution log'!$A$7:$A$306,M292,'Execution log'!$B$7:$B$306,B292,'Execution log'!$L$7:$L$306,"Corrected")&lt;&gt;1)),"Correction ref to check","Valid input"))))))))))</x:f>
      </x:c>
    </x:row>
    <x:row r="293" ht="25" customHeight="1">
      <x:c r="A293" s="3"/>
      <x:c r="B293" s="3"/>
      <x:c r="C293" s="3"/>
      <x:c r="D293" s="3"/>
      <x:c r="E293" s="25"/>
      <x:c r="F293" s="25"/>
      <x:c r="G293" s="3"/>
      <x:c r="H293" s="22"/>
      <x:c r="I293" s="3"/>
      <x:c r="J293" s="22"/>
      <x:c r="K293" s="3"/>
      <x:c r="L293" s="3"/>
      <x:c r="M293" s="3"/>
      <x:c r="N293" s="3"/>
      <x:c r="O293" s="3"/>
      <x:c r="P293" s="19" t="str">
        <x:f>IF(A293="","",IF(COUNTIFS('Execution log'!$A$7:$A$306,A293)&lt;&gt;1,"Duplicate ID",IF(COUNTIFS('Cases overview'!$A$7:$A$306,B293)&lt;&gt;1,"Invalid case ref",IF(OR(L293="Corrected",L293="Revoked"),"Excluded from totals",IF(L293&lt;&gt;"Valid","Record status missing",IF(COUNTIFS('Plan versions'!$A$7:$A$306,C293,'Plan versions'!$B$7:$B$306,B293,'Plan versions'!$L$7:$L$306,"Frozen")&lt;&gt;1,"Invalid plan ref",IF(OR(D293="",NOT(ISNUMBER(E293)),NOT(ISNUMBER(F293)),G293="",K293=""),"Execution info missing",IF(OR(NOT(ISNUMBER(H293)),H293&lt;0,NOT(ISNUMBER(J293)),J293&lt;0),"Spend or time missing",IF(COUNTIFS('Cases overview'!$A$7:$A$306,B293,'Cases overview'!$J$7:$J$306,I293)&lt;&gt;1,"Currency mismatch",IF(AND(M293&lt;&gt;"",OR(M293=A293,COUNTIFS('Execution log'!$A$7:$A$306,M293,'Execution log'!$B$7:$B$306,B293,'Execution log'!$L$7:$L$306,"Corrected")&lt;&gt;1)),"Correction ref to check","Valid input"))))))))))</x:f>
      </x:c>
    </x:row>
    <x:row r="294" ht="25" customHeight="1">
      <x:c r="A294" s="3"/>
      <x:c r="B294" s="3"/>
      <x:c r="C294" s="3"/>
      <x:c r="D294" s="3"/>
      <x:c r="E294" s="25"/>
      <x:c r="F294" s="25"/>
      <x:c r="G294" s="3"/>
      <x:c r="H294" s="22"/>
      <x:c r="I294" s="3"/>
      <x:c r="J294" s="22"/>
      <x:c r="K294" s="3"/>
      <x:c r="L294" s="3"/>
      <x:c r="M294" s="3"/>
      <x:c r="N294" s="3"/>
      <x:c r="O294" s="3"/>
      <x:c r="P294" s="19" t="str">
        <x:f>IF(A294="","",IF(COUNTIFS('Execution log'!$A$7:$A$306,A294)&lt;&gt;1,"Duplicate ID",IF(COUNTIFS('Cases overview'!$A$7:$A$306,B294)&lt;&gt;1,"Invalid case ref",IF(OR(L294="Corrected",L294="Revoked"),"Excluded from totals",IF(L294&lt;&gt;"Valid","Record status missing",IF(COUNTIFS('Plan versions'!$A$7:$A$306,C294,'Plan versions'!$B$7:$B$306,B294,'Plan versions'!$L$7:$L$306,"Frozen")&lt;&gt;1,"Invalid plan ref",IF(OR(D294="",NOT(ISNUMBER(E294)),NOT(ISNUMBER(F294)),G294="",K294=""),"Execution info missing",IF(OR(NOT(ISNUMBER(H294)),H294&lt;0,NOT(ISNUMBER(J294)),J294&lt;0),"Spend or time missing",IF(COUNTIFS('Cases overview'!$A$7:$A$306,B294,'Cases overview'!$J$7:$J$306,I294)&lt;&gt;1,"Currency mismatch",IF(AND(M294&lt;&gt;"",OR(M294=A294,COUNTIFS('Execution log'!$A$7:$A$306,M294,'Execution log'!$B$7:$B$306,B294,'Execution log'!$L$7:$L$306,"Corrected")&lt;&gt;1)),"Correction ref to check","Valid input"))))))))))</x:f>
      </x:c>
    </x:row>
    <x:row r="295" ht="25" customHeight="1">
      <x:c r="A295" s="3"/>
      <x:c r="B295" s="3"/>
      <x:c r="C295" s="3"/>
      <x:c r="D295" s="3"/>
      <x:c r="E295" s="25"/>
      <x:c r="F295" s="25"/>
      <x:c r="G295" s="3"/>
      <x:c r="H295" s="22"/>
      <x:c r="I295" s="3"/>
      <x:c r="J295" s="22"/>
      <x:c r="K295" s="3"/>
      <x:c r="L295" s="3"/>
      <x:c r="M295" s="3"/>
      <x:c r="N295" s="3"/>
      <x:c r="O295" s="3"/>
      <x:c r="P295" s="19" t="str">
        <x:f>IF(A295="","",IF(COUNTIFS('Execution log'!$A$7:$A$306,A295)&lt;&gt;1,"Duplicate ID",IF(COUNTIFS('Cases overview'!$A$7:$A$306,B295)&lt;&gt;1,"Invalid case ref",IF(OR(L295="Corrected",L295="Revoked"),"Excluded from totals",IF(L295&lt;&gt;"Valid","Record status missing",IF(COUNTIFS('Plan versions'!$A$7:$A$306,C295,'Plan versions'!$B$7:$B$306,B295,'Plan versions'!$L$7:$L$306,"Frozen")&lt;&gt;1,"Invalid plan ref",IF(OR(D295="",NOT(ISNUMBER(E295)),NOT(ISNUMBER(F295)),G295="",K295=""),"Execution info missing",IF(OR(NOT(ISNUMBER(H295)),H295&lt;0,NOT(ISNUMBER(J295)),J295&lt;0),"Spend or time missing",IF(COUNTIFS('Cases overview'!$A$7:$A$306,B295,'Cases overview'!$J$7:$J$306,I295)&lt;&gt;1,"Currency mismatch",IF(AND(M295&lt;&gt;"",OR(M295=A295,COUNTIFS('Execution log'!$A$7:$A$306,M295,'Execution log'!$B$7:$B$306,B295,'Execution log'!$L$7:$L$306,"Corrected")&lt;&gt;1)),"Correction ref to check","Valid input"))))))))))</x:f>
      </x:c>
    </x:row>
    <x:row r="296" ht="25" customHeight="1">
      <x:c r="A296" s="3"/>
      <x:c r="B296" s="3"/>
      <x:c r="C296" s="3"/>
      <x:c r="D296" s="3"/>
      <x:c r="E296" s="25"/>
      <x:c r="F296" s="25"/>
      <x:c r="G296" s="3"/>
      <x:c r="H296" s="22"/>
      <x:c r="I296" s="3"/>
      <x:c r="J296" s="22"/>
      <x:c r="K296" s="3"/>
      <x:c r="L296" s="3"/>
      <x:c r="M296" s="3"/>
      <x:c r="N296" s="3"/>
      <x:c r="O296" s="3"/>
      <x:c r="P296" s="19" t="str">
        <x:f>IF(A296="","",IF(COUNTIFS('Execution log'!$A$7:$A$306,A296)&lt;&gt;1,"Duplicate ID",IF(COUNTIFS('Cases overview'!$A$7:$A$306,B296)&lt;&gt;1,"Invalid case ref",IF(OR(L296="Corrected",L296="Revoked"),"Excluded from totals",IF(L296&lt;&gt;"Valid","Record status missing",IF(COUNTIFS('Plan versions'!$A$7:$A$306,C296,'Plan versions'!$B$7:$B$306,B296,'Plan versions'!$L$7:$L$306,"Frozen")&lt;&gt;1,"Invalid plan ref",IF(OR(D296="",NOT(ISNUMBER(E296)),NOT(ISNUMBER(F296)),G296="",K296=""),"Execution info missing",IF(OR(NOT(ISNUMBER(H296)),H296&lt;0,NOT(ISNUMBER(J296)),J296&lt;0),"Spend or time missing",IF(COUNTIFS('Cases overview'!$A$7:$A$306,B296,'Cases overview'!$J$7:$J$306,I296)&lt;&gt;1,"Currency mismatch",IF(AND(M296&lt;&gt;"",OR(M296=A296,COUNTIFS('Execution log'!$A$7:$A$306,M296,'Execution log'!$B$7:$B$306,B296,'Execution log'!$L$7:$L$306,"Corrected")&lt;&gt;1)),"Correction ref to check","Valid input"))))))))))</x:f>
      </x:c>
    </x:row>
    <x:row r="297" ht="25" customHeight="1">
      <x:c r="A297" s="3"/>
      <x:c r="B297" s="3"/>
      <x:c r="C297" s="3"/>
      <x:c r="D297" s="3"/>
      <x:c r="E297" s="25"/>
      <x:c r="F297" s="25"/>
      <x:c r="G297" s="3"/>
      <x:c r="H297" s="22"/>
      <x:c r="I297" s="3"/>
      <x:c r="J297" s="22"/>
      <x:c r="K297" s="3"/>
      <x:c r="L297" s="3"/>
      <x:c r="M297" s="3"/>
      <x:c r="N297" s="3"/>
      <x:c r="O297" s="3"/>
      <x:c r="P297" s="19" t="str">
        <x:f>IF(A297="","",IF(COUNTIFS('Execution log'!$A$7:$A$306,A297)&lt;&gt;1,"Duplicate ID",IF(COUNTIFS('Cases overview'!$A$7:$A$306,B297)&lt;&gt;1,"Invalid case ref",IF(OR(L297="Corrected",L297="Revoked"),"Excluded from totals",IF(L297&lt;&gt;"Valid","Record status missing",IF(COUNTIFS('Plan versions'!$A$7:$A$306,C297,'Plan versions'!$B$7:$B$306,B297,'Plan versions'!$L$7:$L$306,"Frozen")&lt;&gt;1,"Invalid plan ref",IF(OR(D297="",NOT(ISNUMBER(E297)),NOT(ISNUMBER(F297)),G297="",K297=""),"Execution info missing",IF(OR(NOT(ISNUMBER(H297)),H297&lt;0,NOT(ISNUMBER(J297)),J297&lt;0),"Spend or time missing",IF(COUNTIFS('Cases overview'!$A$7:$A$306,B297,'Cases overview'!$J$7:$J$306,I297)&lt;&gt;1,"Currency mismatch",IF(AND(M297&lt;&gt;"",OR(M297=A297,COUNTIFS('Execution log'!$A$7:$A$306,M297,'Execution log'!$B$7:$B$306,B297,'Execution log'!$L$7:$L$306,"Corrected")&lt;&gt;1)),"Correction ref to check","Valid input"))))))))))</x:f>
      </x:c>
    </x:row>
    <x:row r="298" ht="25" customHeight="1">
      <x:c r="A298" s="3"/>
      <x:c r="B298" s="3"/>
      <x:c r="C298" s="3"/>
      <x:c r="D298" s="3"/>
      <x:c r="E298" s="25"/>
      <x:c r="F298" s="25"/>
      <x:c r="G298" s="3"/>
      <x:c r="H298" s="22"/>
      <x:c r="I298" s="3"/>
      <x:c r="J298" s="22"/>
      <x:c r="K298" s="3"/>
      <x:c r="L298" s="3"/>
      <x:c r="M298" s="3"/>
      <x:c r="N298" s="3"/>
      <x:c r="O298" s="3"/>
      <x:c r="P298" s="19" t="str">
        <x:f>IF(A298="","",IF(COUNTIFS('Execution log'!$A$7:$A$306,A298)&lt;&gt;1,"Duplicate ID",IF(COUNTIFS('Cases overview'!$A$7:$A$306,B298)&lt;&gt;1,"Invalid case ref",IF(OR(L298="Corrected",L298="Revoked"),"Excluded from totals",IF(L298&lt;&gt;"Valid","Record status missing",IF(COUNTIFS('Plan versions'!$A$7:$A$306,C298,'Plan versions'!$B$7:$B$306,B298,'Plan versions'!$L$7:$L$306,"Frozen")&lt;&gt;1,"Invalid plan ref",IF(OR(D298="",NOT(ISNUMBER(E298)),NOT(ISNUMBER(F298)),G298="",K298=""),"Execution info missing",IF(OR(NOT(ISNUMBER(H298)),H298&lt;0,NOT(ISNUMBER(J298)),J298&lt;0),"Spend or time missing",IF(COUNTIFS('Cases overview'!$A$7:$A$306,B298,'Cases overview'!$J$7:$J$306,I298)&lt;&gt;1,"Currency mismatch",IF(AND(M298&lt;&gt;"",OR(M298=A298,COUNTIFS('Execution log'!$A$7:$A$306,M298,'Execution log'!$B$7:$B$306,B298,'Execution log'!$L$7:$L$306,"Corrected")&lt;&gt;1)),"Correction ref to check","Valid input"))))))))))</x:f>
      </x:c>
    </x:row>
    <x:row r="299" ht="25" customHeight="1">
      <x:c r="A299" s="3"/>
      <x:c r="B299" s="3"/>
      <x:c r="C299" s="3"/>
      <x:c r="D299" s="3"/>
      <x:c r="E299" s="25"/>
      <x:c r="F299" s="25"/>
      <x:c r="G299" s="3"/>
      <x:c r="H299" s="22"/>
      <x:c r="I299" s="3"/>
      <x:c r="J299" s="22"/>
      <x:c r="K299" s="3"/>
      <x:c r="L299" s="3"/>
      <x:c r="M299" s="3"/>
      <x:c r="N299" s="3"/>
      <x:c r="O299" s="3"/>
      <x:c r="P299" s="19" t="str">
        <x:f>IF(A299="","",IF(COUNTIFS('Execution log'!$A$7:$A$306,A299)&lt;&gt;1,"Duplicate ID",IF(COUNTIFS('Cases overview'!$A$7:$A$306,B299)&lt;&gt;1,"Invalid case ref",IF(OR(L299="Corrected",L299="Revoked"),"Excluded from totals",IF(L299&lt;&gt;"Valid","Record status missing",IF(COUNTIFS('Plan versions'!$A$7:$A$306,C299,'Plan versions'!$B$7:$B$306,B299,'Plan versions'!$L$7:$L$306,"Frozen")&lt;&gt;1,"Invalid plan ref",IF(OR(D299="",NOT(ISNUMBER(E299)),NOT(ISNUMBER(F299)),G299="",K299=""),"Execution info missing",IF(OR(NOT(ISNUMBER(H299)),H299&lt;0,NOT(ISNUMBER(J299)),J299&lt;0),"Spend or time missing",IF(COUNTIFS('Cases overview'!$A$7:$A$306,B299,'Cases overview'!$J$7:$J$306,I299)&lt;&gt;1,"Currency mismatch",IF(AND(M299&lt;&gt;"",OR(M299=A299,COUNTIFS('Execution log'!$A$7:$A$306,M299,'Execution log'!$B$7:$B$306,B299,'Execution log'!$L$7:$L$306,"Corrected")&lt;&gt;1)),"Correction ref to check","Valid input"))))))))))</x:f>
      </x:c>
    </x:row>
    <x:row r="300" ht="25" customHeight="1">
      <x:c r="A300" s="3"/>
      <x:c r="B300" s="3"/>
      <x:c r="C300" s="3"/>
      <x:c r="D300" s="3"/>
      <x:c r="E300" s="25"/>
      <x:c r="F300" s="25"/>
      <x:c r="G300" s="3"/>
      <x:c r="H300" s="22"/>
      <x:c r="I300" s="3"/>
      <x:c r="J300" s="22"/>
      <x:c r="K300" s="3"/>
      <x:c r="L300" s="3"/>
      <x:c r="M300" s="3"/>
      <x:c r="N300" s="3"/>
      <x:c r="O300" s="3"/>
      <x:c r="P300" s="19" t="str">
        <x:f>IF(A300="","",IF(COUNTIFS('Execution log'!$A$7:$A$306,A300)&lt;&gt;1,"Duplicate ID",IF(COUNTIFS('Cases overview'!$A$7:$A$306,B300)&lt;&gt;1,"Invalid case ref",IF(OR(L300="Corrected",L300="Revoked"),"Excluded from totals",IF(L300&lt;&gt;"Valid","Record status missing",IF(COUNTIFS('Plan versions'!$A$7:$A$306,C300,'Plan versions'!$B$7:$B$306,B300,'Plan versions'!$L$7:$L$306,"Frozen")&lt;&gt;1,"Invalid plan ref",IF(OR(D300="",NOT(ISNUMBER(E300)),NOT(ISNUMBER(F300)),G300="",K300=""),"Execution info missing",IF(OR(NOT(ISNUMBER(H300)),H300&lt;0,NOT(ISNUMBER(J300)),J300&lt;0),"Spend or time missing",IF(COUNTIFS('Cases overview'!$A$7:$A$306,B300,'Cases overview'!$J$7:$J$306,I300)&lt;&gt;1,"Currency mismatch",IF(AND(M300&lt;&gt;"",OR(M300=A300,COUNTIFS('Execution log'!$A$7:$A$306,M300,'Execution log'!$B$7:$B$306,B300,'Execution log'!$L$7:$L$306,"Corrected")&lt;&gt;1)),"Correction ref to check","Valid input"))))))))))</x:f>
      </x:c>
    </x:row>
    <x:row r="301" ht="25" customHeight="1">
      <x:c r="A301" s="3"/>
      <x:c r="B301" s="3"/>
      <x:c r="C301" s="3"/>
      <x:c r="D301" s="3"/>
      <x:c r="E301" s="25"/>
      <x:c r="F301" s="25"/>
      <x:c r="G301" s="3"/>
      <x:c r="H301" s="22"/>
      <x:c r="I301" s="3"/>
      <x:c r="J301" s="22"/>
      <x:c r="K301" s="3"/>
      <x:c r="L301" s="3"/>
      <x:c r="M301" s="3"/>
      <x:c r="N301" s="3"/>
      <x:c r="O301" s="3"/>
      <x:c r="P301" s="19" t="str">
        <x:f>IF(A301="","",IF(COUNTIFS('Execution log'!$A$7:$A$306,A301)&lt;&gt;1,"Duplicate ID",IF(COUNTIFS('Cases overview'!$A$7:$A$306,B301)&lt;&gt;1,"Invalid case ref",IF(OR(L301="Corrected",L301="Revoked"),"Excluded from totals",IF(L301&lt;&gt;"Valid","Record status missing",IF(COUNTIFS('Plan versions'!$A$7:$A$306,C301,'Plan versions'!$B$7:$B$306,B301,'Plan versions'!$L$7:$L$306,"Frozen")&lt;&gt;1,"Invalid plan ref",IF(OR(D301="",NOT(ISNUMBER(E301)),NOT(ISNUMBER(F301)),G301="",K301=""),"Execution info missing",IF(OR(NOT(ISNUMBER(H301)),H301&lt;0,NOT(ISNUMBER(J301)),J301&lt;0),"Spend or time missing",IF(COUNTIFS('Cases overview'!$A$7:$A$306,B301,'Cases overview'!$J$7:$J$306,I301)&lt;&gt;1,"Currency mismatch",IF(AND(M301&lt;&gt;"",OR(M301=A301,COUNTIFS('Execution log'!$A$7:$A$306,M301,'Execution log'!$B$7:$B$306,B301,'Execution log'!$L$7:$L$306,"Corrected")&lt;&gt;1)),"Correction ref to check","Valid input"))))))))))</x:f>
      </x:c>
    </x:row>
    <x:row r="302" ht="25" customHeight="1">
      <x:c r="A302" s="3"/>
      <x:c r="B302" s="3"/>
      <x:c r="C302" s="3"/>
      <x:c r="D302" s="3"/>
      <x:c r="E302" s="25"/>
      <x:c r="F302" s="25"/>
      <x:c r="G302" s="3"/>
      <x:c r="H302" s="22"/>
      <x:c r="I302" s="3"/>
      <x:c r="J302" s="22"/>
      <x:c r="K302" s="3"/>
      <x:c r="L302" s="3"/>
      <x:c r="M302" s="3"/>
      <x:c r="N302" s="3"/>
      <x:c r="O302" s="3"/>
      <x:c r="P302" s="19" t="str">
        <x:f>IF(A302="","",IF(COUNTIFS('Execution log'!$A$7:$A$306,A302)&lt;&gt;1,"Duplicate ID",IF(COUNTIFS('Cases overview'!$A$7:$A$306,B302)&lt;&gt;1,"Invalid case ref",IF(OR(L302="Corrected",L302="Revoked"),"Excluded from totals",IF(L302&lt;&gt;"Valid","Record status missing",IF(COUNTIFS('Plan versions'!$A$7:$A$306,C302,'Plan versions'!$B$7:$B$306,B302,'Plan versions'!$L$7:$L$306,"Frozen")&lt;&gt;1,"Invalid plan ref",IF(OR(D302="",NOT(ISNUMBER(E302)),NOT(ISNUMBER(F302)),G302="",K302=""),"Execution info missing",IF(OR(NOT(ISNUMBER(H302)),H302&lt;0,NOT(ISNUMBER(J302)),J302&lt;0),"Spend or time missing",IF(COUNTIFS('Cases overview'!$A$7:$A$306,B302,'Cases overview'!$J$7:$J$306,I302)&lt;&gt;1,"Currency mismatch",IF(AND(M302&lt;&gt;"",OR(M302=A302,COUNTIFS('Execution log'!$A$7:$A$306,M302,'Execution log'!$B$7:$B$306,B302,'Execution log'!$L$7:$L$306,"Corrected")&lt;&gt;1)),"Correction ref to check","Valid input"))))))))))</x:f>
      </x:c>
    </x:row>
    <x:row r="303" ht="25" customHeight="1">
      <x:c r="A303" s="3"/>
      <x:c r="B303" s="3"/>
      <x:c r="C303" s="3"/>
      <x:c r="D303" s="3"/>
      <x:c r="E303" s="25"/>
      <x:c r="F303" s="25"/>
      <x:c r="G303" s="3"/>
      <x:c r="H303" s="22"/>
      <x:c r="I303" s="3"/>
      <x:c r="J303" s="22"/>
      <x:c r="K303" s="3"/>
      <x:c r="L303" s="3"/>
      <x:c r="M303" s="3"/>
      <x:c r="N303" s="3"/>
      <x:c r="O303" s="3"/>
      <x:c r="P303" s="19" t="str">
        <x:f>IF(A303="","",IF(COUNTIFS('Execution log'!$A$7:$A$306,A303)&lt;&gt;1,"Duplicate ID",IF(COUNTIFS('Cases overview'!$A$7:$A$306,B303)&lt;&gt;1,"Invalid case ref",IF(OR(L303="Corrected",L303="Revoked"),"Excluded from totals",IF(L303&lt;&gt;"Valid","Record status missing",IF(COUNTIFS('Plan versions'!$A$7:$A$306,C303,'Plan versions'!$B$7:$B$306,B303,'Plan versions'!$L$7:$L$306,"Frozen")&lt;&gt;1,"Invalid plan ref",IF(OR(D303="",NOT(ISNUMBER(E303)),NOT(ISNUMBER(F303)),G303="",K303=""),"Execution info missing",IF(OR(NOT(ISNUMBER(H303)),H303&lt;0,NOT(ISNUMBER(J303)),J303&lt;0),"Spend or time missing",IF(COUNTIFS('Cases overview'!$A$7:$A$306,B303,'Cases overview'!$J$7:$J$306,I303)&lt;&gt;1,"Currency mismatch",IF(AND(M303&lt;&gt;"",OR(M303=A303,COUNTIFS('Execution log'!$A$7:$A$306,M303,'Execution log'!$B$7:$B$306,B303,'Execution log'!$L$7:$L$306,"Corrected")&lt;&gt;1)),"Correction ref to check","Valid input"))))))))))</x:f>
      </x:c>
    </x:row>
    <x:row r="304" ht="25" customHeight="1">
      <x:c r="A304" s="3"/>
      <x:c r="B304" s="3"/>
      <x:c r="C304" s="3"/>
      <x:c r="D304" s="3"/>
      <x:c r="E304" s="25"/>
      <x:c r="F304" s="25"/>
      <x:c r="G304" s="3"/>
      <x:c r="H304" s="22"/>
      <x:c r="I304" s="3"/>
      <x:c r="J304" s="22"/>
      <x:c r="K304" s="3"/>
      <x:c r="L304" s="3"/>
      <x:c r="M304" s="3"/>
      <x:c r="N304" s="3"/>
      <x:c r="O304" s="3"/>
      <x:c r="P304" s="19" t="str">
        <x:f>IF(A304="","",IF(COUNTIFS('Execution log'!$A$7:$A$306,A304)&lt;&gt;1,"Duplicate ID",IF(COUNTIFS('Cases overview'!$A$7:$A$306,B304)&lt;&gt;1,"Invalid case ref",IF(OR(L304="Corrected",L304="Revoked"),"Excluded from totals",IF(L304&lt;&gt;"Valid","Record status missing",IF(COUNTIFS('Plan versions'!$A$7:$A$306,C304,'Plan versions'!$B$7:$B$306,B304,'Plan versions'!$L$7:$L$306,"Frozen")&lt;&gt;1,"Invalid plan ref",IF(OR(D304="",NOT(ISNUMBER(E304)),NOT(ISNUMBER(F304)),G304="",K304=""),"Execution info missing",IF(OR(NOT(ISNUMBER(H304)),H304&lt;0,NOT(ISNUMBER(J304)),J304&lt;0),"Spend or time missing",IF(COUNTIFS('Cases overview'!$A$7:$A$306,B304,'Cases overview'!$J$7:$J$306,I304)&lt;&gt;1,"Currency mismatch",IF(AND(M304&lt;&gt;"",OR(M304=A304,COUNTIFS('Execution log'!$A$7:$A$306,M304,'Execution log'!$B$7:$B$306,B304,'Execution log'!$L$7:$L$306,"Corrected")&lt;&gt;1)),"Correction ref to check","Valid input"))))))))))</x:f>
      </x:c>
    </x:row>
    <x:row r="305" ht="25" customHeight="1">
      <x:c r="A305" s="3"/>
      <x:c r="B305" s="3"/>
      <x:c r="C305" s="3"/>
      <x:c r="D305" s="3"/>
      <x:c r="E305" s="25"/>
      <x:c r="F305" s="25"/>
      <x:c r="G305" s="3"/>
      <x:c r="H305" s="22"/>
      <x:c r="I305" s="3"/>
      <x:c r="J305" s="22"/>
      <x:c r="K305" s="3"/>
      <x:c r="L305" s="3"/>
      <x:c r="M305" s="3"/>
      <x:c r="N305" s="3"/>
      <x:c r="O305" s="3"/>
      <x:c r="P305" s="19" t="str">
        <x:f>IF(A305="","",IF(COUNTIFS('Execution log'!$A$7:$A$306,A305)&lt;&gt;1,"Duplicate ID",IF(COUNTIFS('Cases overview'!$A$7:$A$306,B305)&lt;&gt;1,"Invalid case ref",IF(OR(L305="Corrected",L305="Revoked"),"Excluded from totals",IF(L305&lt;&gt;"Valid","Record status missing",IF(COUNTIFS('Plan versions'!$A$7:$A$306,C305,'Plan versions'!$B$7:$B$306,B305,'Plan versions'!$L$7:$L$306,"Frozen")&lt;&gt;1,"Invalid plan ref",IF(OR(D305="",NOT(ISNUMBER(E305)),NOT(ISNUMBER(F305)),G305="",K305=""),"Execution info missing",IF(OR(NOT(ISNUMBER(H305)),H305&lt;0,NOT(ISNUMBER(J305)),J305&lt;0),"Spend or time missing",IF(COUNTIFS('Cases overview'!$A$7:$A$306,B305,'Cases overview'!$J$7:$J$306,I305)&lt;&gt;1,"Currency mismatch",IF(AND(M305&lt;&gt;"",OR(M305=A305,COUNTIFS('Execution log'!$A$7:$A$306,M305,'Execution log'!$B$7:$B$306,B305,'Execution log'!$L$7:$L$306,"Corrected")&lt;&gt;1)),"Correction ref to check","Valid input"))))))))))</x:f>
      </x:c>
    </x:row>
    <x:row r="306" ht="25" customHeight="1">
      <x:c r="A306" s="3"/>
      <x:c r="B306" s="3"/>
      <x:c r="C306" s="3"/>
      <x:c r="D306" s="3"/>
      <x:c r="E306" s="25"/>
      <x:c r="F306" s="25"/>
      <x:c r="G306" s="3"/>
      <x:c r="H306" s="22"/>
      <x:c r="I306" s="3"/>
      <x:c r="J306" s="22"/>
      <x:c r="K306" s="3"/>
      <x:c r="L306" s="3"/>
      <x:c r="M306" s="3"/>
      <x:c r="N306" s="3"/>
      <x:c r="O306" s="3"/>
      <x:c r="P306" s="19" t="str">
        <x:f>IF(A306="","",IF(COUNTIFS('Execution log'!$A$7:$A$306,A306)&lt;&gt;1,"Duplicate ID",IF(COUNTIFS('Cases overview'!$A$7:$A$306,B306)&lt;&gt;1,"Invalid case ref",IF(OR(L306="Corrected",L306="Revoked"),"Excluded from totals",IF(L306&lt;&gt;"Valid","Record status missing",IF(COUNTIFS('Plan versions'!$A$7:$A$306,C306,'Plan versions'!$B$7:$B$306,B306,'Plan versions'!$L$7:$L$306,"Frozen")&lt;&gt;1,"Invalid plan ref",IF(OR(D306="",NOT(ISNUMBER(E306)),NOT(ISNUMBER(F306)),G306="",K306=""),"Execution info missing",IF(OR(NOT(ISNUMBER(H306)),H306&lt;0,NOT(ISNUMBER(J306)),J306&lt;0),"Spend or time missing",IF(COUNTIFS('Cases overview'!$A$7:$A$306,B306,'Cases overview'!$J$7:$J$306,I306)&lt;&gt;1,"Currency mismatch",IF(AND(M306&lt;&gt;"",OR(M306=A306,COUNTIFS('Execution log'!$A$7:$A$306,M306,'Execution log'!$B$7:$B$306,B306,'Execution log'!$L$7:$L$306,"Corrected")&lt;&gt;1)),"Correction ref to check","Valid input"))))))))))</x:f>
      </x:c>
    </x:row>
  </x:sheetData>
  <x:conditionalFormatting sqref="P7:P306">
    <x:cfRule type="expression" dxfId="2" priority="1">
      <x:formula>AND($A7&lt;&gt;"",P7&lt;&gt;"Valid input")</x:formula>
    </x:cfRule>
  </x:conditionalFormatting>
  <x:dataValidations count="2">
    <x:dataValidation type="list" sqref="K7:K306">
      <x:formula1>"Not started,In progress,Done,Abort,Not executed"</x:formula1>
    </x:dataValidation>
    <x:dataValidation type="list" sqref="L7:L306">
      <x:formula1>"Valid,Corrected,Revoked"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f9fc142ae245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3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  <x:col min="11" max="11" width="29" hidden="0" customWidth="1"/>
    <x:col min="12" max="12" width="20" hidden="0" customWidth="1"/>
    <x:col min="13" max="13" width="20" hidden="0" customWidth="1"/>
    <x:col min="14" max="14" width="29" hidden="0" customWidth="1"/>
    <x:col min="15" max="15" width="29" hidden="0" customWidth="1"/>
    <x:col min="16" max="16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16" t="str">
        <x:v>Observations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25" customHeight="1">
      <x:c r="A3" s="18" t="str">
        <x:v>One row per observation. Keep results separate from interpretation; same-source material shares a source group ID; corrections get a new ID.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12" t="str">
        <x:v>Observation ID</x:v>
      </x:c>
      <x:c r="B6" s="13" t="str">
        <x:v>Case ID</x:v>
      </x:c>
      <x:c r="C6" s="13" t="str">
        <x:v>Plan ID</x:v>
      </x:c>
      <x:c r="D6" s="13" t="str">
        <x:v>Metric ID and version</x:v>
      </x:c>
      <x:c r="E6" s="13" t="str">
        <x:v>Occurred at</x:v>
      </x:c>
      <x:c r="F6" s="13" t="str">
        <x:v>Recorded at</x:v>
      </x:c>
      <x:c r="G6" s="13" t="str">
        <x:v>Value</x:v>
      </x:c>
      <x:c r="H6" s="13" t="str">
        <x:v>Unit</x:v>
      </x:c>
      <x:c r="I6" s="13" t="str">
        <x:v>Denominator or sample size</x:v>
      </x:c>
      <x:c r="J6" s="13" t="str">
        <x:v>Raw observation</x:v>
      </x:c>
      <x:c r="K6" s="13" t="str">
        <x:v>Source or attachment</x:v>
      </x:c>
      <x:c r="L6" s="13" t="str">
        <x:v>Same-source group ID</x:v>
      </x:c>
      <x:c r="M6" s="13" t="str">
        <x:v>Record status</x:v>
      </x:c>
      <x:c r="N6" s="13" t="str">
        <x:v>Corrects OB</x:v>
      </x:c>
      <x:c r="O6" s="13" t="str">
        <x:v>Record file</x:v>
      </x:c>
      <x:c r="P6" s="14" t="str">
        <x:v>Input check</x:v>
      </x:c>
    </x:row>
    <x:row r="7" ht="25" customHeight="1">
      <x:c r="A7" s="3"/>
      <x:c r="B7" s="3"/>
      <x:c r="C7" s="3"/>
      <x:c r="D7" s="3"/>
      <x:c r="E7" s="25"/>
      <x:c r="F7" s="25"/>
      <x:c r="G7" s="22"/>
      <x:c r="H7" s="3"/>
      <x:c r="I7" s="22"/>
      <x:c r="J7" s="3"/>
      <x:c r="K7" s="3"/>
      <x:c r="L7" s="3"/>
      <x:c r="M7" s="3"/>
      <x:c r="N7" s="3"/>
      <x:c r="O7" s="3"/>
      <x:c r="P7" s="19" t="str">
        <x:f>IF(A7="","",IF(COUNTIFS('Observations'!$A$7:$A$306,A7)&lt;&gt;1,"Duplicate ID",IF(COUNTIFS('Cases overview'!$A$7:$A$306,B7)&lt;&gt;1,"Invalid case ref",IF(AND(C7&lt;&gt;"",COUNTIFS('Plan versions'!$A$7:$A$306,C7,'Plan versions'!$B$7:$B$306,B7,'Plan versions'!$L$7:$L$306,"Frozen")&lt;&gt;1),"Invalid plan ref",IF(OR(NOT(ISNUMBER(F7)),M7=""),"Registration info missing",IF(AND(M7="Observed",OR(K7="",AND(NOT(ISNUMBER(G7)),J7=""))),"Observation/source missing",IF(AND(ISNUMBER(G7),H7=""),"Value/unit missing",IF(AND(N7&lt;&gt;"",OR(N7=A7,COUNTIFS('Observations'!$A$7:$A$306,N7,'Observations'!$B$7:$B$306,B7,'Observations'!$M$7:$M$306,"Corrected")&lt;&gt;1)),"Correction ref to check","Valid input"))))))))</x:f>
      </x:c>
    </x:row>
    <x:row r="8" ht="25" customHeight="1">
      <x:c r="A8" s="3"/>
      <x:c r="B8" s="3"/>
      <x:c r="C8" s="3"/>
      <x:c r="D8" s="3"/>
      <x:c r="E8" s="25"/>
      <x:c r="F8" s="25"/>
      <x:c r="G8" s="22"/>
      <x:c r="H8" s="3"/>
      <x:c r="I8" s="22"/>
      <x:c r="J8" s="3"/>
      <x:c r="K8" s="3"/>
      <x:c r="L8" s="3"/>
      <x:c r="M8" s="3"/>
      <x:c r="N8" s="3"/>
      <x:c r="O8" s="3"/>
      <x:c r="P8" s="19" t="str">
        <x:f>IF(A8="","",IF(COUNTIFS('Observations'!$A$7:$A$306,A8)&lt;&gt;1,"Duplicate ID",IF(COUNTIFS('Cases overview'!$A$7:$A$306,B8)&lt;&gt;1,"Invalid case ref",IF(AND(C8&lt;&gt;"",COUNTIFS('Plan versions'!$A$7:$A$306,C8,'Plan versions'!$B$7:$B$306,B8,'Plan versions'!$L$7:$L$306,"Frozen")&lt;&gt;1),"Invalid plan ref",IF(OR(NOT(ISNUMBER(F8)),M8=""),"Registration info missing",IF(AND(M8="Observed",OR(K8="",AND(NOT(ISNUMBER(G8)),J8=""))),"Observation/source missing",IF(AND(ISNUMBER(G8),H8=""),"Value/unit missing",IF(AND(N8&lt;&gt;"",OR(N8=A8,COUNTIFS('Observations'!$A$7:$A$306,N8,'Observations'!$B$7:$B$306,B8,'Observations'!$M$7:$M$306,"Corrected")&lt;&gt;1)),"Correction ref to check","Valid input"))))))))</x:f>
      </x:c>
    </x:row>
    <x:row r="9" ht="25" customHeight="1">
      <x:c r="A9" s="3"/>
      <x:c r="B9" s="3"/>
      <x:c r="C9" s="3"/>
      <x:c r="D9" s="3"/>
      <x:c r="E9" s="25"/>
      <x:c r="F9" s="25"/>
      <x:c r="G9" s="22"/>
      <x:c r="H9" s="3"/>
      <x:c r="I9" s="22"/>
      <x:c r="J9" s="3"/>
      <x:c r="K9" s="3"/>
      <x:c r="L9" s="3"/>
      <x:c r="M9" s="3"/>
      <x:c r="N9" s="3"/>
      <x:c r="O9" s="3"/>
      <x:c r="P9" s="19" t="str">
        <x:f>IF(A9="","",IF(COUNTIFS('Observations'!$A$7:$A$306,A9)&lt;&gt;1,"Duplicate ID",IF(COUNTIFS('Cases overview'!$A$7:$A$306,B9)&lt;&gt;1,"Invalid case ref",IF(AND(C9&lt;&gt;"",COUNTIFS('Plan versions'!$A$7:$A$306,C9,'Plan versions'!$B$7:$B$306,B9,'Plan versions'!$L$7:$L$306,"Frozen")&lt;&gt;1),"Invalid plan ref",IF(OR(NOT(ISNUMBER(F9)),M9=""),"Registration info missing",IF(AND(M9="Observed",OR(K9="",AND(NOT(ISNUMBER(G9)),J9=""))),"Observation/source missing",IF(AND(ISNUMBER(G9),H9=""),"Value/unit missing",IF(AND(N9&lt;&gt;"",OR(N9=A9,COUNTIFS('Observations'!$A$7:$A$306,N9,'Observations'!$B$7:$B$306,B9,'Observations'!$M$7:$M$306,"Corrected")&lt;&gt;1)),"Correction ref to check","Valid input"))))))))</x:f>
      </x:c>
    </x:row>
    <x:row r="10" ht="25" customHeight="1">
      <x:c r="A10" s="3"/>
      <x:c r="B10" s="3"/>
      <x:c r="C10" s="3"/>
      <x:c r="D10" s="3"/>
      <x:c r="E10" s="25"/>
      <x:c r="F10" s="25"/>
      <x:c r="G10" s="22"/>
      <x:c r="H10" s="3"/>
      <x:c r="I10" s="22"/>
      <x:c r="J10" s="3"/>
      <x:c r="K10" s="3"/>
      <x:c r="L10" s="3"/>
      <x:c r="M10" s="3"/>
      <x:c r="N10" s="3"/>
      <x:c r="O10" s="3"/>
      <x:c r="P10" s="19" t="str">
        <x:f>IF(A10="","",IF(COUNTIFS('Observations'!$A$7:$A$306,A10)&lt;&gt;1,"Duplicate ID",IF(COUNTIFS('Cases overview'!$A$7:$A$306,B10)&lt;&gt;1,"Invalid case ref",IF(AND(C10&lt;&gt;"",COUNTIFS('Plan versions'!$A$7:$A$306,C10,'Plan versions'!$B$7:$B$306,B10,'Plan versions'!$L$7:$L$306,"Frozen")&lt;&gt;1),"Invalid plan ref",IF(OR(NOT(ISNUMBER(F10)),M10=""),"Registration info missing",IF(AND(M10="Observed",OR(K10="",AND(NOT(ISNUMBER(G10)),J10=""))),"Observation/source missing",IF(AND(ISNUMBER(G10),H10=""),"Value/unit missing",IF(AND(N10&lt;&gt;"",OR(N10=A10,COUNTIFS('Observations'!$A$7:$A$306,N10,'Observations'!$B$7:$B$306,B10,'Observations'!$M$7:$M$306,"Corrected")&lt;&gt;1)),"Correction ref to check","Valid input"))))))))</x:f>
      </x:c>
    </x:row>
    <x:row r="11" ht="25" customHeight="1">
      <x:c r="A11" s="3"/>
      <x:c r="B11" s="3"/>
      <x:c r="C11" s="3"/>
      <x:c r="D11" s="3"/>
      <x:c r="E11" s="25"/>
      <x:c r="F11" s="25"/>
      <x:c r="G11" s="22"/>
      <x:c r="H11" s="3"/>
      <x:c r="I11" s="22"/>
      <x:c r="J11" s="3"/>
      <x:c r="K11" s="3"/>
      <x:c r="L11" s="3"/>
      <x:c r="M11" s="3"/>
      <x:c r="N11" s="3"/>
      <x:c r="O11" s="3"/>
      <x:c r="P11" s="19" t="str">
        <x:f>IF(A11="","",IF(COUNTIFS('Observations'!$A$7:$A$306,A11)&lt;&gt;1,"Duplicate ID",IF(COUNTIFS('Cases overview'!$A$7:$A$306,B11)&lt;&gt;1,"Invalid case ref",IF(AND(C11&lt;&gt;"",COUNTIFS('Plan versions'!$A$7:$A$306,C11,'Plan versions'!$B$7:$B$306,B11,'Plan versions'!$L$7:$L$306,"Frozen")&lt;&gt;1),"Invalid plan ref",IF(OR(NOT(ISNUMBER(F11)),M11=""),"Registration info missing",IF(AND(M11="Observed",OR(K11="",AND(NOT(ISNUMBER(G11)),J11=""))),"Observation/source missing",IF(AND(ISNUMBER(G11),H11=""),"Value/unit missing",IF(AND(N11&lt;&gt;"",OR(N11=A11,COUNTIFS('Observations'!$A$7:$A$306,N11,'Observations'!$B$7:$B$306,B11,'Observations'!$M$7:$M$306,"Corrected")&lt;&gt;1)),"Correction ref to check","Valid input"))))))))</x:f>
      </x:c>
    </x:row>
    <x:row r="12" ht="25" customHeight="1">
      <x:c r="A12" s="3"/>
      <x:c r="B12" s="3"/>
      <x:c r="C12" s="3"/>
      <x:c r="D12" s="3"/>
      <x:c r="E12" s="25"/>
      <x:c r="F12" s="25"/>
      <x:c r="G12" s="22"/>
      <x:c r="H12" s="3"/>
      <x:c r="I12" s="22"/>
      <x:c r="J12" s="3"/>
      <x:c r="K12" s="3"/>
      <x:c r="L12" s="3"/>
      <x:c r="M12" s="3"/>
      <x:c r="N12" s="3"/>
      <x:c r="O12" s="3"/>
      <x:c r="P12" s="19" t="str">
        <x:f>IF(A12="","",IF(COUNTIFS('Observations'!$A$7:$A$306,A12)&lt;&gt;1,"Duplicate ID",IF(COUNTIFS('Cases overview'!$A$7:$A$306,B12)&lt;&gt;1,"Invalid case ref",IF(AND(C12&lt;&gt;"",COUNTIFS('Plan versions'!$A$7:$A$306,C12,'Plan versions'!$B$7:$B$306,B12,'Plan versions'!$L$7:$L$306,"Frozen")&lt;&gt;1),"Invalid plan ref",IF(OR(NOT(ISNUMBER(F12)),M12=""),"Registration info missing",IF(AND(M12="Observed",OR(K12="",AND(NOT(ISNUMBER(G12)),J12=""))),"Observation/source missing",IF(AND(ISNUMBER(G12),H12=""),"Value/unit missing",IF(AND(N12&lt;&gt;"",OR(N12=A12,COUNTIFS('Observations'!$A$7:$A$306,N12,'Observations'!$B$7:$B$306,B12,'Observations'!$M$7:$M$306,"Corrected")&lt;&gt;1)),"Correction ref to check","Valid input"))))))))</x:f>
      </x:c>
    </x:row>
    <x:row r="13" ht="25" customHeight="1">
      <x:c r="A13" s="3"/>
      <x:c r="B13" s="3"/>
      <x:c r="C13" s="3"/>
      <x:c r="D13" s="3"/>
      <x:c r="E13" s="25"/>
      <x:c r="F13" s="25"/>
      <x:c r="G13" s="22"/>
      <x:c r="H13" s="3"/>
      <x:c r="I13" s="22"/>
      <x:c r="J13" s="3"/>
      <x:c r="K13" s="3"/>
      <x:c r="L13" s="3"/>
      <x:c r="M13" s="3"/>
      <x:c r="N13" s="3"/>
      <x:c r="O13" s="3"/>
      <x:c r="P13" s="19" t="str">
        <x:f>IF(A13="","",IF(COUNTIFS('Observations'!$A$7:$A$306,A13)&lt;&gt;1,"Duplicate ID",IF(COUNTIFS('Cases overview'!$A$7:$A$306,B13)&lt;&gt;1,"Invalid case ref",IF(AND(C13&lt;&gt;"",COUNTIFS('Plan versions'!$A$7:$A$306,C13,'Plan versions'!$B$7:$B$306,B13,'Plan versions'!$L$7:$L$306,"Frozen")&lt;&gt;1),"Invalid plan ref",IF(OR(NOT(ISNUMBER(F13)),M13=""),"Registration info missing",IF(AND(M13="Observed",OR(K13="",AND(NOT(ISNUMBER(G13)),J13=""))),"Observation/source missing",IF(AND(ISNUMBER(G13),H13=""),"Value/unit missing",IF(AND(N13&lt;&gt;"",OR(N13=A13,COUNTIFS('Observations'!$A$7:$A$306,N13,'Observations'!$B$7:$B$306,B13,'Observations'!$M$7:$M$306,"Corrected")&lt;&gt;1)),"Correction ref to check","Valid input"))))))))</x:f>
      </x:c>
    </x:row>
    <x:row r="14" ht="25" customHeight="1">
      <x:c r="A14" s="3"/>
      <x:c r="B14" s="3"/>
      <x:c r="C14" s="3"/>
      <x:c r="D14" s="3"/>
      <x:c r="E14" s="25"/>
      <x:c r="F14" s="25"/>
      <x:c r="G14" s="22"/>
      <x:c r="H14" s="3"/>
      <x:c r="I14" s="22"/>
      <x:c r="J14" s="3"/>
      <x:c r="K14" s="3"/>
      <x:c r="L14" s="3"/>
      <x:c r="M14" s="3"/>
      <x:c r="N14" s="3"/>
      <x:c r="O14" s="3"/>
      <x:c r="P14" s="19" t="str">
        <x:f>IF(A14="","",IF(COUNTIFS('Observations'!$A$7:$A$306,A14)&lt;&gt;1,"Duplicate ID",IF(COUNTIFS('Cases overview'!$A$7:$A$306,B14)&lt;&gt;1,"Invalid case ref",IF(AND(C14&lt;&gt;"",COUNTIFS('Plan versions'!$A$7:$A$306,C14,'Plan versions'!$B$7:$B$306,B14,'Plan versions'!$L$7:$L$306,"Frozen")&lt;&gt;1),"Invalid plan ref",IF(OR(NOT(ISNUMBER(F14)),M14=""),"Registration info missing",IF(AND(M14="Observed",OR(K14="",AND(NOT(ISNUMBER(G14)),J14=""))),"Observation/source missing",IF(AND(ISNUMBER(G14),H14=""),"Value/unit missing",IF(AND(N14&lt;&gt;"",OR(N14=A14,COUNTIFS('Observations'!$A$7:$A$306,N14,'Observations'!$B$7:$B$306,B14,'Observations'!$M$7:$M$306,"Corrected")&lt;&gt;1)),"Correction ref to check","Valid input"))))))))</x:f>
      </x:c>
    </x:row>
    <x:row r="15" ht="25" customHeight="1">
      <x:c r="A15" s="3"/>
      <x:c r="B15" s="3"/>
      <x:c r="C15" s="3"/>
      <x:c r="D15" s="3"/>
      <x:c r="E15" s="25"/>
      <x:c r="F15" s="25"/>
      <x:c r="G15" s="22"/>
      <x:c r="H15" s="3"/>
      <x:c r="I15" s="22"/>
      <x:c r="J15" s="3"/>
      <x:c r="K15" s="3"/>
      <x:c r="L15" s="3"/>
      <x:c r="M15" s="3"/>
      <x:c r="N15" s="3"/>
      <x:c r="O15" s="3"/>
      <x:c r="P15" s="19" t="str">
        <x:f>IF(A15="","",IF(COUNTIFS('Observations'!$A$7:$A$306,A15)&lt;&gt;1,"Duplicate ID",IF(COUNTIFS('Cases overview'!$A$7:$A$306,B15)&lt;&gt;1,"Invalid case ref",IF(AND(C15&lt;&gt;"",COUNTIFS('Plan versions'!$A$7:$A$306,C15,'Plan versions'!$B$7:$B$306,B15,'Plan versions'!$L$7:$L$306,"Frozen")&lt;&gt;1),"Invalid plan ref",IF(OR(NOT(ISNUMBER(F15)),M15=""),"Registration info missing",IF(AND(M15="Observed",OR(K15="",AND(NOT(ISNUMBER(G15)),J15=""))),"Observation/source missing",IF(AND(ISNUMBER(G15),H15=""),"Value/unit missing",IF(AND(N15&lt;&gt;"",OR(N15=A15,COUNTIFS('Observations'!$A$7:$A$306,N15,'Observations'!$B$7:$B$306,B15,'Observations'!$M$7:$M$306,"Corrected")&lt;&gt;1)),"Correction ref to check","Valid input"))))))))</x:f>
      </x:c>
    </x:row>
    <x:row r="16" ht="25" customHeight="1">
      <x:c r="A16" s="3"/>
      <x:c r="B16" s="3"/>
      <x:c r="C16" s="3"/>
      <x:c r="D16" s="3"/>
      <x:c r="E16" s="25"/>
      <x:c r="F16" s="25"/>
      <x:c r="G16" s="22"/>
      <x:c r="H16" s="3"/>
      <x:c r="I16" s="22"/>
      <x:c r="J16" s="3"/>
      <x:c r="K16" s="3"/>
      <x:c r="L16" s="3"/>
      <x:c r="M16" s="3"/>
      <x:c r="N16" s="3"/>
      <x:c r="O16" s="3"/>
      <x:c r="P16" s="19" t="str">
        <x:f>IF(A16="","",IF(COUNTIFS('Observations'!$A$7:$A$306,A16)&lt;&gt;1,"Duplicate ID",IF(COUNTIFS('Cases overview'!$A$7:$A$306,B16)&lt;&gt;1,"Invalid case ref",IF(AND(C16&lt;&gt;"",COUNTIFS('Plan versions'!$A$7:$A$306,C16,'Plan versions'!$B$7:$B$306,B16,'Plan versions'!$L$7:$L$306,"Frozen")&lt;&gt;1),"Invalid plan ref",IF(OR(NOT(ISNUMBER(F16)),M16=""),"Registration info missing",IF(AND(M16="Observed",OR(K16="",AND(NOT(ISNUMBER(G16)),J16=""))),"Observation/source missing",IF(AND(ISNUMBER(G16),H16=""),"Value/unit missing",IF(AND(N16&lt;&gt;"",OR(N16=A16,COUNTIFS('Observations'!$A$7:$A$306,N16,'Observations'!$B$7:$B$306,B16,'Observations'!$M$7:$M$306,"Corrected")&lt;&gt;1)),"Correction ref to check","Valid input"))))))))</x:f>
      </x:c>
    </x:row>
    <x:row r="17" ht="25" customHeight="1">
      <x:c r="A17" s="3"/>
      <x:c r="B17" s="3"/>
      <x:c r="C17" s="3"/>
      <x:c r="D17" s="3"/>
      <x:c r="E17" s="25"/>
      <x:c r="F17" s="25"/>
      <x:c r="G17" s="22"/>
      <x:c r="H17" s="3"/>
      <x:c r="I17" s="22"/>
      <x:c r="J17" s="3"/>
      <x:c r="K17" s="3"/>
      <x:c r="L17" s="3"/>
      <x:c r="M17" s="3"/>
      <x:c r="N17" s="3"/>
      <x:c r="O17" s="3"/>
      <x:c r="P17" s="19" t="str">
        <x:f>IF(A17="","",IF(COUNTIFS('Observations'!$A$7:$A$306,A17)&lt;&gt;1,"Duplicate ID",IF(COUNTIFS('Cases overview'!$A$7:$A$306,B17)&lt;&gt;1,"Invalid case ref",IF(AND(C17&lt;&gt;"",COUNTIFS('Plan versions'!$A$7:$A$306,C17,'Plan versions'!$B$7:$B$306,B17,'Plan versions'!$L$7:$L$306,"Frozen")&lt;&gt;1),"Invalid plan ref",IF(OR(NOT(ISNUMBER(F17)),M17=""),"Registration info missing",IF(AND(M17="Observed",OR(K17="",AND(NOT(ISNUMBER(G17)),J17=""))),"Observation/source missing",IF(AND(ISNUMBER(G17),H17=""),"Value/unit missing",IF(AND(N17&lt;&gt;"",OR(N17=A17,COUNTIFS('Observations'!$A$7:$A$306,N17,'Observations'!$B$7:$B$306,B17,'Observations'!$M$7:$M$306,"Corrected")&lt;&gt;1)),"Correction ref to check","Valid input"))))))))</x:f>
      </x:c>
    </x:row>
    <x:row r="18" ht="25" customHeight="1">
      <x:c r="A18" s="3"/>
      <x:c r="B18" s="3"/>
      <x:c r="C18" s="3"/>
      <x:c r="D18" s="3"/>
      <x:c r="E18" s="25"/>
      <x:c r="F18" s="25"/>
      <x:c r="G18" s="22"/>
      <x:c r="H18" s="3"/>
      <x:c r="I18" s="22"/>
      <x:c r="J18" s="3"/>
      <x:c r="K18" s="3"/>
      <x:c r="L18" s="3"/>
      <x:c r="M18" s="3"/>
      <x:c r="N18" s="3"/>
      <x:c r="O18" s="3"/>
      <x:c r="P18" s="19" t="str">
        <x:f>IF(A18="","",IF(COUNTIFS('Observations'!$A$7:$A$306,A18)&lt;&gt;1,"Duplicate ID",IF(COUNTIFS('Cases overview'!$A$7:$A$306,B18)&lt;&gt;1,"Invalid case ref",IF(AND(C18&lt;&gt;"",COUNTIFS('Plan versions'!$A$7:$A$306,C18,'Plan versions'!$B$7:$B$306,B18,'Plan versions'!$L$7:$L$306,"Frozen")&lt;&gt;1),"Invalid plan ref",IF(OR(NOT(ISNUMBER(F18)),M18=""),"Registration info missing",IF(AND(M18="Observed",OR(K18="",AND(NOT(ISNUMBER(G18)),J18=""))),"Observation/source missing",IF(AND(ISNUMBER(G18),H18=""),"Value/unit missing",IF(AND(N18&lt;&gt;"",OR(N18=A18,COUNTIFS('Observations'!$A$7:$A$306,N18,'Observations'!$B$7:$B$306,B18,'Observations'!$M$7:$M$306,"Corrected")&lt;&gt;1)),"Correction ref to check","Valid input"))))))))</x:f>
      </x:c>
    </x:row>
    <x:row r="19" ht="25" customHeight="1">
      <x:c r="A19" s="3"/>
      <x:c r="B19" s="3"/>
      <x:c r="C19" s="3"/>
      <x:c r="D19" s="3"/>
      <x:c r="E19" s="25"/>
      <x:c r="F19" s="25"/>
      <x:c r="G19" s="22"/>
      <x:c r="H19" s="3"/>
      <x:c r="I19" s="22"/>
      <x:c r="J19" s="3"/>
      <x:c r="K19" s="3"/>
      <x:c r="L19" s="3"/>
      <x:c r="M19" s="3"/>
      <x:c r="N19" s="3"/>
      <x:c r="O19" s="3"/>
      <x:c r="P19" s="19" t="str">
        <x:f>IF(A19="","",IF(COUNTIFS('Observations'!$A$7:$A$306,A19)&lt;&gt;1,"Duplicate ID",IF(COUNTIFS('Cases overview'!$A$7:$A$306,B19)&lt;&gt;1,"Invalid case ref",IF(AND(C19&lt;&gt;"",COUNTIFS('Plan versions'!$A$7:$A$306,C19,'Plan versions'!$B$7:$B$306,B19,'Plan versions'!$L$7:$L$306,"Frozen")&lt;&gt;1),"Invalid plan ref",IF(OR(NOT(ISNUMBER(F19)),M19=""),"Registration info missing",IF(AND(M19="Observed",OR(K19="",AND(NOT(ISNUMBER(G19)),J19=""))),"Observation/source missing",IF(AND(ISNUMBER(G19),H19=""),"Value/unit missing",IF(AND(N19&lt;&gt;"",OR(N19=A19,COUNTIFS('Observations'!$A$7:$A$306,N19,'Observations'!$B$7:$B$306,B19,'Observations'!$M$7:$M$306,"Corrected")&lt;&gt;1)),"Correction ref to check","Valid input"))))))))</x:f>
      </x:c>
    </x:row>
    <x:row r="20" ht="25" customHeight="1">
      <x:c r="A20" s="3"/>
      <x:c r="B20" s="3"/>
      <x:c r="C20" s="3"/>
      <x:c r="D20" s="3"/>
      <x:c r="E20" s="25"/>
      <x:c r="F20" s="25"/>
      <x:c r="G20" s="22"/>
      <x:c r="H20" s="3"/>
      <x:c r="I20" s="22"/>
      <x:c r="J20" s="3"/>
      <x:c r="K20" s="3"/>
      <x:c r="L20" s="3"/>
      <x:c r="M20" s="3"/>
      <x:c r="N20" s="3"/>
      <x:c r="O20" s="3"/>
      <x:c r="P20" s="19" t="str">
        <x:f>IF(A20="","",IF(COUNTIFS('Observations'!$A$7:$A$306,A20)&lt;&gt;1,"Duplicate ID",IF(COUNTIFS('Cases overview'!$A$7:$A$306,B20)&lt;&gt;1,"Invalid case ref",IF(AND(C20&lt;&gt;"",COUNTIFS('Plan versions'!$A$7:$A$306,C20,'Plan versions'!$B$7:$B$306,B20,'Plan versions'!$L$7:$L$306,"Frozen")&lt;&gt;1),"Invalid plan ref",IF(OR(NOT(ISNUMBER(F20)),M20=""),"Registration info missing",IF(AND(M20="Observed",OR(K20="",AND(NOT(ISNUMBER(G20)),J20=""))),"Observation/source missing",IF(AND(ISNUMBER(G20),H20=""),"Value/unit missing",IF(AND(N20&lt;&gt;"",OR(N20=A20,COUNTIFS('Observations'!$A$7:$A$306,N20,'Observations'!$B$7:$B$306,B20,'Observations'!$M$7:$M$306,"Corrected")&lt;&gt;1)),"Correction ref to check","Valid input"))))))))</x:f>
      </x:c>
    </x:row>
    <x:row r="21" ht="25" customHeight="1">
      <x:c r="A21" s="3"/>
      <x:c r="B21" s="3"/>
      <x:c r="C21" s="3"/>
      <x:c r="D21" s="3"/>
      <x:c r="E21" s="25"/>
      <x:c r="F21" s="25"/>
      <x:c r="G21" s="22"/>
      <x:c r="H21" s="3"/>
      <x:c r="I21" s="22"/>
      <x:c r="J21" s="3"/>
      <x:c r="K21" s="3"/>
      <x:c r="L21" s="3"/>
      <x:c r="M21" s="3"/>
      <x:c r="N21" s="3"/>
      <x:c r="O21" s="3"/>
      <x:c r="P21" s="19" t="str">
        <x:f>IF(A21="","",IF(COUNTIFS('Observations'!$A$7:$A$306,A21)&lt;&gt;1,"Duplicate ID",IF(COUNTIFS('Cases overview'!$A$7:$A$306,B21)&lt;&gt;1,"Invalid case ref",IF(AND(C21&lt;&gt;"",COUNTIFS('Plan versions'!$A$7:$A$306,C21,'Plan versions'!$B$7:$B$306,B21,'Plan versions'!$L$7:$L$306,"Frozen")&lt;&gt;1),"Invalid plan ref",IF(OR(NOT(ISNUMBER(F21)),M21=""),"Registration info missing",IF(AND(M21="Observed",OR(K21="",AND(NOT(ISNUMBER(G21)),J21=""))),"Observation/source missing",IF(AND(ISNUMBER(G21),H21=""),"Value/unit missing",IF(AND(N21&lt;&gt;"",OR(N21=A21,COUNTIFS('Observations'!$A$7:$A$306,N21,'Observations'!$B$7:$B$306,B21,'Observations'!$M$7:$M$306,"Corrected")&lt;&gt;1)),"Correction ref to check","Valid input"))))))))</x:f>
      </x:c>
    </x:row>
    <x:row r="22" ht="25" customHeight="1">
      <x:c r="A22" s="3"/>
      <x:c r="B22" s="3"/>
      <x:c r="C22" s="3"/>
      <x:c r="D22" s="3"/>
      <x:c r="E22" s="25"/>
      <x:c r="F22" s="25"/>
      <x:c r="G22" s="22"/>
      <x:c r="H22" s="3"/>
      <x:c r="I22" s="22"/>
      <x:c r="J22" s="3"/>
      <x:c r="K22" s="3"/>
      <x:c r="L22" s="3"/>
      <x:c r="M22" s="3"/>
      <x:c r="N22" s="3"/>
      <x:c r="O22" s="3"/>
      <x:c r="P22" s="19" t="str">
        <x:f>IF(A22="","",IF(COUNTIFS('Observations'!$A$7:$A$306,A22)&lt;&gt;1,"Duplicate ID",IF(COUNTIFS('Cases overview'!$A$7:$A$306,B22)&lt;&gt;1,"Invalid case ref",IF(AND(C22&lt;&gt;"",COUNTIFS('Plan versions'!$A$7:$A$306,C22,'Plan versions'!$B$7:$B$306,B22,'Plan versions'!$L$7:$L$306,"Frozen")&lt;&gt;1),"Invalid plan ref",IF(OR(NOT(ISNUMBER(F22)),M22=""),"Registration info missing",IF(AND(M22="Observed",OR(K22="",AND(NOT(ISNUMBER(G22)),J22=""))),"Observation/source missing",IF(AND(ISNUMBER(G22),H22=""),"Value/unit missing",IF(AND(N22&lt;&gt;"",OR(N22=A22,COUNTIFS('Observations'!$A$7:$A$306,N22,'Observations'!$B$7:$B$306,B22,'Observations'!$M$7:$M$306,"Corrected")&lt;&gt;1)),"Correction ref to check","Valid input"))))))))</x:f>
      </x:c>
    </x:row>
    <x:row r="23" ht="25" customHeight="1">
      <x:c r="A23" s="3"/>
      <x:c r="B23" s="3"/>
      <x:c r="C23" s="3"/>
      <x:c r="D23" s="3"/>
      <x:c r="E23" s="25"/>
      <x:c r="F23" s="25"/>
      <x:c r="G23" s="22"/>
      <x:c r="H23" s="3"/>
      <x:c r="I23" s="22"/>
      <x:c r="J23" s="3"/>
      <x:c r="K23" s="3"/>
      <x:c r="L23" s="3"/>
      <x:c r="M23" s="3"/>
      <x:c r="N23" s="3"/>
      <x:c r="O23" s="3"/>
      <x:c r="P23" s="19" t="str">
        <x:f>IF(A23="","",IF(COUNTIFS('Observations'!$A$7:$A$306,A23)&lt;&gt;1,"Duplicate ID",IF(COUNTIFS('Cases overview'!$A$7:$A$306,B23)&lt;&gt;1,"Invalid case ref",IF(AND(C23&lt;&gt;"",COUNTIFS('Plan versions'!$A$7:$A$306,C23,'Plan versions'!$B$7:$B$306,B23,'Plan versions'!$L$7:$L$306,"Frozen")&lt;&gt;1),"Invalid plan ref",IF(OR(NOT(ISNUMBER(F23)),M23=""),"Registration info missing",IF(AND(M23="Observed",OR(K23="",AND(NOT(ISNUMBER(G23)),J23=""))),"Observation/source missing",IF(AND(ISNUMBER(G23),H23=""),"Value/unit missing",IF(AND(N23&lt;&gt;"",OR(N23=A23,COUNTIFS('Observations'!$A$7:$A$306,N23,'Observations'!$B$7:$B$306,B23,'Observations'!$M$7:$M$306,"Corrected")&lt;&gt;1)),"Correction ref to check","Valid input"))))))))</x:f>
      </x:c>
    </x:row>
    <x:row r="24" ht="25" customHeight="1">
      <x:c r="A24" s="3"/>
      <x:c r="B24" s="3"/>
      <x:c r="C24" s="3"/>
      <x:c r="D24" s="3"/>
      <x:c r="E24" s="25"/>
      <x:c r="F24" s="25"/>
      <x:c r="G24" s="22"/>
      <x:c r="H24" s="3"/>
      <x:c r="I24" s="22"/>
      <x:c r="J24" s="3"/>
      <x:c r="K24" s="3"/>
      <x:c r="L24" s="3"/>
      <x:c r="M24" s="3"/>
      <x:c r="N24" s="3"/>
      <x:c r="O24" s="3"/>
      <x:c r="P24" s="19" t="str">
        <x:f>IF(A24="","",IF(COUNTIFS('Observations'!$A$7:$A$306,A24)&lt;&gt;1,"Duplicate ID",IF(COUNTIFS('Cases overview'!$A$7:$A$306,B24)&lt;&gt;1,"Invalid case ref",IF(AND(C24&lt;&gt;"",COUNTIFS('Plan versions'!$A$7:$A$306,C24,'Plan versions'!$B$7:$B$306,B24,'Plan versions'!$L$7:$L$306,"Frozen")&lt;&gt;1),"Invalid plan ref",IF(OR(NOT(ISNUMBER(F24)),M24=""),"Registration info missing",IF(AND(M24="Observed",OR(K24="",AND(NOT(ISNUMBER(G24)),J24=""))),"Observation/source missing",IF(AND(ISNUMBER(G24),H24=""),"Value/unit missing",IF(AND(N24&lt;&gt;"",OR(N24=A24,COUNTIFS('Observations'!$A$7:$A$306,N24,'Observations'!$B$7:$B$306,B24,'Observations'!$M$7:$M$306,"Corrected")&lt;&gt;1)),"Correction ref to check","Valid input"))))))))</x:f>
      </x:c>
    </x:row>
    <x:row r="25" ht="25" customHeight="1">
      <x:c r="A25" s="3"/>
      <x:c r="B25" s="3"/>
      <x:c r="C25" s="3"/>
      <x:c r="D25" s="3"/>
      <x:c r="E25" s="25"/>
      <x:c r="F25" s="25"/>
      <x:c r="G25" s="22"/>
      <x:c r="H25" s="3"/>
      <x:c r="I25" s="22"/>
      <x:c r="J25" s="3"/>
      <x:c r="K25" s="3"/>
      <x:c r="L25" s="3"/>
      <x:c r="M25" s="3"/>
      <x:c r="N25" s="3"/>
      <x:c r="O25" s="3"/>
      <x:c r="P25" s="19" t="str">
        <x:f>IF(A25="","",IF(COUNTIFS('Observations'!$A$7:$A$306,A25)&lt;&gt;1,"Duplicate ID",IF(COUNTIFS('Cases overview'!$A$7:$A$306,B25)&lt;&gt;1,"Invalid case ref",IF(AND(C25&lt;&gt;"",COUNTIFS('Plan versions'!$A$7:$A$306,C25,'Plan versions'!$B$7:$B$306,B25,'Plan versions'!$L$7:$L$306,"Frozen")&lt;&gt;1),"Invalid plan ref",IF(OR(NOT(ISNUMBER(F25)),M25=""),"Registration info missing",IF(AND(M25="Observed",OR(K25="",AND(NOT(ISNUMBER(G25)),J25=""))),"Observation/source missing",IF(AND(ISNUMBER(G25),H25=""),"Value/unit missing",IF(AND(N25&lt;&gt;"",OR(N25=A25,COUNTIFS('Observations'!$A$7:$A$306,N25,'Observations'!$B$7:$B$306,B25,'Observations'!$M$7:$M$306,"Corrected")&lt;&gt;1)),"Correction ref to check","Valid input"))))))))</x:f>
      </x:c>
    </x:row>
    <x:row r="26" ht="25" customHeight="1">
      <x:c r="A26" s="3"/>
      <x:c r="B26" s="3"/>
      <x:c r="C26" s="3"/>
      <x:c r="D26" s="3"/>
      <x:c r="E26" s="25"/>
      <x:c r="F26" s="25"/>
      <x:c r="G26" s="22"/>
      <x:c r="H26" s="3"/>
      <x:c r="I26" s="22"/>
      <x:c r="J26" s="3"/>
      <x:c r="K26" s="3"/>
      <x:c r="L26" s="3"/>
      <x:c r="M26" s="3"/>
      <x:c r="N26" s="3"/>
      <x:c r="O26" s="3"/>
      <x:c r="P26" s="19" t="str">
        <x:f>IF(A26="","",IF(COUNTIFS('Observations'!$A$7:$A$306,A26)&lt;&gt;1,"Duplicate ID",IF(COUNTIFS('Cases overview'!$A$7:$A$306,B26)&lt;&gt;1,"Invalid case ref",IF(AND(C26&lt;&gt;"",COUNTIFS('Plan versions'!$A$7:$A$306,C26,'Plan versions'!$B$7:$B$306,B26,'Plan versions'!$L$7:$L$306,"Frozen")&lt;&gt;1),"Invalid plan ref",IF(OR(NOT(ISNUMBER(F26)),M26=""),"Registration info missing",IF(AND(M26="Observed",OR(K26="",AND(NOT(ISNUMBER(G26)),J26=""))),"Observation/source missing",IF(AND(ISNUMBER(G26),H26=""),"Value/unit missing",IF(AND(N26&lt;&gt;"",OR(N26=A26,COUNTIFS('Observations'!$A$7:$A$306,N26,'Observations'!$B$7:$B$306,B26,'Observations'!$M$7:$M$306,"Corrected")&lt;&gt;1)),"Correction ref to check","Valid input"))))))))</x:f>
      </x:c>
    </x:row>
    <x:row r="27" ht="25" customHeight="1">
      <x:c r="A27" s="3"/>
      <x:c r="B27" s="3"/>
      <x:c r="C27" s="3"/>
      <x:c r="D27" s="3"/>
      <x:c r="E27" s="25"/>
      <x:c r="F27" s="25"/>
      <x:c r="G27" s="22"/>
      <x:c r="H27" s="3"/>
      <x:c r="I27" s="22"/>
      <x:c r="J27" s="3"/>
      <x:c r="K27" s="3"/>
      <x:c r="L27" s="3"/>
      <x:c r="M27" s="3"/>
      <x:c r="N27" s="3"/>
      <x:c r="O27" s="3"/>
      <x:c r="P27" s="19" t="str">
        <x:f>IF(A27="","",IF(COUNTIFS('Observations'!$A$7:$A$306,A27)&lt;&gt;1,"Duplicate ID",IF(COUNTIFS('Cases overview'!$A$7:$A$306,B27)&lt;&gt;1,"Invalid case ref",IF(AND(C27&lt;&gt;"",COUNTIFS('Plan versions'!$A$7:$A$306,C27,'Plan versions'!$B$7:$B$306,B27,'Plan versions'!$L$7:$L$306,"Frozen")&lt;&gt;1),"Invalid plan ref",IF(OR(NOT(ISNUMBER(F27)),M27=""),"Registration info missing",IF(AND(M27="Observed",OR(K27="",AND(NOT(ISNUMBER(G27)),J27=""))),"Observation/source missing",IF(AND(ISNUMBER(G27),H27=""),"Value/unit missing",IF(AND(N27&lt;&gt;"",OR(N27=A27,COUNTIFS('Observations'!$A$7:$A$306,N27,'Observations'!$B$7:$B$306,B27,'Observations'!$M$7:$M$306,"Corrected")&lt;&gt;1)),"Correction ref to check","Valid input"))))))))</x:f>
      </x:c>
    </x:row>
    <x:row r="28" ht="25" customHeight="1">
      <x:c r="A28" s="3"/>
      <x:c r="B28" s="3"/>
      <x:c r="C28" s="3"/>
      <x:c r="D28" s="3"/>
      <x:c r="E28" s="25"/>
      <x:c r="F28" s="25"/>
      <x:c r="G28" s="22"/>
      <x:c r="H28" s="3"/>
      <x:c r="I28" s="22"/>
      <x:c r="J28" s="3"/>
      <x:c r="K28" s="3"/>
      <x:c r="L28" s="3"/>
      <x:c r="M28" s="3"/>
      <x:c r="N28" s="3"/>
      <x:c r="O28" s="3"/>
      <x:c r="P28" s="19" t="str">
        <x:f>IF(A28="","",IF(COUNTIFS('Observations'!$A$7:$A$306,A28)&lt;&gt;1,"Duplicate ID",IF(COUNTIFS('Cases overview'!$A$7:$A$306,B28)&lt;&gt;1,"Invalid case ref",IF(AND(C28&lt;&gt;"",COUNTIFS('Plan versions'!$A$7:$A$306,C28,'Plan versions'!$B$7:$B$306,B28,'Plan versions'!$L$7:$L$306,"Frozen")&lt;&gt;1),"Invalid plan ref",IF(OR(NOT(ISNUMBER(F28)),M28=""),"Registration info missing",IF(AND(M28="Observed",OR(K28="",AND(NOT(ISNUMBER(G28)),J28=""))),"Observation/source missing",IF(AND(ISNUMBER(G28),H28=""),"Value/unit missing",IF(AND(N28&lt;&gt;"",OR(N28=A28,COUNTIFS('Observations'!$A$7:$A$306,N28,'Observations'!$B$7:$B$306,B28,'Observations'!$M$7:$M$306,"Corrected")&lt;&gt;1)),"Correction ref to check","Valid input"))))))))</x:f>
      </x:c>
    </x:row>
    <x:row r="29" ht="25" customHeight="1">
      <x:c r="A29" s="3"/>
      <x:c r="B29" s="3"/>
      <x:c r="C29" s="3"/>
      <x:c r="D29" s="3"/>
      <x:c r="E29" s="25"/>
      <x:c r="F29" s="25"/>
      <x:c r="G29" s="22"/>
      <x:c r="H29" s="3"/>
      <x:c r="I29" s="22"/>
      <x:c r="J29" s="3"/>
      <x:c r="K29" s="3"/>
      <x:c r="L29" s="3"/>
      <x:c r="M29" s="3"/>
      <x:c r="N29" s="3"/>
      <x:c r="O29" s="3"/>
      <x:c r="P29" s="19" t="str">
        <x:f>IF(A29="","",IF(COUNTIFS('Observations'!$A$7:$A$306,A29)&lt;&gt;1,"Duplicate ID",IF(COUNTIFS('Cases overview'!$A$7:$A$306,B29)&lt;&gt;1,"Invalid case ref",IF(AND(C29&lt;&gt;"",COUNTIFS('Plan versions'!$A$7:$A$306,C29,'Plan versions'!$B$7:$B$306,B29,'Plan versions'!$L$7:$L$306,"Frozen")&lt;&gt;1),"Invalid plan ref",IF(OR(NOT(ISNUMBER(F29)),M29=""),"Registration info missing",IF(AND(M29="Observed",OR(K29="",AND(NOT(ISNUMBER(G29)),J29=""))),"Observation/source missing",IF(AND(ISNUMBER(G29),H29=""),"Value/unit missing",IF(AND(N29&lt;&gt;"",OR(N29=A29,COUNTIFS('Observations'!$A$7:$A$306,N29,'Observations'!$B$7:$B$306,B29,'Observations'!$M$7:$M$306,"Corrected")&lt;&gt;1)),"Correction ref to check","Valid input"))))))))</x:f>
      </x:c>
    </x:row>
    <x:row r="30" ht="25" customHeight="1">
      <x:c r="A30" s="3"/>
      <x:c r="B30" s="3"/>
      <x:c r="C30" s="3"/>
      <x:c r="D30" s="3"/>
      <x:c r="E30" s="25"/>
      <x:c r="F30" s="25"/>
      <x:c r="G30" s="22"/>
      <x:c r="H30" s="3"/>
      <x:c r="I30" s="22"/>
      <x:c r="J30" s="3"/>
      <x:c r="K30" s="3"/>
      <x:c r="L30" s="3"/>
      <x:c r="M30" s="3"/>
      <x:c r="N30" s="3"/>
      <x:c r="O30" s="3"/>
      <x:c r="P30" s="19" t="str">
        <x:f>IF(A30="","",IF(COUNTIFS('Observations'!$A$7:$A$306,A30)&lt;&gt;1,"Duplicate ID",IF(COUNTIFS('Cases overview'!$A$7:$A$306,B30)&lt;&gt;1,"Invalid case ref",IF(AND(C30&lt;&gt;"",COUNTIFS('Plan versions'!$A$7:$A$306,C30,'Plan versions'!$B$7:$B$306,B30,'Plan versions'!$L$7:$L$306,"Frozen")&lt;&gt;1),"Invalid plan ref",IF(OR(NOT(ISNUMBER(F30)),M30=""),"Registration info missing",IF(AND(M30="Observed",OR(K30="",AND(NOT(ISNUMBER(G30)),J30=""))),"Observation/source missing",IF(AND(ISNUMBER(G30),H30=""),"Value/unit missing",IF(AND(N30&lt;&gt;"",OR(N30=A30,COUNTIFS('Observations'!$A$7:$A$306,N30,'Observations'!$B$7:$B$306,B30,'Observations'!$M$7:$M$306,"Corrected")&lt;&gt;1)),"Correction ref to check","Valid input"))))))))</x:f>
      </x:c>
    </x:row>
    <x:row r="31" ht="25" customHeight="1">
      <x:c r="A31" s="3"/>
      <x:c r="B31" s="3"/>
      <x:c r="C31" s="3"/>
      <x:c r="D31" s="3"/>
      <x:c r="E31" s="25"/>
      <x:c r="F31" s="25"/>
      <x:c r="G31" s="22"/>
      <x:c r="H31" s="3"/>
      <x:c r="I31" s="22"/>
      <x:c r="J31" s="3"/>
      <x:c r="K31" s="3"/>
      <x:c r="L31" s="3"/>
      <x:c r="M31" s="3"/>
      <x:c r="N31" s="3"/>
      <x:c r="O31" s="3"/>
      <x:c r="P31" s="19" t="str">
        <x:f>IF(A31="","",IF(COUNTIFS('Observations'!$A$7:$A$306,A31)&lt;&gt;1,"Duplicate ID",IF(COUNTIFS('Cases overview'!$A$7:$A$306,B31)&lt;&gt;1,"Invalid case ref",IF(AND(C31&lt;&gt;"",COUNTIFS('Plan versions'!$A$7:$A$306,C31,'Plan versions'!$B$7:$B$306,B31,'Plan versions'!$L$7:$L$306,"Frozen")&lt;&gt;1),"Invalid plan ref",IF(OR(NOT(ISNUMBER(F31)),M31=""),"Registration info missing",IF(AND(M31="Observed",OR(K31="",AND(NOT(ISNUMBER(G31)),J31=""))),"Observation/source missing",IF(AND(ISNUMBER(G31),H31=""),"Value/unit missing",IF(AND(N31&lt;&gt;"",OR(N31=A31,COUNTIFS('Observations'!$A$7:$A$306,N31,'Observations'!$B$7:$B$306,B31,'Observations'!$M$7:$M$306,"Corrected")&lt;&gt;1)),"Correction ref to check","Valid input"))))))))</x:f>
      </x:c>
    </x:row>
    <x:row r="32" ht="25" customHeight="1">
      <x:c r="A32" s="3"/>
      <x:c r="B32" s="3"/>
      <x:c r="C32" s="3"/>
      <x:c r="D32" s="3"/>
      <x:c r="E32" s="25"/>
      <x:c r="F32" s="25"/>
      <x:c r="G32" s="22"/>
      <x:c r="H32" s="3"/>
      <x:c r="I32" s="22"/>
      <x:c r="J32" s="3"/>
      <x:c r="K32" s="3"/>
      <x:c r="L32" s="3"/>
      <x:c r="M32" s="3"/>
      <x:c r="N32" s="3"/>
      <x:c r="O32" s="3"/>
      <x:c r="P32" s="19" t="str">
        <x:f>IF(A32="","",IF(COUNTIFS('Observations'!$A$7:$A$306,A32)&lt;&gt;1,"Duplicate ID",IF(COUNTIFS('Cases overview'!$A$7:$A$306,B32)&lt;&gt;1,"Invalid case ref",IF(AND(C32&lt;&gt;"",COUNTIFS('Plan versions'!$A$7:$A$306,C32,'Plan versions'!$B$7:$B$306,B32,'Plan versions'!$L$7:$L$306,"Frozen")&lt;&gt;1),"Invalid plan ref",IF(OR(NOT(ISNUMBER(F32)),M32=""),"Registration info missing",IF(AND(M32="Observed",OR(K32="",AND(NOT(ISNUMBER(G32)),J32=""))),"Observation/source missing",IF(AND(ISNUMBER(G32),H32=""),"Value/unit missing",IF(AND(N32&lt;&gt;"",OR(N32=A32,COUNTIFS('Observations'!$A$7:$A$306,N32,'Observations'!$B$7:$B$306,B32,'Observations'!$M$7:$M$306,"Corrected")&lt;&gt;1)),"Correction ref to check","Valid input"))))))))</x:f>
      </x:c>
    </x:row>
    <x:row r="33" ht="25" customHeight="1">
      <x:c r="A33" s="3"/>
      <x:c r="B33" s="3"/>
      <x:c r="C33" s="3"/>
      <x:c r="D33" s="3"/>
      <x:c r="E33" s="25"/>
      <x:c r="F33" s="25"/>
      <x:c r="G33" s="22"/>
      <x:c r="H33" s="3"/>
      <x:c r="I33" s="22"/>
      <x:c r="J33" s="3"/>
      <x:c r="K33" s="3"/>
      <x:c r="L33" s="3"/>
      <x:c r="M33" s="3"/>
      <x:c r="N33" s="3"/>
      <x:c r="O33" s="3"/>
      <x:c r="P33" s="19" t="str">
        <x:f>IF(A33="","",IF(COUNTIFS('Observations'!$A$7:$A$306,A33)&lt;&gt;1,"Duplicate ID",IF(COUNTIFS('Cases overview'!$A$7:$A$306,B33)&lt;&gt;1,"Invalid case ref",IF(AND(C33&lt;&gt;"",COUNTIFS('Plan versions'!$A$7:$A$306,C33,'Plan versions'!$B$7:$B$306,B33,'Plan versions'!$L$7:$L$306,"Frozen")&lt;&gt;1),"Invalid plan ref",IF(OR(NOT(ISNUMBER(F33)),M33=""),"Registration info missing",IF(AND(M33="Observed",OR(K33="",AND(NOT(ISNUMBER(G33)),J33=""))),"Observation/source missing",IF(AND(ISNUMBER(G33),H33=""),"Value/unit missing",IF(AND(N33&lt;&gt;"",OR(N33=A33,COUNTIFS('Observations'!$A$7:$A$306,N33,'Observations'!$B$7:$B$306,B33,'Observations'!$M$7:$M$306,"Corrected")&lt;&gt;1)),"Correction ref to check","Valid input"))))))))</x:f>
      </x:c>
    </x:row>
    <x:row r="34" ht="25" customHeight="1">
      <x:c r="A34" s="3"/>
      <x:c r="B34" s="3"/>
      <x:c r="C34" s="3"/>
      <x:c r="D34" s="3"/>
      <x:c r="E34" s="25"/>
      <x:c r="F34" s="25"/>
      <x:c r="G34" s="22"/>
      <x:c r="H34" s="3"/>
      <x:c r="I34" s="22"/>
      <x:c r="J34" s="3"/>
      <x:c r="K34" s="3"/>
      <x:c r="L34" s="3"/>
      <x:c r="M34" s="3"/>
      <x:c r="N34" s="3"/>
      <x:c r="O34" s="3"/>
      <x:c r="P34" s="19" t="str">
        <x:f>IF(A34="","",IF(COUNTIFS('Observations'!$A$7:$A$306,A34)&lt;&gt;1,"Duplicate ID",IF(COUNTIFS('Cases overview'!$A$7:$A$306,B34)&lt;&gt;1,"Invalid case ref",IF(AND(C34&lt;&gt;"",COUNTIFS('Plan versions'!$A$7:$A$306,C34,'Plan versions'!$B$7:$B$306,B34,'Plan versions'!$L$7:$L$306,"Frozen")&lt;&gt;1),"Invalid plan ref",IF(OR(NOT(ISNUMBER(F34)),M34=""),"Registration info missing",IF(AND(M34="Observed",OR(K34="",AND(NOT(ISNUMBER(G34)),J34=""))),"Observation/source missing",IF(AND(ISNUMBER(G34),H34=""),"Value/unit missing",IF(AND(N34&lt;&gt;"",OR(N34=A34,COUNTIFS('Observations'!$A$7:$A$306,N34,'Observations'!$B$7:$B$306,B34,'Observations'!$M$7:$M$306,"Corrected")&lt;&gt;1)),"Correction ref to check","Valid input"))))))))</x:f>
      </x:c>
    </x:row>
    <x:row r="35" ht="25" customHeight="1">
      <x:c r="A35" s="3"/>
      <x:c r="B35" s="3"/>
      <x:c r="C35" s="3"/>
      <x:c r="D35" s="3"/>
      <x:c r="E35" s="25"/>
      <x:c r="F35" s="25"/>
      <x:c r="G35" s="22"/>
      <x:c r="H35" s="3"/>
      <x:c r="I35" s="22"/>
      <x:c r="J35" s="3"/>
      <x:c r="K35" s="3"/>
      <x:c r="L35" s="3"/>
      <x:c r="M35" s="3"/>
      <x:c r="N35" s="3"/>
      <x:c r="O35" s="3"/>
      <x:c r="P35" s="19" t="str">
        <x:f>IF(A35="","",IF(COUNTIFS('Observations'!$A$7:$A$306,A35)&lt;&gt;1,"Duplicate ID",IF(COUNTIFS('Cases overview'!$A$7:$A$306,B35)&lt;&gt;1,"Invalid case ref",IF(AND(C35&lt;&gt;"",COUNTIFS('Plan versions'!$A$7:$A$306,C35,'Plan versions'!$B$7:$B$306,B35,'Plan versions'!$L$7:$L$306,"Frozen")&lt;&gt;1),"Invalid plan ref",IF(OR(NOT(ISNUMBER(F35)),M35=""),"Registration info missing",IF(AND(M35="Observed",OR(K35="",AND(NOT(ISNUMBER(G35)),J35=""))),"Observation/source missing",IF(AND(ISNUMBER(G35),H35=""),"Value/unit missing",IF(AND(N35&lt;&gt;"",OR(N35=A35,COUNTIFS('Observations'!$A$7:$A$306,N35,'Observations'!$B$7:$B$306,B35,'Observations'!$M$7:$M$306,"Corrected")&lt;&gt;1)),"Correction ref to check","Valid input"))))))))</x:f>
      </x:c>
    </x:row>
    <x:row r="36" ht="25" customHeight="1">
      <x:c r="A36" s="3"/>
      <x:c r="B36" s="3"/>
      <x:c r="C36" s="3"/>
      <x:c r="D36" s="3"/>
      <x:c r="E36" s="25"/>
      <x:c r="F36" s="25"/>
      <x:c r="G36" s="22"/>
      <x:c r="H36" s="3"/>
      <x:c r="I36" s="22"/>
      <x:c r="J36" s="3"/>
      <x:c r="K36" s="3"/>
      <x:c r="L36" s="3"/>
      <x:c r="M36" s="3"/>
      <x:c r="N36" s="3"/>
      <x:c r="O36" s="3"/>
      <x:c r="P36" s="19" t="str">
        <x:f>IF(A36="","",IF(COUNTIFS('Observations'!$A$7:$A$306,A36)&lt;&gt;1,"Duplicate ID",IF(COUNTIFS('Cases overview'!$A$7:$A$306,B36)&lt;&gt;1,"Invalid case ref",IF(AND(C36&lt;&gt;"",COUNTIFS('Plan versions'!$A$7:$A$306,C36,'Plan versions'!$B$7:$B$306,B36,'Plan versions'!$L$7:$L$306,"Frozen")&lt;&gt;1),"Invalid plan ref",IF(OR(NOT(ISNUMBER(F36)),M36=""),"Registration info missing",IF(AND(M36="Observed",OR(K36="",AND(NOT(ISNUMBER(G36)),J36=""))),"Observation/source missing",IF(AND(ISNUMBER(G36),H36=""),"Value/unit missing",IF(AND(N36&lt;&gt;"",OR(N36=A36,COUNTIFS('Observations'!$A$7:$A$306,N36,'Observations'!$B$7:$B$306,B36,'Observations'!$M$7:$M$306,"Corrected")&lt;&gt;1)),"Correction ref to check","Valid input"))))))))</x:f>
      </x:c>
    </x:row>
    <x:row r="37" ht="25" customHeight="1">
      <x:c r="A37" s="3"/>
      <x:c r="B37" s="3"/>
      <x:c r="C37" s="3"/>
      <x:c r="D37" s="3"/>
      <x:c r="E37" s="25"/>
      <x:c r="F37" s="25"/>
      <x:c r="G37" s="22"/>
      <x:c r="H37" s="3"/>
      <x:c r="I37" s="22"/>
      <x:c r="J37" s="3"/>
      <x:c r="K37" s="3"/>
      <x:c r="L37" s="3"/>
      <x:c r="M37" s="3"/>
      <x:c r="N37" s="3"/>
      <x:c r="O37" s="3"/>
      <x:c r="P37" s="19" t="str">
        <x:f>IF(A37="","",IF(COUNTIFS('Observations'!$A$7:$A$306,A37)&lt;&gt;1,"Duplicate ID",IF(COUNTIFS('Cases overview'!$A$7:$A$306,B37)&lt;&gt;1,"Invalid case ref",IF(AND(C37&lt;&gt;"",COUNTIFS('Plan versions'!$A$7:$A$306,C37,'Plan versions'!$B$7:$B$306,B37,'Plan versions'!$L$7:$L$306,"Frozen")&lt;&gt;1),"Invalid plan ref",IF(OR(NOT(ISNUMBER(F37)),M37=""),"Registration info missing",IF(AND(M37="Observed",OR(K37="",AND(NOT(ISNUMBER(G37)),J37=""))),"Observation/source missing",IF(AND(ISNUMBER(G37),H37=""),"Value/unit missing",IF(AND(N37&lt;&gt;"",OR(N37=A37,COUNTIFS('Observations'!$A$7:$A$306,N37,'Observations'!$B$7:$B$306,B37,'Observations'!$M$7:$M$306,"Corrected")&lt;&gt;1)),"Correction ref to check","Valid input"))))))))</x:f>
      </x:c>
    </x:row>
    <x:row r="38" ht="25" customHeight="1">
      <x:c r="A38" s="3"/>
      <x:c r="B38" s="3"/>
      <x:c r="C38" s="3"/>
      <x:c r="D38" s="3"/>
      <x:c r="E38" s="25"/>
      <x:c r="F38" s="25"/>
      <x:c r="G38" s="22"/>
      <x:c r="H38" s="3"/>
      <x:c r="I38" s="22"/>
      <x:c r="J38" s="3"/>
      <x:c r="K38" s="3"/>
      <x:c r="L38" s="3"/>
      <x:c r="M38" s="3"/>
      <x:c r="N38" s="3"/>
      <x:c r="O38" s="3"/>
      <x:c r="P38" s="19" t="str">
        <x:f>IF(A38="","",IF(COUNTIFS('Observations'!$A$7:$A$306,A38)&lt;&gt;1,"Duplicate ID",IF(COUNTIFS('Cases overview'!$A$7:$A$306,B38)&lt;&gt;1,"Invalid case ref",IF(AND(C38&lt;&gt;"",COUNTIFS('Plan versions'!$A$7:$A$306,C38,'Plan versions'!$B$7:$B$306,B38,'Plan versions'!$L$7:$L$306,"Frozen")&lt;&gt;1),"Invalid plan ref",IF(OR(NOT(ISNUMBER(F38)),M38=""),"Registration info missing",IF(AND(M38="Observed",OR(K38="",AND(NOT(ISNUMBER(G38)),J38=""))),"Observation/source missing",IF(AND(ISNUMBER(G38),H38=""),"Value/unit missing",IF(AND(N38&lt;&gt;"",OR(N38=A38,COUNTIFS('Observations'!$A$7:$A$306,N38,'Observations'!$B$7:$B$306,B38,'Observations'!$M$7:$M$306,"Corrected")&lt;&gt;1)),"Correction ref to check","Valid input"))))))))</x:f>
      </x:c>
    </x:row>
    <x:row r="39" ht="25" customHeight="1">
      <x:c r="A39" s="3"/>
      <x:c r="B39" s="3"/>
      <x:c r="C39" s="3"/>
      <x:c r="D39" s="3"/>
      <x:c r="E39" s="25"/>
      <x:c r="F39" s="25"/>
      <x:c r="G39" s="22"/>
      <x:c r="H39" s="3"/>
      <x:c r="I39" s="22"/>
      <x:c r="J39" s="3"/>
      <x:c r="K39" s="3"/>
      <x:c r="L39" s="3"/>
      <x:c r="M39" s="3"/>
      <x:c r="N39" s="3"/>
      <x:c r="O39" s="3"/>
      <x:c r="P39" s="19" t="str">
        <x:f>IF(A39="","",IF(COUNTIFS('Observations'!$A$7:$A$306,A39)&lt;&gt;1,"Duplicate ID",IF(COUNTIFS('Cases overview'!$A$7:$A$306,B39)&lt;&gt;1,"Invalid case ref",IF(AND(C39&lt;&gt;"",COUNTIFS('Plan versions'!$A$7:$A$306,C39,'Plan versions'!$B$7:$B$306,B39,'Plan versions'!$L$7:$L$306,"Frozen")&lt;&gt;1),"Invalid plan ref",IF(OR(NOT(ISNUMBER(F39)),M39=""),"Registration info missing",IF(AND(M39="Observed",OR(K39="",AND(NOT(ISNUMBER(G39)),J39=""))),"Observation/source missing",IF(AND(ISNUMBER(G39),H39=""),"Value/unit missing",IF(AND(N39&lt;&gt;"",OR(N39=A39,COUNTIFS('Observations'!$A$7:$A$306,N39,'Observations'!$B$7:$B$306,B39,'Observations'!$M$7:$M$306,"Corrected")&lt;&gt;1)),"Correction ref to check","Valid input"))))))))</x:f>
      </x:c>
    </x:row>
    <x:row r="40" ht="25" customHeight="1">
      <x:c r="A40" s="3"/>
      <x:c r="B40" s="3"/>
      <x:c r="C40" s="3"/>
      <x:c r="D40" s="3"/>
      <x:c r="E40" s="25"/>
      <x:c r="F40" s="25"/>
      <x:c r="G40" s="22"/>
      <x:c r="H40" s="3"/>
      <x:c r="I40" s="22"/>
      <x:c r="J40" s="3"/>
      <x:c r="K40" s="3"/>
      <x:c r="L40" s="3"/>
      <x:c r="M40" s="3"/>
      <x:c r="N40" s="3"/>
      <x:c r="O40" s="3"/>
      <x:c r="P40" s="19" t="str">
        <x:f>IF(A40="","",IF(COUNTIFS('Observations'!$A$7:$A$306,A40)&lt;&gt;1,"Duplicate ID",IF(COUNTIFS('Cases overview'!$A$7:$A$306,B40)&lt;&gt;1,"Invalid case ref",IF(AND(C40&lt;&gt;"",COUNTIFS('Plan versions'!$A$7:$A$306,C40,'Plan versions'!$B$7:$B$306,B40,'Plan versions'!$L$7:$L$306,"Frozen")&lt;&gt;1),"Invalid plan ref",IF(OR(NOT(ISNUMBER(F40)),M40=""),"Registration info missing",IF(AND(M40="Observed",OR(K40="",AND(NOT(ISNUMBER(G40)),J40=""))),"Observation/source missing",IF(AND(ISNUMBER(G40),H40=""),"Value/unit missing",IF(AND(N40&lt;&gt;"",OR(N40=A40,COUNTIFS('Observations'!$A$7:$A$306,N40,'Observations'!$B$7:$B$306,B40,'Observations'!$M$7:$M$306,"Corrected")&lt;&gt;1)),"Correction ref to check","Valid input"))))))))</x:f>
      </x:c>
    </x:row>
    <x:row r="41" ht="25" customHeight="1">
      <x:c r="A41" s="3"/>
      <x:c r="B41" s="3"/>
      <x:c r="C41" s="3"/>
      <x:c r="D41" s="3"/>
      <x:c r="E41" s="25"/>
      <x:c r="F41" s="25"/>
      <x:c r="G41" s="22"/>
      <x:c r="H41" s="3"/>
      <x:c r="I41" s="22"/>
      <x:c r="J41" s="3"/>
      <x:c r="K41" s="3"/>
      <x:c r="L41" s="3"/>
      <x:c r="M41" s="3"/>
      <x:c r="N41" s="3"/>
      <x:c r="O41" s="3"/>
      <x:c r="P41" s="19" t="str">
        <x:f>IF(A41="","",IF(COUNTIFS('Observations'!$A$7:$A$306,A41)&lt;&gt;1,"Duplicate ID",IF(COUNTIFS('Cases overview'!$A$7:$A$306,B41)&lt;&gt;1,"Invalid case ref",IF(AND(C41&lt;&gt;"",COUNTIFS('Plan versions'!$A$7:$A$306,C41,'Plan versions'!$B$7:$B$306,B41,'Plan versions'!$L$7:$L$306,"Frozen")&lt;&gt;1),"Invalid plan ref",IF(OR(NOT(ISNUMBER(F41)),M41=""),"Registration info missing",IF(AND(M41="Observed",OR(K41="",AND(NOT(ISNUMBER(G41)),J41=""))),"Observation/source missing",IF(AND(ISNUMBER(G41),H41=""),"Value/unit missing",IF(AND(N41&lt;&gt;"",OR(N41=A41,COUNTIFS('Observations'!$A$7:$A$306,N41,'Observations'!$B$7:$B$306,B41,'Observations'!$M$7:$M$306,"Corrected")&lt;&gt;1)),"Correction ref to check","Valid input"))))))))</x:f>
      </x:c>
    </x:row>
    <x:row r="42" ht="25" customHeight="1">
      <x:c r="A42" s="3"/>
      <x:c r="B42" s="3"/>
      <x:c r="C42" s="3"/>
      <x:c r="D42" s="3"/>
      <x:c r="E42" s="25"/>
      <x:c r="F42" s="25"/>
      <x:c r="G42" s="22"/>
      <x:c r="H42" s="3"/>
      <x:c r="I42" s="22"/>
      <x:c r="J42" s="3"/>
      <x:c r="K42" s="3"/>
      <x:c r="L42" s="3"/>
      <x:c r="M42" s="3"/>
      <x:c r="N42" s="3"/>
      <x:c r="O42" s="3"/>
      <x:c r="P42" s="19" t="str">
        <x:f>IF(A42="","",IF(COUNTIFS('Observations'!$A$7:$A$306,A42)&lt;&gt;1,"Duplicate ID",IF(COUNTIFS('Cases overview'!$A$7:$A$306,B42)&lt;&gt;1,"Invalid case ref",IF(AND(C42&lt;&gt;"",COUNTIFS('Plan versions'!$A$7:$A$306,C42,'Plan versions'!$B$7:$B$306,B42,'Plan versions'!$L$7:$L$306,"Frozen")&lt;&gt;1),"Invalid plan ref",IF(OR(NOT(ISNUMBER(F42)),M42=""),"Registration info missing",IF(AND(M42="Observed",OR(K42="",AND(NOT(ISNUMBER(G42)),J42=""))),"Observation/source missing",IF(AND(ISNUMBER(G42),H42=""),"Value/unit missing",IF(AND(N42&lt;&gt;"",OR(N42=A42,COUNTIFS('Observations'!$A$7:$A$306,N42,'Observations'!$B$7:$B$306,B42,'Observations'!$M$7:$M$306,"Corrected")&lt;&gt;1)),"Correction ref to check","Valid input"))))))))</x:f>
      </x:c>
    </x:row>
    <x:row r="43" ht="25" customHeight="1">
      <x:c r="A43" s="3"/>
      <x:c r="B43" s="3"/>
      <x:c r="C43" s="3"/>
      <x:c r="D43" s="3"/>
      <x:c r="E43" s="25"/>
      <x:c r="F43" s="25"/>
      <x:c r="G43" s="22"/>
      <x:c r="H43" s="3"/>
      <x:c r="I43" s="22"/>
      <x:c r="J43" s="3"/>
      <x:c r="K43" s="3"/>
      <x:c r="L43" s="3"/>
      <x:c r="M43" s="3"/>
      <x:c r="N43" s="3"/>
      <x:c r="O43" s="3"/>
      <x:c r="P43" s="19" t="str">
        <x:f>IF(A43="","",IF(COUNTIFS('Observations'!$A$7:$A$306,A43)&lt;&gt;1,"Duplicate ID",IF(COUNTIFS('Cases overview'!$A$7:$A$306,B43)&lt;&gt;1,"Invalid case ref",IF(AND(C43&lt;&gt;"",COUNTIFS('Plan versions'!$A$7:$A$306,C43,'Plan versions'!$B$7:$B$306,B43,'Plan versions'!$L$7:$L$306,"Frozen")&lt;&gt;1),"Invalid plan ref",IF(OR(NOT(ISNUMBER(F43)),M43=""),"Registration info missing",IF(AND(M43="Observed",OR(K43="",AND(NOT(ISNUMBER(G43)),J43=""))),"Observation/source missing",IF(AND(ISNUMBER(G43),H43=""),"Value/unit missing",IF(AND(N43&lt;&gt;"",OR(N43=A43,COUNTIFS('Observations'!$A$7:$A$306,N43,'Observations'!$B$7:$B$306,B43,'Observations'!$M$7:$M$306,"Corrected")&lt;&gt;1)),"Correction ref to check","Valid input"))))))))</x:f>
      </x:c>
    </x:row>
    <x:row r="44" ht="25" customHeight="1">
      <x:c r="A44" s="3"/>
      <x:c r="B44" s="3"/>
      <x:c r="C44" s="3"/>
      <x:c r="D44" s="3"/>
      <x:c r="E44" s="25"/>
      <x:c r="F44" s="25"/>
      <x:c r="G44" s="22"/>
      <x:c r="H44" s="3"/>
      <x:c r="I44" s="22"/>
      <x:c r="J44" s="3"/>
      <x:c r="K44" s="3"/>
      <x:c r="L44" s="3"/>
      <x:c r="M44" s="3"/>
      <x:c r="N44" s="3"/>
      <x:c r="O44" s="3"/>
      <x:c r="P44" s="19" t="str">
        <x:f>IF(A44="","",IF(COUNTIFS('Observations'!$A$7:$A$306,A44)&lt;&gt;1,"Duplicate ID",IF(COUNTIFS('Cases overview'!$A$7:$A$306,B44)&lt;&gt;1,"Invalid case ref",IF(AND(C44&lt;&gt;"",COUNTIFS('Plan versions'!$A$7:$A$306,C44,'Plan versions'!$B$7:$B$306,B44,'Plan versions'!$L$7:$L$306,"Frozen")&lt;&gt;1),"Invalid plan ref",IF(OR(NOT(ISNUMBER(F44)),M44=""),"Registration info missing",IF(AND(M44="Observed",OR(K44="",AND(NOT(ISNUMBER(G44)),J44=""))),"Observation/source missing",IF(AND(ISNUMBER(G44),H44=""),"Value/unit missing",IF(AND(N44&lt;&gt;"",OR(N44=A44,COUNTIFS('Observations'!$A$7:$A$306,N44,'Observations'!$B$7:$B$306,B44,'Observations'!$M$7:$M$306,"Corrected")&lt;&gt;1)),"Correction ref to check","Valid input"))))))))</x:f>
      </x:c>
    </x:row>
    <x:row r="45" ht="25" customHeight="1">
      <x:c r="A45" s="3"/>
      <x:c r="B45" s="3"/>
      <x:c r="C45" s="3"/>
      <x:c r="D45" s="3"/>
      <x:c r="E45" s="25"/>
      <x:c r="F45" s="25"/>
      <x:c r="G45" s="22"/>
      <x:c r="H45" s="3"/>
      <x:c r="I45" s="22"/>
      <x:c r="J45" s="3"/>
      <x:c r="K45" s="3"/>
      <x:c r="L45" s="3"/>
      <x:c r="M45" s="3"/>
      <x:c r="N45" s="3"/>
      <x:c r="O45" s="3"/>
      <x:c r="P45" s="19" t="str">
        <x:f>IF(A45="","",IF(COUNTIFS('Observations'!$A$7:$A$306,A45)&lt;&gt;1,"Duplicate ID",IF(COUNTIFS('Cases overview'!$A$7:$A$306,B45)&lt;&gt;1,"Invalid case ref",IF(AND(C45&lt;&gt;"",COUNTIFS('Plan versions'!$A$7:$A$306,C45,'Plan versions'!$B$7:$B$306,B45,'Plan versions'!$L$7:$L$306,"Frozen")&lt;&gt;1),"Invalid plan ref",IF(OR(NOT(ISNUMBER(F45)),M45=""),"Registration info missing",IF(AND(M45="Observed",OR(K45="",AND(NOT(ISNUMBER(G45)),J45=""))),"Observation/source missing",IF(AND(ISNUMBER(G45),H45=""),"Value/unit missing",IF(AND(N45&lt;&gt;"",OR(N45=A45,COUNTIFS('Observations'!$A$7:$A$306,N45,'Observations'!$B$7:$B$306,B45,'Observations'!$M$7:$M$306,"Corrected")&lt;&gt;1)),"Correction ref to check","Valid input"))))))))</x:f>
      </x:c>
    </x:row>
    <x:row r="46" ht="25" customHeight="1">
      <x:c r="A46" s="3"/>
      <x:c r="B46" s="3"/>
      <x:c r="C46" s="3"/>
      <x:c r="D46" s="3"/>
      <x:c r="E46" s="25"/>
      <x:c r="F46" s="25"/>
      <x:c r="G46" s="22"/>
      <x:c r="H46" s="3"/>
      <x:c r="I46" s="22"/>
      <x:c r="J46" s="3"/>
      <x:c r="K46" s="3"/>
      <x:c r="L46" s="3"/>
      <x:c r="M46" s="3"/>
      <x:c r="N46" s="3"/>
      <x:c r="O46" s="3"/>
      <x:c r="P46" s="19" t="str">
        <x:f>IF(A46="","",IF(COUNTIFS('Observations'!$A$7:$A$306,A46)&lt;&gt;1,"Duplicate ID",IF(COUNTIFS('Cases overview'!$A$7:$A$306,B46)&lt;&gt;1,"Invalid case ref",IF(AND(C46&lt;&gt;"",COUNTIFS('Plan versions'!$A$7:$A$306,C46,'Plan versions'!$B$7:$B$306,B46,'Plan versions'!$L$7:$L$306,"Frozen")&lt;&gt;1),"Invalid plan ref",IF(OR(NOT(ISNUMBER(F46)),M46=""),"Registration info missing",IF(AND(M46="Observed",OR(K46="",AND(NOT(ISNUMBER(G46)),J46=""))),"Observation/source missing",IF(AND(ISNUMBER(G46),H46=""),"Value/unit missing",IF(AND(N46&lt;&gt;"",OR(N46=A46,COUNTIFS('Observations'!$A$7:$A$306,N46,'Observations'!$B$7:$B$306,B46,'Observations'!$M$7:$M$306,"Corrected")&lt;&gt;1)),"Correction ref to check","Valid input"))))))))</x:f>
      </x:c>
    </x:row>
    <x:row r="47" ht="25" customHeight="1">
      <x:c r="A47" s="3"/>
      <x:c r="B47" s="3"/>
      <x:c r="C47" s="3"/>
      <x:c r="D47" s="3"/>
      <x:c r="E47" s="25"/>
      <x:c r="F47" s="25"/>
      <x:c r="G47" s="22"/>
      <x:c r="H47" s="3"/>
      <x:c r="I47" s="22"/>
      <x:c r="J47" s="3"/>
      <x:c r="K47" s="3"/>
      <x:c r="L47" s="3"/>
      <x:c r="M47" s="3"/>
      <x:c r="N47" s="3"/>
      <x:c r="O47" s="3"/>
      <x:c r="P47" s="19" t="str">
        <x:f>IF(A47="","",IF(COUNTIFS('Observations'!$A$7:$A$306,A47)&lt;&gt;1,"Duplicate ID",IF(COUNTIFS('Cases overview'!$A$7:$A$306,B47)&lt;&gt;1,"Invalid case ref",IF(AND(C47&lt;&gt;"",COUNTIFS('Plan versions'!$A$7:$A$306,C47,'Plan versions'!$B$7:$B$306,B47,'Plan versions'!$L$7:$L$306,"Frozen")&lt;&gt;1),"Invalid plan ref",IF(OR(NOT(ISNUMBER(F47)),M47=""),"Registration info missing",IF(AND(M47="Observed",OR(K47="",AND(NOT(ISNUMBER(G47)),J47=""))),"Observation/source missing",IF(AND(ISNUMBER(G47),H47=""),"Value/unit missing",IF(AND(N47&lt;&gt;"",OR(N47=A47,COUNTIFS('Observations'!$A$7:$A$306,N47,'Observations'!$B$7:$B$306,B47,'Observations'!$M$7:$M$306,"Corrected")&lt;&gt;1)),"Correction ref to check","Valid input"))))))))</x:f>
      </x:c>
    </x:row>
    <x:row r="48" ht="25" customHeight="1">
      <x:c r="A48" s="3"/>
      <x:c r="B48" s="3"/>
      <x:c r="C48" s="3"/>
      <x:c r="D48" s="3"/>
      <x:c r="E48" s="25"/>
      <x:c r="F48" s="25"/>
      <x:c r="G48" s="22"/>
      <x:c r="H48" s="3"/>
      <x:c r="I48" s="22"/>
      <x:c r="J48" s="3"/>
      <x:c r="K48" s="3"/>
      <x:c r="L48" s="3"/>
      <x:c r="M48" s="3"/>
      <x:c r="N48" s="3"/>
      <x:c r="O48" s="3"/>
      <x:c r="P48" s="19" t="str">
        <x:f>IF(A48="","",IF(COUNTIFS('Observations'!$A$7:$A$306,A48)&lt;&gt;1,"Duplicate ID",IF(COUNTIFS('Cases overview'!$A$7:$A$306,B48)&lt;&gt;1,"Invalid case ref",IF(AND(C48&lt;&gt;"",COUNTIFS('Plan versions'!$A$7:$A$306,C48,'Plan versions'!$B$7:$B$306,B48,'Plan versions'!$L$7:$L$306,"Frozen")&lt;&gt;1),"Invalid plan ref",IF(OR(NOT(ISNUMBER(F48)),M48=""),"Registration info missing",IF(AND(M48="Observed",OR(K48="",AND(NOT(ISNUMBER(G48)),J48=""))),"Observation/source missing",IF(AND(ISNUMBER(G48),H48=""),"Value/unit missing",IF(AND(N48&lt;&gt;"",OR(N48=A48,COUNTIFS('Observations'!$A$7:$A$306,N48,'Observations'!$B$7:$B$306,B48,'Observations'!$M$7:$M$306,"Corrected")&lt;&gt;1)),"Correction ref to check","Valid input"))))))))</x:f>
      </x:c>
    </x:row>
    <x:row r="49" ht="25" customHeight="1">
      <x:c r="A49" s="3"/>
      <x:c r="B49" s="3"/>
      <x:c r="C49" s="3"/>
      <x:c r="D49" s="3"/>
      <x:c r="E49" s="25"/>
      <x:c r="F49" s="25"/>
      <x:c r="G49" s="22"/>
      <x:c r="H49" s="3"/>
      <x:c r="I49" s="22"/>
      <x:c r="J49" s="3"/>
      <x:c r="K49" s="3"/>
      <x:c r="L49" s="3"/>
      <x:c r="M49" s="3"/>
      <x:c r="N49" s="3"/>
      <x:c r="O49" s="3"/>
      <x:c r="P49" s="19" t="str">
        <x:f>IF(A49="","",IF(COUNTIFS('Observations'!$A$7:$A$306,A49)&lt;&gt;1,"Duplicate ID",IF(COUNTIFS('Cases overview'!$A$7:$A$306,B49)&lt;&gt;1,"Invalid case ref",IF(AND(C49&lt;&gt;"",COUNTIFS('Plan versions'!$A$7:$A$306,C49,'Plan versions'!$B$7:$B$306,B49,'Plan versions'!$L$7:$L$306,"Frozen")&lt;&gt;1),"Invalid plan ref",IF(OR(NOT(ISNUMBER(F49)),M49=""),"Registration info missing",IF(AND(M49="Observed",OR(K49="",AND(NOT(ISNUMBER(G49)),J49=""))),"Observation/source missing",IF(AND(ISNUMBER(G49),H49=""),"Value/unit missing",IF(AND(N49&lt;&gt;"",OR(N49=A49,COUNTIFS('Observations'!$A$7:$A$306,N49,'Observations'!$B$7:$B$306,B49,'Observations'!$M$7:$M$306,"Corrected")&lt;&gt;1)),"Correction ref to check","Valid input"))))))))</x:f>
      </x:c>
    </x:row>
    <x:row r="50" ht="25" customHeight="1">
      <x:c r="A50" s="3"/>
      <x:c r="B50" s="3"/>
      <x:c r="C50" s="3"/>
      <x:c r="D50" s="3"/>
      <x:c r="E50" s="25"/>
      <x:c r="F50" s="25"/>
      <x:c r="G50" s="22"/>
      <x:c r="H50" s="3"/>
      <x:c r="I50" s="22"/>
      <x:c r="J50" s="3"/>
      <x:c r="K50" s="3"/>
      <x:c r="L50" s="3"/>
      <x:c r="M50" s="3"/>
      <x:c r="N50" s="3"/>
      <x:c r="O50" s="3"/>
      <x:c r="P50" s="19" t="str">
        <x:f>IF(A50="","",IF(COUNTIFS('Observations'!$A$7:$A$306,A50)&lt;&gt;1,"Duplicate ID",IF(COUNTIFS('Cases overview'!$A$7:$A$306,B50)&lt;&gt;1,"Invalid case ref",IF(AND(C50&lt;&gt;"",COUNTIFS('Plan versions'!$A$7:$A$306,C50,'Plan versions'!$B$7:$B$306,B50,'Plan versions'!$L$7:$L$306,"Frozen")&lt;&gt;1),"Invalid plan ref",IF(OR(NOT(ISNUMBER(F50)),M50=""),"Registration info missing",IF(AND(M50="Observed",OR(K50="",AND(NOT(ISNUMBER(G50)),J50=""))),"Observation/source missing",IF(AND(ISNUMBER(G50),H50=""),"Value/unit missing",IF(AND(N50&lt;&gt;"",OR(N50=A50,COUNTIFS('Observations'!$A$7:$A$306,N50,'Observations'!$B$7:$B$306,B50,'Observations'!$M$7:$M$306,"Corrected")&lt;&gt;1)),"Correction ref to check","Valid input"))))))))</x:f>
      </x:c>
    </x:row>
    <x:row r="51" ht="25" customHeight="1">
      <x:c r="A51" s="3"/>
      <x:c r="B51" s="3"/>
      <x:c r="C51" s="3"/>
      <x:c r="D51" s="3"/>
      <x:c r="E51" s="25"/>
      <x:c r="F51" s="25"/>
      <x:c r="G51" s="22"/>
      <x:c r="H51" s="3"/>
      <x:c r="I51" s="22"/>
      <x:c r="J51" s="3"/>
      <x:c r="K51" s="3"/>
      <x:c r="L51" s="3"/>
      <x:c r="M51" s="3"/>
      <x:c r="N51" s="3"/>
      <x:c r="O51" s="3"/>
      <x:c r="P51" s="19" t="str">
        <x:f>IF(A51="","",IF(COUNTIFS('Observations'!$A$7:$A$306,A51)&lt;&gt;1,"Duplicate ID",IF(COUNTIFS('Cases overview'!$A$7:$A$306,B51)&lt;&gt;1,"Invalid case ref",IF(AND(C51&lt;&gt;"",COUNTIFS('Plan versions'!$A$7:$A$306,C51,'Plan versions'!$B$7:$B$306,B51,'Plan versions'!$L$7:$L$306,"Frozen")&lt;&gt;1),"Invalid plan ref",IF(OR(NOT(ISNUMBER(F51)),M51=""),"Registration info missing",IF(AND(M51="Observed",OR(K51="",AND(NOT(ISNUMBER(G51)),J51=""))),"Observation/source missing",IF(AND(ISNUMBER(G51),H51=""),"Value/unit missing",IF(AND(N51&lt;&gt;"",OR(N51=A51,COUNTIFS('Observations'!$A$7:$A$306,N51,'Observations'!$B$7:$B$306,B51,'Observations'!$M$7:$M$306,"Corrected")&lt;&gt;1)),"Correction ref to check","Valid input"))))))))</x:f>
      </x:c>
    </x:row>
    <x:row r="52" ht="25" customHeight="1">
      <x:c r="A52" s="3"/>
      <x:c r="B52" s="3"/>
      <x:c r="C52" s="3"/>
      <x:c r="D52" s="3"/>
      <x:c r="E52" s="25"/>
      <x:c r="F52" s="25"/>
      <x:c r="G52" s="22"/>
      <x:c r="H52" s="3"/>
      <x:c r="I52" s="22"/>
      <x:c r="J52" s="3"/>
      <x:c r="K52" s="3"/>
      <x:c r="L52" s="3"/>
      <x:c r="M52" s="3"/>
      <x:c r="N52" s="3"/>
      <x:c r="O52" s="3"/>
      <x:c r="P52" s="19" t="str">
        <x:f>IF(A52="","",IF(COUNTIFS('Observations'!$A$7:$A$306,A52)&lt;&gt;1,"Duplicate ID",IF(COUNTIFS('Cases overview'!$A$7:$A$306,B52)&lt;&gt;1,"Invalid case ref",IF(AND(C52&lt;&gt;"",COUNTIFS('Plan versions'!$A$7:$A$306,C52,'Plan versions'!$B$7:$B$306,B52,'Plan versions'!$L$7:$L$306,"Frozen")&lt;&gt;1),"Invalid plan ref",IF(OR(NOT(ISNUMBER(F52)),M52=""),"Registration info missing",IF(AND(M52="Observed",OR(K52="",AND(NOT(ISNUMBER(G52)),J52=""))),"Observation/source missing",IF(AND(ISNUMBER(G52),H52=""),"Value/unit missing",IF(AND(N52&lt;&gt;"",OR(N52=A52,COUNTIFS('Observations'!$A$7:$A$306,N52,'Observations'!$B$7:$B$306,B52,'Observations'!$M$7:$M$306,"Corrected")&lt;&gt;1)),"Correction ref to check","Valid input"))))))))</x:f>
      </x:c>
    </x:row>
    <x:row r="53" ht="25" customHeight="1">
      <x:c r="A53" s="3"/>
      <x:c r="B53" s="3"/>
      <x:c r="C53" s="3"/>
      <x:c r="D53" s="3"/>
      <x:c r="E53" s="25"/>
      <x:c r="F53" s="25"/>
      <x:c r="G53" s="22"/>
      <x:c r="H53" s="3"/>
      <x:c r="I53" s="22"/>
      <x:c r="J53" s="3"/>
      <x:c r="K53" s="3"/>
      <x:c r="L53" s="3"/>
      <x:c r="M53" s="3"/>
      <x:c r="N53" s="3"/>
      <x:c r="O53" s="3"/>
      <x:c r="P53" s="19" t="str">
        <x:f>IF(A53="","",IF(COUNTIFS('Observations'!$A$7:$A$306,A53)&lt;&gt;1,"Duplicate ID",IF(COUNTIFS('Cases overview'!$A$7:$A$306,B53)&lt;&gt;1,"Invalid case ref",IF(AND(C53&lt;&gt;"",COUNTIFS('Plan versions'!$A$7:$A$306,C53,'Plan versions'!$B$7:$B$306,B53,'Plan versions'!$L$7:$L$306,"Frozen")&lt;&gt;1),"Invalid plan ref",IF(OR(NOT(ISNUMBER(F53)),M53=""),"Registration info missing",IF(AND(M53="Observed",OR(K53="",AND(NOT(ISNUMBER(G53)),J53=""))),"Observation/source missing",IF(AND(ISNUMBER(G53),H53=""),"Value/unit missing",IF(AND(N53&lt;&gt;"",OR(N53=A53,COUNTIFS('Observations'!$A$7:$A$306,N53,'Observations'!$B$7:$B$306,B53,'Observations'!$M$7:$M$306,"Corrected")&lt;&gt;1)),"Correction ref to check","Valid input"))))))))</x:f>
      </x:c>
    </x:row>
    <x:row r="54" ht="25" customHeight="1">
      <x:c r="A54" s="3"/>
      <x:c r="B54" s="3"/>
      <x:c r="C54" s="3"/>
      <x:c r="D54" s="3"/>
      <x:c r="E54" s="25"/>
      <x:c r="F54" s="25"/>
      <x:c r="G54" s="22"/>
      <x:c r="H54" s="3"/>
      <x:c r="I54" s="22"/>
      <x:c r="J54" s="3"/>
      <x:c r="K54" s="3"/>
      <x:c r="L54" s="3"/>
      <x:c r="M54" s="3"/>
      <x:c r="N54" s="3"/>
      <x:c r="O54" s="3"/>
      <x:c r="P54" s="19" t="str">
        <x:f>IF(A54="","",IF(COUNTIFS('Observations'!$A$7:$A$306,A54)&lt;&gt;1,"Duplicate ID",IF(COUNTIFS('Cases overview'!$A$7:$A$306,B54)&lt;&gt;1,"Invalid case ref",IF(AND(C54&lt;&gt;"",COUNTIFS('Plan versions'!$A$7:$A$306,C54,'Plan versions'!$B$7:$B$306,B54,'Plan versions'!$L$7:$L$306,"Frozen")&lt;&gt;1),"Invalid plan ref",IF(OR(NOT(ISNUMBER(F54)),M54=""),"Registration info missing",IF(AND(M54="Observed",OR(K54="",AND(NOT(ISNUMBER(G54)),J54=""))),"Observation/source missing",IF(AND(ISNUMBER(G54),H54=""),"Value/unit missing",IF(AND(N54&lt;&gt;"",OR(N54=A54,COUNTIFS('Observations'!$A$7:$A$306,N54,'Observations'!$B$7:$B$306,B54,'Observations'!$M$7:$M$306,"Corrected")&lt;&gt;1)),"Correction ref to check","Valid input"))))))))</x:f>
      </x:c>
    </x:row>
    <x:row r="55" ht="25" customHeight="1">
      <x:c r="A55" s="3"/>
      <x:c r="B55" s="3"/>
      <x:c r="C55" s="3"/>
      <x:c r="D55" s="3"/>
      <x:c r="E55" s="25"/>
      <x:c r="F55" s="25"/>
      <x:c r="G55" s="22"/>
      <x:c r="H55" s="3"/>
      <x:c r="I55" s="22"/>
      <x:c r="J55" s="3"/>
      <x:c r="K55" s="3"/>
      <x:c r="L55" s="3"/>
      <x:c r="M55" s="3"/>
      <x:c r="N55" s="3"/>
      <x:c r="O55" s="3"/>
      <x:c r="P55" s="19" t="str">
        <x:f>IF(A55="","",IF(COUNTIFS('Observations'!$A$7:$A$306,A55)&lt;&gt;1,"Duplicate ID",IF(COUNTIFS('Cases overview'!$A$7:$A$306,B55)&lt;&gt;1,"Invalid case ref",IF(AND(C55&lt;&gt;"",COUNTIFS('Plan versions'!$A$7:$A$306,C55,'Plan versions'!$B$7:$B$306,B55,'Plan versions'!$L$7:$L$306,"Frozen")&lt;&gt;1),"Invalid plan ref",IF(OR(NOT(ISNUMBER(F55)),M55=""),"Registration info missing",IF(AND(M55="Observed",OR(K55="",AND(NOT(ISNUMBER(G55)),J55=""))),"Observation/source missing",IF(AND(ISNUMBER(G55),H55=""),"Value/unit missing",IF(AND(N55&lt;&gt;"",OR(N55=A55,COUNTIFS('Observations'!$A$7:$A$306,N55,'Observations'!$B$7:$B$306,B55,'Observations'!$M$7:$M$306,"Corrected")&lt;&gt;1)),"Correction ref to check","Valid input"))))))))</x:f>
      </x:c>
    </x:row>
    <x:row r="56" ht="25" customHeight="1">
      <x:c r="A56" s="3"/>
      <x:c r="B56" s="3"/>
      <x:c r="C56" s="3"/>
      <x:c r="D56" s="3"/>
      <x:c r="E56" s="25"/>
      <x:c r="F56" s="25"/>
      <x:c r="G56" s="22"/>
      <x:c r="H56" s="3"/>
      <x:c r="I56" s="22"/>
      <x:c r="J56" s="3"/>
      <x:c r="K56" s="3"/>
      <x:c r="L56" s="3"/>
      <x:c r="M56" s="3"/>
      <x:c r="N56" s="3"/>
      <x:c r="O56" s="3"/>
      <x:c r="P56" s="19" t="str">
        <x:f>IF(A56="","",IF(COUNTIFS('Observations'!$A$7:$A$306,A56)&lt;&gt;1,"Duplicate ID",IF(COUNTIFS('Cases overview'!$A$7:$A$306,B56)&lt;&gt;1,"Invalid case ref",IF(AND(C56&lt;&gt;"",COUNTIFS('Plan versions'!$A$7:$A$306,C56,'Plan versions'!$B$7:$B$306,B56,'Plan versions'!$L$7:$L$306,"Frozen")&lt;&gt;1),"Invalid plan ref",IF(OR(NOT(ISNUMBER(F56)),M56=""),"Registration info missing",IF(AND(M56="Observed",OR(K56="",AND(NOT(ISNUMBER(G56)),J56=""))),"Observation/source missing",IF(AND(ISNUMBER(G56),H56=""),"Value/unit missing",IF(AND(N56&lt;&gt;"",OR(N56=A56,COUNTIFS('Observations'!$A$7:$A$306,N56,'Observations'!$B$7:$B$306,B56,'Observations'!$M$7:$M$306,"Corrected")&lt;&gt;1)),"Correction ref to check","Valid input"))))))))</x:f>
      </x:c>
    </x:row>
    <x:row r="57" ht="25" customHeight="1">
      <x:c r="A57" s="3"/>
      <x:c r="B57" s="3"/>
      <x:c r="C57" s="3"/>
      <x:c r="D57" s="3"/>
      <x:c r="E57" s="25"/>
      <x:c r="F57" s="25"/>
      <x:c r="G57" s="22"/>
      <x:c r="H57" s="3"/>
      <x:c r="I57" s="22"/>
      <x:c r="J57" s="3"/>
      <x:c r="K57" s="3"/>
      <x:c r="L57" s="3"/>
      <x:c r="M57" s="3"/>
      <x:c r="N57" s="3"/>
      <x:c r="O57" s="3"/>
      <x:c r="P57" s="19" t="str">
        <x:f>IF(A57="","",IF(COUNTIFS('Observations'!$A$7:$A$306,A57)&lt;&gt;1,"Duplicate ID",IF(COUNTIFS('Cases overview'!$A$7:$A$306,B57)&lt;&gt;1,"Invalid case ref",IF(AND(C57&lt;&gt;"",COUNTIFS('Plan versions'!$A$7:$A$306,C57,'Plan versions'!$B$7:$B$306,B57,'Plan versions'!$L$7:$L$306,"Frozen")&lt;&gt;1),"Invalid plan ref",IF(OR(NOT(ISNUMBER(F57)),M57=""),"Registration info missing",IF(AND(M57="Observed",OR(K57="",AND(NOT(ISNUMBER(G57)),J57=""))),"Observation/source missing",IF(AND(ISNUMBER(G57),H57=""),"Value/unit missing",IF(AND(N57&lt;&gt;"",OR(N57=A57,COUNTIFS('Observations'!$A$7:$A$306,N57,'Observations'!$B$7:$B$306,B57,'Observations'!$M$7:$M$306,"Corrected")&lt;&gt;1)),"Correction ref to check","Valid input"))))))))</x:f>
      </x:c>
    </x:row>
    <x:row r="58" ht="25" customHeight="1">
      <x:c r="A58" s="3"/>
      <x:c r="B58" s="3"/>
      <x:c r="C58" s="3"/>
      <x:c r="D58" s="3"/>
      <x:c r="E58" s="25"/>
      <x:c r="F58" s="25"/>
      <x:c r="G58" s="22"/>
      <x:c r="H58" s="3"/>
      <x:c r="I58" s="22"/>
      <x:c r="J58" s="3"/>
      <x:c r="K58" s="3"/>
      <x:c r="L58" s="3"/>
      <x:c r="M58" s="3"/>
      <x:c r="N58" s="3"/>
      <x:c r="O58" s="3"/>
      <x:c r="P58" s="19" t="str">
        <x:f>IF(A58="","",IF(COUNTIFS('Observations'!$A$7:$A$306,A58)&lt;&gt;1,"Duplicate ID",IF(COUNTIFS('Cases overview'!$A$7:$A$306,B58)&lt;&gt;1,"Invalid case ref",IF(AND(C58&lt;&gt;"",COUNTIFS('Plan versions'!$A$7:$A$306,C58,'Plan versions'!$B$7:$B$306,B58,'Plan versions'!$L$7:$L$306,"Frozen")&lt;&gt;1),"Invalid plan ref",IF(OR(NOT(ISNUMBER(F58)),M58=""),"Registration info missing",IF(AND(M58="Observed",OR(K58="",AND(NOT(ISNUMBER(G58)),J58=""))),"Observation/source missing",IF(AND(ISNUMBER(G58),H58=""),"Value/unit missing",IF(AND(N58&lt;&gt;"",OR(N58=A58,COUNTIFS('Observations'!$A$7:$A$306,N58,'Observations'!$B$7:$B$306,B58,'Observations'!$M$7:$M$306,"Corrected")&lt;&gt;1)),"Correction ref to check","Valid input"))))))))</x:f>
      </x:c>
    </x:row>
    <x:row r="59" ht="25" customHeight="1">
      <x:c r="A59" s="3"/>
      <x:c r="B59" s="3"/>
      <x:c r="C59" s="3"/>
      <x:c r="D59" s="3"/>
      <x:c r="E59" s="25"/>
      <x:c r="F59" s="25"/>
      <x:c r="G59" s="22"/>
      <x:c r="H59" s="3"/>
      <x:c r="I59" s="22"/>
      <x:c r="J59" s="3"/>
      <x:c r="K59" s="3"/>
      <x:c r="L59" s="3"/>
      <x:c r="M59" s="3"/>
      <x:c r="N59" s="3"/>
      <x:c r="O59" s="3"/>
      <x:c r="P59" s="19" t="str">
        <x:f>IF(A59="","",IF(COUNTIFS('Observations'!$A$7:$A$306,A59)&lt;&gt;1,"Duplicate ID",IF(COUNTIFS('Cases overview'!$A$7:$A$306,B59)&lt;&gt;1,"Invalid case ref",IF(AND(C59&lt;&gt;"",COUNTIFS('Plan versions'!$A$7:$A$306,C59,'Plan versions'!$B$7:$B$306,B59,'Plan versions'!$L$7:$L$306,"Frozen")&lt;&gt;1),"Invalid plan ref",IF(OR(NOT(ISNUMBER(F59)),M59=""),"Registration info missing",IF(AND(M59="Observed",OR(K59="",AND(NOT(ISNUMBER(G59)),J59=""))),"Observation/source missing",IF(AND(ISNUMBER(G59),H59=""),"Value/unit missing",IF(AND(N59&lt;&gt;"",OR(N59=A59,COUNTIFS('Observations'!$A$7:$A$306,N59,'Observations'!$B$7:$B$306,B59,'Observations'!$M$7:$M$306,"Corrected")&lt;&gt;1)),"Correction ref to check","Valid input"))))))))</x:f>
      </x:c>
    </x:row>
    <x:row r="60" ht="25" customHeight="1">
      <x:c r="A60" s="3"/>
      <x:c r="B60" s="3"/>
      <x:c r="C60" s="3"/>
      <x:c r="D60" s="3"/>
      <x:c r="E60" s="25"/>
      <x:c r="F60" s="25"/>
      <x:c r="G60" s="22"/>
      <x:c r="H60" s="3"/>
      <x:c r="I60" s="22"/>
      <x:c r="J60" s="3"/>
      <x:c r="K60" s="3"/>
      <x:c r="L60" s="3"/>
      <x:c r="M60" s="3"/>
      <x:c r="N60" s="3"/>
      <x:c r="O60" s="3"/>
      <x:c r="P60" s="19" t="str">
        <x:f>IF(A60="","",IF(COUNTIFS('Observations'!$A$7:$A$306,A60)&lt;&gt;1,"Duplicate ID",IF(COUNTIFS('Cases overview'!$A$7:$A$306,B60)&lt;&gt;1,"Invalid case ref",IF(AND(C60&lt;&gt;"",COUNTIFS('Plan versions'!$A$7:$A$306,C60,'Plan versions'!$B$7:$B$306,B60,'Plan versions'!$L$7:$L$306,"Frozen")&lt;&gt;1),"Invalid plan ref",IF(OR(NOT(ISNUMBER(F60)),M60=""),"Registration info missing",IF(AND(M60="Observed",OR(K60="",AND(NOT(ISNUMBER(G60)),J60=""))),"Observation/source missing",IF(AND(ISNUMBER(G60),H60=""),"Value/unit missing",IF(AND(N60&lt;&gt;"",OR(N60=A60,COUNTIFS('Observations'!$A$7:$A$306,N60,'Observations'!$B$7:$B$306,B60,'Observations'!$M$7:$M$306,"Corrected")&lt;&gt;1)),"Correction ref to check","Valid input"))))))))</x:f>
      </x:c>
    </x:row>
    <x:row r="61" ht="25" customHeight="1">
      <x:c r="A61" s="3"/>
      <x:c r="B61" s="3"/>
      <x:c r="C61" s="3"/>
      <x:c r="D61" s="3"/>
      <x:c r="E61" s="25"/>
      <x:c r="F61" s="25"/>
      <x:c r="G61" s="22"/>
      <x:c r="H61" s="3"/>
      <x:c r="I61" s="22"/>
      <x:c r="J61" s="3"/>
      <x:c r="K61" s="3"/>
      <x:c r="L61" s="3"/>
      <x:c r="M61" s="3"/>
      <x:c r="N61" s="3"/>
      <x:c r="O61" s="3"/>
      <x:c r="P61" s="19" t="str">
        <x:f>IF(A61="","",IF(COUNTIFS('Observations'!$A$7:$A$306,A61)&lt;&gt;1,"Duplicate ID",IF(COUNTIFS('Cases overview'!$A$7:$A$306,B61)&lt;&gt;1,"Invalid case ref",IF(AND(C61&lt;&gt;"",COUNTIFS('Plan versions'!$A$7:$A$306,C61,'Plan versions'!$B$7:$B$306,B61,'Plan versions'!$L$7:$L$306,"Frozen")&lt;&gt;1),"Invalid plan ref",IF(OR(NOT(ISNUMBER(F61)),M61=""),"Registration info missing",IF(AND(M61="Observed",OR(K61="",AND(NOT(ISNUMBER(G61)),J61=""))),"Observation/source missing",IF(AND(ISNUMBER(G61),H61=""),"Value/unit missing",IF(AND(N61&lt;&gt;"",OR(N61=A61,COUNTIFS('Observations'!$A$7:$A$306,N61,'Observations'!$B$7:$B$306,B61,'Observations'!$M$7:$M$306,"Corrected")&lt;&gt;1)),"Correction ref to check","Valid input"))))))))</x:f>
      </x:c>
    </x:row>
    <x:row r="62" ht="25" customHeight="1">
      <x:c r="A62" s="3"/>
      <x:c r="B62" s="3"/>
      <x:c r="C62" s="3"/>
      <x:c r="D62" s="3"/>
      <x:c r="E62" s="25"/>
      <x:c r="F62" s="25"/>
      <x:c r="G62" s="22"/>
      <x:c r="H62" s="3"/>
      <x:c r="I62" s="22"/>
      <x:c r="J62" s="3"/>
      <x:c r="K62" s="3"/>
      <x:c r="L62" s="3"/>
      <x:c r="M62" s="3"/>
      <x:c r="N62" s="3"/>
      <x:c r="O62" s="3"/>
      <x:c r="P62" s="19" t="str">
        <x:f>IF(A62="","",IF(COUNTIFS('Observations'!$A$7:$A$306,A62)&lt;&gt;1,"Duplicate ID",IF(COUNTIFS('Cases overview'!$A$7:$A$306,B62)&lt;&gt;1,"Invalid case ref",IF(AND(C62&lt;&gt;"",COUNTIFS('Plan versions'!$A$7:$A$306,C62,'Plan versions'!$B$7:$B$306,B62,'Plan versions'!$L$7:$L$306,"Frozen")&lt;&gt;1),"Invalid plan ref",IF(OR(NOT(ISNUMBER(F62)),M62=""),"Registration info missing",IF(AND(M62="Observed",OR(K62="",AND(NOT(ISNUMBER(G62)),J62=""))),"Observation/source missing",IF(AND(ISNUMBER(G62),H62=""),"Value/unit missing",IF(AND(N62&lt;&gt;"",OR(N62=A62,COUNTIFS('Observations'!$A$7:$A$306,N62,'Observations'!$B$7:$B$306,B62,'Observations'!$M$7:$M$306,"Corrected")&lt;&gt;1)),"Correction ref to check","Valid input"))))))))</x:f>
      </x:c>
    </x:row>
    <x:row r="63" ht="25" customHeight="1">
      <x:c r="A63" s="3"/>
      <x:c r="B63" s="3"/>
      <x:c r="C63" s="3"/>
      <x:c r="D63" s="3"/>
      <x:c r="E63" s="25"/>
      <x:c r="F63" s="25"/>
      <x:c r="G63" s="22"/>
      <x:c r="H63" s="3"/>
      <x:c r="I63" s="22"/>
      <x:c r="J63" s="3"/>
      <x:c r="K63" s="3"/>
      <x:c r="L63" s="3"/>
      <x:c r="M63" s="3"/>
      <x:c r="N63" s="3"/>
      <x:c r="O63" s="3"/>
      <x:c r="P63" s="19" t="str">
        <x:f>IF(A63="","",IF(COUNTIFS('Observations'!$A$7:$A$306,A63)&lt;&gt;1,"Duplicate ID",IF(COUNTIFS('Cases overview'!$A$7:$A$306,B63)&lt;&gt;1,"Invalid case ref",IF(AND(C63&lt;&gt;"",COUNTIFS('Plan versions'!$A$7:$A$306,C63,'Plan versions'!$B$7:$B$306,B63,'Plan versions'!$L$7:$L$306,"Frozen")&lt;&gt;1),"Invalid plan ref",IF(OR(NOT(ISNUMBER(F63)),M63=""),"Registration info missing",IF(AND(M63="Observed",OR(K63="",AND(NOT(ISNUMBER(G63)),J63=""))),"Observation/source missing",IF(AND(ISNUMBER(G63),H63=""),"Value/unit missing",IF(AND(N63&lt;&gt;"",OR(N63=A63,COUNTIFS('Observations'!$A$7:$A$306,N63,'Observations'!$B$7:$B$306,B63,'Observations'!$M$7:$M$306,"Corrected")&lt;&gt;1)),"Correction ref to check","Valid input"))))))))</x:f>
      </x:c>
    </x:row>
    <x:row r="64" ht="25" customHeight="1">
      <x:c r="A64" s="3"/>
      <x:c r="B64" s="3"/>
      <x:c r="C64" s="3"/>
      <x:c r="D64" s="3"/>
      <x:c r="E64" s="25"/>
      <x:c r="F64" s="25"/>
      <x:c r="G64" s="22"/>
      <x:c r="H64" s="3"/>
      <x:c r="I64" s="22"/>
      <x:c r="J64" s="3"/>
      <x:c r="K64" s="3"/>
      <x:c r="L64" s="3"/>
      <x:c r="M64" s="3"/>
      <x:c r="N64" s="3"/>
      <x:c r="O64" s="3"/>
      <x:c r="P64" s="19" t="str">
        <x:f>IF(A64="","",IF(COUNTIFS('Observations'!$A$7:$A$306,A64)&lt;&gt;1,"Duplicate ID",IF(COUNTIFS('Cases overview'!$A$7:$A$306,B64)&lt;&gt;1,"Invalid case ref",IF(AND(C64&lt;&gt;"",COUNTIFS('Plan versions'!$A$7:$A$306,C64,'Plan versions'!$B$7:$B$306,B64,'Plan versions'!$L$7:$L$306,"Frozen")&lt;&gt;1),"Invalid plan ref",IF(OR(NOT(ISNUMBER(F64)),M64=""),"Registration info missing",IF(AND(M64="Observed",OR(K64="",AND(NOT(ISNUMBER(G64)),J64=""))),"Observation/source missing",IF(AND(ISNUMBER(G64),H64=""),"Value/unit missing",IF(AND(N64&lt;&gt;"",OR(N64=A64,COUNTIFS('Observations'!$A$7:$A$306,N64,'Observations'!$B$7:$B$306,B64,'Observations'!$M$7:$M$306,"Corrected")&lt;&gt;1)),"Correction ref to check","Valid input"))))))))</x:f>
      </x:c>
    </x:row>
    <x:row r="65" ht="25" customHeight="1">
      <x:c r="A65" s="3"/>
      <x:c r="B65" s="3"/>
      <x:c r="C65" s="3"/>
      <x:c r="D65" s="3"/>
      <x:c r="E65" s="25"/>
      <x:c r="F65" s="25"/>
      <x:c r="G65" s="22"/>
      <x:c r="H65" s="3"/>
      <x:c r="I65" s="22"/>
      <x:c r="J65" s="3"/>
      <x:c r="K65" s="3"/>
      <x:c r="L65" s="3"/>
      <x:c r="M65" s="3"/>
      <x:c r="N65" s="3"/>
      <x:c r="O65" s="3"/>
      <x:c r="P65" s="19" t="str">
        <x:f>IF(A65="","",IF(COUNTIFS('Observations'!$A$7:$A$306,A65)&lt;&gt;1,"Duplicate ID",IF(COUNTIFS('Cases overview'!$A$7:$A$306,B65)&lt;&gt;1,"Invalid case ref",IF(AND(C65&lt;&gt;"",COUNTIFS('Plan versions'!$A$7:$A$306,C65,'Plan versions'!$B$7:$B$306,B65,'Plan versions'!$L$7:$L$306,"Frozen")&lt;&gt;1),"Invalid plan ref",IF(OR(NOT(ISNUMBER(F65)),M65=""),"Registration info missing",IF(AND(M65="Observed",OR(K65="",AND(NOT(ISNUMBER(G65)),J65=""))),"Observation/source missing",IF(AND(ISNUMBER(G65),H65=""),"Value/unit missing",IF(AND(N65&lt;&gt;"",OR(N65=A65,COUNTIFS('Observations'!$A$7:$A$306,N65,'Observations'!$B$7:$B$306,B65,'Observations'!$M$7:$M$306,"Corrected")&lt;&gt;1)),"Correction ref to check","Valid input"))))))))</x:f>
      </x:c>
    </x:row>
    <x:row r="66" ht="25" customHeight="1">
      <x:c r="A66" s="3"/>
      <x:c r="B66" s="3"/>
      <x:c r="C66" s="3"/>
      <x:c r="D66" s="3"/>
      <x:c r="E66" s="25"/>
      <x:c r="F66" s="25"/>
      <x:c r="G66" s="22"/>
      <x:c r="H66" s="3"/>
      <x:c r="I66" s="22"/>
      <x:c r="J66" s="3"/>
      <x:c r="K66" s="3"/>
      <x:c r="L66" s="3"/>
      <x:c r="M66" s="3"/>
      <x:c r="N66" s="3"/>
      <x:c r="O66" s="3"/>
      <x:c r="P66" s="19" t="str">
        <x:f>IF(A66="","",IF(COUNTIFS('Observations'!$A$7:$A$306,A66)&lt;&gt;1,"Duplicate ID",IF(COUNTIFS('Cases overview'!$A$7:$A$306,B66)&lt;&gt;1,"Invalid case ref",IF(AND(C66&lt;&gt;"",COUNTIFS('Plan versions'!$A$7:$A$306,C66,'Plan versions'!$B$7:$B$306,B66,'Plan versions'!$L$7:$L$306,"Frozen")&lt;&gt;1),"Invalid plan ref",IF(OR(NOT(ISNUMBER(F66)),M66=""),"Registration info missing",IF(AND(M66="Observed",OR(K66="",AND(NOT(ISNUMBER(G66)),J66=""))),"Observation/source missing",IF(AND(ISNUMBER(G66),H66=""),"Value/unit missing",IF(AND(N66&lt;&gt;"",OR(N66=A66,COUNTIFS('Observations'!$A$7:$A$306,N66,'Observations'!$B$7:$B$306,B66,'Observations'!$M$7:$M$306,"Corrected")&lt;&gt;1)),"Correction ref to check","Valid input"))))))))</x:f>
      </x:c>
    </x:row>
    <x:row r="67" ht="25" customHeight="1">
      <x:c r="A67" s="3"/>
      <x:c r="B67" s="3"/>
      <x:c r="C67" s="3"/>
      <x:c r="D67" s="3"/>
      <x:c r="E67" s="25"/>
      <x:c r="F67" s="25"/>
      <x:c r="G67" s="22"/>
      <x:c r="H67" s="3"/>
      <x:c r="I67" s="22"/>
      <x:c r="J67" s="3"/>
      <x:c r="K67" s="3"/>
      <x:c r="L67" s="3"/>
      <x:c r="M67" s="3"/>
      <x:c r="N67" s="3"/>
      <x:c r="O67" s="3"/>
      <x:c r="P67" s="19" t="str">
        <x:f>IF(A67="","",IF(COUNTIFS('Observations'!$A$7:$A$306,A67)&lt;&gt;1,"Duplicate ID",IF(COUNTIFS('Cases overview'!$A$7:$A$306,B67)&lt;&gt;1,"Invalid case ref",IF(AND(C67&lt;&gt;"",COUNTIFS('Plan versions'!$A$7:$A$306,C67,'Plan versions'!$B$7:$B$306,B67,'Plan versions'!$L$7:$L$306,"Frozen")&lt;&gt;1),"Invalid plan ref",IF(OR(NOT(ISNUMBER(F67)),M67=""),"Registration info missing",IF(AND(M67="Observed",OR(K67="",AND(NOT(ISNUMBER(G67)),J67=""))),"Observation/source missing",IF(AND(ISNUMBER(G67),H67=""),"Value/unit missing",IF(AND(N67&lt;&gt;"",OR(N67=A67,COUNTIFS('Observations'!$A$7:$A$306,N67,'Observations'!$B$7:$B$306,B67,'Observations'!$M$7:$M$306,"Corrected")&lt;&gt;1)),"Correction ref to check","Valid input"))))))))</x:f>
      </x:c>
    </x:row>
    <x:row r="68" ht="25" customHeight="1">
      <x:c r="A68" s="3"/>
      <x:c r="B68" s="3"/>
      <x:c r="C68" s="3"/>
      <x:c r="D68" s="3"/>
      <x:c r="E68" s="25"/>
      <x:c r="F68" s="25"/>
      <x:c r="G68" s="22"/>
      <x:c r="H68" s="3"/>
      <x:c r="I68" s="22"/>
      <x:c r="J68" s="3"/>
      <x:c r="K68" s="3"/>
      <x:c r="L68" s="3"/>
      <x:c r="M68" s="3"/>
      <x:c r="N68" s="3"/>
      <x:c r="O68" s="3"/>
      <x:c r="P68" s="19" t="str">
        <x:f>IF(A68="","",IF(COUNTIFS('Observations'!$A$7:$A$306,A68)&lt;&gt;1,"Duplicate ID",IF(COUNTIFS('Cases overview'!$A$7:$A$306,B68)&lt;&gt;1,"Invalid case ref",IF(AND(C68&lt;&gt;"",COUNTIFS('Plan versions'!$A$7:$A$306,C68,'Plan versions'!$B$7:$B$306,B68,'Plan versions'!$L$7:$L$306,"Frozen")&lt;&gt;1),"Invalid plan ref",IF(OR(NOT(ISNUMBER(F68)),M68=""),"Registration info missing",IF(AND(M68="Observed",OR(K68="",AND(NOT(ISNUMBER(G68)),J68=""))),"Observation/source missing",IF(AND(ISNUMBER(G68),H68=""),"Value/unit missing",IF(AND(N68&lt;&gt;"",OR(N68=A68,COUNTIFS('Observations'!$A$7:$A$306,N68,'Observations'!$B$7:$B$306,B68,'Observations'!$M$7:$M$306,"Corrected")&lt;&gt;1)),"Correction ref to check","Valid input"))))))))</x:f>
      </x:c>
    </x:row>
    <x:row r="69" ht="25" customHeight="1">
      <x:c r="A69" s="3"/>
      <x:c r="B69" s="3"/>
      <x:c r="C69" s="3"/>
      <x:c r="D69" s="3"/>
      <x:c r="E69" s="25"/>
      <x:c r="F69" s="25"/>
      <x:c r="G69" s="22"/>
      <x:c r="H69" s="3"/>
      <x:c r="I69" s="22"/>
      <x:c r="J69" s="3"/>
      <x:c r="K69" s="3"/>
      <x:c r="L69" s="3"/>
      <x:c r="M69" s="3"/>
      <x:c r="N69" s="3"/>
      <x:c r="O69" s="3"/>
      <x:c r="P69" s="19" t="str">
        <x:f>IF(A69="","",IF(COUNTIFS('Observations'!$A$7:$A$306,A69)&lt;&gt;1,"Duplicate ID",IF(COUNTIFS('Cases overview'!$A$7:$A$306,B69)&lt;&gt;1,"Invalid case ref",IF(AND(C69&lt;&gt;"",COUNTIFS('Plan versions'!$A$7:$A$306,C69,'Plan versions'!$B$7:$B$306,B69,'Plan versions'!$L$7:$L$306,"Frozen")&lt;&gt;1),"Invalid plan ref",IF(OR(NOT(ISNUMBER(F69)),M69=""),"Registration info missing",IF(AND(M69="Observed",OR(K69="",AND(NOT(ISNUMBER(G69)),J69=""))),"Observation/source missing",IF(AND(ISNUMBER(G69),H69=""),"Value/unit missing",IF(AND(N69&lt;&gt;"",OR(N69=A69,COUNTIFS('Observations'!$A$7:$A$306,N69,'Observations'!$B$7:$B$306,B69,'Observations'!$M$7:$M$306,"Corrected")&lt;&gt;1)),"Correction ref to check","Valid input"))))))))</x:f>
      </x:c>
    </x:row>
    <x:row r="70" ht="25" customHeight="1">
      <x:c r="A70" s="3"/>
      <x:c r="B70" s="3"/>
      <x:c r="C70" s="3"/>
      <x:c r="D70" s="3"/>
      <x:c r="E70" s="25"/>
      <x:c r="F70" s="25"/>
      <x:c r="G70" s="22"/>
      <x:c r="H70" s="3"/>
      <x:c r="I70" s="22"/>
      <x:c r="J70" s="3"/>
      <x:c r="K70" s="3"/>
      <x:c r="L70" s="3"/>
      <x:c r="M70" s="3"/>
      <x:c r="N70" s="3"/>
      <x:c r="O70" s="3"/>
      <x:c r="P70" s="19" t="str">
        <x:f>IF(A70="","",IF(COUNTIFS('Observations'!$A$7:$A$306,A70)&lt;&gt;1,"Duplicate ID",IF(COUNTIFS('Cases overview'!$A$7:$A$306,B70)&lt;&gt;1,"Invalid case ref",IF(AND(C70&lt;&gt;"",COUNTIFS('Plan versions'!$A$7:$A$306,C70,'Plan versions'!$B$7:$B$306,B70,'Plan versions'!$L$7:$L$306,"Frozen")&lt;&gt;1),"Invalid plan ref",IF(OR(NOT(ISNUMBER(F70)),M70=""),"Registration info missing",IF(AND(M70="Observed",OR(K70="",AND(NOT(ISNUMBER(G70)),J70=""))),"Observation/source missing",IF(AND(ISNUMBER(G70),H70=""),"Value/unit missing",IF(AND(N70&lt;&gt;"",OR(N70=A70,COUNTIFS('Observations'!$A$7:$A$306,N70,'Observations'!$B$7:$B$306,B70,'Observations'!$M$7:$M$306,"Corrected")&lt;&gt;1)),"Correction ref to check","Valid input"))))))))</x:f>
      </x:c>
    </x:row>
    <x:row r="71" ht="25" customHeight="1">
      <x:c r="A71" s="3"/>
      <x:c r="B71" s="3"/>
      <x:c r="C71" s="3"/>
      <x:c r="D71" s="3"/>
      <x:c r="E71" s="25"/>
      <x:c r="F71" s="25"/>
      <x:c r="G71" s="22"/>
      <x:c r="H71" s="3"/>
      <x:c r="I71" s="22"/>
      <x:c r="J71" s="3"/>
      <x:c r="K71" s="3"/>
      <x:c r="L71" s="3"/>
      <x:c r="M71" s="3"/>
      <x:c r="N71" s="3"/>
      <x:c r="O71" s="3"/>
      <x:c r="P71" s="19" t="str">
        <x:f>IF(A71="","",IF(COUNTIFS('Observations'!$A$7:$A$306,A71)&lt;&gt;1,"Duplicate ID",IF(COUNTIFS('Cases overview'!$A$7:$A$306,B71)&lt;&gt;1,"Invalid case ref",IF(AND(C71&lt;&gt;"",COUNTIFS('Plan versions'!$A$7:$A$306,C71,'Plan versions'!$B$7:$B$306,B71,'Plan versions'!$L$7:$L$306,"Frozen")&lt;&gt;1),"Invalid plan ref",IF(OR(NOT(ISNUMBER(F71)),M71=""),"Registration info missing",IF(AND(M71="Observed",OR(K71="",AND(NOT(ISNUMBER(G71)),J71=""))),"Observation/source missing",IF(AND(ISNUMBER(G71),H71=""),"Value/unit missing",IF(AND(N71&lt;&gt;"",OR(N71=A71,COUNTIFS('Observations'!$A$7:$A$306,N71,'Observations'!$B$7:$B$306,B71,'Observations'!$M$7:$M$306,"Corrected")&lt;&gt;1)),"Correction ref to check","Valid input"))))))))</x:f>
      </x:c>
    </x:row>
    <x:row r="72" ht="25" customHeight="1">
      <x:c r="A72" s="3"/>
      <x:c r="B72" s="3"/>
      <x:c r="C72" s="3"/>
      <x:c r="D72" s="3"/>
      <x:c r="E72" s="25"/>
      <x:c r="F72" s="25"/>
      <x:c r="G72" s="22"/>
      <x:c r="H72" s="3"/>
      <x:c r="I72" s="22"/>
      <x:c r="J72" s="3"/>
      <x:c r="K72" s="3"/>
      <x:c r="L72" s="3"/>
      <x:c r="M72" s="3"/>
      <x:c r="N72" s="3"/>
      <x:c r="O72" s="3"/>
      <x:c r="P72" s="19" t="str">
        <x:f>IF(A72="","",IF(COUNTIFS('Observations'!$A$7:$A$306,A72)&lt;&gt;1,"Duplicate ID",IF(COUNTIFS('Cases overview'!$A$7:$A$306,B72)&lt;&gt;1,"Invalid case ref",IF(AND(C72&lt;&gt;"",COUNTIFS('Plan versions'!$A$7:$A$306,C72,'Plan versions'!$B$7:$B$306,B72,'Plan versions'!$L$7:$L$306,"Frozen")&lt;&gt;1),"Invalid plan ref",IF(OR(NOT(ISNUMBER(F72)),M72=""),"Registration info missing",IF(AND(M72="Observed",OR(K72="",AND(NOT(ISNUMBER(G72)),J72=""))),"Observation/source missing",IF(AND(ISNUMBER(G72),H72=""),"Value/unit missing",IF(AND(N72&lt;&gt;"",OR(N72=A72,COUNTIFS('Observations'!$A$7:$A$306,N72,'Observations'!$B$7:$B$306,B72,'Observations'!$M$7:$M$306,"Corrected")&lt;&gt;1)),"Correction ref to check","Valid input"))))))))</x:f>
      </x:c>
    </x:row>
    <x:row r="73" ht="25" customHeight="1">
      <x:c r="A73" s="3"/>
      <x:c r="B73" s="3"/>
      <x:c r="C73" s="3"/>
      <x:c r="D73" s="3"/>
      <x:c r="E73" s="25"/>
      <x:c r="F73" s="25"/>
      <x:c r="G73" s="22"/>
      <x:c r="H73" s="3"/>
      <x:c r="I73" s="22"/>
      <x:c r="J73" s="3"/>
      <x:c r="K73" s="3"/>
      <x:c r="L73" s="3"/>
      <x:c r="M73" s="3"/>
      <x:c r="N73" s="3"/>
      <x:c r="O73" s="3"/>
      <x:c r="P73" s="19" t="str">
        <x:f>IF(A73="","",IF(COUNTIFS('Observations'!$A$7:$A$306,A73)&lt;&gt;1,"Duplicate ID",IF(COUNTIFS('Cases overview'!$A$7:$A$306,B73)&lt;&gt;1,"Invalid case ref",IF(AND(C73&lt;&gt;"",COUNTIFS('Plan versions'!$A$7:$A$306,C73,'Plan versions'!$B$7:$B$306,B73,'Plan versions'!$L$7:$L$306,"Frozen")&lt;&gt;1),"Invalid plan ref",IF(OR(NOT(ISNUMBER(F73)),M73=""),"Registration info missing",IF(AND(M73="Observed",OR(K73="",AND(NOT(ISNUMBER(G73)),J73=""))),"Observation/source missing",IF(AND(ISNUMBER(G73),H73=""),"Value/unit missing",IF(AND(N73&lt;&gt;"",OR(N73=A73,COUNTIFS('Observations'!$A$7:$A$306,N73,'Observations'!$B$7:$B$306,B73,'Observations'!$M$7:$M$306,"Corrected")&lt;&gt;1)),"Correction ref to check","Valid input"))))))))</x:f>
      </x:c>
    </x:row>
    <x:row r="74" ht="25" customHeight="1">
      <x:c r="A74" s="3"/>
      <x:c r="B74" s="3"/>
      <x:c r="C74" s="3"/>
      <x:c r="D74" s="3"/>
      <x:c r="E74" s="25"/>
      <x:c r="F74" s="25"/>
      <x:c r="G74" s="22"/>
      <x:c r="H74" s="3"/>
      <x:c r="I74" s="22"/>
      <x:c r="J74" s="3"/>
      <x:c r="K74" s="3"/>
      <x:c r="L74" s="3"/>
      <x:c r="M74" s="3"/>
      <x:c r="N74" s="3"/>
      <x:c r="O74" s="3"/>
      <x:c r="P74" s="19" t="str">
        <x:f>IF(A74="","",IF(COUNTIFS('Observations'!$A$7:$A$306,A74)&lt;&gt;1,"Duplicate ID",IF(COUNTIFS('Cases overview'!$A$7:$A$306,B74)&lt;&gt;1,"Invalid case ref",IF(AND(C74&lt;&gt;"",COUNTIFS('Plan versions'!$A$7:$A$306,C74,'Plan versions'!$B$7:$B$306,B74,'Plan versions'!$L$7:$L$306,"Frozen")&lt;&gt;1),"Invalid plan ref",IF(OR(NOT(ISNUMBER(F74)),M74=""),"Registration info missing",IF(AND(M74="Observed",OR(K74="",AND(NOT(ISNUMBER(G74)),J74=""))),"Observation/source missing",IF(AND(ISNUMBER(G74),H74=""),"Value/unit missing",IF(AND(N74&lt;&gt;"",OR(N74=A74,COUNTIFS('Observations'!$A$7:$A$306,N74,'Observations'!$B$7:$B$306,B74,'Observations'!$M$7:$M$306,"Corrected")&lt;&gt;1)),"Correction ref to check","Valid input"))))))))</x:f>
      </x:c>
    </x:row>
    <x:row r="75" ht="25" customHeight="1">
      <x:c r="A75" s="3"/>
      <x:c r="B75" s="3"/>
      <x:c r="C75" s="3"/>
      <x:c r="D75" s="3"/>
      <x:c r="E75" s="25"/>
      <x:c r="F75" s="25"/>
      <x:c r="G75" s="22"/>
      <x:c r="H75" s="3"/>
      <x:c r="I75" s="22"/>
      <x:c r="J75" s="3"/>
      <x:c r="K75" s="3"/>
      <x:c r="L75" s="3"/>
      <x:c r="M75" s="3"/>
      <x:c r="N75" s="3"/>
      <x:c r="O75" s="3"/>
      <x:c r="P75" s="19" t="str">
        <x:f>IF(A75="","",IF(COUNTIFS('Observations'!$A$7:$A$306,A75)&lt;&gt;1,"Duplicate ID",IF(COUNTIFS('Cases overview'!$A$7:$A$306,B75)&lt;&gt;1,"Invalid case ref",IF(AND(C75&lt;&gt;"",COUNTIFS('Plan versions'!$A$7:$A$306,C75,'Plan versions'!$B$7:$B$306,B75,'Plan versions'!$L$7:$L$306,"Frozen")&lt;&gt;1),"Invalid plan ref",IF(OR(NOT(ISNUMBER(F75)),M75=""),"Registration info missing",IF(AND(M75="Observed",OR(K75="",AND(NOT(ISNUMBER(G75)),J75=""))),"Observation/source missing",IF(AND(ISNUMBER(G75),H75=""),"Value/unit missing",IF(AND(N75&lt;&gt;"",OR(N75=A75,COUNTIFS('Observations'!$A$7:$A$306,N75,'Observations'!$B$7:$B$306,B75,'Observations'!$M$7:$M$306,"Corrected")&lt;&gt;1)),"Correction ref to check","Valid input"))))))))</x:f>
      </x:c>
    </x:row>
    <x:row r="76" ht="25" customHeight="1">
      <x:c r="A76" s="3"/>
      <x:c r="B76" s="3"/>
      <x:c r="C76" s="3"/>
      <x:c r="D76" s="3"/>
      <x:c r="E76" s="25"/>
      <x:c r="F76" s="25"/>
      <x:c r="G76" s="22"/>
      <x:c r="H76" s="3"/>
      <x:c r="I76" s="22"/>
      <x:c r="J76" s="3"/>
      <x:c r="K76" s="3"/>
      <x:c r="L76" s="3"/>
      <x:c r="M76" s="3"/>
      <x:c r="N76" s="3"/>
      <x:c r="O76" s="3"/>
      <x:c r="P76" s="19" t="str">
        <x:f>IF(A76="","",IF(COUNTIFS('Observations'!$A$7:$A$306,A76)&lt;&gt;1,"Duplicate ID",IF(COUNTIFS('Cases overview'!$A$7:$A$306,B76)&lt;&gt;1,"Invalid case ref",IF(AND(C76&lt;&gt;"",COUNTIFS('Plan versions'!$A$7:$A$306,C76,'Plan versions'!$B$7:$B$306,B76,'Plan versions'!$L$7:$L$306,"Frozen")&lt;&gt;1),"Invalid plan ref",IF(OR(NOT(ISNUMBER(F76)),M76=""),"Registration info missing",IF(AND(M76="Observed",OR(K76="",AND(NOT(ISNUMBER(G76)),J76=""))),"Observation/source missing",IF(AND(ISNUMBER(G76),H76=""),"Value/unit missing",IF(AND(N76&lt;&gt;"",OR(N76=A76,COUNTIFS('Observations'!$A$7:$A$306,N76,'Observations'!$B$7:$B$306,B76,'Observations'!$M$7:$M$306,"Corrected")&lt;&gt;1)),"Correction ref to check","Valid input"))))))))</x:f>
      </x:c>
    </x:row>
    <x:row r="77" ht="25" customHeight="1">
      <x:c r="A77" s="3"/>
      <x:c r="B77" s="3"/>
      <x:c r="C77" s="3"/>
      <x:c r="D77" s="3"/>
      <x:c r="E77" s="25"/>
      <x:c r="F77" s="25"/>
      <x:c r="G77" s="22"/>
      <x:c r="H77" s="3"/>
      <x:c r="I77" s="22"/>
      <x:c r="J77" s="3"/>
      <x:c r="K77" s="3"/>
      <x:c r="L77" s="3"/>
      <x:c r="M77" s="3"/>
      <x:c r="N77" s="3"/>
      <x:c r="O77" s="3"/>
      <x:c r="P77" s="19" t="str">
        <x:f>IF(A77="","",IF(COUNTIFS('Observations'!$A$7:$A$306,A77)&lt;&gt;1,"Duplicate ID",IF(COUNTIFS('Cases overview'!$A$7:$A$306,B77)&lt;&gt;1,"Invalid case ref",IF(AND(C77&lt;&gt;"",COUNTIFS('Plan versions'!$A$7:$A$306,C77,'Plan versions'!$B$7:$B$306,B77,'Plan versions'!$L$7:$L$306,"Frozen")&lt;&gt;1),"Invalid plan ref",IF(OR(NOT(ISNUMBER(F77)),M77=""),"Registration info missing",IF(AND(M77="Observed",OR(K77="",AND(NOT(ISNUMBER(G77)),J77=""))),"Observation/source missing",IF(AND(ISNUMBER(G77),H77=""),"Value/unit missing",IF(AND(N77&lt;&gt;"",OR(N77=A77,COUNTIFS('Observations'!$A$7:$A$306,N77,'Observations'!$B$7:$B$306,B77,'Observations'!$M$7:$M$306,"Corrected")&lt;&gt;1)),"Correction ref to check","Valid input"))))))))</x:f>
      </x:c>
    </x:row>
    <x:row r="78" ht="25" customHeight="1">
      <x:c r="A78" s="3"/>
      <x:c r="B78" s="3"/>
      <x:c r="C78" s="3"/>
      <x:c r="D78" s="3"/>
      <x:c r="E78" s="25"/>
      <x:c r="F78" s="25"/>
      <x:c r="G78" s="22"/>
      <x:c r="H78" s="3"/>
      <x:c r="I78" s="22"/>
      <x:c r="J78" s="3"/>
      <x:c r="K78" s="3"/>
      <x:c r="L78" s="3"/>
      <x:c r="M78" s="3"/>
      <x:c r="N78" s="3"/>
      <x:c r="O78" s="3"/>
      <x:c r="P78" s="19" t="str">
        <x:f>IF(A78="","",IF(COUNTIFS('Observations'!$A$7:$A$306,A78)&lt;&gt;1,"Duplicate ID",IF(COUNTIFS('Cases overview'!$A$7:$A$306,B78)&lt;&gt;1,"Invalid case ref",IF(AND(C78&lt;&gt;"",COUNTIFS('Plan versions'!$A$7:$A$306,C78,'Plan versions'!$B$7:$B$306,B78,'Plan versions'!$L$7:$L$306,"Frozen")&lt;&gt;1),"Invalid plan ref",IF(OR(NOT(ISNUMBER(F78)),M78=""),"Registration info missing",IF(AND(M78="Observed",OR(K78="",AND(NOT(ISNUMBER(G78)),J78=""))),"Observation/source missing",IF(AND(ISNUMBER(G78),H78=""),"Value/unit missing",IF(AND(N78&lt;&gt;"",OR(N78=A78,COUNTIFS('Observations'!$A$7:$A$306,N78,'Observations'!$B$7:$B$306,B78,'Observations'!$M$7:$M$306,"Corrected")&lt;&gt;1)),"Correction ref to check","Valid input"))))))))</x:f>
      </x:c>
    </x:row>
    <x:row r="79" ht="25" customHeight="1">
      <x:c r="A79" s="3"/>
      <x:c r="B79" s="3"/>
      <x:c r="C79" s="3"/>
      <x:c r="D79" s="3"/>
      <x:c r="E79" s="25"/>
      <x:c r="F79" s="25"/>
      <x:c r="G79" s="22"/>
      <x:c r="H79" s="3"/>
      <x:c r="I79" s="22"/>
      <x:c r="J79" s="3"/>
      <x:c r="K79" s="3"/>
      <x:c r="L79" s="3"/>
      <x:c r="M79" s="3"/>
      <x:c r="N79" s="3"/>
      <x:c r="O79" s="3"/>
      <x:c r="P79" s="19" t="str">
        <x:f>IF(A79="","",IF(COUNTIFS('Observations'!$A$7:$A$306,A79)&lt;&gt;1,"Duplicate ID",IF(COUNTIFS('Cases overview'!$A$7:$A$306,B79)&lt;&gt;1,"Invalid case ref",IF(AND(C79&lt;&gt;"",COUNTIFS('Plan versions'!$A$7:$A$306,C79,'Plan versions'!$B$7:$B$306,B79,'Plan versions'!$L$7:$L$306,"Frozen")&lt;&gt;1),"Invalid plan ref",IF(OR(NOT(ISNUMBER(F79)),M79=""),"Registration info missing",IF(AND(M79="Observed",OR(K79="",AND(NOT(ISNUMBER(G79)),J79=""))),"Observation/source missing",IF(AND(ISNUMBER(G79),H79=""),"Value/unit missing",IF(AND(N79&lt;&gt;"",OR(N79=A79,COUNTIFS('Observations'!$A$7:$A$306,N79,'Observations'!$B$7:$B$306,B79,'Observations'!$M$7:$M$306,"Corrected")&lt;&gt;1)),"Correction ref to check","Valid input"))))))))</x:f>
      </x:c>
    </x:row>
    <x:row r="80" ht="25" customHeight="1">
      <x:c r="A80" s="3"/>
      <x:c r="B80" s="3"/>
      <x:c r="C80" s="3"/>
      <x:c r="D80" s="3"/>
      <x:c r="E80" s="25"/>
      <x:c r="F80" s="25"/>
      <x:c r="G80" s="22"/>
      <x:c r="H80" s="3"/>
      <x:c r="I80" s="22"/>
      <x:c r="J80" s="3"/>
      <x:c r="K80" s="3"/>
      <x:c r="L80" s="3"/>
      <x:c r="M80" s="3"/>
      <x:c r="N80" s="3"/>
      <x:c r="O80" s="3"/>
      <x:c r="P80" s="19" t="str">
        <x:f>IF(A80="","",IF(COUNTIFS('Observations'!$A$7:$A$306,A80)&lt;&gt;1,"Duplicate ID",IF(COUNTIFS('Cases overview'!$A$7:$A$306,B80)&lt;&gt;1,"Invalid case ref",IF(AND(C80&lt;&gt;"",COUNTIFS('Plan versions'!$A$7:$A$306,C80,'Plan versions'!$B$7:$B$306,B80,'Plan versions'!$L$7:$L$306,"Frozen")&lt;&gt;1),"Invalid plan ref",IF(OR(NOT(ISNUMBER(F80)),M80=""),"Registration info missing",IF(AND(M80="Observed",OR(K80="",AND(NOT(ISNUMBER(G80)),J80=""))),"Observation/source missing",IF(AND(ISNUMBER(G80),H80=""),"Value/unit missing",IF(AND(N80&lt;&gt;"",OR(N80=A80,COUNTIFS('Observations'!$A$7:$A$306,N80,'Observations'!$B$7:$B$306,B80,'Observations'!$M$7:$M$306,"Corrected")&lt;&gt;1)),"Correction ref to check","Valid input"))))))))</x:f>
      </x:c>
    </x:row>
    <x:row r="81" ht="25" customHeight="1">
      <x:c r="A81" s="3"/>
      <x:c r="B81" s="3"/>
      <x:c r="C81" s="3"/>
      <x:c r="D81" s="3"/>
      <x:c r="E81" s="25"/>
      <x:c r="F81" s="25"/>
      <x:c r="G81" s="22"/>
      <x:c r="H81" s="3"/>
      <x:c r="I81" s="22"/>
      <x:c r="J81" s="3"/>
      <x:c r="K81" s="3"/>
      <x:c r="L81" s="3"/>
      <x:c r="M81" s="3"/>
      <x:c r="N81" s="3"/>
      <x:c r="O81" s="3"/>
      <x:c r="P81" s="19" t="str">
        <x:f>IF(A81="","",IF(COUNTIFS('Observations'!$A$7:$A$306,A81)&lt;&gt;1,"Duplicate ID",IF(COUNTIFS('Cases overview'!$A$7:$A$306,B81)&lt;&gt;1,"Invalid case ref",IF(AND(C81&lt;&gt;"",COUNTIFS('Plan versions'!$A$7:$A$306,C81,'Plan versions'!$B$7:$B$306,B81,'Plan versions'!$L$7:$L$306,"Frozen")&lt;&gt;1),"Invalid plan ref",IF(OR(NOT(ISNUMBER(F81)),M81=""),"Registration info missing",IF(AND(M81="Observed",OR(K81="",AND(NOT(ISNUMBER(G81)),J81=""))),"Observation/source missing",IF(AND(ISNUMBER(G81),H81=""),"Value/unit missing",IF(AND(N81&lt;&gt;"",OR(N81=A81,COUNTIFS('Observations'!$A$7:$A$306,N81,'Observations'!$B$7:$B$306,B81,'Observations'!$M$7:$M$306,"Corrected")&lt;&gt;1)),"Correction ref to check","Valid input"))))))))</x:f>
      </x:c>
    </x:row>
    <x:row r="82" ht="25" customHeight="1">
      <x:c r="A82" s="3"/>
      <x:c r="B82" s="3"/>
      <x:c r="C82" s="3"/>
      <x:c r="D82" s="3"/>
      <x:c r="E82" s="25"/>
      <x:c r="F82" s="25"/>
      <x:c r="G82" s="22"/>
      <x:c r="H82" s="3"/>
      <x:c r="I82" s="22"/>
      <x:c r="J82" s="3"/>
      <x:c r="K82" s="3"/>
      <x:c r="L82" s="3"/>
      <x:c r="M82" s="3"/>
      <x:c r="N82" s="3"/>
      <x:c r="O82" s="3"/>
      <x:c r="P82" s="19" t="str">
        <x:f>IF(A82="","",IF(COUNTIFS('Observations'!$A$7:$A$306,A82)&lt;&gt;1,"Duplicate ID",IF(COUNTIFS('Cases overview'!$A$7:$A$306,B82)&lt;&gt;1,"Invalid case ref",IF(AND(C82&lt;&gt;"",COUNTIFS('Plan versions'!$A$7:$A$306,C82,'Plan versions'!$B$7:$B$306,B82,'Plan versions'!$L$7:$L$306,"Frozen")&lt;&gt;1),"Invalid plan ref",IF(OR(NOT(ISNUMBER(F82)),M82=""),"Registration info missing",IF(AND(M82="Observed",OR(K82="",AND(NOT(ISNUMBER(G82)),J82=""))),"Observation/source missing",IF(AND(ISNUMBER(G82),H82=""),"Value/unit missing",IF(AND(N82&lt;&gt;"",OR(N82=A82,COUNTIFS('Observations'!$A$7:$A$306,N82,'Observations'!$B$7:$B$306,B82,'Observations'!$M$7:$M$306,"Corrected")&lt;&gt;1)),"Correction ref to check","Valid input"))))))))</x:f>
      </x:c>
    </x:row>
    <x:row r="83" ht="25" customHeight="1">
      <x:c r="A83" s="3"/>
      <x:c r="B83" s="3"/>
      <x:c r="C83" s="3"/>
      <x:c r="D83" s="3"/>
      <x:c r="E83" s="25"/>
      <x:c r="F83" s="25"/>
      <x:c r="G83" s="22"/>
      <x:c r="H83" s="3"/>
      <x:c r="I83" s="22"/>
      <x:c r="J83" s="3"/>
      <x:c r="K83" s="3"/>
      <x:c r="L83" s="3"/>
      <x:c r="M83" s="3"/>
      <x:c r="N83" s="3"/>
      <x:c r="O83" s="3"/>
      <x:c r="P83" s="19" t="str">
        <x:f>IF(A83="","",IF(COUNTIFS('Observations'!$A$7:$A$306,A83)&lt;&gt;1,"Duplicate ID",IF(COUNTIFS('Cases overview'!$A$7:$A$306,B83)&lt;&gt;1,"Invalid case ref",IF(AND(C83&lt;&gt;"",COUNTIFS('Plan versions'!$A$7:$A$306,C83,'Plan versions'!$B$7:$B$306,B83,'Plan versions'!$L$7:$L$306,"Frozen")&lt;&gt;1),"Invalid plan ref",IF(OR(NOT(ISNUMBER(F83)),M83=""),"Registration info missing",IF(AND(M83="Observed",OR(K83="",AND(NOT(ISNUMBER(G83)),J83=""))),"Observation/source missing",IF(AND(ISNUMBER(G83),H83=""),"Value/unit missing",IF(AND(N83&lt;&gt;"",OR(N83=A83,COUNTIFS('Observations'!$A$7:$A$306,N83,'Observations'!$B$7:$B$306,B83,'Observations'!$M$7:$M$306,"Corrected")&lt;&gt;1)),"Correction ref to check","Valid input"))))))))</x:f>
      </x:c>
    </x:row>
    <x:row r="84" ht="25" customHeight="1">
      <x:c r="A84" s="3"/>
      <x:c r="B84" s="3"/>
      <x:c r="C84" s="3"/>
      <x:c r="D84" s="3"/>
      <x:c r="E84" s="25"/>
      <x:c r="F84" s="25"/>
      <x:c r="G84" s="22"/>
      <x:c r="H84" s="3"/>
      <x:c r="I84" s="22"/>
      <x:c r="J84" s="3"/>
      <x:c r="K84" s="3"/>
      <x:c r="L84" s="3"/>
      <x:c r="M84" s="3"/>
      <x:c r="N84" s="3"/>
      <x:c r="O84" s="3"/>
      <x:c r="P84" s="19" t="str">
        <x:f>IF(A84="","",IF(COUNTIFS('Observations'!$A$7:$A$306,A84)&lt;&gt;1,"Duplicate ID",IF(COUNTIFS('Cases overview'!$A$7:$A$306,B84)&lt;&gt;1,"Invalid case ref",IF(AND(C84&lt;&gt;"",COUNTIFS('Plan versions'!$A$7:$A$306,C84,'Plan versions'!$B$7:$B$306,B84,'Plan versions'!$L$7:$L$306,"Frozen")&lt;&gt;1),"Invalid plan ref",IF(OR(NOT(ISNUMBER(F84)),M84=""),"Registration info missing",IF(AND(M84="Observed",OR(K84="",AND(NOT(ISNUMBER(G84)),J84=""))),"Observation/source missing",IF(AND(ISNUMBER(G84),H84=""),"Value/unit missing",IF(AND(N84&lt;&gt;"",OR(N84=A84,COUNTIFS('Observations'!$A$7:$A$306,N84,'Observations'!$B$7:$B$306,B84,'Observations'!$M$7:$M$306,"Corrected")&lt;&gt;1)),"Correction ref to check","Valid input"))))))))</x:f>
      </x:c>
    </x:row>
    <x:row r="85" ht="25" customHeight="1">
      <x:c r="A85" s="3"/>
      <x:c r="B85" s="3"/>
      <x:c r="C85" s="3"/>
      <x:c r="D85" s="3"/>
      <x:c r="E85" s="25"/>
      <x:c r="F85" s="25"/>
      <x:c r="G85" s="22"/>
      <x:c r="H85" s="3"/>
      <x:c r="I85" s="22"/>
      <x:c r="J85" s="3"/>
      <x:c r="K85" s="3"/>
      <x:c r="L85" s="3"/>
      <x:c r="M85" s="3"/>
      <x:c r="N85" s="3"/>
      <x:c r="O85" s="3"/>
      <x:c r="P85" s="19" t="str">
        <x:f>IF(A85="","",IF(COUNTIFS('Observations'!$A$7:$A$306,A85)&lt;&gt;1,"Duplicate ID",IF(COUNTIFS('Cases overview'!$A$7:$A$306,B85)&lt;&gt;1,"Invalid case ref",IF(AND(C85&lt;&gt;"",COUNTIFS('Plan versions'!$A$7:$A$306,C85,'Plan versions'!$B$7:$B$306,B85,'Plan versions'!$L$7:$L$306,"Frozen")&lt;&gt;1),"Invalid plan ref",IF(OR(NOT(ISNUMBER(F85)),M85=""),"Registration info missing",IF(AND(M85="Observed",OR(K85="",AND(NOT(ISNUMBER(G85)),J85=""))),"Observation/source missing",IF(AND(ISNUMBER(G85),H85=""),"Value/unit missing",IF(AND(N85&lt;&gt;"",OR(N85=A85,COUNTIFS('Observations'!$A$7:$A$306,N85,'Observations'!$B$7:$B$306,B85,'Observations'!$M$7:$M$306,"Corrected")&lt;&gt;1)),"Correction ref to check","Valid input"))))))))</x:f>
      </x:c>
    </x:row>
    <x:row r="86" ht="25" customHeight="1">
      <x:c r="A86" s="3"/>
      <x:c r="B86" s="3"/>
      <x:c r="C86" s="3"/>
      <x:c r="D86" s="3"/>
      <x:c r="E86" s="25"/>
      <x:c r="F86" s="25"/>
      <x:c r="G86" s="22"/>
      <x:c r="H86" s="3"/>
      <x:c r="I86" s="22"/>
      <x:c r="J86" s="3"/>
      <x:c r="K86" s="3"/>
      <x:c r="L86" s="3"/>
      <x:c r="M86" s="3"/>
      <x:c r="N86" s="3"/>
      <x:c r="O86" s="3"/>
      <x:c r="P86" s="19" t="str">
        <x:f>IF(A86="","",IF(COUNTIFS('Observations'!$A$7:$A$306,A86)&lt;&gt;1,"Duplicate ID",IF(COUNTIFS('Cases overview'!$A$7:$A$306,B86)&lt;&gt;1,"Invalid case ref",IF(AND(C86&lt;&gt;"",COUNTIFS('Plan versions'!$A$7:$A$306,C86,'Plan versions'!$B$7:$B$306,B86,'Plan versions'!$L$7:$L$306,"Frozen")&lt;&gt;1),"Invalid plan ref",IF(OR(NOT(ISNUMBER(F86)),M86=""),"Registration info missing",IF(AND(M86="Observed",OR(K86="",AND(NOT(ISNUMBER(G86)),J86=""))),"Observation/source missing",IF(AND(ISNUMBER(G86),H86=""),"Value/unit missing",IF(AND(N86&lt;&gt;"",OR(N86=A86,COUNTIFS('Observations'!$A$7:$A$306,N86,'Observations'!$B$7:$B$306,B86,'Observations'!$M$7:$M$306,"Corrected")&lt;&gt;1)),"Correction ref to check","Valid input"))))))))</x:f>
      </x:c>
    </x:row>
    <x:row r="87" ht="25" customHeight="1">
      <x:c r="A87" s="3"/>
      <x:c r="B87" s="3"/>
      <x:c r="C87" s="3"/>
      <x:c r="D87" s="3"/>
      <x:c r="E87" s="25"/>
      <x:c r="F87" s="25"/>
      <x:c r="G87" s="22"/>
      <x:c r="H87" s="3"/>
      <x:c r="I87" s="22"/>
      <x:c r="J87" s="3"/>
      <x:c r="K87" s="3"/>
      <x:c r="L87" s="3"/>
      <x:c r="M87" s="3"/>
      <x:c r="N87" s="3"/>
      <x:c r="O87" s="3"/>
      <x:c r="P87" s="19" t="str">
        <x:f>IF(A87="","",IF(COUNTIFS('Observations'!$A$7:$A$306,A87)&lt;&gt;1,"Duplicate ID",IF(COUNTIFS('Cases overview'!$A$7:$A$306,B87)&lt;&gt;1,"Invalid case ref",IF(AND(C87&lt;&gt;"",COUNTIFS('Plan versions'!$A$7:$A$306,C87,'Plan versions'!$B$7:$B$306,B87,'Plan versions'!$L$7:$L$306,"Frozen")&lt;&gt;1),"Invalid plan ref",IF(OR(NOT(ISNUMBER(F87)),M87=""),"Registration info missing",IF(AND(M87="Observed",OR(K87="",AND(NOT(ISNUMBER(G87)),J87=""))),"Observation/source missing",IF(AND(ISNUMBER(G87),H87=""),"Value/unit missing",IF(AND(N87&lt;&gt;"",OR(N87=A87,COUNTIFS('Observations'!$A$7:$A$306,N87,'Observations'!$B$7:$B$306,B87,'Observations'!$M$7:$M$306,"Corrected")&lt;&gt;1)),"Correction ref to check","Valid input"))))))))</x:f>
      </x:c>
    </x:row>
    <x:row r="88" ht="25" customHeight="1">
      <x:c r="A88" s="3"/>
      <x:c r="B88" s="3"/>
      <x:c r="C88" s="3"/>
      <x:c r="D88" s="3"/>
      <x:c r="E88" s="25"/>
      <x:c r="F88" s="25"/>
      <x:c r="G88" s="22"/>
      <x:c r="H88" s="3"/>
      <x:c r="I88" s="22"/>
      <x:c r="J88" s="3"/>
      <x:c r="K88" s="3"/>
      <x:c r="L88" s="3"/>
      <x:c r="M88" s="3"/>
      <x:c r="N88" s="3"/>
      <x:c r="O88" s="3"/>
      <x:c r="P88" s="19" t="str">
        <x:f>IF(A88="","",IF(COUNTIFS('Observations'!$A$7:$A$306,A88)&lt;&gt;1,"Duplicate ID",IF(COUNTIFS('Cases overview'!$A$7:$A$306,B88)&lt;&gt;1,"Invalid case ref",IF(AND(C88&lt;&gt;"",COUNTIFS('Plan versions'!$A$7:$A$306,C88,'Plan versions'!$B$7:$B$306,B88,'Plan versions'!$L$7:$L$306,"Frozen")&lt;&gt;1),"Invalid plan ref",IF(OR(NOT(ISNUMBER(F88)),M88=""),"Registration info missing",IF(AND(M88="Observed",OR(K88="",AND(NOT(ISNUMBER(G88)),J88=""))),"Observation/source missing",IF(AND(ISNUMBER(G88),H88=""),"Value/unit missing",IF(AND(N88&lt;&gt;"",OR(N88=A88,COUNTIFS('Observations'!$A$7:$A$306,N88,'Observations'!$B$7:$B$306,B88,'Observations'!$M$7:$M$306,"Corrected")&lt;&gt;1)),"Correction ref to check","Valid input"))))))))</x:f>
      </x:c>
    </x:row>
    <x:row r="89" ht="25" customHeight="1">
      <x:c r="A89" s="3"/>
      <x:c r="B89" s="3"/>
      <x:c r="C89" s="3"/>
      <x:c r="D89" s="3"/>
      <x:c r="E89" s="25"/>
      <x:c r="F89" s="25"/>
      <x:c r="G89" s="22"/>
      <x:c r="H89" s="3"/>
      <x:c r="I89" s="22"/>
      <x:c r="J89" s="3"/>
      <x:c r="K89" s="3"/>
      <x:c r="L89" s="3"/>
      <x:c r="M89" s="3"/>
      <x:c r="N89" s="3"/>
      <x:c r="O89" s="3"/>
      <x:c r="P89" s="19" t="str">
        <x:f>IF(A89="","",IF(COUNTIFS('Observations'!$A$7:$A$306,A89)&lt;&gt;1,"Duplicate ID",IF(COUNTIFS('Cases overview'!$A$7:$A$306,B89)&lt;&gt;1,"Invalid case ref",IF(AND(C89&lt;&gt;"",COUNTIFS('Plan versions'!$A$7:$A$306,C89,'Plan versions'!$B$7:$B$306,B89,'Plan versions'!$L$7:$L$306,"Frozen")&lt;&gt;1),"Invalid plan ref",IF(OR(NOT(ISNUMBER(F89)),M89=""),"Registration info missing",IF(AND(M89="Observed",OR(K89="",AND(NOT(ISNUMBER(G89)),J89=""))),"Observation/source missing",IF(AND(ISNUMBER(G89),H89=""),"Value/unit missing",IF(AND(N89&lt;&gt;"",OR(N89=A89,COUNTIFS('Observations'!$A$7:$A$306,N89,'Observations'!$B$7:$B$306,B89,'Observations'!$M$7:$M$306,"Corrected")&lt;&gt;1)),"Correction ref to check","Valid input"))))))))</x:f>
      </x:c>
    </x:row>
    <x:row r="90" ht="25" customHeight="1">
      <x:c r="A90" s="3"/>
      <x:c r="B90" s="3"/>
      <x:c r="C90" s="3"/>
      <x:c r="D90" s="3"/>
      <x:c r="E90" s="25"/>
      <x:c r="F90" s="25"/>
      <x:c r="G90" s="22"/>
      <x:c r="H90" s="3"/>
      <x:c r="I90" s="22"/>
      <x:c r="J90" s="3"/>
      <x:c r="K90" s="3"/>
      <x:c r="L90" s="3"/>
      <x:c r="M90" s="3"/>
      <x:c r="N90" s="3"/>
      <x:c r="O90" s="3"/>
      <x:c r="P90" s="19" t="str">
        <x:f>IF(A90="","",IF(COUNTIFS('Observations'!$A$7:$A$306,A90)&lt;&gt;1,"Duplicate ID",IF(COUNTIFS('Cases overview'!$A$7:$A$306,B90)&lt;&gt;1,"Invalid case ref",IF(AND(C90&lt;&gt;"",COUNTIFS('Plan versions'!$A$7:$A$306,C90,'Plan versions'!$B$7:$B$306,B90,'Plan versions'!$L$7:$L$306,"Frozen")&lt;&gt;1),"Invalid plan ref",IF(OR(NOT(ISNUMBER(F90)),M90=""),"Registration info missing",IF(AND(M90="Observed",OR(K90="",AND(NOT(ISNUMBER(G90)),J90=""))),"Observation/source missing",IF(AND(ISNUMBER(G90),H90=""),"Value/unit missing",IF(AND(N90&lt;&gt;"",OR(N90=A90,COUNTIFS('Observations'!$A$7:$A$306,N90,'Observations'!$B$7:$B$306,B90,'Observations'!$M$7:$M$306,"Corrected")&lt;&gt;1)),"Correction ref to check","Valid input"))))))))</x:f>
      </x:c>
    </x:row>
    <x:row r="91" ht="25" customHeight="1">
      <x:c r="A91" s="3"/>
      <x:c r="B91" s="3"/>
      <x:c r="C91" s="3"/>
      <x:c r="D91" s="3"/>
      <x:c r="E91" s="25"/>
      <x:c r="F91" s="25"/>
      <x:c r="G91" s="22"/>
      <x:c r="H91" s="3"/>
      <x:c r="I91" s="22"/>
      <x:c r="J91" s="3"/>
      <x:c r="K91" s="3"/>
      <x:c r="L91" s="3"/>
      <x:c r="M91" s="3"/>
      <x:c r="N91" s="3"/>
      <x:c r="O91" s="3"/>
      <x:c r="P91" s="19" t="str">
        <x:f>IF(A91="","",IF(COUNTIFS('Observations'!$A$7:$A$306,A91)&lt;&gt;1,"Duplicate ID",IF(COUNTIFS('Cases overview'!$A$7:$A$306,B91)&lt;&gt;1,"Invalid case ref",IF(AND(C91&lt;&gt;"",COUNTIFS('Plan versions'!$A$7:$A$306,C91,'Plan versions'!$B$7:$B$306,B91,'Plan versions'!$L$7:$L$306,"Frozen")&lt;&gt;1),"Invalid plan ref",IF(OR(NOT(ISNUMBER(F91)),M91=""),"Registration info missing",IF(AND(M91="Observed",OR(K91="",AND(NOT(ISNUMBER(G91)),J91=""))),"Observation/source missing",IF(AND(ISNUMBER(G91),H91=""),"Value/unit missing",IF(AND(N91&lt;&gt;"",OR(N91=A91,COUNTIFS('Observations'!$A$7:$A$306,N91,'Observations'!$B$7:$B$306,B91,'Observations'!$M$7:$M$306,"Corrected")&lt;&gt;1)),"Correction ref to check","Valid input"))))))))</x:f>
      </x:c>
    </x:row>
    <x:row r="92" ht="25" customHeight="1">
      <x:c r="A92" s="3"/>
      <x:c r="B92" s="3"/>
      <x:c r="C92" s="3"/>
      <x:c r="D92" s="3"/>
      <x:c r="E92" s="25"/>
      <x:c r="F92" s="25"/>
      <x:c r="G92" s="22"/>
      <x:c r="H92" s="3"/>
      <x:c r="I92" s="22"/>
      <x:c r="J92" s="3"/>
      <x:c r="K92" s="3"/>
      <x:c r="L92" s="3"/>
      <x:c r="M92" s="3"/>
      <x:c r="N92" s="3"/>
      <x:c r="O92" s="3"/>
      <x:c r="P92" s="19" t="str">
        <x:f>IF(A92="","",IF(COUNTIFS('Observations'!$A$7:$A$306,A92)&lt;&gt;1,"Duplicate ID",IF(COUNTIFS('Cases overview'!$A$7:$A$306,B92)&lt;&gt;1,"Invalid case ref",IF(AND(C92&lt;&gt;"",COUNTIFS('Plan versions'!$A$7:$A$306,C92,'Plan versions'!$B$7:$B$306,B92,'Plan versions'!$L$7:$L$306,"Frozen")&lt;&gt;1),"Invalid plan ref",IF(OR(NOT(ISNUMBER(F92)),M92=""),"Registration info missing",IF(AND(M92="Observed",OR(K92="",AND(NOT(ISNUMBER(G92)),J92=""))),"Observation/source missing",IF(AND(ISNUMBER(G92),H92=""),"Value/unit missing",IF(AND(N92&lt;&gt;"",OR(N92=A92,COUNTIFS('Observations'!$A$7:$A$306,N92,'Observations'!$B$7:$B$306,B92,'Observations'!$M$7:$M$306,"Corrected")&lt;&gt;1)),"Correction ref to check","Valid input"))))))))</x:f>
      </x:c>
    </x:row>
    <x:row r="93" ht="25" customHeight="1">
      <x:c r="A93" s="3"/>
      <x:c r="B93" s="3"/>
      <x:c r="C93" s="3"/>
      <x:c r="D93" s="3"/>
      <x:c r="E93" s="25"/>
      <x:c r="F93" s="25"/>
      <x:c r="G93" s="22"/>
      <x:c r="H93" s="3"/>
      <x:c r="I93" s="22"/>
      <x:c r="J93" s="3"/>
      <x:c r="K93" s="3"/>
      <x:c r="L93" s="3"/>
      <x:c r="M93" s="3"/>
      <x:c r="N93" s="3"/>
      <x:c r="O93" s="3"/>
      <x:c r="P93" s="19" t="str">
        <x:f>IF(A93="","",IF(COUNTIFS('Observations'!$A$7:$A$306,A93)&lt;&gt;1,"Duplicate ID",IF(COUNTIFS('Cases overview'!$A$7:$A$306,B93)&lt;&gt;1,"Invalid case ref",IF(AND(C93&lt;&gt;"",COUNTIFS('Plan versions'!$A$7:$A$306,C93,'Plan versions'!$B$7:$B$306,B93,'Plan versions'!$L$7:$L$306,"Frozen")&lt;&gt;1),"Invalid plan ref",IF(OR(NOT(ISNUMBER(F93)),M93=""),"Registration info missing",IF(AND(M93="Observed",OR(K93="",AND(NOT(ISNUMBER(G93)),J93=""))),"Observation/source missing",IF(AND(ISNUMBER(G93),H93=""),"Value/unit missing",IF(AND(N93&lt;&gt;"",OR(N93=A93,COUNTIFS('Observations'!$A$7:$A$306,N93,'Observations'!$B$7:$B$306,B93,'Observations'!$M$7:$M$306,"Corrected")&lt;&gt;1)),"Correction ref to check","Valid input"))))))))</x:f>
      </x:c>
    </x:row>
    <x:row r="94" ht="25" customHeight="1">
      <x:c r="A94" s="3"/>
      <x:c r="B94" s="3"/>
      <x:c r="C94" s="3"/>
      <x:c r="D94" s="3"/>
      <x:c r="E94" s="25"/>
      <x:c r="F94" s="25"/>
      <x:c r="G94" s="22"/>
      <x:c r="H94" s="3"/>
      <x:c r="I94" s="22"/>
      <x:c r="J94" s="3"/>
      <x:c r="K94" s="3"/>
      <x:c r="L94" s="3"/>
      <x:c r="M94" s="3"/>
      <x:c r="N94" s="3"/>
      <x:c r="O94" s="3"/>
      <x:c r="P94" s="19" t="str">
        <x:f>IF(A94="","",IF(COUNTIFS('Observations'!$A$7:$A$306,A94)&lt;&gt;1,"Duplicate ID",IF(COUNTIFS('Cases overview'!$A$7:$A$306,B94)&lt;&gt;1,"Invalid case ref",IF(AND(C94&lt;&gt;"",COUNTIFS('Plan versions'!$A$7:$A$306,C94,'Plan versions'!$B$7:$B$306,B94,'Plan versions'!$L$7:$L$306,"Frozen")&lt;&gt;1),"Invalid plan ref",IF(OR(NOT(ISNUMBER(F94)),M94=""),"Registration info missing",IF(AND(M94="Observed",OR(K94="",AND(NOT(ISNUMBER(G94)),J94=""))),"Observation/source missing",IF(AND(ISNUMBER(G94),H94=""),"Value/unit missing",IF(AND(N94&lt;&gt;"",OR(N94=A94,COUNTIFS('Observations'!$A$7:$A$306,N94,'Observations'!$B$7:$B$306,B94,'Observations'!$M$7:$M$306,"Corrected")&lt;&gt;1)),"Correction ref to check","Valid input"))))))))</x:f>
      </x:c>
    </x:row>
    <x:row r="95" ht="25" customHeight="1">
      <x:c r="A95" s="3"/>
      <x:c r="B95" s="3"/>
      <x:c r="C95" s="3"/>
      <x:c r="D95" s="3"/>
      <x:c r="E95" s="25"/>
      <x:c r="F95" s="25"/>
      <x:c r="G95" s="22"/>
      <x:c r="H95" s="3"/>
      <x:c r="I95" s="22"/>
      <x:c r="J95" s="3"/>
      <x:c r="K95" s="3"/>
      <x:c r="L95" s="3"/>
      <x:c r="M95" s="3"/>
      <x:c r="N95" s="3"/>
      <x:c r="O95" s="3"/>
      <x:c r="P95" s="19" t="str">
        <x:f>IF(A95="","",IF(COUNTIFS('Observations'!$A$7:$A$306,A95)&lt;&gt;1,"Duplicate ID",IF(COUNTIFS('Cases overview'!$A$7:$A$306,B95)&lt;&gt;1,"Invalid case ref",IF(AND(C95&lt;&gt;"",COUNTIFS('Plan versions'!$A$7:$A$306,C95,'Plan versions'!$B$7:$B$306,B95,'Plan versions'!$L$7:$L$306,"Frozen")&lt;&gt;1),"Invalid plan ref",IF(OR(NOT(ISNUMBER(F95)),M95=""),"Registration info missing",IF(AND(M95="Observed",OR(K95="",AND(NOT(ISNUMBER(G95)),J95=""))),"Observation/source missing",IF(AND(ISNUMBER(G95),H95=""),"Value/unit missing",IF(AND(N95&lt;&gt;"",OR(N95=A95,COUNTIFS('Observations'!$A$7:$A$306,N95,'Observations'!$B$7:$B$306,B95,'Observations'!$M$7:$M$306,"Corrected")&lt;&gt;1)),"Correction ref to check","Valid input"))))))))</x:f>
      </x:c>
    </x:row>
    <x:row r="96" ht="25" customHeight="1">
      <x:c r="A96" s="3"/>
      <x:c r="B96" s="3"/>
      <x:c r="C96" s="3"/>
      <x:c r="D96" s="3"/>
      <x:c r="E96" s="25"/>
      <x:c r="F96" s="25"/>
      <x:c r="G96" s="22"/>
      <x:c r="H96" s="3"/>
      <x:c r="I96" s="22"/>
      <x:c r="J96" s="3"/>
      <x:c r="K96" s="3"/>
      <x:c r="L96" s="3"/>
      <x:c r="M96" s="3"/>
      <x:c r="N96" s="3"/>
      <x:c r="O96" s="3"/>
      <x:c r="P96" s="19" t="str">
        <x:f>IF(A96="","",IF(COUNTIFS('Observations'!$A$7:$A$306,A96)&lt;&gt;1,"Duplicate ID",IF(COUNTIFS('Cases overview'!$A$7:$A$306,B96)&lt;&gt;1,"Invalid case ref",IF(AND(C96&lt;&gt;"",COUNTIFS('Plan versions'!$A$7:$A$306,C96,'Plan versions'!$B$7:$B$306,B96,'Plan versions'!$L$7:$L$306,"Frozen")&lt;&gt;1),"Invalid plan ref",IF(OR(NOT(ISNUMBER(F96)),M96=""),"Registration info missing",IF(AND(M96="Observed",OR(K96="",AND(NOT(ISNUMBER(G96)),J96=""))),"Observation/source missing",IF(AND(ISNUMBER(G96),H96=""),"Value/unit missing",IF(AND(N96&lt;&gt;"",OR(N96=A96,COUNTIFS('Observations'!$A$7:$A$306,N96,'Observations'!$B$7:$B$306,B96,'Observations'!$M$7:$M$306,"Corrected")&lt;&gt;1)),"Correction ref to check","Valid input"))))))))</x:f>
      </x:c>
    </x:row>
    <x:row r="97" ht="25" customHeight="1">
      <x:c r="A97" s="3"/>
      <x:c r="B97" s="3"/>
      <x:c r="C97" s="3"/>
      <x:c r="D97" s="3"/>
      <x:c r="E97" s="25"/>
      <x:c r="F97" s="25"/>
      <x:c r="G97" s="22"/>
      <x:c r="H97" s="3"/>
      <x:c r="I97" s="22"/>
      <x:c r="J97" s="3"/>
      <x:c r="K97" s="3"/>
      <x:c r="L97" s="3"/>
      <x:c r="M97" s="3"/>
      <x:c r="N97" s="3"/>
      <x:c r="O97" s="3"/>
      <x:c r="P97" s="19" t="str">
        <x:f>IF(A97="","",IF(COUNTIFS('Observations'!$A$7:$A$306,A97)&lt;&gt;1,"Duplicate ID",IF(COUNTIFS('Cases overview'!$A$7:$A$306,B97)&lt;&gt;1,"Invalid case ref",IF(AND(C97&lt;&gt;"",COUNTIFS('Plan versions'!$A$7:$A$306,C97,'Plan versions'!$B$7:$B$306,B97,'Plan versions'!$L$7:$L$306,"Frozen")&lt;&gt;1),"Invalid plan ref",IF(OR(NOT(ISNUMBER(F97)),M97=""),"Registration info missing",IF(AND(M97="Observed",OR(K97="",AND(NOT(ISNUMBER(G97)),J97=""))),"Observation/source missing",IF(AND(ISNUMBER(G97),H97=""),"Value/unit missing",IF(AND(N97&lt;&gt;"",OR(N97=A97,COUNTIFS('Observations'!$A$7:$A$306,N97,'Observations'!$B$7:$B$306,B97,'Observations'!$M$7:$M$306,"Corrected")&lt;&gt;1)),"Correction ref to check","Valid input"))))))))</x:f>
      </x:c>
    </x:row>
    <x:row r="98" ht="25" customHeight="1">
      <x:c r="A98" s="3"/>
      <x:c r="B98" s="3"/>
      <x:c r="C98" s="3"/>
      <x:c r="D98" s="3"/>
      <x:c r="E98" s="25"/>
      <x:c r="F98" s="25"/>
      <x:c r="G98" s="22"/>
      <x:c r="H98" s="3"/>
      <x:c r="I98" s="22"/>
      <x:c r="J98" s="3"/>
      <x:c r="K98" s="3"/>
      <x:c r="L98" s="3"/>
      <x:c r="M98" s="3"/>
      <x:c r="N98" s="3"/>
      <x:c r="O98" s="3"/>
      <x:c r="P98" s="19" t="str">
        <x:f>IF(A98="","",IF(COUNTIFS('Observations'!$A$7:$A$306,A98)&lt;&gt;1,"Duplicate ID",IF(COUNTIFS('Cases overview'!$A$7:$A$306,B98)&lt;&gt;1,"Invalid case ref",IF(AND(C98&lt;&gt;"",COUNTIFS('Plan versions'!$A$7:$A$306,C98,'Plan versions'!$B$7:$B$306,B98,'Plan versions'!$L$7:$L$306,"Frozen")&lt;&gt;1),"Invalid plan ref",IF(OR(NOT(ISNUMBER(F98)),M98=""),"Registration info missing",IF(AND(M98="Observed",OR(K98="",AND(NOT(ISNUMBER(G98)),J98=""))),"Observation/source missing",IF(AND(ISNUMBER(G98),H98=""),"Value/unit missing",IF(AND(N98&lt;&gt;"",OR(N98=A98,COUNTIFS('Observations'!$A$7:$A$306,N98,'Observations'!$B$7:$B$306,B98,'Observations'!$M$7:$M$306,"Corrected")&lt;&gt;1)),"Correction ref to check","Valid input"))))))))</x:f>
      </x:c>
    </x:row>
    <x:row r="99" ht="25" customHeight="1">
      <x:c r="A99" s="3"/>
      <x:c r="B99" s="3"/>
      <x:c r="C99" s="3"/>
      <x:c r="D99" s="3"/>
      <x:c r="E99" s="25"/>
      <x:c r="F99" s="25"/>
      <x:c r="G99" s="22"/>
      <x:c r="H99" s="3"/>
      <x:c r="I99" s="22"/>
      <x:c r="J99" s="3"/>
      <x:c r="K99" s="3"/>
      <x:c r="L99" s="3"/>
      <x:c r="M99" s="3"/>
      <x:c r="N99" s="3"/>
      <x:c r="O99" s="3"/>
      <x:c r="P99" s="19" t="str">
        <x:f>IF(A99="","",IF(COUNTIFS('Observations'!$A$7:$A$306,A99)&lt;&gt;1,"Duplicate ID",IF(COUNTIFS('Cases overview'!$A$7:$A$306,B99)&lt;&gt;1,"Invalid case ref",IF(AND(C99&lt;&gt;"",COUNTIFS('Plan versions'!$A$7:$A$306,C99,'Plan versions'!$B$7:$B$306,B99,'Plan versions'!$L$7:$L$306,"Frozen")&lt;&gt;1),"Invalid plan ref",IF(OR(NOT(ISNUMBER(F99)),M99=""),"Registration info missing",IF(AND(M99="Observed",OR(K99="",AND(NOT(ISNUMBER(G99)),J99=""))),"Observation/source missing",IF(AND(ISNUMBER(G99),H99=""),"Value/unit missing",IF(AND(N99&lt;&gt;"",OR(N99=A99,COUNTIFS('Observations'!$A$7:$A$306,N99,'Observations'!$B$7:$B$306,B99,'Observations'!$M$7:$M$306,"Corrected")&lt;&gt;1)),"Correction ref to check","Valid input"))))))))</x:f>
      </x:c>
    </x:row>
    <x:row r="100" ht="25" customHeight="1">
      <x:c r="A100" s="3"/>
      <x:c r="B100" s="3"/>
      <x:c r="C100" s="3"/>
      <x:c r="D100" s="3"/>
      <x:c r="E100" s="25"/>
      <x:c r="F100" s="25"/>
      <x:c r="G100" s="22"/>
      <x:c r="H100" s="3"/>
      <x:c r="I100" s="22"/>
      <x:c r="J100" s="3"/>
      <x:c r="K100" s="3"/>
      <x:c r="L100" s="3"/>
      <x:c r="M100" s="3"/>
      <x:c r="N100" s="3"/>
      <x:c r="O100" s="3"/>
      <x:c r="P100" s="19" t="str">
        <x:f>IF(A100="","",IF(COUNTIFS('Observations'!$A$7:$A$306,A100)&lt;&gt;1,"Duplicate ID",IF(COUNTIFS('Cases overview'!$A$7:$A$306,B100)&lt;&gt;1,"Invalid case ref",IF(AND(C100&lt;&gt;"",COUNTIFS('Plan versions'!$A$7:$A$306,C100,'Plan versions'!$B$7:$B$306,B100,'Plan versions'!$L$7:$L$306,"Frozen")&lt;&gt;1),"Invalid plan ref",IF(OR(NOT(ISNUMBER(F100)),M100=""),"Registration info missing",IF(AND(M100="Observed",OR(K100="",AND(NOT(ISNUMBER(G100)),J100=""))),"Observation/source missing",IF(AND(ISNUMBER(G100),H100=""),"Value/unit missing",IF(AND(N100&lt;&gt;"",OR(N100=A100,COUNTIFS('Observations'!$A$7:$A$306,N100,'Observations'!$B$7:$B$306,B100,'Observations'!$M$7:$M$306,"Corrected")&lt;&gt;1)),"Correction ref to check","Valid input"))))))))</x:f>
      </x:c>
    </x:row>
    <x:row r="101" ht="25" customHeight="1">
      <x:c r="A101" s="3"/>
      <x:c r="B101" s="3"/>
      <x:c r="C101" s="3"/>
      <x:c r="D101" s="3"/>
      <x:c r="E101" s="25"/>
      <x:c r="F101" s="25"/>
      <x:c r="G101" s="22"/>
      <x:c r="H101" s="3"/>
      <x:c r="I101" s="22"/>
      <x:c r="J101" s="3"/>
      <x:c r="K101" s="3"/>
      <x:c r="L101" s="3"/>
      <x:c r="M101" s="3"/>
      <x:c r="N101" s="3"/>
      <x:c r="O101" s="3"/>
      <x:c r="P101" s="19" t="str">
        <x:f>IF(A101="","",IF(COUNTIFS('Observations'!$A$7:$A$306,A101)&lt;&gt;1,"Duplicate ID",IF(COUNTIFS('Cases overview'!$A$7:$A$306,B101)&lt;&gt;1,"Invalid case ref",IF(AND(C101&lt;&gt;"",COUNTIFS('Plan versions'!$A$7:$A$306,C101,'Plan versions'!$B$7:$B$306,B101,'Plan versions'!$L$7:$L$306,"Frozen")&lt;&gt;1),"Invalid plan ref",IF(OR(NOT(ISNUMBER(F101)),M101=""),"Registration info missing",IF(AND(M101="Observed",OR(K101="",AND(NOT(ISNUMBER(G101)),J101=""))),"Observation/source missing",IF(AND(ISNUMBER(G101),H101=""),"Value/unit missing",IF(AND(N101&lt;&gt;"",OR(N101=A101,COUNTIFS('Observations'!$A$7:$A$306,N101,'Observations'!$B$7:$B$306,B101,'Observations'!$M$7:$M$306,"Corrected")&lt;&gt;1)),"Correction ref to check","Valid input"))))))))</x:f>
      </x:c>
    </x:row>
    <x:row r="102" ht="25" customHeight="1">
      <x:c r="A102" s="3"/>
      <x:c r="B102" s="3"/>
      <x:c r="C102" s="3"/>
      <x:c r="D102" s="3"/>
      <x:c r="E102" s="25"/>
      <x:c r="F102" s="25"/>
      <x:c r="G102" s="22"/>
      <x:c r="H102" s="3"/>
      <x:c r="I102" s="22"/>
      <x:c r="J102" s="3"/>
      <x:c r="K102" s="3"/>
      <x:c r="L102" s="3"/>
      <x:c r="M102" s="3"/>
      <x:c r="N102" s="3"/>
      <x:c r="O102" s="3"/>
      <x:c r="P102" s="19" t="str">
        <x:f>IF(A102="","",IF(COUNTIFS('Observations'!$A$7:$A$306,A102)&lt;&gt;1,"Duplicate ID",IF(COUNTIFS('Cases overview'!$A$7:$A$306,B102)&lt;&gt;1,"Invalid case ref",IF(AND(C102&lt;&gt;"",COUNTIFS('Plan versions'!$A$7:$A$306,C102,'Plan versions'!$B$7:$B$306,B102,'Plan versions'!$L$7:$L$306,"Frozen")&lt;&gt;1),"Invalid plan ref",IF(OR(NOT(ISNUMBER(F102)),M102=""),"Registration info missing",IF(AND(M102="Observed",OR(K102="",AND(NOT(ISNUMBER(G102)),J102=""))),"Observation/source missing",IF(AND(ISNUMBER(G102),H102=""),"Value/unit missing",IF(AND(N102&lt;&gt;"",OR(N102=A102,COUNTIFS('Observations'!$A$7:$A$306,N102,'Observations'!$B$7:$B$306,B102,'Observations'!$M$7:$M$306,"Corrected")&lt;&gt;1)),"Correction ref to check","Valid input"))))))))</x:f>
      </x:c>
    </x:row>
    <x:row r="103" ht="25" customHeight="1">
      <x:c r="A103" s="3"/>
      <x:c r="B103" s="3"/>
      <x:c r="C103" s="3"/>
      <x:c r="D103" s="3"/>
      <x:c r="E103" s="25"/>
      <x:c r="F103" s="25"/>
      <x:c r="G103" s="22"/>
      <x:c r="H103" s="3"/>
      <x:c r="I103" s="22"/>
      <x:c r="J103" s="3"/>
      <x:c r="K103" s="3"/>
      <x:c r="L103" s="3"/>
      <x:c r="M103" s="3"/>
      <x:c r="N103" s="3"/>
      <x:c r="O103" s="3"/>
      <x:c r="P103" s="19" t="str">
        <x:f>IF(A103="","",IF(COUNTIFS('Observations'!$A$7:$A$306,A103)&lt;&gt;1,"Duplicate ID",IF(COUNTIFS('Cases overview'!$A$7:$A$306,B103)&lt;&gt;1,"Invalid case ref",IF(AND(C103&lt;&gt;"",COUNTIFS('Plan versions'!$A$7:$A$306,C103,'Plan versions'!$B$7:$B$306,B103,'Plan versions'!$L$7:$L$306,"Frozen")&lt;&gt;1),"Invalid plan ref",IF(OR(NOT(ISNUMBER(F103)),M103=""),"Registration info missing",IF(AND(M103="Observed",OR(K103="",AND(NOT(ISNUMBER(G103)),J103=""))),"Observation/source missing",IF(AND(ISNUMBER(G103),H103=""),"Value/unit missing",IF(AND(N103&lt;&gt;"",OR(N103=A103,COUNTIFS('Observations'!$A$7:$A$306,N103,'Observations'!$B$7:$B$306,B103,'Observations'!$M$7:$M$306,"Corrected")&lt;&gt;1)),"Correction ref to check","Valid input"))))))))</x:f>
      </x:c>
    </x:row>
    <x:row r="104" ht="25" customHeight="1">
      <x:c r="A104" s="3"/>
      <x:c r="B104" s="3"/>
      <x:c r="C104" s="3"/>
      <x:c r="D104" s="3"/>
      <x:c r="E104" s="25"/>
      <x:c r="F104" s="25"/>
      <x:c r="G104" s="22"/>
      <x:c r="H104" s="3"/>
      <x:c r="I104" s="22"/>
      <x:c r="J104" s="3"/>
      <x:c r="K104" s="3"/>
      <x:c r="L104" s="3"/>
      <x:c r="M104" s="3"/>
      <x:c r="N104" s="3"/>
      <x:c r="O104" s="3"/>
      <x:c r="P104" s="19" t="str">
        <x:f>IF(A104="","",IF(COUNTIFS('Observations'!$A$7:$A$306,A104)&lt;&gt;1,"Duplicate ID",IF(COUNTIFS('Cases overview'!$A$7:$A$306,B104)&lt;&gt;1,"Invalid case ref",IF(AND(C104&lt;&gt;"",COUNTIFS('Plan versions'!$A$7:$A$306,C104,'Plan versions'!$B$7:$B$306,B104,'Plan versions'!$L$7:$L$306,"Frozen")&lt;&gt;1),"Invalid plan ref",IF(OR(NOT(ISNUMBER(F104)),M104=""),"Registration info missing",IF(AND(M104="Observed",OR(K104="",AND(NOT(ISNUMBER(G104)),J104=""))),"Observation/source missing",IF(AND(ISNUMBER(G104),H104=""),"Value/unit missing",IF(AND(N104&lt;&gt;"",OR(N104=A104,COUNTIFS('Observations'!$A$7:$A$306,N104,'Observations'!$B$7:$B$306,B104,'Observations'!$M$7:$M$306,"Corrected")&lt;&gt;1)),"Correction ref to check","Valid input"))))))))</x:f>
      </x:c>
    </x:row>
    <x:row r="105" ht="25" customHeight="1">
      <x:c r="A105" s="3"/>
      <x:c r="B105" s="3"/>
      <x:c r="C105" s="3"/>
      <x:c r="D105" s="3"/>
      <x:c r="E105" s="25"/>
      <x:c r="F105" s="25"/>
      <x:c r="G105" s="22"/>
      <x:c r="H105" s="3"/>
      <x:c r="I105" s="22"/>
      <x:c r="J105" s="3"/>
      <x:c r="K105" s="3"/>
      <x:c r="L105" s="3"/>
      <x:c r="M105" s="3"/>
      <x:c r="N105" s="3"/>
      <x:c r="O105" s="3"/>
      <x:c r="P105" s="19" t="str">
        <x:f>IF(A105="","",IF(COUNTIFS('Observations'!$A$7:$A$306,A105)&lt;&gt;1,"Duplicate ID",IF(COUNTIFS('Cases overview'!$A$7:$A$306,B105)&lt;&gt;1,"Invalid case ref",IF(AND(C105&lt;&gt;"",COUNTIFS('Plan versions'!$A$7:$A$306,C105,'Plan versions'!$B$7:$B$306,B105,'Plan versions'!$L$7:$L$306,"Frozen")&lt;&gt;1),"Invalid plan ref",IF(OR(NOT(ISNUMBER(F105)),M105=""),"Registration info missing",IF(AND(M105="Observed",OR(K105="",AND(NOT(ISNUMBER(G105)),J105=""))),"Observation/source missing",IF(AND(ISNUMBER(G105),H105=""),"Value/unit missing",IF(AND(N105&lt;&gt;"",OR(N105=A105,COUNTIFS('Observations'!$A$7:$A$306,N105,'Observations'!$B$7:$B$306,B105,'Observations'!$M$7:$M$306,"Corrected")&lt;&gt;1)),"Correction ref to check","Valid input"))))))))</x:f>
      </x:c>
    </x:row>
    <x:row r="106" ht="25" customHeight="1">
      <x:c r="A106" s="3"/>
      <x:c r="B106" s="3"/>
      <x:c r="C106" s="3"/>
      <x:c r="D106" s="3"/>
      <x:c r="E106" s="25"/>
      <x:c r="F106" s="25"/>
      <x:c r="G106" s="22"/>
      <x:c r="H106" s="3"/>
      <x:c r="I106" s="22"/>
      <x:c r="J106" s="3"/>
      <x:c r="K106" s="3"/>
      <x:c r="L106" s="3"/>
      <x:c r="M106" s="3"/>
      <x:c r="N106" s="3"/>
      <x:c r="O106" s="3"/>
      <x:c r="P106" s="19" t="str">
        <x:f>IF(A106="","",IF(COUNTIFS('Observations'!$A$7:$A$306,A106)&lt;&gt;1,"Duplicate ID",IF(COUNTIFS('Cases overview'!$A$7:$A$306,B106)&lt;&gt;1,"Invalid case ref",IF(AND(C106&lt;&gt;"",COUNTIFS('Plan versions'!$A$7:$A$306,C106,'Plan versions'!$B$7:$B$306,B106,'Plan versions'!$L$7:$L$306,"Frozen")&lt;&gt;1),"Invalid plan ref",IF(OR(NOT(ISNUMBER(F106)),M106=""),"Registration info missing",IF(AND(M106="Observed",OR(K106="",AND(NOT(ISNUMBER(G106)),J106=""))),"Observation/source missing",IF(AND(ISNUMBER(G106),H106=""),"Value/unit missing",IF(AND(N106&lt;&gt;"",OR(N106=A106,COUNTIFS('Observations'!$A$7:$A$306,N106,'Observations'!$B$7:$B$306,B106,'Observations'!$M$7:$M$306,"Corrected")&lt;&gt;1)),"Correction ref to check","Valid input"))))))))</x:f>
      </x:c>
    </x:row>
    <x:row r="107" ht="25" customHeight="1">
      <x:c r="A107" s="3"/>
      <x:c r="B107" s="3"/>
      <x:c r="C107" s="3"/>
      <x:c r="D107" s="3"/>
      <x:c r="E107" s="25"/>
      <x:c r="F107" s="25"/>
      <x:c r="G107" s="22"/>
      <x:c r="H107" s="3"/>
      <x:c r="I107" s="22"/>
      <x:c r="J107" s="3"/>
      <x:c r="K107" s="3"/>
      <x:c r="L107" s="3"/>
      <x:c r="M107" s="3"/>
      <x:c r="N107" s="3"/>
      <x:c r="O107" s="3"/>
      <x:c r="P107" s="19" t="str">
        <x:f>IF(A107="","",IF(COUNTIFS('Observations'!$A$7:$A$306,A107)&lt;&gt;1,"Duplicate ID",IF(COUNTIFS('Cases overview'!$A$7:$A$306,B107)&lt;&gt;1,"Invalid case ref",IF(AND(C107&lt;&gt;"",COUNTIFS('Plan versions'!$A$7:$A$306,C107,'Plan versions'!$B$7:$B$306,B107,'Plan versions'!$L$7:$L$306,"Frozen")&lt;&gt;1),"Invalid plan ref",IF(OR(NOT(ISNUMBER(F107)),M107=""),"Registration info missing",IF(AND(M107="Observed",OR(K107="",AND(NOT(ISNUMBER(G107)),J107=""))),"Observation/source missing",IF(AND(ISNUMBER(G107),H107=""),"Value/unit missing",IF(AND(N107&lt;&gt;"",OR(N107=A107,COUNTIFS('Observations'!$A$7:$A$306,N107,'Observations'!$B$7:$B$306,B107,'Observations'!$M$7:$M$306,"Corrected")&lt;&gt;1)),"Correction ref to check","Valid input"))))))))</x:f>
      </x:c>
    </x:row>
    <x:row r="108" ht="25" customHeight="1">
      <x:c r="A108" s="3"/>
      <x:c r="B108" s="3"/>
      <x:c r="C108" s="3"/>
      <x:c r="D108" s="3"/>
      <x:c r="E108" s="25"/>
      <x:c r="F108" s="25"/>
      <x:c r="G108" s="22"/>
      <x:c r="H108" s="3"/>
      <x:c r="I108" s="22"/>
      <x:c r="J108" s="3"/>
      <x:c r="K108" s="3"/>
      <x:c r="L108" s="3"/>
      <x:c r="M108" s="3"/>
      <x:c r="N108" s="3"/>
      <x:c r="O108" s="3"/>
      <x:c r="P108" s="19" t="str">
        <x:f>IF(A108="","",IF(COUNTIFS('Observations'!$A$7:$A$306,A108)&lt;&gt;1,"Duplicate ID",IF(COUNTIFS('Cases overview'!$A$7:$A$306,B108)&lt;&gt;1,"Invalid case ref",IF(AND(C108&lt;&gt;"",COUNTIFS('Plan versions'!$A$7:$A$306,C108,'Plan versions'!$B$7:$B$306,B108,'Plan versions'!$L$7:$L$306,"Frozen")&lt;&gt;1),"Invalid plan ref",IF(OR(NOT(ISNUMBER(F108)),M108=""),"Registration info missing",IF(AND(M108="Observed",OR(K108="",AND(NOT(ISNUMBER(G108)),J108=""))),"Observation/source missing",IF(AND(ISNUMBER(G108),H108=""),"Value/unit missing",IF(AND(N108&lt;&gt;"",OR(N108=A108,COUNTIFS('Observations'!$A$7:$A$306,N108,'Observations'!$B$7:$B$306,B108,'Observations'!$M$7:$M$306,"Corrected")&lt;&gt;1)),"Correction ref to check","Valid input"))))))))</x:f>
      </x:c>
    </x:row>
    <x:row r="109" ht="25" customHeight="1">
      <x:c r="A109" s="3"/>
      <x:c r="B109" s="3"/>
      <x:c r="C109" s="3"/>
      <x:c r="D109" s="3"/>
      <x:c r="E109" s="25"/>
      <x:c r="F109" s="25"/>
      <x:c r="G109" s="22"/>
      <x:c r="H109" s="3"/>
      <x:c r="I109" s="22"/>
      <x:c r="J109" s="3"/>
      <x:c r="K109" s="3"/>
      <x:c r="L109" s="3"/>
      <x:c r="M109" s="3"/>
      <x:c r="N109" s="3"/>
      <x:c r="O109" s="3"/>
      <x:c r="P109" s="19" t="str">
        <x:f>IF(A109="","",IF(COUNTIFS('Observations'!$A$7:$A$306,A109)&lt;&gt;1,"Duplicate ID",IF(COUNTIFS('Cases overview'!$A$7:$A$306,B109)&lt;&gt;1,"Invalid case ref",IF(AND(C109&lt;&gt;"",COUNTIFS('Plan versions'!$A$7:$A$306,C109,'Plan versions'!$B$7:$B$306,B109,'Plan versions'!$L$7:$L$306,"Frozen")&lt;&gt;1),"Invalid plan ref",IF(OR(NOT(ISNUMBER(F109)),M109=""),"Registration info missing",IF(AND(M109="Observed",OR(K109="",AND(NOT(ISNUMBER(G109)),J109=""))),"Observation/source missing",IF(AND(ISNUMBER(G109),H109=""),"Value/unit missing",IF(AND(N109&lt;&gt;"",OR(N109=A109,COUNTIFS('Observations'!$A$7:$A$306,N109,'Observations'!$B$7:$B$306,B109,'Observations'!$M$7:$M$306,"Corrected")&lt;&gt;1)),"Correction ref to check","Valid input"))))))))</x:f>
      </x:c>
    </x:row>
    <x:row r="110" ht="25" customHeight="1">
      <x:c r="A110" s="3"/>
      <x:c r="B110" s="3"/>
      <x:c r="C110" s="3"/>
      <x:c r="D110" s="3"/>
      <x:c r="E110" s="25"/>
      <x:c r="F110" s="25"/>
      <x:c r="G110" s="22"/>
      <x:c r="H110" s="3"/>
      <x:c r="I110" s="22"/>
      <x:c r="J110" s="3"/>
      <x:c r="K110" s="3"/>
      <x:c r="L110" s="3"/>
      <x:c r="M110" s="3"/>
      <x:c r="N110" s="3"/>
      <x:c r="O110" s="3"/>
      <x:c r="P110" s="19" t="str">
        <x:f>IF(A110="","",IF(COUNTIFS('Observations'!$A$7:$A$306,A110)&lt;&gt;1,"Duplicate ID",IF(COUNTIFS('Cases overview'!$A$7:$A$306,B110)&lt;&gt;1,"Invalid case ref",IF(AND(C110&lt;&gt;"",COUNTIFS('Plan versions'!$A$7:$A$306,C110,'Plan versions'!$B$7:$B$306,B110,'Plan versions'!$L$7:$L$306,"Frozen")&lt;&gt;1),"Invalid plan ref",IF(OR(NOT(ISNUMBER(F110)),M110=""),"Registration info missing",IF(AND(M110="Observed",OR(K110="",AND(NOT(ISNUMBER(G110)),J110=""))),"Observation/source missing",IF(AND(ISNUMBER(G110),H110=""),"Value/unit missing",IF(AND(N110&lt;&gt;"",OR(N110=A110,COUNTIFS('Observations'!$A$7:$A$306,N110,'Observations'!$B$7:$B$306,B110,'Observations'!$M$7:$M$306,"Corrected")&lt;&gt;1)),"Correction ref to check","Valid input"))))))))</x:f>
      </x:c>
    </x:row>
    <x:row r="111" ht="25" customHeight="1">
      <x:c r="A111" s="3"/>
      <x:c r="B111" s="3"/>
      <x:c r="C111" s="3"/>
      <x:c r="D111" s="3"/>
      <x:c r="E111" s="25"/>
      <x:c r="F111" s="25"/>
      <x:c r="G111" s="22"/>
      <x:c r="H111" s="3"/>
      <x:c r="I111" s="22"/>
      <x:c r="J111" s="3"/>
      <x:c r="K111" s="3"/>
      <x:c r="L111" s="3"/>
      <x:c r="M111" s="3"/>
      <x:c r="N111" s="3"/>
      <x:c r="O111" s="3"/>
      <x:c r="P111" s="19" t="str">
        <x:f>IF(A111="","",IF(COUNTIFS('Observations'!$A$7:$A$306,A111)&lt;&gt;1,"Duplicate ID",IF(COUNTIFS('Cases overview'!$A$7:$A$306,B111)&lt;&gt;1,"Invalid case ref",IF(AND(C111&lt;&gt;"",COUNTIFS('Plan versions'!$A$7:$A$306,C111,'Plan versions'!$B$7:$B$306,B111,'Plan versions'!$L$7:$L$306,"Frozen")&lt;&gt;1),"Invalid plan ref",IF(OR(NOT(ISNUMBER(F111)),M111=""),"Registration info missing",IF(AND(M111="Observed",OR(K111="",AND(NOT(ISNUMBER(G111)),J111=""))),"Observation/source missing",IF(AND(ISNUMBER(G111),H111=""),"Value/unit missing",IF(AND(N111&lt;&gt;"",OR(N111=A111,COUNTIFS('Observations'!$A$7:$A$306,N111,'Observations'!$B$7:$B$306,B111,'Observations'!$M$7:$M$306,"Corrected")&lt;&gt;1)),"Correction ref to check","Valid input"))))))))</x:f>
      </x:c>
    </x:row>
    <x:row r="112" ht="25" customHeight="1">
      <x:c r="A112" s="3"/>
      <x:c r="B112" s="3"/>
      <x:c r="C112" s="3"/>
      <x:c r="D112" s="3"/>
      <x:c r="E112" s="25"/>
      <x:c r="F112" s="25"/>
      <x:c r="G112" s="22"/>
      <x:c r="H112" s="3"/>
      <x:c r="I112" s="22"/>
      <x:c r="J112" s="3"/>
      <x:c r="K112" s="3"/>
      <x:c r="L112" s="3"/>
      <x:c r="M112" s="3"/>
      <x:c r="N112" s="3"/>
      <x:c r="O112" s="3"/>
      <x:c r="P112" s="19" t="str">
        <x:f>IF(A112="","",IF(COUNTIFS('Observations'!$A$7:$A$306,A112)&lt;&gt;1,"Duplicate ID",IF(COUNTIFS('Cases overview'!$A$7:$A$306,B112)&lt;&gt;1,"Invalid case ref",IF(AND(C112&lt;&gt;"",COUNTIFS('Plan versions'!$A$7:$A$306,C112,'Plan versions'!$B$7:$B$306,B112,'Plan versions'!$L$7:$L$306,"Frozen")&lt;&gt;1),"Invalid plan ref",IF(OR(NOT(ISNUMBER(F112)),M112=""),"Registration info missing",IF(AND(M112="Observed",OR(K112="",AND(NOT(ISNUMBER(G112)),J112=""))),"Observation/source missing",IF(AND(ISNUMBER(G112),H112=""),"Value/unit missing",IF(AND(N112&lt;&gt;"",OR(N112=A112,COUNTIFS('Observations'!$A$7:$A$306,N112,'Observations'!$B$7:$B$306,B112,'Observations'!$M$7:$M$306,"Corrected")&lt;&gt;1)),"Correction ref to check","Valid input"))))))))</x:f>
      </x:c>
    </x:row>
    <x:row r="113" ht="25" customHeight="1">
      <x:c r="A113" s="3"/>
      <x:c r="B113" s="3"/>
      <x:c r="C113" s="3"/>
      <x:c r="D113" s="3"/>
      <x:c r="E113" s="25"/>
      <x:c r="F113" s="25"/>
      <x:c r="G113" s="22"/>
      <x:c r="H113" s="3"/>
      <x:c r="I113" s="22"/>
      <x:c r="J113" s="3"/>
      <x:c r="K113" s="3"/>
      <x:c r="L113" s="3"/>
      <x:c r="M113" s="3"/>
      <x:c r="N113" s="3"/>
      <x:c r="O113" s="3"/>
      <x:c r="P113" s="19" t="str">
        <x:f>IF(A113="","",IF(COUNTIFS('Observations'!$A$7:$A$306,A113)&lt;&gt;1,"Duplicate ID",IF(COUNTIFS('Cases overview'!$A$7:$A$306,B113)&lt;&gt;1,"Invalid case ref",IF(AND(C113&lt;&gt;"",COUNTIFS('Plan versions'!$A$7:$A$306,C113,'Plan versions'!$B$7:$B$306,B113,'Plan versions'!$L$7:$L$306,"Frozen")&lt;&gt;1),"Invalid plan ref",IF(OR(NOT(ISNUMBER(F113)),M113=""),"Registration info missing",IF(AND(M113="Observed",OR(K113="",AND(NOT(ISNUMBER(G113)),J113=""))),"Observation/source missing",IF(AND(ISNUMBER(G113),H113=""),"Value/unit missing",IF(AND(N113&lt;&gt;"",OR(N113=A113,COUNTIFS('Observations'!$A$7:$A$306,N113,'Observations'!$B$7:$B$306,B113,'Observations'!$M$7:$M$306,"Corrected")&lt;&gt;1)),"Correction ref to check","Valid input"))))))))</x:f>
      </x:c>
    </x:row>
    <x:row r="114" ht="25" customHeight="1">
      <x:c r="A114" s="3"/>
      <x:c r="B114" s="3"/>
      <x:c r="C114" s="3"/>
      <x:c r="D114" s="3"/>
      <x:c r="E114" s="25"/>
      <x:c r="F114" s="25"/>
      <x:c r="G114" s="22"/>
      <x:c r="H114" s="3"/>
      <x:c r="I114" s="22"/>
      <x:c r="J114" s="3"/>
      <x:c r="K114" s="3"/>
      <x:c r="L114" s="3"/>
      <x:c r="M114" s="3"/>
      <x:c r="N114" s="3"/>
      <x:c r="O114" s="3"/>
      <x:c r="P114" s="19" t="str">
        <x:f>IF(A114="","",IF(COUNTIFS('Observations'!$A$7:$A$306,A114)&lt;&gt;1,"Duplicate ID",IF(COUNTIFS('Cases overview'!$A$7:$A$306,B114)&lt;&gt;1,"Invalid case ref",IF(AND(C114&lt;&gt;"",COUNTIFS('Plan versions'!$A$7:$A$306,C114,'Plan versions'!$B$7:$B$306,B114,'Plan versions'!$L$7:$L$306,"Frozen")&lt;&gt;1),"Invalid plan ref",IF(OR(NOT(ISNUMBER(F114)),M114=""),"Registration info missing",IF(AND(M114="Observed",OR(K114="",AND(NOT(ISNUMBER(G114)),J114=""))),"Observation/source missing",IF(AND(ISNUMBER(G114),H114=""),"Value/unit missing",IF(AND(N114&lt;&gt;"",OR(N114=A114,COUNTIFS('Observations'!$A$7:$A$306,N114,'Observations'!$B$7:$B$306,B114,'Observations'!$M$7:$M$306,"Corrected")&lt;&gt;1)),"Correction ref to check","Valid input"))))))))</x:f>
      </x:c>
    </x:row>
    <x:row r="115" ht="25" customHeight="1">
      <x:c r="A115" s="3"/>
      <x:c r="B115" s="3"/>
      <x:c r="C115" s="3"/>
      <x:c r="D115" s="3"/>
      <x:c r="E115" s="25"/>
      <x:c r="F115" s="25"/>
      <x:c r="G115" s="22"/>
      <x:c r="H115" s="3"/>
      <x:c r="I115" s="22"/>
      <x:c r="J115" s="3"/>
      <x:c r="K115" s="3"/>
      <x:c r="L115" s="3"/>
      <x:c r="M115" s="3"/>
      <x:c r="N115" s="3"/>
      <x:c r="O115" s="3"/>
      <x:c r="P115" s="19" t="str">
        <x:f>IF(A115="","",IF(COUNTIFS('Observations'!$A$7:$A$306,A115)&lt;&gt;1,"Duplicate ID",IF(COUNTIFS('Cases overview'!$A$7:$A$306,B115)&lt;&gt;1,"Invalid case ref",IF(AND(C115&lt;&gt;"",COUNTIFS('Plan versions'!$A$7:$A$306,C115,'Plan versions'!$B$7:$B$306,B115,'Plan versions'!$L$7:$L$306,"Frozen")&lt;&gt;1),"Invalid plan ref",IF(OR(NOT(ISNUMBER(F115)),M115=""),"Registration info missing",IF(AND(M115="Observed",OR(K115="",AND(NOT(ISNUMBER(G115)),J115=""))),"Observation/source missing",IF(AND(ISNUMBER(G115),H115=""),"Value/unit missing",IF(AND(N115&lt;&gt;"",OR(N115=A115,COUNTIFS('Observations'!$A$7:$A$306,N115,'Observations'!$B$7:$B$306,B115,'Observations'!$M$7:$M$306,"Corrected")&lt;&gt;1)),"Correction ref to check","Valid input"))))))))</x:f>
      </x:c>
    </x:row>
    <x:row r="116" ht="25" customHeight="1">
      <x:c r="A116" s="3"/>
      <x:c r="B116" s="3"/>
      <x:c r="C116" s="3"/>
      <x:c r="D116" s="3"/>
      <x:c r="E116" s="25"/>
      <x:c r="F116" s="25"/>
      <x:c r="G116" s="22"/>
      <x:c r="H116" s="3"/>
      <x:c r="I116" s="22"/>
      <x:c r="J116" s="3"/>
      <x:c r="K116" s="3"/>
      <x:c r="L116" s="3"/>
      <x:c r="M116" s="3"/>
      <x:c r="N116" s="3"/>
      <x:c r="O116" s="3"/>
      <x:c r="P116" s="19" t="str">
        <x:f>IF(A116="","",IF(COUNTIFS('Observations'!$A$7:$A$306,A116)&lt;&gt;1,"Duplicate ID",IF(COUNTIFS('Cases overview'!$A$7:$A$306,B116)&lt;&gt;1,"Invalid case ref",IF(AND(C116&lt;&gt;"",COUNTIFS('Plan versions'!$A$7:$A$306,C116,'Plan versions'!$B$7:$B$306,B116,'Plan versions'!$L$7:$L$306,"Frozen")&lt;&gt;1),"Invalid plan ref",IF(OR(NOT(ISNUMBER(F116)),M116=""),"Registration info missing",IF(AND(M116="Observed",OR(K116="",AND(NOT(ISNUMBER(G116)),J116=""))),"Observation/source missing",IF(AND(ISNUMBER(G116),H116=""),"Value/unit missing",IF(AND(N116&lt;&gt;"",OR(N116=A116,COUNTIFS('Observations'!$A$7:$A$306,N116,'Observations'!$B$7:$B$306,B116,'Observations'!$M$7:$M$306,"Corrected")&lt;&gt;1)),"Correction ref to check","Valid input"))))))))</x:f>
      </x:c>
    </x:row>
    <x:row r="117" ht="25" customHeight="1">
      <x:c r="A117" s="3"/>
      <x:c r="B117" s="3"/>
      <x:c r="C117" s="3"/>
      <x:c r="D117" s="3"/>
      <x:c r="E117" s="25"/>
      <x:c r="F117" s="25"/>
      <x:c r="G117" s="22"/>
      <x:c r="H117" s="3"/>
      <x:c r="I117" s="22"/>
      <x:c r="J117" s="3"/>
      <x:c r="K117" s="3"/>
      <x:c r="L117" s="3"/>
      <x:c r="M117" s="3"/>
      <x:c r="N117" s="3"/>
      <x:c r="O117" s="3"/>
      <x:c r="P117" s="19" t="str">
        <x:f>IF(A117="","",IF(COUNTIFS('Observations'!$A$7:$A$306,A117)&lt;&gt;1,"Duplicate ID",IF(COUNTIFS('Cases overview'!$A$7:$A$306,B117)&lt;&gt;1,"Invalid case ref",IF(AND(C117&lt;&gt;"",COUNTIFS('Plan versions'!$A$7:$A$306,C117,'Plan versions'!$B$7:$B$306,B117,'Plan versions'!$L$7:$L$306,"Frozen")&lt;&gt;1),"Invalid plan ref",IF(OR(NOT(ISNUMBER(F117)),M117=""),"Registration info missing",IF(AND(M117="Observed",OR(K117="",AND(NOT(ISNUMBER(G117)),J117=""))),"Observation/source missing",IF(AND(ISNUMBER(G117),H117=""),"Value/unit missing",IF(AND(N117&lt;&gt;"",OR(N117=A117,COUNTIFS('Observations'!$A$7:$A$306,N117,'Observations'!$B$7:$B$306,B117,'Observations'!$M$7:$M$306,"Corrected")&lt;&gt;1)),"Correction ref to check","Valid input"))))))))</x:f>
      </x:c>
    </x:row>
    <x:row r="118" ht="25" customHeight="1">
      <x:c r="A118" s="3"/>
      <x:c r="B118" s="3"/>
      <x:c r="C118" s="3"/>
      <x:c r="D118" s="3"/>
      <x:c r="E118" s="25"/>
      <x:c r="F118" s="25"/>
      <x:c r="G118" s="22"/>
      <x:c r="H118" s="3"/>
      <x:c r="I118" s="22"/>
      <x:c r="J118" s="3"/>
      <x:c r="K118" s="3"/>
      <x:c r="L118" s="3"/>
      <x:c r="M118" s="3"/>
      <x:c r="N118" s="3"/>
      <x:c r="O118" s="3"/>
      <x:c r="P118" s="19" t="str">
        <x:f>IF(A118="","",IF(COUNTIFS('Observations'!$A$7:$A$306,A118)&lt;&gt;1,"Duplicate ID",IF(COUNTIFS('Cases overview'!$A$7:$A$306,B118)&lt;&gt;1,"Invalid case ref",IF(AND(C118&lt;&gt;"",COUNTIFS('Plan versions'!$A$7:$A$306,C118,'Plan versions'!$B$7:$B$306,B118,'Plan versions'!$L$7:$L$306,"Frozen")&lt;&gt;1),"Invalid plan ref",IF(OR(NOT(ISNUMBER(F118)),M118=""),"Registration info missing",IF(AND(M118="Observed",OR(K118="",AND(NOT(ISNUMBER(G118)),J118=""))),"Observation/source missing",IF(AND(ISNUMBER(G118),H118=""),"Value/unit missing",IF(AND(N118&lt;&gt;"",OR(N118=A118,COUNTIFS('Observations'!$A$7:$A$306,N118,'Observations'!$B$7:$B$306,B118,'Observations'!$M$7:$M$306,"Corrected")&lt;&gt;1)),"Correction ref to check","Valid input"))))))))</x:f>
      </x:c>
    </x:row>
    <x:row r="119" ht="25" customHeight="1">
      <x:c r="A119" s="3"/>
      <x:c r="B119" s="3"/>
      <x:c r="C119" s="3"/>
      <x:c r="D119" s="3"/>
      <x:c r="E119" s="25"/>
      <x:c r="F119" s="25"/>
      <x:c r="G119" s="22"/>
      <x:c r="H119" s="3"/>
      <x:c r="I119" s="22"/>
      <x:c r="J119" s="3"/>
      <x:c r="K119" s="3"/>
      <x:c r="L119" s="3"/>
      <x:c r="M119" s="3"/>
      <x:c r="N119" s="3"/>
      <x:c r="O119" s="3"/>
      <x:c r="P119" s="19" t="str">
        <x:f>IF(A119="","",IF(COUNTIFS('Observations'!$A$7:$A$306,A119)&lt;&gt;1,"Duplicate ID",IF(COUNTIFS('Cases overview'!$A$7:$A$306,B119)&lt;&gt;1,"Invalid case ref",IF(AND(C119&lt;&gt;"",COUNTIFS('Plan versions'!$A$7:$A$306,C119,'Plan versions'!$B$7:$B$306,B119,'Plan versions'!$L$7:$L$306,"Frozen")&lt;&gt;1),"Invalid plan ref",IF(OR(NOT(ISNUMBER(F119)),M119=""),"Registration info missing",IF(AND(M119="Observed",OR(K119="",AND(NOT(ISNUMBER(G119)),J119=""))),"Observation/source missing",IF(AND(ISNUMBER(G119),H119=""),"Value/unit missing",IF(AND(N119&lt;&gt;"",OR(N119=A119,COUNTIFS('Observations'!$A$7:$A$306,N119,'Observations'!$B$7:$B$306,B119,'Observations'!$M$7:$M$306,"Corrected")&lt;&gt;1)),"Correction ref to check","Valid input"))))))))</x:f>
      </x:c>
    </x:row>
    <x:row r="120" ht="25" customHeight="1">
      <x:c r="A120" s="3"/>
      <x:c r="B120" s="3"/>
      <x:c r="C120" s="3"/>
      <x:c r="D120" s="3"/>
      <x:c r="E120" s="25"/>
      <x:c r="F120" s="25"/>
      <x:c r="G120" s="22"/>
      <x:c r="H120" s="3"/>
      <x:c r="I120" s="22"/>
      <x:c r="J120" s="3"/>
      <x:c r="K120" s="3"/>
      <x:c r="L120" s="3"/>
      <x:c r="M120" s="3"/>
      <x:c r="N120" s="3"/>
      <x:c r="O120" s="3"/>
      <x:c r="P120" s="19" t="str">
        <x:f>IF(A120="","",IF(COUNTIFS('Observations'!$A$7:$A$306,A120)&lt;&gt;1,"Duplicate ID",IF(COUNTIFS('Cases overview'!$A$7:$A$306,B120)&lt;&gt;1,"Invalid case ref",IF(AND(C120&lt;&gt;"",COUNTIFS('Plan versions'!$A$7:$A$306,C120,'Plan versions'!$B$7:$B$306,B120,'Plan versions'!$L$7:$L$306,"Frozen")&lt;&gt;1),"Invalid plan ref",IF(OR(NOT(ISNUMBER(F120)),M120=""),"Registration info missing",IF(AND(M120="Observed",OR(K120="",AND(NOT(ISNUMBER(G120)),J120=""))),"Observation/source missing",IF(AND(ISNUMBER(G120),H120=""),"Value/unit missing",IF(AND(N120&lt;&gt;"",OR(N120=A120,COUNTIFS('Observations'!$A$7:$A$306,N120,'Observations'!$B$7:$B$306,B120,'Observations'!$M$7:$M$306,"Corrected")&lt;&gt;1)),"Correction ref to check","Valid input"))))))))</x:f>
      </x:c>
    </x:row>
    <x:row r="121" ht="25" customHeight="1">
      <x:c r="A121" s="3"/>
      <x:c r="B121" s="3"/>
      <x:c r="C121" s="3"/>
      <x:c r="D121" s="3"/>
      <x:c r="E121" s="25"/>
      <x:c r="F121" s="25"/>
      <x:c r="G121" s="22"/>
      <x:c r="H121" s="3"/>
      <x:c r="I121" s="22"/>
      <x:c r="J121" s="3"/>
      <x:c r="K121" s="3"/>
      <x:c r="L121" s="3"/>
      <x:c r="M121" s="3"/>
      <x:c r="N121" s="3"/>
      <x:c r="O121" s="3"/>
      <x:c r="P121" s="19" t="str">
        <x:f>IF(A121="","",IF(COUNTIFS('Observations'!$A$7:$A$306,A121)&lt;&gt;1,"Duplicate ID",IF(COUNTIFS('Cases overview'!$A$7:$A$306,B121)&lt;&gt;1,"Invalid case ref",IF(AND(C121&lt;&gt;"",COUNTIFS('Plan versions'!$A$7:$A$306,C121,'Plan versions'!$B$7:$B$306,B121,'Plan versions'!$L$7:$L$306,"Frozen")&lt;&gt;1),"Invalid plan ref",IF(OR(NOT(ISNUMBER(F121)),M121=""),"Registration info missing",IF(AND(M121="Observed",OR(K121="",AND(NOT(ISNUMBER(G121)),J121=""))),"Observation/source missing",IF(AND(ISNUMBER(G121),H121=""),"Value/unit missing",IF(AND(N121&lt;&gt;"",OR(N121=A121,COUNTIFS('Observations'!$A$7:$A$306,N121,'Observations'!$B$7:$B$306,B121,'Observations'!$M$7:$M$306,"Corrected")&lt;&gt;1)),"Correction ref to check","Valid input"))))))))</x:f>
      </x:c>
    </x:row>
    <x:row r="122" ht="25" customHeight="1">
      <x:c r="A122" s="3"/>
      <x:c r="B122" s="3"/>
      <x:c r="C122" s="3"/>
      <x:c r="D122" s="3"/>
      <x:c r="E122" s="25"/>
      <x:c r="F122" s="25"/>
      <x:c r="G122" s="22"/>
      <x:c r="H122" s="3"/>
      <x:c r="I122" s="22"/>
      <x:c r="J122" s="3"/>
      <x:c r="K122" s="3"/>
      <x:c r="L122" s="3"/>
      <x:c r="M122" s="3"/>
      <x:c r="N122" s="3"/>
      <x:c r="O122" s="3"/>
      <x:c r="P122" s="19" t="str">
        <x:f>IF(A122="","",IF(COUNTIFS('Observations'!$A$7:$A$306,A122)&lt;&gt;1,"Duplicate ID",IF(COUNTIFS('Cases overview'!$A$7:$A$306,B122)&lt;&gt;1,"Invalid case ref",IF(AND(C122&lt;&gt;"",COUNTIFS('Plan versions'!$A$7:$A$306,C122,'Plan versions'!$B$7:$B$306,B122,'Plan versions'!$L$7:$L$306,"Frozen")&lt;&gt;1),"Invalid plan ref",IF(OR(NOT(ISNUMBER(F122)),M122=""),"Registration info missing",IF(AND(M122="Observed",OR(K122="",AND(NOT(ISNUMBER(G122)),J122=""))),"Observation/source missing",IF(AND(ISNUMBER(G122),H122=""),"Value/unit missing",IF(AND(N122&lt;&gt;"",OR(N122=A122,COUNTIFS('Observations'!$A$7:$A$306,N122,'Observations'!$B$7:$B$306,B122,'Observations'!$M$7:$M$306,"Corrected")&lt;&gt;1)),"Correction ref to check","Valid input"))))))))</x:f>
      </x:c>
    </x:row>
    <x:row r="123" ht="25" customHeight="1">
      <x:c r="A123" s="3"/>
      <x:c r="B123" s="3"/>
      <x:c r="C123" s="3"/>
      <x:c r="D123" s="3"/>
      <x:c r="E123" s="25"/>
      <x:c r="F123" s="25"/>
      <x:c r="G123" s="22"/>
      <x:c r="H123" s="3"/>
      <x:c r="I123" s="22"/>
      <x:c r="J123" s="3"/>
      <x:c r="K123" s="3"/>
      <x:c r="L123" s="3"/>
      <x:c r="M123" s="3"/>
      <x:c r="N123" s="3"/>
      <x:c r="O123" s="3"/>
      <x:c r="P123" s="19" t="str">
        <x:f>IF(A123="","",IF(COUNTIFS('Observations'!$A$7:$A$306,A123)&lt;&gt;1,"Duplicate ID",IF(COUNTIFS('Cases overview'!$A$7:$A$306,B123)&lt;&gt;1,"Invalid case ref",IF(AND(C123&lt;&gt;"",COUNTIFS('Plan versions'!$A$7:$A$306,C123,'Plan versions'!$B$7:$B$306,B123,'Plan versions'!$L$7:$L$306,"Frozen")&lt;&gt;1),"Invalid plan ref",IF(OR(NOT(ISNUMBER(F123)),M123=""),"Registration info missing",IF(AND(M123="Observed",OR(K123="",AND(NOT(ISNUMBER(G123)),J123=""))),"Observation/source missing",IF(AND(ISNUMBER(G123),H123=""),"Value/unit missing",IF(AND(N123&lt;&gt;"",OR(N123=A123,COUNTIFS('Observations'!$A$7:$A$306,N123,'Observations'!$B$7:$B$306,B123,'Observations'!$M$7:$M$306,"Corrected")&lt;&gt;1)),"Correction ref to check","Valid input"))))))))</x:f>
      </x:c>
    </x:row>
    <x:row r="124" ht="25" customHeight="1">
      <x:c r="A124" s="3"/>
      <x:c r="B124" s="3"/>
      <x:c r="C124" s="3"/>
      <x:c r="D124" s="3"/>
      <x:c r="E124" s="25"/>
      <x:c r="F124" s="25"/>
      <x:c r="G124" s="22"/>
      <x:c r="H124" s="3"/>
      <x:c r="I124" s="22"/>
      <x:c r="J124" s="3"/>
      <x:c r="K124" s="3"/>
      <x:c r="L124" s="3"/>
      <x:c r="M124" s="3"/>
      <x:c r="N124" s="3"/>
      <x:c r="O124" s="3"/>
      <x:c r="P124" s="19" t="str">
        <x:f>IF(A124="","",IF(COUNTIFS('Observations'!$A$7:$A$306,A124)&lt;&gt;1,"Duplicate ID",IF(COUNTIFS('Cases overview'!$A$7:$A$306,B124)&lt;&gt;1,"Invalid case ref",IF(AND(C124&lt;&gt;"",COUNTIFS('Plan versions'!$A$7:$A$306,C124,'Plan versions'!$B$7:$B$306,B124,'Plan versions'!$L$7:$L$306,"Frozen")&lt;&gt;1),"Invalid plan ref",IF(OR(NOT(ISNUMBER(F124)),M124=""),"Registration info missing",IF(AND(M124="Observed",OR(K124="",AND(NOT(ISNUMBER(G124)),J124=""))),"Observation/source missing",IF(AND(ISNUMBER(G124),H124=""),"Value/unit missing",IF(AND(N124&lt;&gt;"",OR(N124=A124,COUNTIFS('Observations'!$A$7:$A$306,N124,'Observations'!$B$7:$B$306,B124,'Observations'!$M$7:$M$306,"Corrected")&lt;&gt;1)),"Correction ref to check","Valid input"))))))))</x:f>
      </x:c>
    </x:row>
    <x:row r="125" ht="25" customHeight="1">
      <x:c r="A125" s="3"/>
      <x:c r="B125" s="3"/>
      <x:c r="C125" s="3"/>
      <x:c r="D125" s="3"/>
      <x:c r="E125" s="25"/>
      <x:c r="F125" s="25"/>
      <x:c r="G125" s="22"/>
      <x:c r="H125" s="3"/>
      <x:c r="I125" s="22"/>
      <x:c r="J125" s="3"/>
      <x:c r="K125" s="3"/>
      <x:c r="L125" s="3"/>
      <x:c r="M125" s="3"/>
      <x:c r="N125" s="3"/>
      <x:c r="O125" s="3"/>
      <x:c r="P125" s="19" t="str">
        <x:f>IF(A125="","",IF(COUNTIFS('Observations'!$A$7:$A$306,A125)&lt;&gt;1,"Duplicate ID",IF(COUNTIFS('Cases overview'!$A$7:$A$306,B125)&lt;&gt;1,"Invalid case ref",IF(AND(C125&lt;&gt;"",COUNTIFS('Plan versions'!$A$7:$A$306,C125,'Plan versions'!$B$7:$B$306,B125,'Plan versions'!$L$7:$L$306,"Frozen")&lt;&gt;1),"Invalid plan ref",IF(OR(NOT(ISNUMBER(F125)),M125=""),"Registration info missing",IF(AND(M125="Observed",OR(K125="",AND(NOT(ISNUMBER(G125)),J125=""))),"Observation/source missing",IF(AND(ISNUMBER(G125),H125=""),"Value/unit missing",IF(AND(N125&lt;&gt;"",OR(N125=A125,COUNTIFS('Observations'!$A$7:$A$306,N125,'Observations'!$B$7:$B$306,B125,'Observations'!$M$7:$M$306,"Corrected")&lt;&gt;1)),"Correction ref to check","Valid input"))))))))</x:f>
      </x:c>
    </x:row>
    <x:row r="126" ht="25" customHeight="1">
      <x:c r="A126" s="3"/>
      <x:c r="B126" s="3"/>
      <x:c r="C126" s="3"/>
      <x:c r="D126" s="3"/>
      <x:c r="E126" s="25"/>
      <x:c r="F126" s="25"/>
      <x:c r="G126" s="22"/>
      <x:c r="H126" s="3"/>
      <x:c r="I126" s="22"/>
      <x:c r="J126" s="3"/>
      <x:c r="K126" s="3"/>
      <x:c r="L126" s="3"/>
      <x:c r="M126" s="3"/>
      <x:c r="N126" s="3"/>
      <x:c r="O126" s="3"/>
      <x:c r="P126" s="19" t="str">
        <x:f>IF(A126="","",IF(COUNTIFS('Observations'!$A$7:$A$306,A126)&lt;&gt;1,"Duplicate ID",IF(COUNTIFS('Cases overview'!$A$7:$A$306,B126)&lt;&gt;1,"Invalid case ref",IF(AND(C126&lt;&gt;"",COUNTIFS('Plan versions'!$A$7:$A$306,C126,'Plan versions'!$B$7:$B$306,B126,'Plan versions'!$L$7:$L$306,"Frozen")&lt;&gt;1),"Invalid plan ref",IF(OR(NOT(ISNUMBER(F126)),M126=""),"Registration info missing",IF(AND(M126="Observed",OR(K126="",AND(NOT(ISNUMBER(G126)),J126=""))),"Observation/source missing",IF(AND(ISNUMBER(G126),H126=""),"Value/unit missing",IF(AND(N126&lt;&gt;"",OR(N126=A126,COUNTIFS('Observations'!$A$7:$A$306,N126,'Observations'!$B$7:$B$306,B126,'Observations'!$M$7:$M$306,"Corrected")&lt;&gt;1)),"Correction ref to check","Valid input"))))))))</x:f>
      </x:c>
    </x:row>
    <x:row r="127" ht="25" customHeight="1">
      <x:c r="A127" s="3"/>
      <x:c r="B127" s="3"/>
      <x:c r="C127" s="3"/>
      <x:c r="D127" s="3"/>
      <x:c r="E127" s="25"/>
      <x:c r="F127" s="25"/>
      <x:c r="G127" s="22"/>
      <x:c r="H127" s="3"/>
      <x:c r="I127" s="22"/>
      <x:c r="J127" s="3"/>
      <x:c r="K127" s="3"/>
      <x:c r="L127" s="3"/>
      <x:c r="M127" s="3"/>
      <x:c r="N127" s="3"/>
      <x:c r="O127" s="3"/>
      <x:c r="P127" s="19" t="str">
        <x:f>IF(A127="","",IF(COUNTIFS('Observations'!$A$7:$A$306,A127)&lt;&gt;1,"Duplicate ID",IF(COUNTIFS('Cases overview'!$A$7:$A$306,B127)&lt;&gt;1,"Invalid case ref",IF(AND(C127&lt;&gt;"",COUNTIFS('Plan versions'!$A$7:$A$306,C127,'Plan versions'!$B$7:$B$306,B127,'Plan versions'!$L$7:$L$306,"Frozen")&lt;&gt;1),"Invalid plan ref",IF(OR(NOT(ISNUMBER(F127)),M127=""),"Registration info missing",IF(AND(M127="Observed",OR(K127="",AND(NOT(ISNUMBER(G127)),J127=""))),"Observation/source missing",IF(AND(ISNUMBER(G127),H127=""),"Value/unit missing",IF(AND(N127&lt;&gt;"",OR(N127=A127,COUNTIFS('Observations'!$A$7:$A$306,N127,'Observations'!$B$7:$B$306,B127,'Observations'!$M$7:$M$306,"Corrected")&lt;&gt;1)),"Correction ref to check","Valid input"))))))))</x:f>
      </x:c>
    </x:row>
    <x:row r="128" ht="25" customHeight="1">
      <x:c r="A128" s="3"/>
      <x:c r="B128" s="3"/>
      <x:c r="C128" s="3"/>
      <x:c r="D128" s="3"/>
      <x:c r="E128" s="25"/>
      <x:c r="F128" s="25"/>
      <x:c r="G128" s="22"/>
      <x:c r="H128" s="3"/>
      <x:c r="I128" s="22"/>
      <x:c r="J128" s="3"/>
      <x:c r="K128" s="3"/>
      <x:c r="L128" s="3"/>
      <x:c r="M128" s="3"/>
      <x:c r="N128" s="3"/>
      <x:c r="O128" s="3"/>
      <x:c r="P128" s="19" t="str">
        <x:f>IF(A128="","",IF(COUNTIFS('Observations'!$A$7:$A$306,A128)&lt;&gt;1,"Duplicate ID",IF(COUNTIFS('Cases overview'!$A$7:$A$306,B128)&lt;&gt;1,"Invalid case ref",IF(AND(C128&lt;&gt;"",COUNTIFS('Plan versions'!$A$7:$A$306,C128,'Plan versions'!$B$7:$B$306,B128,'Plan versions'!$L$7:$L$306,"Frozen")&lt;&gt;1),"Invalid plan ref",IF(OR(NOT(ISNUMBER(F128)),M128=""),"Registration info missing",IF(AND(M128="Observed",OR(K128="",AND(NOT(ISNUMBER(G128)),J128=""))),"Observation/source missing",IF(AND(ISNUMBER(G128),H128=""),"Value/unit missing",IF(AND(N128&lt;&gt;"",OR(N128=A128,COUNTIFS('Observations'!$A$7:$A$306,N128,'Observations'!$B$7:$B$306,B128,'Observations'!$M$7:$M$306,"Corrected")&lt;&gt;1)),"Correction ref to check","Valid input"))))))))</x:f>
      </x:c>
    </x:row>
    <x:row r="129" ht="25" customHeight="1">
      <x:c r="A129" s="3"/>
      <x:c r="B129" s="3"/>
      <x:c r="C129" s="3"/>
      <x:c r="D129" s="3"/>
      <x:c r="E129" s="25"/>
      <x:c r="F129" s="25"/>
      <x:c r="G129" s="22"/>
      <x:c r="H129" s="3"/>
      <x:c r="I129" s="22"/>
      <x:c r="J129" s="3"/>
      <x:c r="K129" s="3"/>
      <x:c r="L129" s="3"/>
      <x:c r="M129" s="3"/>
      <x:c r="N129" s="3"/>
      <x:c r="O129" s="3"/>
      <x:c r="P129" s="19" t="str">
        <x:f>IF(A129="","",IF(COUNTIFS('Observations'!$A$7:$A$306,A129)&lt;&gt;1,"Duplicate ID",IF(COUNTIFS('Cases overview'!$A$7:$A$306,B129)&lt;&gt;1,"Invalid case ref",IF(AND(C129&lt;&gt;"",COUNTIFS('Plan versions'!$A$7:$A$306,C129,'Plan versions'!$B$7:$B$306,B129,'Plan versions'!$L$7:$L$306,"Frozen")&lt;&gt;1),"Invalid plan ref",IF(OR(NOT(ISNUMBER(F129)),M129=""),"Registration info missing",IF(AND(M129="Observed",OR(K129="",AND(NOT(ISNUMBER(G129)),J129=""))),"Observation/source missing",IF(AND(ISNUMBER(G129),H129=""),"Value/unit missing",IF(AND(N129&lt;&gt;"",OR(N129=A129,COUNTIFS('Observations'!$A$7:$A$306,N129,'Observations'!$B$7:$B$306,B129,'Observations'!$M$7:$M$306,"Corrected")&lt;&gt;1)),"Correction ref to check","Valid input"))))))))</x:f>
      </x:c>
    </x:row>
    <x:row r="130" ht="25" customHeight="1">
      <x:c r="A130" s="3"/>
      <x:c r="B130" s="3"/>
      <x:c r="C130" s="3"/>
      <x:c r="D130" s="3"/>
      <x:c r="E130" s="25"/>
      <x:c r="F130" s="25"/>
      <x:c r="G130" s="22"/>
      <x:c r="H130" s="3"/>
      <x:c r="I130" s="22"/>
      <x:c r="J130" s="3"/>
      <x:c r="K130" s="3"/>
      <x:c r="L130" s="3"/>
      <x:c r="M130" s="3"/>
      <x:c r="N130" s="3"/>
      <x:c r="O130" s="3"/>
      <x:c r="P130" s="19" t="str">
        <x:f>IF(A130="","",IF(COUNTIFS('Observations'!$A$7:$A$306,A130)&lt;&gt;1,"Duplicate ID",IF(COUNTIFS('Cases overview'!$A$7:$A$306,B130)&lt;&gt;1,"Invalid case ref",IF(AND(C130&lt;&gt;"",COUNTIFS('Plan versions'!$A$7:$A$306,C130,'Plan versions'!$B$7:$B$306,B130,'Plan versions'!$L$7:$L$306,"Frozen")&lt;&gt;1),"Invalid plan ref",IF(OR(NOT(ISNUMBER(F130)),M130=""),"Registration info missing",IF(AND(M130="Observed",OR(K130="",AND(NOT(ISNUMBER(G130)),J130=""))),"Observation/source missing",IF(AND(ISNUMBER(G130),H130=""),"Value/unit missing",IF(AND(N130&lt;&gt;"",OR(N130=A130,COUNTIFS('Observations'!$A$7:$A$306,N130,'Observations'!$B$7:$B$306,B130,'Observations'!$M$7:$M$306,"Corrected")&lt;&gt;1)),"Correction ref to check","Valid input"))))))))</x:f>
      </x:c>
    </x:row>
    <x:row r="131" ht="25" customHeight="1">
      <x:c r="A131" s="3"/>
      <x:c r="B131" s="3"/>
      <x:c r="C131" s="3"/>
      <x:c r="D131" s="3"/>
      <x:c r="E131" s="25"/>
      <x:c r="F131" s="25"/>
      <x:c r="G131" s="22"/>
      <x:c r="H131" s="3"/>
      <x:c r="I131" s="22"/>
      <x:c r="J131" s="3"/>
      <x:c r="K131" s="3"/>
      <x:c r="L131" s="3"/>
      <x:c r="M131" s="3"/>
      <x:c r="N131" s="3"/>
      <x:c r="O131" s="3"/>
      <x:c r="P131" s="19" t="str">
        <x:f>IF(A131="","",IF(COUNTIFS('Observations'!$A$7:$A$306,A131)&lt;&gt;1,"Duplicate ID",IF(COUNTIFS('Cases overview'!$A$7:$A$306,B131)&lt;&gt;1,"Invalid case ref",IF(AND(C131&lt;&gt;"",COUNTIFS('Plan versions'!$A$7:$A$306,C131,'Plan versions'!$B$7:$B$306,B131,'Plan versions'!$L$7:$L$306,"Frozen")&lt;&gt;1),"Invalid plan ref",IF(OR(NOT(ISNUMBER(F131)),M131=""),"Registration info missing",IF(AND(M131="Observed",OR(K131="",AND(NOT(ISNUMBER(G131)),J131=""))),"Observation/source missing",IF(AND(ISNUMBER(G131),H131=""),"Value/unit missing",IF(AND(N131&lt;&gt;"",OR(N131=A131,COUNTIFS('Observations'!$A$7:$A$306,N131,'Observations'!$B$7:$B$306,B131,'Observations'!$M$7:$M$306,"Corrected")&lt;&gt;1)),"Correction ref to check","Valid input"))))))))</x:f>
      </x:c>
    </x:row>
    <x:row r="132" ht="25" customHeight="1">
      <x:c r="A132" s="3"/>
      <x:c r="B132" s="3"/>
      <x:c r="C132" s="3"/>
      <x:c r="D132" s="3"/>
      <x:c r="E132" s="25"/>
      <x:c r="F132" s="25"/>
      <x:c r="G132" s="22"/>
      <x:c r="H132" s="3"/>
      <x:c r="I132" s="22"/>
      <x:c r="J132" s="3"/>
      <x:c r="K132" s="3"/>
      <x:c r="L132" s="3"/>
      <x:c r="M132" s="3"/>
      <x:c r="N132" s="3"/>
      <x:c r="O132" s="3"/>
      <x:c r="P132" s="19" t="str">
        <x:f>IF(A132="","",IF(COUNTIFS('Observations'!$A$7:$A$306,A132)&lt;&gt;1,"Duplicate ID",IF(COUNTIFS('Cases overview'!$A$7:$A$306,B132)&lt;&gt;1,"Invalid case ref",IF(AND(C132&lt;&gt;"",COUNTIFS('Plan versions'!$A$7:$A$306,C132,'Plan versions'!$B$7:$B$306,B132,'Plan versions'!$L$7:$L$306,"Frozen")&lt;&gt;1),"Invalid plan ref",IF(OR(NOT(ISNUMBER(F132)),M132=""),"Registration info missing",IF(AND(M132="Observed",OR(K132="",AND(NOT(ISNUMBER(G132)),J132=""))),"Observation/source missing",IF(AND(ISNUMBER(G132),H132=""),"Value/unit missing",IF(AND(N132&lt;&gt;"",OR(N132=A132,COUNTIFS('Observations'!$A$7:$A$306,N132,'Observations'!$B$7:$B$306,B132,'Observations'!$M$7:$M$306,"Corrected")&lt;&gt;1)),"Correction ref to check","Valid input"))))))))</x:f>
      </x:c>
    </x:row>
    <x:row r="133" ht="25" customHeight="1">
      <x:c r="A133" s="3"/>
      <x:c r="B133" s="3"/>
      <x:c r="C133" s="3"/>
      <x:c r="D133" s="3"/>
      <x:c r="E133" s="25"/>
      <x:c r="F133" s="25"/>
      <x:c r="G133" s="22"/>
      <x:c r="H133" s="3"/>
      <x:c r="I133" s="22"/>
      <x:c r="J133" s="3"/>
      <x:c r="K133" s="3"/>
      <x:c r="L133" s="3"/>
      <x:c r="M133" s="3"/>
      <x:c r="N133" s="3"/>
      <x:c r="O133" s="3"/>
      <x:c r="P133" s="19" t="str">
        <x:f>IF(A133="","",IF(COUNTIFS('Observations'!$A$7:$A$306,A133)&lt;&gt;1,"Duplicate ID",IF(COUNTIFS('Cases overview'!$A$7:$A$306,B133)&lt;&gt;1,"Invalid case ref",IF(AND(C133&lt;&gt;"",COUNTIFS('Plan versions'!$A$7:$A$306,C133,'Plan versions'!$B$7:$B$306,B133,'Plan versions'!$L$7:$L$306,"Frozen")&lt;&gt;1),"Invalid plan ref",IF(OR(NOT(ISNUMBER(F133)),M133=""),"Registration info missing",IF(AND(M133="Observed",OR(K133="",AND(NOT(ISNUMBER(G133)),J133=""))),"Observation/source missing",IF(AND(ISNUMBER(G133),H133=""),"Value/unit missing",IF(AND(N133&lt;&gt;"",OR(N133=A133,COUNTIFS('Observations'!$A$7:$A$306,N133,'Observations'!$B$7:$B$306,B133,'Observations'!$M$7:$M$306,"Corrected")&lt;&gt;1)),"Correction ref to check","Valid input"))))))))</x:f>
      </x:c>
    </x:row>
    <x:row r="134" ht="25" customHeight="1">
      <x:c r="A134" s="3"/>
      <x:c r="B134" s="3"/>
      <x:c r="C134" s="3"/>
      <x:c r="D134" s="3"/>
      <x:c r="E134" s="25"/>
      <x:c r="F134" s="25"/>
      <x:c r="G134" s="22"/>
      <x:c r="H134" s="3"/>
      <x:c r="I134" s="22"/>
      <x:c r="J134" s="3"/>
      <x:c r="K134" s="3"/>
      <x:c r="L134" s="3"/>
      <x:c r="M134" s="3"/>
      <x:c r="N134" s="3"/>
      <x:c r="O134" s="3"/>
      <x:c r="P134" s="19" t="str">
        <x:f>IF(A134="","",IF(COUNTIFS('Observations'!$A$7:$A$306,A134)&lt;&gt;1,"Duplicate ID",IF(COUNTIFS('Cases overview'!$A$7:$A$306,B134)&lt;&gt;1,"Invalid case ref",IF(AND(C134&lt;&gt;"",COUNTIFS('Plan versions'!$A$7:$A$306,C134,'Plan versions'!$B$7:$B$306,B134,'Plan versions'!$L$7:$L$306,"Frozen")&lt;&gt;1),"Invalid plan ref",IF(OR(NOT(ISNUMBER(F134)),M134=""),"Registration info missing",IF(AND(M134="Observed",OR(K134="",AND(NOT(ISNUMBER(G134)),J134=""))),"Observation/source missing",IF(AND(ISNUMBER(G134),H134=""),"Value/unit missing",IF(AND(N134&lt;&gt;"",OR(N134=A134,COUNTIFS('Observations'!$A$7:$A$306,N134,'Observations'!$B$7:$B$306,B134,'Observations'!$M$7:$M$306,"Corrected")&lt;&gt;1)),"Correction ref to check","Valid input"))))))))</x:f>
      </x:c>
    </x:row>
    <x:row r="135" ht="25" customHeight="1">
      <x:c r="A135" s="3"/>
      <x:c r="B135" s="3"/>
      <x:c r="C135" s="3"/>
      <x:c r="D135" s="3"/>
      <x:c r="E135" s="25"/>
      <x:c r="F135" s="25"/>
      <x:c r="G135" s="22"/>
      <x:c r="H135" s="3"/>
      <x:c r="I135" s="22"/>
      <x:c r="J135" s="3"/>
      <x:c r="K135" s="3"/>
      <x:c r="L135" s="3"/>
      <x:c r="M135" s="3"/>
      <x:c r="N135" s="3"/>
      <x:c r="O135" s="3"/>
      <x:c r="P135" s="19" t="str">
        <x:f>IF(A135="","",IF(COUNTIFS('Observations'!$A$7:$A$306,A135)&lt;&gt;1,"Duplicate ID",IF(COUNTIFS('Cases overview'!$A$7:$A$306,B135)&lt;&gt;1,"Invalid case ref",IF(AND(C135&lt;&gt;"",COUNTIFS('Plan versions'!$A$7:$A$306,C135,'Plan versions'!$B$7:$B$306,B135,'Plan versions'!$L$7:$L$306,"Frozen")&lt;&gt;1),"Invalid plan ref",IF(OR(NOT(ISNUMBER(F135)),M135=""),"Registration info missing",IF(AND(M135="Observed",OR(K135="",AND(NOT(ISNUMBER(G135)),J135=""))),"Observation/source missing",IF(AND(ISNUMBER(G135),H135=""),"Value/unit missing",IF(AND(N135&lt;&gt;"",OR(N135=A135,COUNTIFS('Observations'!$A$7:$A$306,N135,'Observations'!$B$7:$B$306,B135,'Observations'!$M$7:$M$306,"Corrected")&lt;&gt;1)),"Correction ref to check","Valid input"))))))))</x:f>
      </x:c>
    </x:row>
    <x:row r="136" ht="25" customHeight="1">
      <x:c r="A136" s="3"/>
      <x:c r="B136" s="3"/>
      <x:c r="C136" s="3"/>
      <x:c r="D136" s="3"/>
      <x:c r="E136" s="25"/>
      <x:c r="F136" s="25"/>
      <x:c r="G136" s="22"/>
      <x:c r="H136" s="3"/>
      <x:c r="I136" s="22"/>
      <x:c r="J136" s="3"/>
      <x:c r="K136" s="3"/>
      <x:c r="L136" s="3"/>
      <x:c r="M136" s="3"/>
      <x:c r="N136" s="3"/>
      <x:c r="O136" s="3"/>
      <x:c r="P136" s="19" t="str">
        <x:f>IF(A136="","",IF(COUNTIFS('Observations'!$A$7:$A$306,A136)&lt;&gt;1,"Duplicate ID",IF(COUNTIFS('Cases overview'!$A$7:$A$306,B136)&lt;&gt;1,"Invalid case ref",IF(AND(C136&lt;&gt;"",COUNTIFS('Plan versions'!$A$7:$A$306,C136,'Plan versions'!$B$7:$B$306,B136,'Plan versions'!$L$7:$L$306,"Frozen")&lt;&gt;1),"Invalid plan ref",IF(OR(NOT(ISNUMBER(F136)),M136=""),"Registration info missing",IF(AND(M136="Observed",OR(K136="",AND(NOT(ISNUMBER(G136)),J136=""))),"Observation/source missing",IF(AND(ISNUMBER(G136),H136=""),"Value/unit missing",IF(AND(N136&lt;&gt;"",OR(N136=A136,COUNTIFS('Observations'!$A$7:$A$306,N136,'Observations'!$B$7:$B$306,B136,'Observations'!$M$7:$M$306,"Corrected")&lt;&gt;1)),"Correction ref to check","Valid input"))))))))</x:f>
      </x:c>
    </x:row>
    <x:row r="137" ht="25" customHeight="1">
      <x:c r="A137" s="3"/>
      <x:c r="B137" s="3"/>
      <x:c r="C137" s="3"/>
      <x:c r="D137" s="3"/>
      <x:c r="E137" s="25"/>
      <x:c r="F137" s="25"/>
      <x:c r="G137" s="22"/>
      <x:c r="H137" s="3"/>
      <x:c r="I137" s="22"/>
      <x:c r="J137" s="3"/>
      <x:c r="K137" s="3"/>
      <x:c r="L137" s="3"/>
      <x:c r="M137" s="3"/>
      <x:c r="N137" s="3"/>
      <x:c r="O137" s="3"/>
      <x:c r="P137" s="19" t="str">
        <x:f>IF(A137="","",IF(COUNTIFS('Observations'!$A$7:$A$306,A137)&lt;&gt;1,"Duplicate ID",IF(COUNTIFS('Cases overview'!$A$7:$A$306,B137)&lt;&gt;1,"Invalid case ref",IF(AND(C137&lt;&gt;"",COUNTIFS('Plan versions'!$A$7:$A$306,C137,'Plan versions'!$B$7:$B$306,B137,'Plan versions'!$L$7:$L$306,"Frozen")&lt;&gt;1),"Invalid plan ref",IF(OR(NOT(ISNUMBER(F137)),M137=""),"Registration info missing",IF(AND(M137="Observed",OR(K137="",AND(NOT(ISNUMBER(G137)),J137=""))),"Observation/source missing",IF(AND(ISNUMBER(G137),H137=""),"Value/unit missing",IF(AND(N137&lt;&gt;"",OR(N137=A137,COUNTIFS('Observations'!$A$7:$A$306,N137,'Observations'!$B$7:$B$306,B137,'Observations'!$M$7:$M$306,"Corrected")&lt;&gt;1)),"Correction ref to check","Valid input"))))))))</x:f>
      </x:c>
    </x:row>
    <x:row r="138" ht="25" customHeight="1">
      <x:c r="A138" s="3"/>
      <x:c r="B138" s="3"/>
      <x:c r="C138" s="3"/>
      <x:c r="D138" s="3"/>
      <x:c r="E138" s="25"/>
      <x:c r="F138" s="25"/>
      <x:c r="G138" s="22"/>
      <x:c r="H138" s="3"/>
      <x:c r="I138" s="22"/>
      <x:c r="J138" s="3"/>
      <x:c r="K138" s="3"/>
      <x:c r="L138" s="3"/>
      <x:c r="M138" s="3"/>
      <x:c r="N138" s="3"/>
      <x:c r="O138" s="3"/>
      <x:c r="P138" s="19" t="str">
        <x:f>IF(A138="","",IF(COUNTIFS('Observations'!$A$7:$A$306,A138)&lt;&gt;1,"Duplicate ID",IF(COUNTIFS('Cases overview'!$A$7:$A$306,B138)&lt;&gt;1,"Invalid case ref",IF(AND(C138&lt;&gt;"",COUNTIFS('Plan versions'!$A$7:$A$306,C138,'Plan versions'!$B$7:$B$306,B138,'Plan versions'!$L$7:$L$306,"Frozen")&lt;&gt;1),"Invalid plan ref",IF(OR(NOT(ISNUMBER(F138)),M138=""),"Registration info missing",IF(AND(M138="Observed",OR(K138="",AND(NOT(ISNUMBER(G138)),J138=""))),"Observation/source missing",IF(AND(ISNUMBER(G138),H138=""),"Value/unit missing",IF(AND(N138&lt;&gt;"",OR(N138=A138,COUNTIFS('Observations'!$A$7:$A$306,N138,'Observations'!$B$7:$B$306,B138,'Observations'!$M$7:$M$306,"Corrected")&lt;&gt;1)),"Correction ref to check","Valid input"))))))))</x:f>
      </x:c>
    </x:row>
    <x:row r="139" ht="25" customHeight="1">
      <x:c r="A139" s="3"/>
      <x:c r="B139" s="3"/>
      <x:c r="C139" s="3"/>
      <x:c r="D139" s="3"/>
      <x:c r="E139" s="25"/>
      <x:c r="F139" s="25"/>
      <x:c r="G139" s="22"/>
      <x:c r="H139" s="3"/>
      <x:c r="I139" s="22"/>
      <x:c r="J139" s="3"/>
      <x:c r="K139" s="3"/>
      <x:c r="L139" s="3"/>
      <x:c r="M139" s="3"/>
      <x:c r="N139" s="3"/>
      <x:c r="O139" s="3"/>
      <x:c r="P139" s="19" t="str">
        <x:f>IF(A139="","",IF(COUNTIFS('Observations'!$A$7:$A$306,A139)&lt;&gt;1,"Duplicate ID",IF(COUNTIFS('Cases overview'!$A$7:$A$306,B139)&lt;&gt;1,"Invalid case ref",IF(AND(C139&lt;&gt;"",COUNTIFS('Plan versions'!$A$7:$A$306,C139,'Plan versions'!$B$7:$B$306,B139,'Plan versions'!$L$7:$L$306,"Frozen")&lt;&gt;1),"Invalid plan ref",IF(OR(NOT(ISNUMBER(F139)),M139=""),"Registration info missing",IF(AND(M139="Observed",OR(K139="",AND(NOT(ISNUMBER(G139)),J139=""))),"Observation/source missing",IF(AND(ISNUMBER(G139),H139=""),"Value/unit missing",IF(AND(N139&lt;&gt;"",OR(N139=A139,COUNTIFS('Observations'!$A$7:$A$306,N139,'Observations'!$B$7:$B$306,B139,'Observations'!$M$7:$M$306,"Corrected")&lt;&gt;1)),"Correction ref to check","Valid input"))))))))</x:f>
      </x:c>
    </x:row>
    <x:row r="140" ht="25" customHeight="1">
      <x:c r="A140" s="3"/>
      <x:c r="B140" s="3"/>
      <x:c r="C140" s="3"/>
      <x:c r="D140" s="3"/>
      <x:c r="E140" s="25"/>
      <x:c r="F140" s="25"/>
      <x:c r="G140" s="22"/>
      <x:c r="H140" s="3"/>
      <x:c r="I140" s="22"/>
      <x:c r="J140" s="3"/>
      <x:c r="K140" s="3"/>
      <x:c r="L140" s="3"/>
      <x:c r="M140" s="3"/>
      <x:c r="N140" s="3"/>
      <x:c r="O140" s="3"/>
      <x:c r="P140" s="19" t="str">
        <x:f>IF(A140="","",IF(COUNTIFS('Observations'!$A$7:$A$306,A140)&lt;&gt;1,"Duplicate ID",IF(COUNTIFS('Cases overview'!$A$7:$A$306,B140)&lt;&gt;1,"Invalid case ref",IF(AND(C140&lt;&gt;"",COUNTIFS('Plan versions'!$A$7:$A$306,C140,'Plan versions'!$B$7:$B$306,B140,'Plan versions'!$L$7:$L$306,"Frozen")&lt;&gt;1),"Invalid plan ref",IF(OR(NOT(ISNUMBER(F140)),M140=""),"Registration info missing",IF(AND(M140="Observed",OR(K140="",AND(NOT(ISNUMBER(G140)),J140=""))),"Observation/source missing",IF(AND(ISNUMBER(G140),H140=""),"Value/unit missing",IF(AND(N140&lt;&gt;"",OR(N140=A140,COUNTIFS('Observations'!$A$7:$A$306,N140,'Observations'!$B$7:$B$306,B140,'Observations'!$M$7:$M$306,"Corrected")&lt;&gt;1)),"Correction ref to check","Valid input"))))))))</x:f>
      </x:c>
    </x:row>
    <x:row r="141" ht="25" customHeight="1">
      <x:c r="A141" s="3"/>
      <x:c r="B141" s="3"/>
      <x:c r="C141" s="3"/>
      <x:c r="D141" s="3"/>
      <x:c r="E141" s="25"/>
      <x:c r="F141" s="25"/>
      <x:c r="G141" s="22"/>
      <x:c r="H141" s="3"/>
      <x:c r="I141" s="22"/>
      <x:c r="J141" s="3"/>
      <x:c r="K141" s="3"/>
      <x:c r="L141" s="3"/>
      <x:c r="M141" s="3"/>
      <x:c r="N141" s="3"/>
      <x:c r="O141" s="3"/>
      <x:c r="P141" s="19" t="str">
        <x:f>IF(A141="","",IF(COUNTIFS('Observations'!$A$7:$A$306,A141)&lt;&gt;1,"Duplicate ID",IF(COUNTIFS('Cases overview'!$A$7:$A$306,B141)&lt;&gt;1,"Invalid case ref",IF(AND(C141&lt;&gt;"",COUNTIFS('Plan versions'!$A$7:$A$306,C141,'Plan versions'!$B$7:$B$306,B141,'Plan versions'!$L$7:$L$306,"Frozen")&lt;&gt;1),"Invalid plan ref",IF(OR(NOT(ISNUMBER(F141)),M141=""),"Registration info missing",IF(AND(M141="Observed",OR(K141="",AND(NOT(ISNUMBER(G141)),J141=""))),"Observation/source missing",IF(AND(ISNUMBER(G141),H141=""),"Value/unit missing",IF(AND(N141&lt;&gt;"",OR(N141=A141,COUNTIFS('Observations'!$A$7:$A$306,N141,'Observations'!$B$7:$B$306,B141,'Observations'!$M$7:$M$306,"Corrected")&lt;&gt;1)),"Correction ref to check","Valid input"))))))))</x:f>
      </x:c>
    </x:row>
    <x:row r="142" ht="25" customHeight="1">
      <x:c r="A142" s="3"/>
      <x:c r="B142" s="3"/>
      <x:c r="C142" s="3"/>
      <x:c r="D142" s="3"/>
      <x:c r="E142" s="25"/>
      <x:c r="F142" s="25"/>
      <x:c r="G142" s="22"/>
      <x:c r="H142" s="3"/>
      <x:c r="I142" s="22"/>
      <x:c r="J142" s="3"/>
      <x:c r="K142" s="3"/>
      <x:c r="L142" s="3"/>
      <x:c r="M142" s="3"/>
      <x:c r="N142" s="3"/>
      <x:c r="O142" s="3"/>
      <x:c r="P142" s="19" t="str">
        <x:f>IF(A142="","",IF(COUNTIFS('Observations'!$A$7:$A$306,A142)&lt;&gt;1,"Duplicate ID",IF(COUNTIFS('Cases overview'!$A$7:$A$306,B142)&lt;&gt;1,"Invalid case ref",IF(AND(C142&lt;&gt;"",COUNTIFS('Plan versions'!$A$7:$A$306,C142,'Plan versions'!$B$7:$B$306,B142,'Plan versions'!$L$7:$L$306,"Frozen")&lt;&gt;1),"Invalid plan ref",IF(OR(NOT(ISNUMBER(F142)),M142=""),"Registration info missing",IF(AND(M142="Observed",OR(K142="",AND(NOT(ISNUMBER(G142)),J142=""))),"Observation/source missing",IF(AND(ISNUMBER(G142),H142=""),"Value/unit missing",IF(AND(N142&lt;&gt;"",OR(N142=A142,COUNTIFS('Observations'!$A$7:$A$306,N142,'Observations'!$B$7:$B$306,B142,'Observations'!$M$7:$M$306,"Corrected")&lt;&gt;1)),"Correction ref to check","Valid input"))))))))</x:f>
      </x:c>
    </x:row>
    <x:row r="143" ht="25" customHeight="1">
      <x:c r="A143" s="3"/>
      <x:c r="B143" s="3"/>
      <x:c r="C143" s="3"/>
      <x:c r="D143" s="3"/>
      <x:c r="E143" s="25"/>
      <x:c r="F143" s="25"/>
      <x:c r="G143" s="22"/>
      <x:c r="H143" s="3"/>
      <x:c r="I143" s="22"/>
      <x:c r="J143" s="3"/>
      <x:c r="K143" s="3"/>
      <x:c r="L143" s="3"/>
      <x:c r="M143" s="3"/>
      <x:c r="N143" s="3"/>
      <x:c r="O143" s="3"/>
      <x:c r="P143" s="19" t="str">
        <x:f>IF(A143="","",IF(COUNTIFS('Observations'!$A$7:$A$306,A143)&lt;&gt;1,"Duplicate ID",IF(COUNTIFS('Cases overview'!$A$7:$A$306,B143)&lt;&gt;1,"Invalid case ref",IF(AND(C143&lt;&gt;"",COUNTIFS('Plan versions'!$A$7:$A$306,C143,'Plan versions'!$B$7:$B$306,B143,'Plan versions'!$L$7:$L$306,"Frozen")&lt;&gt;1),"Invalid plan ref",IF(OR(NOT(ISNUMBER(F143)),M143=""),"Registration info missing",IF(AND(M143="Observed",OR(K143="",AND(NOT(ISNUMBER(G143)),J143=""))),"Observation/source missing",IF(AND(ISNUMBER(G143),H143=""),"Value/unit missing",IF(AND(N143&lt;&gt;"",OR(N143=A143,COUNTIFS('Observations'!$A$7:$A$306,N143,'Observations'!$B$7:$B$306,B143,'Observations'!$M$7:$M$306,"Corrected")&lt;&gt;1)),"Correction ref to check","Valid input"))))))))</x:f>
      </x:c>
    </x:row>
    <x:row r="144" ht="25" customHeight="1">
      <x:c r="A144" s="3"/>
      <x:c r="B144" s="3"/>
      <x:c r="C144" s="3"/>
      <x:c r="D144" s="3"/>
      <x:c r="E144" s="25"/>
      <x:c r="F144" s="25"/>
      <x:c r="G144" s="22"/>
      <x:c r="H144" s="3"/>
      <x:c r="I144" s="22"/>
      <x:c r="J144" s="3"/>
      <x:c r="K144" s="3"/>
      <x:c r="L144" s="3"/>
      <x:c r="M144" s="3"/>
      <x:c r="N144" s="3"/>
      <x:c r="O144" s="3"/>
      <x:c r="P144" s="19" t="str">
        <x:f>IF(A144="","",IF(COUNTIFS('Observations'!$A$7:$A$306,A144)&lt;&gt;1,"Duplicate ID",IF(COUNTIFS('Cases overview'!$A$7:$A$306,B144)&lt;&gt;1,"Invalid case ref",IF(AND(C144&lt;&gt;"",COUNTIFS('Plan versions'!$A$7:$A$306,C144,'Plan versions'!$B$7:$B$306,B144,'Plan versions'!$L$7:$L$306,"Frozen")&lt;&gt;1),"Invalid plan ref",IF(OR(NOT(ISNUMBER(F144)),M144=""),"Registration info missing",IF(AND(M144="Observed",OR(K144="",AND(NOT(ISNUMBER(G144)),J144=""))),"Observation/source missing",IF(AND(ISNUMBER(G144),H144=""),"Value/unit missing",IF(AND(N144&lt;&gt;"",OR(N144=A144,COUNTIFS('Observations'!$A$7:$A$306,N144,'Observations'!$B$7:$B$306,B144,'Observations'!$M$7:$M$306,"Corrected")&lt;&gt;1)),"Correction ref to check","Valid input"))))))))</x:f>
      </x:c>
    </x:row>
    <x:row r="145" ht="25" customHeight="1">
      <x:c r="A145" s="3"/>
      <x:c r="B145" s="3"/>
      <x:c r="C145" s="3"/>
      <x:c r="D145" s="3"/>
      <x:c r="E145" s="25"/>
      <x:c r="F145" s="25"/>
      <x:c r="G145" s="22"/>
      <x:c r="H145" s="3"/>
      <x:c r="I145" s="22"/>
      <x:c r="J145" s="3"/>
      <x:c r="K145" s="3"/>
      <x:c r="L145" s="3"/>
      <x:c r="M145" s="3"/>
      <x:c r="N145" s="3"/>
      <x:c r="O145" s="3"/>
      <x:c r="P145" s="19" t="str">
        <x:f>IF(A145="","",IF(COUNTIFS('Observations'!$A$7:$A$306,A145)&lt;&gt;1,"Duplicate ID",IF(COUNTIFS('Cases overview'!$A$7:$A$306,B145)&lt;&gt;1,"Invalid case ref",IF(AND(C145&lt;&gt;"",COUNTIFS('Plan versions'!$A$7:$A$306,C145,'Plan versions'!$B$7:$B$306,B145,'Plan versions'!$L$7:$L$306,"Frozen")&lt;&gt;1),"Invalid plan ref",IF(OR(NOT(ISNUMBER(F145)),M145=""),"Registration info missing",IF(AND(M145="Observed",OR(K145="",AND(NOT(ISNUMBER(G145)),J145=""))),"Observation/source missing",IF(AND(ISNUMBER(G145),H145=""),"Value/unit missing",IF(AND(N145&lt;&gt;"",OR(N145=A145,COUNTIFS('Observations'!$A$7:$A$306,N145,'Observations'!$B$7:$B$306,B145,'Observations'!$M$7:$M$306,"Corrected")&lt;&gt;1)),"Correction ref to check","Valid input"))))))))</x:f>
      </x:c>
    </x:row>
    <x:row r="146" ht="25" customHeight="1">
      <x:c r="A146" s="3"/>
      <x:c r="B146" s="3"/>
      <x:c r="C146" s="3"/>
      <x:c r="D146" s="3"/>
      <x:c r="E146" s="25"/>
      <x:c r="F146" s="25"/>
      <x:c r="G146" s="22"/>
      <x:c r="H146" s="3"/>
      <x:c r="I146" s="22"/>
      <x:c r="J146" s="3"/>
      <x:c r="K146" s="3"/>
      <x:c r="L146" s="3"/>
      <x:c r="M146" s="3"/>
      <x:c r="N146" s="3"/>
      <x:c r="O146" s="3"/>
      <x:c r="P146" s="19" t="str">
        <x:f>IF(A146="","",IF(COUNTIFS('Observations'!$A$7:$A$306,A146)&lt;&gt;1,"Duplicate ID",IF(COUNTIFS('Cases overview'!$A$7:$A$306,B146)&lt;&gt;1,"Invalid case ref",IF(AND(C146&lt;&gt;"",COUNTIFS('Plan versions'!$A$7:$A$306,C146,'Plan versions'!$B$7:$B$306,B146,'Plan versions'!$L$7:$L$306,"Frozen")&lt;&gt;1),"Invalid plan ref",IF(OR(NOT(ISNUMBER(F146)),M146=""),"Registration info missing",IF(AND(M146="Observed",OR(K146="",AND(NOT(ISNUMBER(G146)),J146=""))),"Observation/source missing",IF(AND(ISNUMBER(G146),H146=""),"Value/unit missing",IF(AND(N146&lt;&gt;"",OR(N146=A146,COUNTIFS('Observations'!$A$7:$A$306,N146,'Observations'!$B$7:$B$306,B146,'Observations'!$M$7:$M$306,"Corrected")&lt;&gt;1)),"Correction ref to check","Valid input"))))))))</x:f>
      </x:c>
    </x:row>
    <x:row r="147" ht="25" customHeight="1">
      <x:c r="A147" s="3"/>
      <x:c r="B147" s="3"/>
      <x:c r="C147" s="3"/>
      <x:c r="D147" s="3"/>
      <x:c r="E147" s="25"/>
      <x:c r="F147" s="25"/>
      <x:c r="G147" s="22"/>
      <x:c r="H147" s="3"/>
      <x:c r="I147" s="22"/>
      <x:c r="J147" s="3"/>
      <x:c r="K147" s="3"/>
      <x:c r="L147" s="3"/>
      <x:c r="M147" s="3"/>
      <x:c r="N147" s="3"/>
      <x:c r="O147" s="3"/>
      <x:c r="P147" s="19" t="str">
        <x:f>IF(A147="","",IF(COUNTIFS('Observations'!$A$7:$A$306,A147)&lt;&gt;1,"Duplicate ID",IF(COUNTIFS('Cases overview'!$A$7:$A$306,B147)&lt;&gt;1,"Invalid case ref",IF(AND(C147&lt;&gt;"",COUNTIFS('Plan versions'!$A$7:$A$306,C147,'Plan versions'!$B$7:$B$306,B147,'Plan versions'!$L$7:$L$306,"Frozen")&lt;&gt;1),"Invalid plan ref",IF(OR(NOT(ISNUMBER(F147)),M147=""),"Registration info missing",IF(AND(M147="Observed",OR(K147="",AND(NOT(ISNUMBER(G147)),J147=""))),"Observation/source missing",IF(AND(ISNUMBER(G147),H147=""),"Value/unit missing",IF(AND(N147&lt;&gt;"",OR(N147=A147,COUNTIFS('Observations'!$A$7:$A$306,N147,'Observations'!$B$7:$B$306,B147,'Observations'!$M$7:$M$306,"Corrected")&lt;&gt;1)),"Correction ref to check","Valid input"))))))))</x:f>
      </x:c>
    </x:row>
    <x:row r="148" ht="25" customHeight="1">
      <x:c r="A148" s="3"/>
      <x:c r="B148" s="3"/>
      <x:c r="C148" s="3"/>
      <x:c r="D148" s="3"/>
      <x:c r="E148" s="25"/>
      <x:c r="F148" s="25"/>
      <x:c r="G148" s="22"/>
      <x:c r="H148" s="3"/>
      <x:c r="I148" s="22"/>
      <x:c r="J148" s="3"/>
      <x:c r="K148" s="3"/>
      <x:c r="L148" s="3"/>
      <x:c r="M148" s="3"/>
      <x:c r="N148" s="3"/>
      <x:c r="O148" s="3"/>
      <x:c r="P148" s="19" t="str">
        <x:f>IF(A148="","",IF(COUNTIFS('Observations'!$A$7:$A$306,A148)&lt;&gt;1,"Duplicate ID",IF(COUNTIFS('Cases overview'!$A$7:$A$306,B148)&lt;&gt;1,"Invalid case ref",IF(AND(C148&lt;&gt;"",COUNTIFS('Plan versions'!$A$7:$A$306,C148,'Plan versions'!$B$7:$B$306,B148,'Plan versions'!$L$7:$L$306,"Frozen")&lt;&gt;1),"Invalid plan ref",IF(OR(NOT(ISNUMBER(F148)),M148=""),"Registration info missing",IF(AND(M148="Observed",OR(K148="",AND(NOT(ISNUMBER(G148)),J148=""))),"Observation/source missing",IF(AND(ISNUMBER(G148),H148=""),"Value/unit missing",IF(AND(N148&lt;&gt;"",OR(N148=A148,COUNTIFS('Observations'!$A$7:$A$306,N148,'Observations'!$B$7:$B$306,B148,'Observations'!$M$7:$M$306,"Corrected")&lt;&gt;1)),"Correction ref to check","Valid input"))))))))</x:f>
      </x:c>
    </x:row>
    <x:row r="149" ht="25" customHeight="1">
      <x:c r="A149" s="3"/>
      <x:c r="B149" s="3"/>
      <x:c r="C149" s="3"/>
      <x:c r="D149" s="3"/>
      <x:c r="E149" s="25"/>
      <x:c r="F149" s="25"/>
      <x:c r="G149" s="22"/>
      <x:c r="H149" s="3"/>
      <x:c r="I149" s="22"/>
      <x:c r="J149" s="3"/>
      <x:c r="K149" s="3"/>
      <x:c r="L149" s="3"/>
      <x:c r="M149" s="3"/>
      <x:c r="N149" s="3"/>
      <x:c r="O149" s="3"/>
      <x:c r="P149" s="19" t="str">
        <x:f>IF(A149="","",IF(COUNTIFS('Observations'!$A$7:$A$306,A149)&lt;&gt;1,"Duplicate ID",IF(COUNTIFS('Cases overview'!$A$7:$A$306,B149)&lt;&gt;1,"Invalid case ref",IF(AND(C149&lt;&gt;"",COUNTIFS('Plan versions'!$A$7:$A$306,C149,'Plan versions'!$B$7:$B$306,B149,'Plan versions'!$L$7:$L$306,"Frozen")&lt;&gt;1),"Invalid plan ref",IF(OR(NOT(ISNUMBER(F149)),M149=""),"Registration info missing",IF(AND(M149="Observed",OR(K149="",AND(NOT(ISNUMBER(G149)),J149=""))),"Observation/source missing",IF(AND(ISNUMBER(G149),H149=""),"Value/unit missing",IF(AND(N149&lt;&gt;"",OR(N149=A149,COUNTIFS('Observations'!$A$7:$A$306,N149,'Observations'!$B$7:$B$306,B149,'Observations'!$M$7:$M$306,"Corrected")&lt;&gt;1)),"Correction ref to check","Valid input"))))))))</x:f>
      </x:c>
    </x:row>
    <x:row r="150" ht="25" customHeight="1">
      <x:c r="A150" s="3"/>
      <x:c r="B150" s="3"/>
      <x:c r="C150" s="3"/>
      <x:c r="D150" s="3"/>
      <x:c r="E150" s="25"/>
      <x:c r="F150" s="25"/>
      <x:c r="G150" s="22"/>
      <x:c r="H150" s="3"/>
      <x:c r="I150" s="22"/>
      <x:c r="J150" s="3"/>
      <x:c r="K150" s="3"/>
      <x:c r="L150" s="3"/>
      <x:c r="M150" s="3"/>
      <x:c r="N150" s="3"/>
      <x:c r="O150" s="3"/>
      <x:c r="P150" s="19" t="str">
        <x:f>IF(A150="","",IF(COUNTIFS('Observations'!$A$7:$A$306,A150)&lt;&gt;1,"Duplicate ID",IF(COUNTIFS('Cases overview'!$A$7:$A$306,B150)&lt;&gt;1,"Invalid case ref",IF(AND(C150&lt;&gt;"",COUNTIFS('Plan versions'!$A$7:$A$306,C150,'Plan versions'!$B$7:$B$306,B150,'Plan versions'!$L$7:$L$306,"Frozen")&lt;&gt;1),"Invalid plan ref",IF(OR(NOT(ISNUMBER(F150)),M150=""),"Registration info missing",IF(AND(M150="Observed",OR(K150="",AND(NOT(ISNUMBER(G150)),J150=""))),"Observation/source missing",IF(AND(ISNUMBER(G150),H150=""),"Value/unit missing",IF(AND(N150&lt;&gt;"",OR(N150=A150,COUNTIFS('Observations'!$A$7:$A$306,N150,'Observations'!$B$7:$B$306,B150,'Observations'!$M$7:$M$306,"Corrected")&lt;&gt;1)),"Correction ref to check","Valid input"))))))))</x:f>
      </x:c>
    </x:row>
    <x:row r="151" ht="25" customHeight="1">
      <x:c r="A151" s="3"/>
      <x:c r="B151" s="3"/>
      <x:c r="C151" s="3"/>
      <x:c r="D151" s="3"/>
      <x:c r="E151" s="25"/>
      <x:c r="F151" s="25"/>
      <x:c r="G151" s="22"/>
      <x:c r="H151" s="3"/>
      <x:c r="I151" s="22"/>
      <x:c r="J151" s="3"/>
      <x:c r="K151" s="3"/>
      <x:c r="L151" s="3"/>
      <x:c r="M151" s="3"/>
      <x:c r="N151" s="3"/>
      <x:c r="O151" s="3"/>
      <x:c r="P151" s="19" t="str">
        <x:f>IF(A151="","",IF(COUNTIFS('Observations'!$A$7:$A$306,A151)&lt;&gt;1,"Duplicate ID",IF(COUNTIFS('Cases overview'!$A$7:$A$306,B151)&lt;&gt;1,"Invalid case ref",IF(AND(C151&lt;&gt;"",COUNTIFS('Plan versions'!$A$7:$A$306,C151,'Plan versions'!$B$7:$B$306,B151,'Plan versions'!$L$7:$L$306,"Frozen")&lt;&gt;1),"Invalid plan ref",IF(OR(NOT(ISNUMBER(F151)),M151=""),"Registration info missing",IF(AND(M151="Observed",OR(K151="",AND(NOT(ISNUMBER(G151)),J151=""))),"Observation/source missing",IF(AND(ISNUMBER(G151),H151=""),"Value/unit missing",IF(AND(N151&lt;&gt;"",OR(N151=A151,COUNTIFS('Observations'!$A$7:$A$306,N151,'Observations'!$B$7:$B$306,B151,'Observations'!$M$7:$M$306,"Corrected")&lt;&gt;1)),"Correction ref to check","Valid input"))))))))</x:f>
      </x:c>
    </x:row>
    <x:row r="152" ht="25" customHeight="1">
      <x:c r="A152" s="3"/>
      <x:c r="B152" s="3"/>
      <x:c r="C152" s="3"/>
      <x:c r="D152" s="3"/>
      <x:c r="E152" s="25"/>
      <x:c r="F152" s="25"/>
      <x:c r="G152" s="22"/>
      <x:c r="H152" s="3"/>
      <x:c r="I152" s="22"/>
      <x:c r="J152" s="3"/>
      <x:c r="K152" s="3"/>
      <x:c r="L152" s="3"/>
      <x:c r="M152" s="3"/>
      <x:c r="N152" s="3"/>
      <x:c r="O152" s="3"/>
      <x:c r="P152" s="19" t="str">
        <x:f>IF(A152="","",IF(COUNTIFS('Observations'!$A$7:$A$306,A152)&lt;&gt;1,"Duplicate ID",IF(COUNTIFS('Cases overview'!$A$7:$A$306,B152)&lt;&gt;1,"Invalid case ref",IF(AND(C152&lt;&gt;"",COUNTIFS('Plan versions'!$A$7:$A$306,C152,'Plan versions'!$B$7:$B$306,B152,'Plan versions'!$L$7:$L$306,"Frozen")&lt;&gt;1),"Invalid plan ref",IF(OR(NOT(ISNUMBER(F152)),M152=""),"Registration info missing",IF(AND(M152="Observed",OR(K152="",AND(NOT(ISNUMBER(G152)),J152=""))),"Observation/source missing",IF(AND(ISNUMBER(G152),H152=""),"Value/unit missing",IF(AND(N152&lt;&gt;"",OR(N152=A152,COUNTIFS('Observations'!$A$7:$A$306,N152,'Observations'!$B$7:$B$306,B152,'Observations'!$M$7:$M$306,"Corrected")&lt;&gt;1)),"Correction ref to check","Valid input"))))))))</x:f>
      </x:c>
    </x:row>
    <x:row r="153" ht="25" customHeight="1">
      <x:c r="A153" s="3"/>
      <x:c r="B153" s="3"/>
      <x:c r="C153" s="3"/>
      <x:c r="D153" s="3"/>
      <x:c r="E153" s="25"/>
      <x:c r="F153" s="25"/>
      <x:c r="G153" s="22"/>
      <x:c r="H153" s="3"/>
      <x:c r="I153" s="22"/>
      <x:c r="J153" s="3"/>
      <x:c r="K153" s="3"/>
      <x:c r="L153" s="3"/>
      <x:c r="M153" s="3"/>
      <x:c r="N153" s="3"/>
      <x:c r="O153" s="3"/>
      <x:c r="P153" s="19" t="str">
        <x:f>IF(A153="","",IF(COUNTIFS('Observations'!$A$7:$A$306,A153)&lt;&gt;1,"Duplicate ID",IF(COUNTIFS('Cases overview'!$A$7:$A$306,B153)&lt;&gt;1,"Invalid case ref",IF(AND(C153&lt;&gt;"",COUNTIFS('Plan versions'!$A$7:$A$306,C153,'Plan versions'!$B$7:$B$306,B153,'Plan versions'!$L$7:$L$306,"Frozen")&lt;&gt;1),"Invalid plan ref",IF(OR(NOT(ISNUMBER(F153)),M153=""),"Registration info missing",IF(AND(M153="Observed",OR(K153="",AND(NOT(ISNUMBER(G153)),J153=""))),"Observation/source missing",IF(AND(ISNUMBER(G153),H153=""),"Value/unit missing",IF(AND(N153&lt;&gt;"",OR(N153=A153,COUNTIFS('Observations'!$A$7:$A$306,N153,'Observations'!$B$7:$B$306,B153,'Observations'!$M$7:$M$306,"Corrected")&lt;&gt;1)),"Correction ref to check","Valid input"))))))))</x:f>
      </x:c>
    </x:row>
    <x:row r="154" ht="25" customHeight="1">
      <x:c r="A154" s="3"/>
      <x:c r="B154" s="3"/>
      <x:c r="C154" s="3"/>
      <x:c r="D154" s="3"/>
      <x:c r="E154" s="25"/>
      <x:c r="F154" s="25"/>
      <x:c r="G154" s="22"/>
      <x:c r="H154" s="3"/>
      <x:c r="I154" s="22"/>
      <x:c r="J154" s="3"/>
      <x:c r="K154" s="3"/>
      <x:c r="L154" s="3"/>
      <x:c r="M154" s="3"/>
      <x:c r="N154" s="3"/>
      <x:c r="O154" s="3"/>
      <x:c r="P154" s="19" t="str">
        <x:f>IF(A154="","",IF(COUNTIFS('Observations'!$A$7:$A$306,A154)&lt;&gt;1,"Duplicate ID",IF(COUNTIFS('Cases overview'!$A$7:$A$306,B154)&lt;&gt;1,"Invalid case ref",IF(AND(C154&lt;&gt;"",COUNTIFS('Plan versions'!$A$7:$A$306,C154,'Plan versions'!$B$7:$B$306,B154,'Plan versions'!$L$7:$L$306,"Frozen")&lt;&gt;1),"Invalid plan ref",IF(OR(NOT(ISNUMBER(F154)),M154=""),"Registration info missing",IF(AND(M154="Observed",OR(K154="",AND(NOT(ISNUMBER(G154)),J154=""))),"Observation/source missing",IF(AND(ISNUMBER(G154),H154=""),"Value/unit missing",IF(AND(N154&lt;&gt;"",OR(N154=A154,COUNTIFS('Observations'!$A$7:$A$306,N154,'Observations'!$B$7:$B$306,B154,'Observations'!$M$7:$M$306,"Corrected")&lt;&gt;1)),"Correction ref to check","Valid input"))))))))</x:f>
      </x:c>
    </x:row>
    <x:row r="155" ht="25" customHeight="1">
      <x:c r="A155" s="3"/>
      <x:c r="B155" s="3"/>
      <x:c r="C155" s="3"/>
      <x:c r="D155" s="3"/>
      <x:c r="E155" s="25"/>
      <x:c r="F155" s="25"/>
      <x:c r="G155" s="22"/>
      <x:c r="H155" s="3"/>
      <x:c r="I155" s="22"/>
      <x:c r="J155" s="3"/>
      <x:c r="K155" s="3"/>
      <x:c r="L155" s="3"/>
      <x:c r="M155" s="3"/>
      <x:c r="N155" s="3"/>
      <x:c r="O155" s="3"/>
      <x:c r="P155" s="19" t="str">
        <x:f>IF(A155="","",IF(COUNTIFS('Observations'!$A$7:$A$306,A155)&lt;&gt;1,"Duplicate ID",IF(COUNTIFS('Cases overview'!$A$7:$A$306,B155)&lt;&gt;1,"Invalid case ref",IF(AND(C155&lt;&gt;"",COUNTIFS('Plan versions'!$A$7:$A$306,C155,'Plan versions'!$B$7:$B$306,B155,'Plan versions'!$L$7:$L$306,"Frozen")&lt;&gt;1),"Invalid plan ref",IF(OR(NOT(ISNUMBER(F155)),M155=""),"Registration info missing",IF(AND(M155="Observed",OR(K155="",AND(NOT(ISNUMBER(G155)),J155=""))),"Observation/source missing",IF(AND(ISNUMBER(G155),H155=""),"Value/unit missing",IF(AND(N155&lt;&gt;"",OR(N155=A155,COUNTIFS('Observations'!$A$7:$A$306,N155,'Observations'!$B$7:$B$306,B155,'Observations'!$M$7:$M$306,"Corrected")&lt;&gt;1)),"Correction ref to check","Valid input"))))))))</x:f>
      </x:c>
    </x:row>
    <x:row r="156" ht="25" customHeight="1">
      <x:c r="A156" s="3"/>
      <x:c r="B156" s="3"/>
      <x:c r="C156" s="3"/>
      <x:c r="D156" s="3"/>
      <x:c r="E156" s="25"/>
      <x:c r="F156" s="25"/>
      <x:c r="G156" s="22"/>
      <x:c r="H156" s="3"/>
      <x:c r="I156" s="22"/>
      <x:c r="J156" s="3"/>
      <x:c r="K156" s="3"/>
      <x:c r="L156" s="3"/>
      <x:c r="M156" s="3"/>
      <x:c r="N156" s="3"/>
      <x:c r="O156" s="3"/>
      <x:c r="P156" s="19" t="str">
        <x:f>IF(A156="","",IF(COUNTIFS('Observations'!$A$7:$A$306,A156)&lt;&gt;1,"Duplicate ID",IF(COUNTIFS('Cases overview'!$A$7:$A$306,B156)&lt;&gt;1,"Invalid case ref",IF(AND(C156&lt;&gt;"",COUNTIFS('Plan versions'!$A$7:$A$306,C156,'Plan versions'!$B$7:$B$306,B156,'Plan versions'!$L$7:$L$306,"Frozen")&lt;&gt;1),"Invalid plan ref",IF(OR(NOT(ISNUMBER(F156)),M156=""),"Registration info missing",IF(AND(M156="Observed",OR(K156="",AND(NOT(ISNUMBER(G156)),J156=""))),"Observation/source missing",IF(AND(ISNUMBER(G156),H156=""),"Value/unit missing",IF(AND(N156&lt;&gt;"",OR(N156=A156,COUNTIFS('Observations'!$A$7:$A$306,N156,'Observations'!$B$7:$B$306,B156,'Observations'!$M$7:$M$306,"Corrected")&lt;&gt;1)),"Correction ref to check","Valid input"))))))))</x:f>
      </x:c>
    </x:row>
    <x:row r="157" ht="25" customHeight="1">
      <x:c r="A157" s="3"/>
      <x:c r="B157" s="3"/>
      <x:c r="C157" s="3"/>
      <x:c r="D157" s="3"/>
      <x:c r="E157" s="25"/>
      <x:c r="F157" s="25"/>
      <x:c r="G157" s="22"/>
      <x:c r="H157" s="3"/>
      <x:c r="I157" s="22"/>
      <x:c r="J157" s="3"/>
      <x:c r="K157" s="3"/>
      <x:c r="L157" s="3"/>
      <x:c r="M157" s="3"/>
      <x:c r="N157" s="3"/>
      <x:c r="O157" s="3"/>
      <x:c r="P157" s="19" t="str">
        <x:f>IF(A157="","",IF(COUNTIFS('Observations'!$A$7:$A$306,A157)&lt;&gt;1,"Duplicate ID",IF(COUNTIFS('Cases overview'!$A$7:$A$306,B157)&lt;&gt;1,"Invalid case ref",IF(AND(C157&lt;&gt;"",COUNTIFS('Plan versions'!$A$7:$A$306,C157,'Plan versions'!$B$7:$B$306,B157,'Plan versions'!$L$7:$L$306,"Frozen")&lt;&gt;1),"Invalid plan ref",IF(OR(NOT(ISNUMBER(F157)),M157=""),"Registration info missing",IF(AND(M157="Observed",OR(K157="",AND(NOT(ISNUMBER(G157)),J157=""))),"Observation/source missing",IF(AND(ISNUMBER(G157),H157=""),"Value/unit missing",IF(AND(N157&lt;&gt;"",OR(N157=A157,COUNTIFS('Observations'!$A$7:$A$306,N157,'Observations'!$B$7:$B$306,B157,'Observations'!$M$7:$M$306,"Corrected")&lt;&gt;1)),"Correction ref to check","Valid input"))))))))</x:f>
      </x:c>
    </x:row>
    <x:row r="158" ht="25" customHeight="1">
      <x:c r="A158" s="3"/>
      <x:c r="B158" s="3"/>
      <x:c r="C158" s="3"/>
      <x:c r="D158" s="3"/>
      <x:c r="E158" s="25"/>
      <x:c r="F158" s="25"/>
      <x:c r="G158" s="22"/>
      <x:c r="H158" s="3"/>
      <x:c r="I158" s="22"/>
      <x:c r="J158" s="3"/>
      <x:c r="K158" s="3"/>
      <x:c r="L158" s="3"/>
      <x:c r="M158" s="3"/>
      <x:c r="N158" s="3"/>
      <x:c r="O158" s="3"/>
      <x:c r="P158" s="19" t="str">
        <x:f>IF(A158="","",IF(COUNTIFS('Observations'!$A$7:$A$306,A158)&lt;&gt;1,"Duplicate ID",IF(COUNTIFS('Cases overview'!$A$7:$A$306,B158)&lt;&gt;1,"Invalid case ref",IF(AND(C158&lt;&gt;"",COUNTIFS('Plan versions'!$A$7:$A$306,C158,'Plan versions'!$B$7:$B$306,B158,'Plan versions'!$L$7:$L$306,"Frozen")&lt;&gt;1),"Invalid plan ref",IF(OR(NOT(ISNUMBER(F158)),M158=""),"Registration info missing",IF(AND(M158="Observed",OR(K158="",AND(NOT(ISNUMBER(G158)),J158=""))),"Observation/source missing",IF(AND(ISNUMBER(G158),H158=""),"Value/unit missing",IF(AND(N158&lt;&gt;"",OR(N158=A158,COUNTIFS('Observations'!$A$7:$A$306,N158,'Observations'!$B$7:$B$306,B158,'Observations'!$M$7:$M$306,"Corrected")&lt;&gt;1)),"Correction ref to check","Valid input"))))))))</x:f>
      </x:c>
    </x:row>
    <x:row r="159" ht="25" customHeight="1">
      <x:c r="A159" s="3"/>
      <x:c r="B159" s="3"/>
      <x:c r="C159" s="3"/>
      <x:c r="D159" s="3"/>
      <x:c r="E159" s="25"/>
      <x:c r="F159" s="25"/>
      <x:c r="G159" s="22"/>
      <x:c r="H159" s="3"/>
      <x:c r="I159" s="22"/>
      <x:c r="J159" s="3"/>
      <x:c r="K159" s="3"/>
      <x:c r="L159" s="3"/>
      <x:c r="M159" s="3"/>
      <x:c r="N159" s="3"/>
      <x:c r="O159" s="3"/>
      <x:c r="P159" s="19" t="str">
        <x:f>IF(A159="","",IF(COUNTIFS('Observations'!$A$7:$A$306,A159)&lt;&gt;1,"Duplicate ID",IF(COUNTIFS('Cases overview'!$A$7:$A$306,B159)&lt;&gt;1,"Invalid case ref",IF(AND(C159&lt;&gt;"",COUNTIFS('Plan versions'!$A$7:$A$306,C159,'Plan versions'!$B$7:$B$306,B159,'Plan versions'!$L$7:$L$306,"Frozen")&lt;&gt;1),"Invalid plan ref",IF(OR(NOT(ISNUMBER(F159)),M159=""),"Registration info missing",IF(AND(M159="Observed",OR(K159="",AND(NOT(ISNUMBER(G159)),J159=""))),"Observation/source missing",IF(AND(ISNUMBER(G159),H159=""),"Value/unit missing",IF(AND(N159&lt;&gt;"",OR(N159=A159,COUNTIFS('Observations'!$A$7:$A$306,N159,'Observations'!$B$7:$B$306,B159,'Observations'!$M$7:$M$306,"Corrected")&lt;&gt;1)),"Correction ref to check","Valid input"))))))))</x:f>
      </x:c>
    </x:row>
    <x:row r="160" ht="25" customHeight="1">
      <x:c r="A160" s="3"/>
      <x:c r="B160" s="3"/>
      <x:c r="C160" s="3"/>
      <x:c r="D160" s="3"/>
      <x:c r="E160" s="25"/>
      <x:c r="F160" s="25"/>
      <x:c r="G160" s="22"/>
      <x:c r="H160" s="3"/>
      <x:c r="I160" s="22"/>
      <x:c r="J160" s="3"/>
      <x:c r="K160" s="3"/>
      <x:c r="L160" s="3"/>
      <x:c r="M160" s="3"/>
      <x:c r="N160" s="3"/>
      <x:c r="O160" s="3"/>
      <x:c r="P160" s="19" t="str">
        <x:f>IF(A160="","",IF(COUNTIFS('Observations'!$A$7:$A$306,A160)&lt;&gt;1,"Duplicate ID",IF(COUNTIFS('Cases overview'!$A$7:$A$306,B160)&lt;&gt;1,"Invalid case ref",IF(AND(C160&lt;&gt;"",COUNTIFS('Plan versions'!$A$7:$A$306,C160,'Plan versions'!$B$7:$B$306,B160,'Plan versions'!$L$7:$L$306,"Frozen")&lt;&gt;1),"Invalid plan ref",IF(OR(NOT(ISNUMBER(F160)),M160=""),"Registration info missing",IF(AND(M160="Observed",OR(K160="",AND(NOT(ISNUMBER(G160)),J160=""))),"Observation/source missing",IF(AND(ISNUMBER(G160),H160=""),"Value/unit missing",IF(AND(N160&lt;&gt;"",OR(N160=A160,COUNTIFS('Observations'!$A$7:$A$306,N160,'Observations'!$B$7:$B$306,B160,'Observations'!$M$7:$M$306,"Corrected")&lt;&gt;1)),"Correction ref to check","Valid input"))))))))</x:f>
      </x:c>
    </x:row>
    <x:row r="161" ht="25" customHeight="1">
      <x:c r="A161" s="3"/>
      <x:c r="B161" s="3"/>
      <x:c r="C161" s="3"/>
      <x:c r="D161" s="3"/>
      <x:c r="E161" s="25"/>
      <x:c r="F161" s="25"/>
      <x:c r="G161" s="22"/>
      <x:c r="H161" s="3"/>
      <x:c r="I161" s="22"/>
      <x:c r="J161" s="3"/>
      <x:c r="K161" s="3"/>
      <x:c r="L161" s="3"/>
      <x:c r="M161" s="3"/>
      <x:c r="N161" s="3"/>
      <x:c r="O161" s="3"/>
      <x:c r="P161" s="19" t="str">
        <x:f>IF(A161="","",IF(COUNTIFS('Observations'!$A$7:$A$306,A161)&lt;&gt;1,"Duplicate ID",IF(COUNTIFS('Cases overview'!$A$7:$A$306,B161)&lt;&gt;1,"Invalid case ref",IF(AND(C161&lt;&gt;"",COUNTIFS('Plan versions'!$A$7:$A$306,C161,'Plan versions'!$B$7:$B$306,B161,'Plan versions'!$L$7:$L$306,"Frozen")&lt;&gt;1),"Invalid plan ref",IF(OR(NOT(ISNUMBER(F161)),M161=""),"Registration info missing",IF(AND(M161="Observed",OR(K161="",AND(NOT(ISNUMBER(G161)),J161=""))),"Observation/source missing",IF(AND(ISNUMBER(G161),H161=""),"Value/unit missing",IF(AND(N161&lt;&gt;"",OR(N161=A161,COUNTIFS('Observations'!$A$7:$A$306,N161,'Observations'!$B$7:$B$306,B161,'Observations'!$M$7:$M$306,"Corrected")&lt;&gt;1)),"Correction ref to check","Valid input"))))))))</x:f>
      </x:c>
    </x:row>
    <x:row r="162" ht="25" customHeight="1">
      <x:c r="A162" s="3"/>
      <x:c r="B162" s="3"/>
      <x:c r="C162" s="3"/>
      <x:c r="D162" s="3"/>
      <x:c r="E162" s="25"/>
      <x:c r="F162" s="25"/>
      <x:c r="G162" s="22"/>
      <x:c r="H162" s="3"/>
      <x:c r="I162" s="22"/>
      <x:c r="J162" s="3"/>
      <x:c r="K162" s="3"/>
      <x:c r="L162" s="3"/>
      <x:c r="M162" s="3"/>
      <x:c r="N162" s="3"/>
      <x:c r="O162" s="3"/>
      <x:c r="P162" s="19" t="str">
        <x:f>IF(A162="","",IF(COUNTIFS('Observations'!$A$7:$A$306,A162)&lt;&gt;1,"Duplicate ID",IF(COUNTIFS('Cases overview'!$A$7:$A$306,B162)&lt;&gt;1,"Invalid case ref",IF(AND(C162&lt;&gt;"",COUNTIFS('Plan versions'!$A$7:$A$306,C162,'Plan versions'!$B$7:$B$306,B162,'Plan versions'!$L$7:$L$306,"Frozen")&lt;&gt;1),"Invalid plan ref",IF(OR(NOT(ISNUMBER(F162)),M162=""),"Registration info missing",IF(AND(M162="Observed",OR(K162="",AND(NOT(ISNUMBER(G162)),J162=""))),"Observation/source missing",IF(AND(ISNUMBER(G162),H162=""),"Value/unit missing",IF(AND(N162&lt;&gt;"",OR(N162=A162,COUNTIFS('Observations'!$A$7:$A$306,N162,'Observations'!$B$7:$B$306,B162,'Observations'!$M$7:$M$306,"Corrected")&lt;&gt;1)),"Correction ref to check","Valid input"))))))))</x:f>
      </x:c>
    </x:row>
    <x:row r="163" ht="25" customHeight="1">
      <x:c r="A163" s="3"/>
      <x:c r="B163" s="3"/>
      <x:c r="C163" s="3"/>
      <x:c r="D163" s="3"/>
      <x:c r="E163" s="25"/>
      <x:c r="F163" s="25"/>
      <x:c r="G163" s="22"/>
      <x:c r="H163" s="3"/>
      <x:c r="I163" s="22"/>
      <x:c r="J163" s="3"/>
      <x:c r="K163" s="3"/>
      <x:c r="L163" s="3"/>
      <x:c r="M163" s="3"/>
      <x:c r="N163" s="3"/>
      <x:c r="O163" s="3"/>
      <x:c r="P163" s="19" t="str">
        <x:f>IF(A163="","",IF(COUNTIFS('Observations'!$A$7:$A$306,A163)&lt;&gt;1,"Duplicate ID",IF(COUNTIFS('Cases overview'!$A$7:$A$306,B163)&lt;&gt;1,"Invalid case ref",IF(AND(C163&lt;&gt;"",COUNTIFS('Plan versions'!$A$7:$A$306,C163,'Plan versions'!$B$7:$B$306,B163,'Plan versions'!$L$7:$L$306,"Frozen")&lt;&gt;1),"Invalid plan ref",IF(OR(NOT(ISNUMBER(F163)),M163=""),"Registration info missing",IF(AND(M163="Observed",OR(K163="",AND(NOT(ISNUMBER(G163)),J163=""))),"Observation/source missing",IF(AND(ISNUMBER(G163),H163=""),"Value/unit missing",IF(AND(N163&lt;&gt;"",OR(N163=A163,COUNTIFS('Observations'!$A$7:$A$306,N163,'Observations'!$B$7:$B$306,B163,'Observations'!$M$7:$M$306,"Corrected")&lt;&gt;1)),"Correction ref to check","Valid input"))))))))</x:f>
      </x:c>
    </x:row>
    <x:row r="164" ht="25" customHeight="1">
      <x:c r="A164" s="3"/>
      <x:c r="B164" s="3"/>
      <x:c r="C164" s="3"/>
      <x:c r="D164" s="3"/>
      <x:c r="E164" s="25"/>
      <x:c r="F164" s="25"/>
      <x:c r="G164" s="22"/>
      <x:c r="H164" s="3"/>
      <x:c r="I164" s="22"/>
      <x:c r="J164" s="3"/>
      <x:c r="K164" s="3"/>
      <x:c r="L164" s="3"/>
      <x:c r="M164" s="3"/>
      <x:c r="N164" s="3"/>
      <x:c r="O164" s="3"/>
      <x:c r="P164" s="19" t="str">
        <x:f>IF(A164="","",IF(COUNTIFS('Observations'!$A$7:$A$306,A164)&lt;&gt;1,"Duplicate ID",IF(COUNTIFS('Cases overview'!$A$7:$A$306,B164)&lt;&gt;1,"Invalid case ref",IF(AND(C164&lt;&gt;"",COUNTIFS('Plan versions'!$A$7:$A$306,C164,'Plan versions'!$B$7:$B$306,B164,'Plan versions'!$L$7:$L$306,"Frozen")&lt;&gt;1),"Invalid plan ref",IF(OR(NOT(ISNUMBER(F164)),M164=""),"Registration info missing",IF(AND(M164="Observed",OR(K164="",AND(NOT(ISNUMBER(G164)),J164=""))),"Observation/source missing",IF(AND(ISNUMBER(G164),H164=""),"Value/unit missing",IF(AND(N164&lt;&gt;"",OR(N164=A164,COUNTIFS('Observations'!$A$7:$A$306,N164,'Observations'!$B$7:$B$306,B164,'Observations'!$M$7:$M$306,"Corrected")&lt;&gt;1)),"Correction ref to check","Valid input"))))))))</x:f>
      </x:c>
    </x:row>
    <x:row r="165" ht="25" customHeight="1">
      <x:c r="A165" s="3"/>
      <x:c r="B165" s="3"/>
      <x:c r="C165" s="3"/>
      <x:c r="D165" s="3"/>
      <x:c r="E165" s="25"/>
      <x:c r="F165" s="25"/>
      <x:c r="G165" s="22"/>
      <x:c r="H165" s="3"/>
      <x:c r="I165" s="22"/>
      <x:c r="J165" s="3"/>
      <x:c r="K165" s="3"/>
      <x:c r="L165" s="3"/>
      <x:c r="M165" s="3"/>
      <x:c r="N165" s="3"/>
      <x:c r="O165" s="3"/>
      <x:c r="P165" s="19" t="str">
        <x:f>IF(A165="","",IF(COUNTIFS('Observations'!$A$7:$A$306,A165)&lt;&gt;1,"Duplicate ID",IF(COUNTIFS('Cases overview'!$A$7:$A$306,B165)&lt;&gt;1,"Invalid case ref",IF(AND(C165&lt;&gt;"",COUNTIFS('Plan versions'!$A$7:$A$306,C165,'Plan versions'!$B$7:$B$306,B165,'Plan versions'!$L$7:$L$306,"Frozen")&lt;&gt;1),"Invalid plan ref",IF(OR(NOT(ISNUMBER(F165)),M165=""),"Registration info missing",IF(AND(M165="Observed",OR(K165="",AND(NOT(ISNUMBER(G165)),J165=""))),"Observation/source missing",IF(AND(ISNUMBER(G165),H165=""),"Value/unit missing",IF(AND(N165&lt;&gt;"",OR(N165=A165,COUNTIFS('Observations'!$A$7:$A$306,N165,'Observations'!$B$7:$B$306,B165,'Observations'!$M$7:$M$306,"Corrected")&lt;&gt;1)),"Correction ref to check","Valid input"))))))))</x:f>
      </x:c>
    </x:row>
    <x:row r="166" ht="25" customHeight="1">
      <x:c r="A166" s="3"/>
      <x:c r="B166" s="3"/>
      <x:c r="C166" s="3"/>
      <x:c r="D166" s="3"/>
      <x:c r="E166" s="25"/>
      <x:c r="F166" s="25"/>
      <x:c r="G166" s="22"/>
      <x:c r="H166" s="3"/>
      <x:c r="I166" s="22"/>
      <x:c r="J166" s="3"/>
      <x:c r="K166" s="3"/>
      <x:c r="L166" s="3"/>
      <x:c r="M166" s="3"/>
      <x:c r="N166" s="3"/>
      <x:c r="O166" s="3"/>
      <x:c r="P166" s="19" t="str">
        <x:f>IF(A166="","",IF(COUNTIFS('Observations'!$A$7:$A$306,A166)&lt;&gt;1,"Duplicate ID",IF(COUNTIFS('Cases overview'!$A$7:$A$306,B166)&lt;&gt;1,"Invalid case ref",IF(AND(C166&lt;&gt;"",COUNTIFS('Plan versions'!$A$7:$A$306,C166,'Plan versions'!$B$7:$B$306,B166,'Plan versions'!$L$7:$L$306,"Frozen")&lt;&gt;1),"Invalid plan ref",IF(OR(NOT(ISNUMBER(F166)),M166=""),"Registration info missing",IF(AND(M166="Observed",OR(K166="",AND(NOT(ISNUMBER(G166)),J166=""))),"Observation/source missing",IF(AND(ISNUMBER(G166),H166=""),"Value/unit missing",IF(AND(N166&lt;&gt;"",OR(N166=A166,COUNTIFS('Observations'!$A$7:$A$306,N166,'Observations'!$B$7:$B$306,B166,'Observations'!$M$7:$M$306,"Corrected")&lt;&gt;1)),"Correction ref to check","Valid input"))))))))</x:f>
      </x:c>
    </x:row>
    <x:row r="167" ht="25" customHeight="1">
      <x:c r="A167" s="3"/>
      <x:c r="B167" s="3"/>
      <x:c r="C167" s="3"/>
      <x:c r="D167" s="3"/>
      <x:c r="E167" s="25"/>
      <x:c r="F167" s="25"/>
      <x:c r="G167" s="22"/>
      <x:c r="H167" s="3"/>
      <x:c r="I167" s="22"/>
      <x:c r="J167" s="3"/>
      <x:c r="K167" s="3"/>
      <x:c r="L167" s="3"/>
      <x:c r="M167" s="3"/>
      <x:c r="N167" s="3"/>
      <x:c r="O167" s="3"/>
      <x:c r="P167" s="19" t="str">
        <x:f>IF(A167="","",IF(COUNTIFS('Observations'!$A$7:$A$306,A167)&lt;&gt;1,"Duplicate ID",IF(COUNTIFS('Cases overview'!$A$7:$A$306,B167)&lt;&gt;1,"Invalid case ref",IF(AND(C167&lt;&gt;"",COUNTIFS('Plan versions'!$A$7:$A$306,C167,'Plan versions'!$B$7:$B$306,B167,'Plan versions'!$L$7:$L$306,"Frozen")&lt;&gt;1),"Invalid plan ref",IF(OR(NOT(ISNUMBER(F167)),M167=""),"Registration info missing",IF(AND(M167="Observed",OR(K167="",AND(NOT(ISNUMBER(G167)),J167=""))),"Observation/source missing",IF(AND(ISNUMBER(G167),H167=""),"Value/unit missing",IF(AND(N167&lt;&gt;"",OR(N167=A167,COUNTIFS('Observations'!$A$7:$A$306,N167,'Observations'!$B$7:$B$306,B167,'Observations'!$M$7:$M$306,"Corrected")&lt;&gt;1)),"Correction ref to check","Valid input"))))))))</x:f>
      </x:c>
    </x:row>
    <x:row r="168" ht="25" customHeight="1">
      <x:c r="A168" s="3"/>
      <x:c r="B168" s="3"/>
      <x:c r="C168" s="3"/>
      <x:c r="D168" s="3"/>
      <x:c r="E168" s="25"/>
      <x:c r="F168" s="25"/>
      <x:c r="G168" s="22"/>
      <x:c r="H168" s="3"/>
      <x:c r="I168" s="22"/>
      <x:c r="J168" s="3"/>
      <x:c r="K168" s="3"/>
      <x:c r="L168" s="3"/>
      <x:c r="M168" s="3"/>
      <x:c r="N168" s="3"/>
      <x:c r="O168" s="3"/>
      <x:c r="P168" s="19" t="str">
        <x:f>IF(A168="","",IF(COUNTIFS('Observations'!$A$7:$A$306,A168)&lt;&gt;1,"Duplicate ID",IF(COUNTIFS('Cases overview'!$A$7:$A$306,B168)&lt;&gt;1,"Invalid case ref",IF(AND(C168&lt;&gt;"",COUNTIFS('Plan versions'!$A$7:$A$306,C168,'Plan versions'!$B$7:$B$306,B168,'Plan versions'!$L$7:$L$306,"Frozen")&lt;&gt;1),"Invalid plan ref",IF(OR(NOT(ISNUMBER(F168)),M168=""),"Registration info missing",IF(AND(M168="Observed",OR(K168="",AND(NOT(ISNUMBER(G168)),J168=""))),"Observation/source missing",IF(AND(ISNUMBER(G168),H168=""),"Value/unit missing",IF(AND(N168&lt;&gt;"",OR(N168=A168,COUNTIFS('Observations'!$A$7:$A$306,N168,'Observations'!$B$7:$B$306,B168,'Observations'!$M$7:$M$306,"Corrected")&lt;&gt;1)),"Correction ref to check","Valid input"))))))))</x:f>
      </x:c>
    </x:row>
    <x:row r="169" ht="25" customHeight="1">
      <x:c r="A169" s="3"/>
      <x:c r="B169" s="3"/>
      <x:c r="C169" s="3"/>
      <x:c r="D169" s="3"/>
      <x:c r="E169" s="25"/>
      <x:c r="F169" s="25"/>
      <x:c r="G169" s="22"/>
      <x:c r="H169" s="3"/>
      <x:c r="I169" s="22"/>
      <x:c r="J169" s="3"/>
      <x:c r="K169" s="3"/>
      <x:c r="L169" s="3"/>
      <x:c r="M169" s="3"/>
      <x:c r="N169" s="3"/>
      <x:c r="O169" s="3"/>
      <x:c r="P169" s="19" t="str">
        <x:f>IF(A169="","",IF(COUNTIFS('Observations'!$A$7:$A$306,A169)&lt;&gt;1,"Duplicate ID",IF(COUNTIFS('Cases overview'!$A$7:$A$306,B169)&lt;&gt;1,"Invalid case ref",IF(AND(C169&lt;&gt;"",COUNTIFS('Plan versions'!$A$7:$A$306,C169,'Plan versions'!$B$7:$B$306,B169,'Plan versions'!$L$7:$L$306,"Frozen")&lt;&gt;1),"Invalid plan ref",IF(OR(NOT(ISNUMBER(F169)),M169=""),"Registration info missing",IF(AND(M169="Observed",OR(K169="",AND(NOT(ISNUMBER(G169)),J169=""))),"Observation/source missing",IF(AND(ISNUMBER(G169),H169=""),"Value/unit missing",IF(AND(N169&lt;&gt;"",OR(N169=A169,COUNTIFS('Observations'!$A$7:$A$306,N169,'Observations'!$B$7:$B$306,B169,'Observations'!$M$7:$M$306,"Corrected")&lt;&gt;1)),"Correction ref to check","Valid input"))))))))</x:f>
      </x:c>
    </x:row>
    <x:row r="170" ht="25" customHeight="1">
      <x:c r="A170" s="3"/>
      <x:c r="B170" s="3"/>
      <x:c r="C170" s="3"/>
      <x:c r="D170" s="3"/>
      <x:c r="E170" s="25"/>
      <x:c r="F170" s="25"/>
      <x:c r="G170" s="22"/>
      <x:c r="H170" s="3"/>
      <x:c r="I170" s="22"/>
      <x:c r="J170" s="3"/>
      <x:c r="K170" s="3"/>
      <x:c r="L170" s="3"/>
      <x:c r="M170" s="3"/>
      <x:c r="N170" s="3"/>
      <x:c r="O170" s="3"/>
      <x:c r="P170" s="19" t="str">
        <x:f>IF(A170="","",IF(COUNTIFS('Observations'!$A$7:$A$306,A170)&lt;&gt;1,"Duplicate ID",IF(COUNTIFS('Cases overview'!$A$7:$A$306,B170)&lt;&gt;1,"Invalid case ref",IF(AND(C170&lt;&gt;"",COUNTIFS('Plan versions'!$A$7:$A$306,C170,'Plan versions'!$B$7:$B$306,B170,'Plan versions'!$L$7:$L$306,"Frozen")&lt;&gt;1),"Invalid plan ref",IF(OR(NOT(ISNUMBER(F170)),M170=""),"Registration info missing",IF(AND(M170="Observed",OR(K170="",AND(NOT(ISNUMBER(G170)),J170=""))),"Observation/source missing",IF(AND(ISNUMBER(G170),H170=""),"Value/unit missing",IF(AND(N170&lt;&gt;"",OR(N170=A170,COUNTIFS('Observations'!$A$7:$A$306,N170,'Observations'!$B$7:$B$306,B170,'Observations'!$M$7:$M$306,"Corrected")&lt;&gt;1)),"Correction ref to check","Valid input"))))))))</x:f>
      </x:c>
    </x:row>
    <x:row r="171" ht="25" customHeight="1">
      <x:c r="A171" s="3"/>
      <x:c r="B171" s="3"/>
      <x:c r="C171" s="3"/>
      <x:c r="D171" s="3"/>
      <x:c r="E171" s="25"/>
      <x:c r="F171" s="25"/>
      <x:c r="G171" s="22"/>
      <x:c r="H171" s="3"/>
      <x:c r="I171" s="22"/>
      <x:c r="J171" s="3"/>
      <x:c r="K171" s="3"/>
      <x:c r="L171" s="3"/>
      <x:c r="M171" s="3"/>
      <x:c r="N171" s="3"/>
      <x:c r="O171" s="3"/>
      <x:c r="P171" s="19" t="str">
        <x:f>IF(A171="","",IF(COUNTIFS('Observations'!$A$7:$A$306,A171)&lt;&gt;1,"Duplicate ID",IF(COUNTIFS('Cases overview'!$A$7:$A$306,B171)&lt;&gt;1,"Invalid case ref",IF(AND(C171&lt;&gt;"",COUNTIFS('Plan versions'!$A$7:$A$306,C171,'Plan versions'!$B$7:$B$306,B171,'Plan versions'!$L$7:$L$306,"Frozen")&lt;&gt;1),"Invalid plan ref",IF(OR(NOT(ISNUMBER(F171)),M171=""),"Registration info missing",IF(AND(M171="Observed",OR(K171="",AND(NOT(ISNUMBER(G171)),J171=""))),"Observation/source missing",IF(AND(ISNUMBER(G171),H171=""),"Value/unit missing",IF(AND(N171&lt;&gt;"",OR(N171=A171,COUNTIFS('Observations'!$A$7:$A$306,N171,'Observations'!$B$7:$B$306,B171,'Observations'!$M$7:$M$306,"Corrected")&lt;&gt;1)),"Correction ref to check","Valid input"))))))))</x:f>
      </x:c>
    </x:row>
    <x:row r="172" ht="25" customHeight="1">
      <x:c r="A172" s="3"/>
      <x:c r="B172" s="3"/>
      <x:c r="C172" s="3"/>
      <x:c r="D172" s="3"/>
      <x:c r="E172" s="25"/>
      <x:c r="F172" s="25"/>
      <x:c r="G172" s="22"/>
      <x:c r="H172" s="3"/>
      <x:c r="I172" s="22"/>
      <x:c r="J172" s="3"/>
      <x:c r="K172" s="3"/>
      <x:c r="L172" s="3"/>
      <x:c r="M172" s="3"/>
      <x:c r="N172" s="3"/>
      <x:c r="O172" s="3"/>
      <x:c r="P172" s="19" t="str">
        <x:f>IF(A172="","",IF(COUNTIFS('Observations'!$A$7:$A$306,A172)&lt;&gt;1,"Duplicate ID",IF(COUNTIFS('Cases overview'!$A$7:$A$306,B172)&lt;&gt;1,"Invalid case ref",IF(AND(C172&lt;&gt;"",COUNTIFS('Plan versions'!$A$7:$A$306,C172,'Plan versions'!$B$7:$B$306,B172,'Plan versions'!$L$7:$L$306,"Frozen")&lt;&gt;1),"Invalid plan ref",IF(OR(NOT(ISNUMBER(F172)),M172=""),"Registration info missing",IF(AND(M172="Observed",OR(K172="",AND(NOT(ISNUMBER(G172)),J172=""))),"Observation/source missing",IF(AND(ISNUMBER(G172),H172=""),"Value/unit missing",IF(AND(N172&lt;&gt;"",OR(N172=A172,COUNTIFS('Observations'!$A$7:$A$306,N172,'Observations'!$B$7:$B$306,B172,'Observations'!$M$7:$M$306,"Corrected")&lt;&gt;1)),"Correction ref to check","Valid input"))))))))</x:f>
      </x:c>
    </x:row>
    <x:row r="173" ht="25" customHeight="1">
      <x:c r="A173" s="3"/>
      <x:c r="B173" s="3"/>
      <x:c r="C173" s="3"/>
      <x:c r="D173" s="3"/>
      <x:c r="E173" s="25"/>
      <x:c r="F173" s="25"/>
      <x:c r="G173" s="22"/>
      <x:c r="H173" s="3"/>
      <x:c r="I173" s="22"/>
      <x:c r="J173" s="3"/>
      <x:c r="K173" s="3"/>
      <x:c r="L173" s="3"/>
      <x:c r="M173" s="3"/>
      <x:c r="N173" s="3"/>
      <x:c r="O173" s="3"/>
      <x:c r="P173" s="19" t="str">
        <x:f>IF(A173="","",IF(COUNTIFS('Observations'!$A$7:$A$306,A173)&lt;&gt;1,"Duplicate ID",IF(COUNTIFS('Cases overview'!$A$7:$A$306,B173)&lt;&gt;1,"Invalid case ref",IF(AND(C173&lt;&gt;"",COUNTIFS('Plan versions'!$A$7:$A$306,C173,'Plan versions'!$B$7:$B$306,B173,'Plan versions'!$L$7:$L$306,"Frozen")&lt;&gt;1),"Invalid plan ref",IF(OR(NOT(ISNUMBER(F173)),M173=""),"Registration info missing",IF(AND(M173="Observed",OR(K173="",AND(NOT(ISNUMBER(G173)),J173=""))),"Observation/source missing",IF(AND(ISNUMBER(G173),H173=""),"Value/unit missing",IF(AND(N173&lt;&gt;"",OR(N173=A173,COUNTIFS('Observations'!$A$7:$A$306,N173,'Observations'!$B$7:$B$306,B173,'Observations'!$M$7:$M$306,"Corrected")&lt;&gt;1)),"Correction ref to check","Valid input"))))))))</x:f>
      </x:c>
    </x:row>
    <x:row r="174" ht="25" customHeight="1">
      <x:c r="A174" s="3"/>
      <x:c r="B174" s="3"/>
      <x:c r="C174" s="3"/>
      <x:c r="D174" s="3"/>
      <x:c r="E174" s="25"/>
      <x:c r="F174" s="25"/>
      <x:c r="G174" s="22"/>
      <x:c r="H174" s="3"/>
      <x:c r="I174" s="22"/>
      <x:c r="J174" s="3"/>
      <x:c r="K174" s="3"/>
      <x:c r="L174" s="3"/>
      <x:c r="M174" s="3"/>
      <x:c r="N174" s="3"/>
      <x:c r="O174" s="3"/>
      <x:c r="P174" s="19" t="str">
        <x:f>IF(A174="","",IF(COUNTIFS('Observations'!$A$7:$A$306,A174)&lt;&gt;1,"Duplicate ID",IF(COUNTIFS('Cases overview'!$A$7:$A$306,B174)&lt;&gt;1,"Invalid case ref",IF(AND(C174&lt;&gt;"",COUNTIFS('Plan versions'!$A$7:$A$306,C174,'Plan versions'!$B$7:$B$306,B174,'Plan versions'!$L$7:$L$306,"Frozen")&lt;&gt;1),"Invalid plan ref",IF(OR(NOT(ISNUMBER(F174)),M174=""),"Registration info missing",IF(AND(M174="Observed",OR(K174="",AND(NOT(ISNUMBER(G174)),J174=""))),"Observation/source missing",IF(AND(ISNUMBER(G174),H174=""),"Value/unit missing",IF(AND(N174&lt;&gt;"",OR(N174=A174,COUNTIFS('Observations'!$A$7:$A$306,N174,'Observations'!$B$7:$B$306,B174,'Observations'!$M$7:$M$306,"Corrected")&lt;&gt;1)),"Correction ref to check","Valid input"))))))))</x:f>
      </x:c>
    </x:row>
    <x:row r="175" ht="25" customHeight="1">
      <x:c r="A175" s="3"/>
      <x:c r="B175" s="3"/>
      <x:c r="C175" s="3"/>
      <x:c r="D175" s="3"/>
      <x:c r="E175" s="25"/>
      <x:c r="F175" s="25"/>
      <x:c r="G175" s="22"/>
      <x:c r="H175" s="3"/>
      <x:c r="I175" s="22"/>
      <x:c r="J175" s="3"/>
      <x:c r="K175" s="3"/>
      <x:c r="L175" s="3"/>
      <x:c r="M175" s="3"/>
      <x:c r="N175" s="3"/>
      <x:c r="O175" s="3"/>
      <x:c r="P175" s="19" t="str">
        <x:f>IF(A175="","",IF(COUNTIFS('Observations'!$A$7:$A$306,A175)&lt;&gt;1,"Duplicate ID",IF(COUNTIFS('Cases overview'!$A$7:$A$306,B175)&lt;&gt;1,"Invalid case ref",IF(AND(C175&lt;&gt;"",COUNTIFS('Plan versions'!$A$7:$A$306,C175,'Plan versions'!$B$7:$B$306,B175,'Plan versions'!$L$7:$L$306,"Frozen")&lt;&gt;1),"Invalid plan ref",IF(OR(NOT(ISNUMBER(F175)),M175=""),"Registration info missing",IF(AND(M175="Observed",OR(K175="",AND(NOT(ISNUMBER(G175)),J175=""))),"Observation/source missing",IF(AND(ISNUMBER(G175),H175=""),"Value/unit missing",IF(AND(N175&lt;&gt;"",OR(N175=A175,COUNTIFS('Observations'!$A$7:$A$306,N175,'Observations'!$B$7:$B$306,B175,'Observations'!$M$7:$M$306,"Corrected")&lt;&gt;1)),"Correction ref to check","Valid input"))))))))</x:f>
      </x:c>
    </x:row>
    <x:row r="176" ht="25" customHeight="1">
      <x:c r="A176" s="3"/>
      <x:c r="B176" s="3"/>
      <x:c r="C176" s="3"/>
      <x:c r="D176" s="3"/>
      <x:c r="E176" s="25"/>
      <x:c r="F176" s="25"/>
      <x:c r="G176" s="22"/>
      <x:c r="H176" s="3"/>
      <x:c r="I176" s="22"/>
      <x:c r="J176" s="3"/>
      <x:c r="K176" s="3"/>
      <x:c r="L176" s="3"/>
      <x:c r="M176" s="3"/>
      <x:c r="N176" s="3"/>
      <x:c r="O176" s="3"/>
      <x:c r="P176" s="19" t="str">
        <x:f>IF(A176="","",IF(COUNTIFS('Observations'!$A$7:$A$306,A176)&lt;&gt;1,"Duplicate ID",IF(COUNTIFS('Cases overview'!$A$7:$A$306,B176)&lt;&gt;1,"Invalid case ref",IF(AND(C176&lt;&gt;"",COUNTIFS('Plan versions'!$A$7:$A$306,C176,'Plan versions'!$B$7:$B$306,B176,'Plan versions'!$L$7:$L$306,"Frozen")&lt;&gt;1),"Invalid plan ref",IF(OR(NOT(ISNUMBER(F176)),M176=""),"Registration info missing",IF(AND(M176="Observed",OR(K176="",AND(NOT(ISNUMBER(G176)),J176=""))),"Observation/source missing",IF(AND(ISNUMBER(G176),H176=""),"Value/unit missing",IF(AND(N176&lt;&gt;"",OR(N176=A176,COUNTIFS('Observations'!$A$7:$A$306,N176,'Observations'!$B$7:$B$306,B176,'Observations'!$M$7:$M$306,"Corrected")&lt;&gt;1)),"Correction ref to check","Valid input"))))))))</x:f>
      </x:c>
    </x:row>
    <x:row r="177" ht="25" customHeight="1">
      <x:c r="A177" s="3"/>
      <x:c r="B177" s="3"/>
      <x:c r="C177" s="3"/>
      <x:c r="D177" s="3"/>
      <x:c r="E177" s="25"/>
      <x:c r="F177" s="25"/>
      <x:c r="G177" s="22"/>
      <x:c r="H177" s="3"/>
      <x:c r="I177" s="22"/>
      <x:c r="J177" s="3"/>
      <x:c r="K177" s="3"/>
      <x:c r="L177" s="3"/>
      <x:c r="M177" s="3"/>
      <x:c r="N177" s="3"/>
      <x:c r="O177" s="3"/>
      <x:c r="P177" s="19" t="str">
        <x:f>IF(A177="","",IF(COUNTIFS('Observations'!$A$7:$A$306,A177)&lt;&gt;1,"Duplicate ID",IF(COUNTIFS('Cases overview'!$A$7:$A$306,B177)&lt;&gt;1,"Invalid case ref",IF(AND(C177&lt;&gt;"",COUNTIFS('Plan versions'!$A$7:$A$306,C177,'Plan versions'!$B$7:$B$306,B177,'Plan versions'!$L$7:$L$306,"Frozen")&lt;&gt;1),"Invalid plan ref",IF(OR(NOT(ISNUMBER(F177)),M177=""),"Registration info missing",IF(AND(M177="Observed",OR(K177="",AND(NOT(ISNUMBER(G177)),J177=""))),"Observation/source missing",IF(AND(ISNUMBER(G177),H177=""),"Value/unit missing",IF(AND(N177&lt;&gt;"",OR(N177=A177,COUNTIFS('Observations'!$A$7:$A$306,N177,'Observations'!$B$7:$B$306,B177,'Observations'!$M$7:$M$306,"Corrected")&lt;&gt;1)),"Correction ref to check","Valid input"))))))))</x:f>
      </x:c>
    </x:row>
    <x:row r="178" ht="25" customHeight="1">
      <x:c r="A178" s="3"/>
      <x:c r="B178" s="3"/>
      <x:c r="C178" s="3"/>
      <x:c r="D178" s="3"/>
      <x:c r="E178" s="25"/>
      <x:c r="F178" s="25"/>
      <x:c r="G178" s="22"/>
      <x:c r="H178" s="3"/>
      <x:c r="I178" s="22"/>
      <x:c r="J178" s="3"/>
      <x:c r="K178" s="3"/>
      <x:c r="L178" s="3"/>
      <x:c r="M178" s="3"/>
      <x:c r="N178" s="3"/>
      <x:c r="O178" s="3"/>
      <x:c r="P178" s="19" t="str">
        <x:f>IF(A178="","",IF(COUNTIFS('Observations'!$A$7:$A$306,A178)&lt;&gt;1,"Duplicate ID",IF(COUNTIFS('Cases overview'!$A$7:$A$306,B178)&lt;&gt;1,"Invalid case ref",IF(AND(C178&lt;&gt;"",COUNTIFS('Plan versions'!$A$7:$A$306,C178,'Plan versions'!$B$7:$B$306,B178,'Plan versions'!$L$7:$L$306,"Frozen")&lt;&gt;1),"Invalid plan ref",IF(OR(NOT(ISNUMBER(F178)),M178=""),"Registration info missing",IF(AND(M178="Observed",OR(K178="",AND(NOT(ISNUMBER(G178)),J178=""))),"Observation/source missing",IF(AND(ISNUMBER(G178),H178=""),"Value/unit missing",IF(AND(N178&lt;&gt;"",OR(N178=A178,COUNTIFS('Observations'!$A$7:$A$306,N178,'Observations'!$B$7:$B$306,B178,'Observations'!$M$7:$M$306,"Corrected")&lt;&gt;1)),"Correction ref to check","Valid input"))))))))</x:f>
      </x:c>
    </x:row>
    <x:row r="179" ht="25" customHeight="1">
      <x:c r="A179" s="3"/>
      <x:c r="B179" s="3"/>
      <x:c r="C179" s="3"/>
      <x:c r="D179" s="3"/>
      <x:c r="E179" s="25"/>
      <x:c r="F179" s="25"/>
      <x:c r="G179" s="22"/>
      <x:c r="H179" s="3"/>
      <x:c r="I179" s="22"/>
      <x:c r="J179" s="3"/>
      <x:c r="K179" s="3"/>
      <x:c r="L179" s="3"/>
      <x:c r="M179" s="3"/>
      <x:c r="N179" s="3"/>
      <x:c r="O179" s="3"/>
      <x:c r="P179" s="19" t="str">
        <x:f>IF(A179="","",IF(COUNTIFS('Observations'!$A$7:$A$306,A179)&lt;&gt;1,"Duplicate ID",IF(COUNTIFS('Cases overview'!$A$7:$A$306,B179)&lt;&gt;1,"Invalid case ref",IF(AND(C179&lt;&gt;"",COUNTIFS('Plan versions'!$A$7:$A$306,C179,'Plan versions'!$B$7:$B$306,B179,'Plan versions'!$L$7:$L$306,"Frozen")&lt;&gt;1),"Invalid plan ref",IF(OR(NOT(ISNUMBER(F179)),M179=""),"Registration info missing",IF(AND(M179="Observed",OR(K179="",AND(NOT(ISNUMBER(G179)),J179=""))),"Observation/source missing",IF(AND(ISNUMBER(G179),H179=""),"Value/unit missing",IF(AND(N179&lt;&gt;"",OR(N179=A179,COUNTIFS('Observations'!$A$7:$A$306,N179,'Observations'!$B$7:$B$306,B179,'Observations'!$M$7:$M$306,"Corrected")&lt;&gt;1)),"Correction ref to check","Valid input"))))))))</x:f>
      </x:c>
    </x:row>
    <x:row r="180" ht="25" customHeight="1">
      <x:c r="A180" s="3"/>
      <x:c r="B180" s="3"/>
      <x:c r="C180" s="3"/>
      <x:c r="D180" s="3"/>
      <x:c r="E180" s="25"/>
      <x:c r="F180" s="25"/>
      <x:c r="G180" s="22"/>
      <x:c r="H180" s="3"/>
      <x:c r="I180" s="22"/>
      <x:c r="J180" s="3"/>
      <x:c r="K180" s="3"/>
      <x:c r="L180" s="3"/>
      <x:c r="M180" s="3"/>
      <x:c r="N180" s="3"/>
      <x:c r="O180" s="3"/>
      <x:c r="P180" s="19" t="str">
        <x:f>IF(A180="","",IF(COUNTIFS('Observations'!$A$7:$A$306,A180)&lt;&gt;1,"Duplicate ID",IF(COUNTIFS('Cases overview'!$A$7:$A$306,B180)&lt;&gt;1,"Invalid case ref",IF(AND(C180&lt;&gt;"",COUNTIFS('Plan versions'!$A$7:$A$306,C180,'Plan versions'!$B$7:$B$306,B180,'Plan versions'!$L$7:$L$306,"Frozen")&lt;&gt;1),"Invalid plan ref",IF(OR(NOT(ISNUMBER(F180)),M180=""),"Registration info missing",IF(AND(M180="Observed",OR(K180="",AND(NOT(ISNUMBER(G180)),J180=""))),"Observation/source missing",IF(AND(ISNUMBER(G180),H180=""),"Value/unit missing",IF(AND(N180&lt;&gt;"",OR(N180=A180,COUNTIFS('Observations'!$A$7:$A$306,N180,'Observations'!$B$7:$B$306,B180,'Observations'!$M$7:$M$306,"Corrected")&lt;&gt;1)),"Correction ref to check","Valid input"))))))))</x:f>
      </x:c>
    </x:row>
    <x:row r="181" ht="25" customHeight="1">
      <x:c r="A181" s="3"/>
      <x:c r="B181" s="3"/>
      <x:c r="C181" s="3"/>
      <x:c r="D181" s="3"/>
      <x:c r="E181" s="25"/>
      <x:c r="F181" s="25"/>
      <x:c r="G181" s="22"/>
      <x:c r="H181" s="3"/>
      <x:c r="I181" s="22"/>
      <x:c r="J181" s="3"/>
      <x:c r="K181" s="3"/>
      <x:c r="L181" s="3"/>
      <x:c r="M181" s="3"/>
      <x:c r="N181" s="3"/>
      <x:c r="O181" s="3"/>
      <x:c r="P181" s="19" t="str">
        <x:f>IF(A181="","",IF(COUNTIFS('Observations'!$A$7:$A$306,A181)&lt;&gt;1,"Duplicate ID",IF(COUNTIFS('Cases overview'!$A$7:$A$306,B181)&lt;&gt;1,"Invalid case ref",IF(AND(C181&lt;&gt;"",COUNTIFS('Plan versions'!$A$7:$A$306,C181,'Plan versions'!$B$7:$B$306,B181,'Plan versions'!$L$7:$L$306,"Frozen")&lt;&gt;1),"Invalid plan ref",IF(OR(NOT(ISNUMBER(F181)),M181=""),"Registration info missing",IF(AND(M181="Observed",OR(K181="",AND(NOT(ISNUMBER(G181)),J181=""))),"Observation/source missing",IF(AND(ISNUMBER(G181),H181=""),"Value/unit missing",IF(AND(N181&lt;&gt;"",OR(N181=A181,COUNTIFS('Observations'!$A$7:$A$306,N181,'Observations'!$B$7:$B$306,B181,'Observations'!$M$7:$M$306,"Corrected")&lt;&gt;1)),"Correction ref to check","Valid input"))))))))</x:f>
      </x:c>
    </x:row>
    <x:row r="182" ht="25" customHeight="1">
      <x:c r="A182" s="3"/>
      <x:c r="B182" s="3"/>
      <x:c r="C182" s="3"/>
      <x:c r="D182" s="3"/>
      <x:c r="E182" s="25"/>
      <x:c r="F182" s="25"/>
      <x:c r="G182" s="22"/>
      <x:c r="H182" s="3"/>
      <x:c r="I182" s="22"/>
      <x:c r="J182" s="3"/>
      <x:c r="K182" s="3"/>
      <x:c r="L182" s="3"/>
      <x:c r="M182" s="3"/>
      <x:c r="N182" s="3"/>
      <x:c r="O182" s="3"/>
      <x:c r="P182" s="19" t="str">
        <x:f>IF(A182="","",IF(COUNTIFS('Observations'!$A$7:$A$306,A182)&lt;&gt;1,"Duplicate ID",IF(COUNTIFS('Cases overview'!$A$7:$A$306,B182)&lt;&gt;1,"Invalid case ref",IF(AND(C182&lt;&gt;"",COUNTIFS('Plan versions'!$A$7:$A$306,C182,'Plan versions'!$B$7:$B$306,B182,'Plan versions'!$L$7:$L$306,"Frozen")&lt;&gt;1),"Invalid plan ref",IF(OR(NOT(ISNUMBER(F182)),M182=""),"Registration info missing",IF(AND(M182="Observed",OR(K182="",AND(NOT(ISNUMBER(G182)),J182=""))),"Observation/source missing",IF(AND(ISNUMBER(G182),H182=""),"Value/unit missing",IF(AND(N182&lt;&gt;"",OR(N182=A182,COUNTIFS('Observations'!$A$7:$A$306,N182,'Observations'!$B$7:$B$306,B182,'Observations'!$M$7:$M$306,"Corrected")&lt;&gt;1)),"Correction ref to check","Valid input"))))))))</x:f>
      </x:c>
    </x:row>
    <x:row r="183" ht="25" customHeight="1">
      <x:c r="A183" s="3"/>
      <x:c r="B183" s="3"/>
      <x:c r="C183" s="3"/>
      <x:c r="D183" s="3"/>
      <x:c r="E183" s="25"/>
      <x:c r="F183" s="25"/>
      <x:c r="G183" s="22"/>
      <x:c r="H183" s="3"/>
      <x:c r="I183" s="22"/>
      <x:c r="J183" s="3"/>
      <x:c r="K183" s="3"/>
      <x:c r="L183" s="3"/>
      <x:c r="M183" s="3"/>
      <x:c r="N183" s="3"/>
      <x:c r="O183" s="3"/>
      <x:c r="P183" s="19" t="str">
        <x:f>IF(A183="","",IF(COUNTIFS('Observations'!$A$7:$A$306,A183)&lt;&gt;1,"Duplicate ID",IF(COUNTIFS('Cases overview'!$A$7:$A$306,B183)&lt;&gt;1,"Invalid case ref",IF(AND(C183&lt;&gt;"",COUNTIFS('Plan versions'!$A$7:$A$306,C183,'Plan versions'!$B$7:$B$306,B183,'Plan versions'!$L$7:$L$306,"Frozen")&lt;&gt;1),"Invalid plan ref",IF(OR(NOT(ISNUMBER(F183)),M183=""),"Registration info missing",IF(AND(M183="Observed",OR(K183="",AND(NOT(ISNUMBER(G183)),J183=""))),"Observation/source missing",IF(AND(ISNUMBER(G183),H183=""),"Value/unit missing",IF(AND(N183&lt;&gt;"",OR(N183=A183,COUNTIFS('Observations'!$A$7:$A$306,N183,'Observations'!$B$7:$B$306,B183,'Observations'!$M$7:$M$306,"Corrected")&lt;&gt;1)),"Correction ref to check","Valid input"))))))))</x:f>
      </x:c>
    </x:row>
    <x:row r="184" ht="25" customHeight="1">
      <x:c r="A184" s="3"/>
      <x:c r="B184" s="3"/>
      <x:c r="C184" s="3"/>
      <x:c r="D184" s="3"/>
      <x:c r="E184" s="25"/>
      <x:c r="F184" s="25"/>
      <x:c r="G184" s="22"/>
      <x:c r="H184" s="3"/>
      <x:c r="I184" s="22"/>
      <x:c r="J184" s="3"/>
      <x:c r="K184" s="3"/>
      <x:c r="L184" s="3"/>
      <x:c r="M184" s="3"/>
      <x:c r="N184" s="3"/>
      <x:c r="O184" s="3"/>
      <x:c r="P184" s="19" t="str">
        <x:f>IF(A184="","",IF(COUNTIFS('Observations'!$A$7:$A$306,A184)&lt;&gt;1,"Duplicate ID",IF(COUNTIFS('Cases overview'!$A$7:$A$306,B184)&lt;&gt;1,"Invalid case ref",IF(AND(C184&lt;&gt;"",COUNTIFS('Plan versions'!$A$7:$A$306,C184,'Plan versions'!$B$7:$B$306,B184,'Plan versions'!$L$7:$L$306,"Frozen")&lt;&gt;1),"Invalid plan ref",IF(OR(NOT(ISNUMBER(F184)),M184=""),"Registration info missing",IF(AND(M184="Observed",OR(K184="",AND(NOT(ISNUMBER(G184)),J184=""))),"Observation/source missing",IF(AND(ISNUMBER(G184),H184=""),"Value/unit missing",IF(AND(N184&lt;&gt;"",OR(N184=A184,COUNTIFS('Observations'!$A$7:$A$306,N184,'Observations'!$B$7:$B$306,B184,'Observations'!$M$7:$M$306,"Corrected")&lt;&gt;1)),"Correction ref to check","Valid input"))))))))</x:f>
      </x:c>
    </x:row>
    <x:row r="185" ht="25" customHeight="1">
      <x:c r="A185" s="3"/>
      <x:c r="B185" s="3"/>
      <x:c r="C185" s="3"/>
      <x:c r="D185" s="3"/>
      <x:c r="E185" s="25"/>
      <x:c r="F185" s="25"/>
      <x:c r="G185" s="22"/>
      <x:c r="H185" s="3"/>
      <x:c r="I185" s="22"/>
      <x:c r="J185" s="3"/>
      <x:c r="K185" s="3"/>
      <x:c r="L185" s="3"/>
      <x:c r="M185" s="3"/>
      <x:c r="N185" s="3"/>
      <x:c r="O185" s="3"/>
      <x:c r="P185" s="19" t="str">
        <x:f>IF(A185="","",IF(COUNTIFS('Observations'!$A$7:$A$306,A185)&lt;&gt;1,"Duplicate ID",IF(COUNTIFS('Cases overview'!$A$7:$A$306,B185)&lt;&gt;1,"Invalid case ref",IF(AND(C185&lt;&gt;"",COUNTIFS('Plan versions'!$A$7:$A$306,C185,'Plan versions'!$B$7:$B$306,B185,'Plan versions'!$L$7:$L$306,"Frozen")&lt;&gt;1),"Invalid plan ref",IF(OR(NOT(ISNUMBER(F185)),M185=""),"Registration info missing",IF(AND(M185="Observed",OR(K185="",AND(NOT(ISNUMBER(G185)),J185=""))),"Observation/source missing",IF(AND(ISNUMBER(G185),H185=""),"Value/unit missing",IF(AND(N185&lt;&gt;"",OR(N185=A185,COUNTIFS('Observations'!$A$7:$A$306,N185,'Observations'!$B$7:$B$306,B185,'Observations'!$M$7:$M$306,"Corrected")&lt;&gt;1)),"Correction ref to check","Valid input"))))))))</x:f>
      </x:c>
    </x:row>
    <x:row r="186" ht="25" customHeight="1">
      <x:c r="A186" s="3"/>
      <x:c r="B186" s="3"/>
      <x:c r="C186" s="3"/>
      <x:c r="D186" s="3"/>
      <x:c r="E186" s="25"/>
      <x:c r="F186" s="25"/>
      <x:c r="G186" s="22"/>
      <x:c r="H186" s="3"/>
      <x:c r="I186" s="22"/>
      <x:c r="J186" s="3"/>
      <x:c r="K186" s="3"/>
      <x:c r="L186" s="3"/>
      <x:c r="M186" s="3"/>
      <x:c r="N186" s="3"/>
      <x:c r="O186" s="3"/>
      <x:c r="P186" s="19" t="str">
        <x:f>IF(A186="","",IF(COUNTIFS('Observations'!$A$7:$A$306,A186)&lt;&gt;1,"Duplicate ID",IF(COUNTIFS('Cases overview'!$A$7:$A$306,B186)&lt;&gt;1,"Invalid case ref",IF(AND(C186&lt;&gt;"",COUNTIFS('Plan versions'!$A$7:$A$306,C186,'Plan versions'!$B$7:$B$306,B186,'Plan versions'!$L$7:$L$306,"Frozen")&lt;&gt;1),"Invalid plan ref",IF(OR(NOT(ISNUMBER(F186)),M186=""),"Registration info missing",IF(AND(M186="Observed",OR(K186="",AND(NOT(ISNUMBER(G186)),J186=""))),"Observation/source missing",IF(AND(ISNUMBER(G186),H186=""),"Value/unit missing",IF(AND(N186&lt;&gt;"",OR(N186=A186,COUNTIFS('Observations'!$A$7:$A$306,N186,'Observations'!$B$7:$B$306,B186,'Observations'!$M$7:$M$306,"Corrected")&lt;&gt;1)),"Correction ref to check","Valid input"))))))))</x:f>
      </x:c>
    </x:row>
    <x:row r="187" ht="25" customHeight="1">
      <x:c r="A187" s="3"/>
      <x:c r="B187" s="3"/>
      <x:c r="C187" s="3"/>
      <x:c r="D187" s="3"/>
      <x:c r="E187" s="25"/>
      <x:c r="F187" s="25"/>
      <x:c r="G187" s="22"/>
      <x:c r="H187" s="3"/>
      <x:c r="I187" s="22"/>
      <x:c r="J187" s="3"/>
      <x:c r="K187" s="3"/>
      <x:c r="L187" s="3"/>
      <x:c r="M187" s="3"/>
      <x:c r="N187" s="3"/>
      <x:c r="O187" s="3"/>
      <x:c r="P187" s="19" t="str">
        <x:f>IF(A187="","",IF(COUNTIFS('Observations'!$A$7:$A$306,A187)&lt;&gt;1,"Duplicate ID",IF(COUNTIFS('Cases overview'!$A$7:$A$306,B187)&lt;&gt;1,"Invalid case ref",IF(AND(C187&lt;&gt;"",COUNTIFS('Plan versions'!$A$7:$A$306,C187,'Plan versions'!$B$7:$B$306,B187,'Plan versions'!$L$7:$L$306,"Frozen")&lt;&gt;1),"Invalid plan ref",IF(OR(NOT(ISNUMBER(F187)),M187=""),"Registration info missing",IF(AND(M187="Observed",OR(K187="",AND(NOT(ISNUMBER(G187)),J187=""))),"Observation/source missing",IF(AND(ISNUMBER(G187),H187=""),"Value/unit missing",IF(AND(N187&lt;&gt;"",OR(N187=A187,COUNTIFS('Observations'!$A$7:$A$306,N187,'Observations'!$B$7:$B$306,B187,'Observations'!$M$7:$M$306,"Corrected")&lt;&gt;1)),"Correction ref to check","Valid input"))))))))</x:f>
      </x:c>
    </x:row>
    <x:row r="188" ht="25" customHeight="1">
      <x:c r="A188" s="3"/>
      <x:c r="B188" s="3"/>
      <x:c r="C188" s="3"/>
      <x:c r="D188" s="3"/>
      <x:c r="E188" s="25"/>
      <x:c r="F188" s="25"/>
      <x:c r="G188" s="22"/>
      <x:c r="H188" s="3"/>
      <x:c r="I188" s="22"/>
      <x:c r="J188" s="3"/>
      <x:c r="K188" s="3"/>
      <x:c r="L188" s="3"/>
      <x:c r="M188" s="3"/>
      <x:c r="N188" s="3"/>
      <x:c r="O188" s="3"/>
      <x:c r="P188" s="19" t="str">
        <x:f>IF(A188="","",IF(COUNTIFS('Observations'!$A$7:$A$306,A188)&lt;&gt;1,"Duplicate ID",IF(COUNTIFS('Cases overview'!$A$7:$A$306,B188)&lt;&gt;1,"Invalid case ref",IF(AND(C188&lt;&gt;"",COUNTIFS('Plan versions'!$A$7:$A$306,C188,'Plan versions'!$B$7:$B$306,B188,'Plan versions'!$L$7:$L$306,"Frozen")&lt;&gt;1),"Invalid plan ref",IF(OR(NOT(ISNUMBER(F188)),M188=""),"Registration info missing",IF(AND(M188="Observed",OR(K188="",AND(NOT(ISNUMBER(G188)),J188=""))),"Observation/source missing",IF(AND(ISNUMBER(G188),H188=""),"Value/unit missing",IF(AND(N188&lt;&gt;"",OR(N188=A188,COUNTIFS('Observations'!$A$7:$A$306,N188,'Observations'!$B$7:$B$306,B188,'Observations'!$M$7:$M$306,"Corrected")&lt;&gt;1)),"Correction ref to check","Valid input"))))))))</x:f>
      </x:c>
    </x:row>
    <x:row r="189" ht="25" customHeight="1">
      <x:c r="A189" s="3"/>
      <x:c r="B189" s="3"/>
      <x:c r="C189" s="3"/>
      <x:c r="D189" s="3"/>
      <x:c r="E189" s="25"/>
      <x:c r="F189" s="25"/>
      <x:c r="G189" s="22"/>
      <x:c r="H189" s="3"/>
      <x:c r="I189" s="22"/>
      <x:c r="J189" s="3"/>
      <x:c r="K189" s="3"/>
      <x:c r="L189" s="3"/>
      <x:c r="M189" s="3"/>
      <x:c r="N189" s="3"/>
      <x:c r="O189" s="3"/>
      <x:c r="P189" s="19" t="str">
        <x:f>IF(A189="","",IF(COUNTIFS('Observations'!$A$7:$A$306,A189)&lt;&gt;1,"Duplicate ID",IF(COUNTIFS('Cases overview'!$A$7:$A$306,B189)&lt;&gt;1,"Invalid case ref",IF(AND(C189&lt;&gt;"",COUNTIFS('Plan versions'!$A$7:$A$306,C189,'Plan versions'!$B$7:$B$306,B189,'Plan versions'!$L$7:$L$306,"Frozen")&lt;&gt;1),"Invalid plan ref",IF(OR(NOT(ISNUMBER(F189)),M189=""),"Registration info missing",IF(AND(M189="Observed",OR(K189="",AND(NOT(ISNUMBER(G189)),J189=""))),"Observation/source missing",IF(AND(ISNUMBER(G189),H189=""),"Value/unit missing",IF(AND(N189&lt;&gt;"",OR(N189=A189,COUNTIFS('Observations'!$A$7:$A$306,N189,'Observations'!$B$7:$B$306,B189,'Observations'!$M$7:$M$306,"Corrected")&lt;&gt;1)),"Correction ref to check","Valid input"))))))))</x:f>
      </x:c>
    </x:row>
    <x:row r="190" ht="25" customHeight="1">
      <x:c r="A190" s="3"/>
      <x:c r="B190" s="3"/>
      <x:c r="C190" s="3"/>
      <x:c r="D190" s="3"/>
      <x:c r="E190" s="25"/>
      <x:c r="F190" s="25"/>
      <x:c r="G190" s="22"/>
      <x:c r="H190" s="3"/>
      <x:c r="I190" s="22"/>
      <x:c r="J190" s="3"/>
      <x:c r="K190" s="3"/>
      <x:c r="L190" s="3"/>
      <x:c r="M190" s="3"/>
      <x:c r="N190" s="3"/>
      <x:c r="O190" s="3"/>
      <x:c r="P190" s="19" t="str">
        <x:f>IF(A190="","",IF(COUNTIFS('Observations'!$A$7:$A$306,A190)&lt;&gt;1,"Duplicate ID",IF(COUNTIFS('Cases overview'!$A$7:$A$306,B190)&lt;&gt;1,"Invalid case ref",IF(AND(C190&lt;&gt;"",COUNTIFS('Plan versions'!$A$7:$A$306,C190,'Plan versions'!$B$7:$B$306,B190,'Plan versions'!$L$7:$L$306,"Frozen")&lt;&gt;1),"Invalid plan ref",IF(OR(NOT(ISNUMBER(F190)),M190=""),"Registration info missing",IF(AND(M190="Observed",OR(K190="",AND(NOT(ISNUMBER(G190)),J190=""))),"Observation/source missing",IF(AND(ISNUMBER(G190),H190=""),"Value/unit missing",IF(AND(N190&lt;&gt;"",OR(N190=A190,COUNTIFS('Observations'!$A$7:$A$306,N190,'Observations'!$B$7:$B$306,B190,'Observations'!$M$7:$M$306,"Corrected")&lt;&gt;1)),"Correction ref to check","Valid input"))))))))</x:f>
      </x:c>
    </x:row>
    <x:row r="191" ht="25" customHeight="1">
      <x:c r="A191" s="3"/>
      <x:c r="B191" s="3"/>
      <x:c r="C191" s="3"/>
      <x:c r="D191" s="3"/>
      <x:c r="E191" s="25"/>
      <x:c r="F191" s="25"/>
      <x:c r="G191" s="22"/>
      <x:c r="H191" s="3"/>
      <x:c r="I191" s="22"/>
      <x:c r="J191" s="3"/>
      <x:c r="K191" s="3"/>
      <x:c r="L191" s="3"/>
      <x:c r="M191" s="3"/>
      <x:c r="N191" s="3"/>
      <x:c r="O191" s="3"/>
      <x:c r="P191" s="19" t="str">
        <x:f>IF(A191="","",IF(COUNTIFS('Observations'!$A$7:$A$306,A191)&lt;&gt;1,"Duplicate ID",IF(COUNTIFS('Cases overview'!$A$7:$A$306,B191)&lt;&gt;1,"Invalid case ref",IF(AND(C191&lt;&gt;"",COUNTIFS('Plan versions'!$A$7:$A$306,C191,'Plan versions'!$B$7:$B$306,B191,'Plan versions'!$L$7:$L$306,"Frozen")&lt;&gt;1),"Invalid plan ref",IF(OR(NOT(ISNUMBER(F191)),M191=""),"Registration info missing",IF(AND(M191="Observed",OR(K191="",AND(NOT(ISNUMBER(G191)),J191=""))),"Observation/source missing",IF(AND(ISNUMBER(G191),H191=""),"Value/unit missing",IF(AND(N191&lt;&gt;"",OR(N191=A191,COUNTIFS('Observations'!$A$7:$A$306,N191,'Observations'!$B$7:$B$306,B191,'Observations'!$M$7:$M$306,"Corrected")&lt;&gt;1)),"Correction ref to check","Valid input"))))))))</x:f>
      </x:c>
    </x:row>
    <x:row r="192" ht="25" customHeight="1">
      <x:c r="A192" s="3"/>
      <x:c r="B192" s="3"/>
      <x:c r="C192" s="3"/>
      <x:c r="D192" s="3"/>
      <x:c r="E192" s="25"/>
      <x:c r="F192" s="25"/>
      <x:c r="G192" s="22"/>
      <x:c r="H192" s="3"/>
      <x:c r="I192" s="22"/>
      <x:c r="J192" s="3"/>
      <x:c r="K192" s="3"/>
      <x:c r="L192" s="3"/>
      <x:c r="M192" s="3"/>
      <x:c r="N192" s="3"/>
      <x:c r="O192" s="3"/>
      <x:c r="P192" s="19" t="str">
        <x:f>IF(A192="","",IF(COUNTIFS('Observations'!$A$7:$A$306,A192)&lt;&gt;1,"Duplicate ID",IF(COUNTIFS('Cases overview'!$A$7:$A$306,B192)&lt;&gt;1,"Invalid case ref",IF(AND(C192&lt;&gt;"",COUNTIFS('Plan versions'!$A$7:$A$306,C192,'Plan versions'!$B$7:$B$306,B192,'Plan versions'!$L$7:$L$306,"Frozen")&lt;&gt;1),"Invalid plan ref",IF(OR(NOT(ISNUMBER(F192)),M192=""),"Registration info missing",IF(AND(M192="Observed",OR(K192="",AND(NOT(ISNUMBER(G192)),J192=""))),"Observation/source missing",IF(AND(ISNUMBER(G192),H192=""),"Value/unit missing",IF(AND(N192&lt;&gt;"",OR(N192=A192,COUNTIFS('Observations'!$A$7:$A$306,N192,'Observations'!$B$7:$B$306,B192,'Observations'!$M$7:$M$306,"Corrected")&lt;&gt;1)),"Correction ref to check","Valid input"))))))))</x:f>
      </x:c>
    </x:row>
    <x:row r="193" ht="25" customHeight="1">
      <x:c r="A193" s="3"/>
      <x:c r="B193" s="3"/>
      <x:c r="C193" s="3"/>
      <x:c r="D193" s="3"/>
      <x:c r="E193" s="25"/>
      <x:c r="F193" s="25"/>
      <x:c r="G193" s="22"/>
      <x:c r="H193" s="3"/>
      <x:c r="I193" s="22"/>
      <x:c r="J193" s="3"/>
      <x:c r="K193" s="3"/>
      <x:c r="L193" s="3"/>
      <x:c r="M193" s="3"/>
      <x:c r="N193" s="3"/>
      <x:c r="O193" s="3"/>
      <x:c r="P193" s="19" t="str">
        <x:f>IF(A193="","",IF(COUNTIFS('Observations'!$A$7:$A$306,A193)&lt;&gt;1,"Duplicate ID",IF(COUNTIFS('Cases overview'!$A$7:$A$306,B193)&lt;&gt;1,"Invalid case ref",IF(AND(C193&lt;&gt;"",COUNTIFS('Plan versions'!$A$7:$A$306,C193,'Plan versions'!$B$7:$B$306,B193,'Plan versions'!$L$7:$L$306,"Frozen")&lt;&gt;1),"Invalid plan ref",IF(OR(NOT(ISNUMBER(F193)),M193=""),"Registration info missing",IF(AND(M193="Observed",OR(K193="",AND(NOT(ISNUMBER(G193)),J193=""))),"Observation/source missing",IF(AND(ISNUMBER(G193),H193=""),"Value/unit missing",IF(AND(N193&lt;&gt;"",OR(N193=A193,COUNTIFS('Observations'!$A$7:$A$306,N193,'Observations'!$B$7:$B$306,B193,'Observations'!$M$7:$M$306,"Corrected")&lt;&gt;1)),"Correction ref to check","Valid input"))))))))</x:f>
      </x:c>
    </x:row>
    <x:row r="194" ht="25" customHeight="1">
      <x:c r="A194" s="3"/>
      <x:c r="B194" s="3"/>
      <x:c r="C194" s="3"/>
      <x:c r="D194" s="3"/>
      <x:c r="E194" s="25"/>
      <x:c r="F194" s="25"/>
      <x:c r="G194" s="22"/>
      <x:c r="H194" s="3"/>
      <x:c r="I194" s="22"/>
      <x:c r="J194" s="3"/>
      <x:c r="K194" s="3"/>
      <x:c r="L194" s="3"/>
      <x:c r="M194" s="3"/>
      <x:c r="N194" s="3"/>
      <x:c r="O194" s="3"/>
      <x:c r="P194" s="19" t="str">
        <x:f>IF(A194="","",IF(COUNTIFS('Observations'!$A$7:$A$306,A194)&lt;&gt;1,"Duplicate ID",IF(COUNTIFS('Cases overview'!$A$7:$A$306,B194)&lt;&gt;1,"Invalid case ref",IF(AND(C194&lt;&gt;"",COUNTIFS('Plan versions'!$A$7:$A$306,C194,'Plan versions'!$B$7:$B$306,B194,'Plan versions'!$L$7:$L$306,"Frozen")&lt;&gt;1),"Invalid plan ref",IF(OR(NOT(ISNUMBER(F194)),M194=""),"Registration info missing",IF(AND(M194="Observed",OR(K194="",AND(NOT(ISNUMBER(G194)),J194=""))),"Observation/source missing",IF(AND(ISNUMBER(G194),H194=""),"Value/unit missing",IF(AND(N194&lt;&gt;"",OR(N194=A194,COUNTIFS('Observations'!$A$7:$A$306,N194,'Observations'!$B$7:$B$306,B194,'Observations'!$M$7:$M$306,"Corrected")&lt;&gt;1)),"Correction ref to check","Valid input"))))))))</x:f>
      </x:c>
    </x:row>
    <x:row r="195" ht="25" customHeight="1">
      <x:c r="A195" s="3"/>
      <x:c r="B195" s="3"/>
      <x:c r="C195" s="3"/>
      <x:c r="D195" s="3"/>
      <x:c r="E195" s="25"/>
      <x:c r="F195" s="25"/>
      <x:c r="G195" s="22"/>
      <x:c r="H195" s="3"/>
      <x:c r="I195" s="22"/>
      <x:c r="J195" s="3"/>
      <x:c r="K195" s="3"/>
      <x:c r="L195" s="3"/>
      <x:c r="M195" s="3"/>
      <x:c r="N195" s="3"/>
      <x:c r="O195" s="3"/>
      <x:c r="P195" s="19" t="str">
        <x:f>IF(A195="","",IF(COUNTIFS('Observations'!$A$7:$A$306,A195)&lt;&gt;1,"Duplicate ID",IF(COUNTIFS('Cases overview'!$A$7:$A$306,B195)&lt;&gt;1,"Invalid case ref",IF(AND(C195&lt;&gt;"",COUNTIFS('Plan versions'!$A$7:$A$306,C195,'Plan versions'!$B$7:$B$306,B195,'Plan versions'!$L$7:$L$306,"Frozen")&lt;&gt;1),"Invalid plan ref",IF(OR(NOT(ISNUMBER(F195)),M195=""),"Registration info missing",IF(AND(M195="Observed",OR(K195="",AND(NOT(ISNUMBER(G195)),J195=""))),"Observation/source missing",IF(AND(ISNUMBER(G195),H195=""),"Value/unit missing",IF(AND(N195&lt;&gt;"",OR(N195=A195,COUNTIFS('Observations'!$A$7:$A$306,N195,'Observations'!$B$7:$B$306,B195,'Observations'!$M$7:$M$306,"Corrected")&lt;&gt;1)),"Correction ref to check","Valid input"))))))))</x:f>
      </x:c>
    </x:row>
    <x:row r="196" ht="25" customHeight="1">
      <x:c r="A196" s="3"/>
      <x:c r="B196" s="3"/>
      <x:c r="C196" s="3"/>
      <x:c r="D196" s="3"/>
      <x:c r="E196" s="25"/>
      <x:c r="F196" s="25"/>
      <x:c r="G196" s="22"/>
      <x:c r="H196" s="3"/>
      <x:c r="I196" s="22"/>
      <x:c r="J196" s="3"/>
      <x:c r="K196" s="3"/>
      <x:c r="L196" s="3"/>
      <x:c r="M196" s="3"/>
      <x:c r="N196" s="3"/>
      <x:c r="O196" s="3"/>
      <x:c r="P196" s="19" t="str">
        <x:f>IF(A196="","",IF(COUNTIFS('Observations'!$A$7:$A$306,A196)&lt;&gt;1,"Duplicate ID",IF(COUNTIFS('Cases overview'!$A$7:$A$306,B196)&lt;&gt;1,"Invalid case ref",IF(AND(C196&lt;&gt;"",COUNTIFS('Plan versions'!$A$7:$A$306,C196,'Plan versions'!$B$7:$B$306,B196,'Plan versions'!$L$7:$L$306,"Frozen")&lt;&gt;1),"Invalid plan ref",IF(OR(NOT(ISNUMBER(F196)),M196=""),"Registration info missing",IF(AND(M196="Observed",OR(K196="",AND(NOT(ISNUMBER(G196)),J196=""))),"Observation/source missing",IF(AND(ISNUMBER(G196),H196=""),"Value/unit missing",IF(AND(N196&lt;&gt;"",OR(N196=A196,COUNTIFS('Observations'!$A$7:$A$306,N196,'Observations'!$B$7:$B$306,B196,'Observations'!$M$7:$M$306,"Corrected")&lt;&gt;1)),"Correction ref to check","Valid input"))))))))</x:f>
      </x:c>
    </x:row>
    <x:row r="197" ht="25" customHeight="1">
      <x:c r="A197" s="3"/>
      <x:c r="B197" s="3"/>
      <x:c r="C197" s="3"/>
      <x:c r="D197" s="3"/>
      <x:c r="E197" s="25"/>
      <x:c r="F197" s="25"/>
      <x:c r="G197" s="22"/>
      <x:c r="H197" s="3"/>
      <x:c r="I197" s="22"/>
      <x:c r="J197" s="3"/>
      <x:c r="K197" s="3"/>
      <x:c r="L197" s="3"/>
      <x:c r="M197" s="3"/>
      <x:c r="N197" s="3"/>
      <x:c r="O197" s="3"/>
      <x:c r="P197" s="19" t="str">
        <x:f>IF(A197="","",IF(COUNTIFS('Observations'!$A$7:$A$306,A197)&lt;&gt;1,"Duplicate ID",IF(COUNTIFS('Cases overview'!$A$7:$A$306,B197)&lt;&gt;1,"Invalid case ref",IF(AND(C197&lt;&gt;"",COUNTIFS('Plan versions'!$A$7:$A$306,C197,'Plan versions'!$B$7:$B$306,B197,'Plan versions'!$L$7:$L$306,"Frozen")&lt;&gt;1),"Invalid plan ref",IF(OR(NOT(ISNUMBER(F197)),M197=""),"Registration info missing",IF(AND(M197="Observed",OR(K197="",AND(NOT(ISNUMBER(G197)),J197=""))),"Observation/source missing",IF(AND(ISNUMBER(G197),H197=""),"Value/unit missing",IF(AND(N197&lt;&gt;"",OR(N197=A197,COUNTIFS('Observations'!$A$7:$A$306,N197,'Observations'!$B$7:$B$306,B197,'Observations'!$M$7:$M$306,"Corrected")&lt;&gt;1)),"Correction ref to check","Valid input"))))))))</x:f>
      </x:c>
    </x:row>
    <x:row r="198" ht="25" customHeight="1">
      <x:c r="A198" s="3"/>
      <x:c r="B198" s="3"/>
      <x:c r="C198" s="3"/>
      <x:c r="D198" s="3"/>
      <x:c r="E198" s="25"/>
      <x:c r="F198" s="25"/>
      <x:c r="G198" s="22"/>
      <x:c r="H198" s="3"/>
      <x:c r="I198" s="22"/>
      <x:c r="J198" s="3"/>
      <x:c r="K198" s="3"/>
      <x:c r="L198" s="3"/>
      <x:c r="M198" s="3"/>
      <x:c r="N198" s="3"/>
      <x:c r="O198" s="3"/>
      <x:c r="P198" s="19" t="str">
        <x:f>IF(A198="","",IF(COUNTIFS('Observations'!$A$7:$A$306,A198)&lt;&gt;1,"Duplicate ID",IF(COUNTIFS('Cases overview'!$A$7:$A$306,B198)&lt;&gt;1,"Invalid case ref",IF(AND(C198&lt;&gt;"",COUNTIFS('Plan versions'!$A$7:$A$306,C198,'Plan versions'!$B$7:$B$306,B198,'Plan versions'!$L$7:$L$306,"Frozen")&lt;&gt;1),"Invalid plan ref",IF(OR(NOT(ISNUMBER(F198)),M198=""),"Registration info missing",IF(AND(M198="Observed",OR(K198="",AND(NOT(ISNUMBER(G198)),J198=""))),"Observation/source missing",IF(AND(ISNUMBER(G198),H198=""),"Value/unit missing",IF(AND(N198&lt;&gt;"",OR(N198=A198,COUNTIFS('Observations'!$A$7:$A$306,N198,'Observations'!$B$7:$B$306,B198,'Observations'!$M$7:$M$306,"Corrected")&lt;&gt;1)),"Correction ref to check","Valid input"))))))))</x:f>
      </x:c>
    </x:row>
    <x:row r="199" ht="25" customHeight="1">
      <x:c r="A199" s="3"/>
      <x:c r="B199" s="3"/>
      <x:c r="C199" s="3"/>
      <x:c r="D199" s="3"/>
      <x:c r="E199" s="25"/>
      <x:c r="F199" s="25"/>
      <x:c r="G199" s="22"/>
      <x:c r="H199" s="3"/>
      <x:c r="I199" s="22"/>
      <x:c r="J199" s="3"/>
      <x:c r="K199" s="3"/>
      <x:c r="L199" s="3"/>
      <x:c r="M199" s="3"/>
      <x:c r="N199" s="3"/>
      <x:c r="O199" s="3"/>
      <x:c r="P199" s="19" t="str">
        <x:f>IF(A199="","",IF(COUNTIFS('Observations'!$A$7:$A$306,A199)&lt;&gt;1,"Duplicate ID",IF(COUNTIFS('Cases overview'!$A$7:$A$306,B199)&lt;&gt;1,"Invalid case ref",IF(AND(C199&lt;&gt;"",COUNTIFS('Plan versions'!$A$7:$A$306,C199,'Plan versions'!$B$7:$B$306,B199,'Plan versions'!$L$7:$L$306,"Frozen")&lt;&gt;1),"Invalid plan ref",IF(OR(NOT(ISNUMBER(F199)),M199=""),"Registration info missing",IF(AND(M199="Observed",OR(K199="",AND(NOT(ISNUMBER(G199)),J199=""))),"Observation/source missing",IF(AND(ISNUMBER(G199),H199=""),"Value/unit missing",IF(AND(N199&lt;&gt;"",OR(N199=A199,COUNTIFS('Observations'!$A$7:$A$306,N199,'Observations'!$B$7:$B$306,B199,'Observations'!$M$7:$M$306,"Corrected")&lt;&gt;1)),"Correction ref to check","Valid input"))))))))</x:f>
      </x:c>
    </x:row>
    <x:row r="200" ht="25" customHeight="1">
      <x:c r="A200" s="3"/>
      <x:c r="B200" s="3"/>
      <x:c r="C200" s="3"/>
      <x:c r="D200" s="3"/>
      <x:c r="E200" s="25"/>
      <x:c r="F200" s="25"/>
      <x:c r="G200" s="22"/>
      <x:c r="H200" s="3"/>
      <x:c r="I200" s="22"/>
      <x:c r="J200" s="3"/>
      <x:c r="K200" s="3"/>
      <x:c r="L200" s="3"/>
      <x:c r="M200" s="3"/>
      <x:c r="N200" s="3"/>
      <x:c r="O200" s="3"/>
      <x:c r="P200" s="19" t="str">
        <x:f>IF(A200="","",IF(COUNTIFS('Observations'!$A$7:$A$306,A200)&lt;&gt;1,"Duplicate ID",IF(COUNTIFS('Cases overview'!$A$7:$A$306,B200)&lt;&gt;1,"Invalid case ref",IF(AND(C200&lt;&gt;"",COUNTIFS('Plan versions'!$A$7:$A$306,C200,'Plan versions'!$B$7:$B$306,B200,'Plan versions'!$L$7:$L$306,"Frozen")&lt;&gt;1),"Invalid plan ref",IF(OR(NOT(ISNUMBER(F200)),M200=""),"Registration info missing",IF(AND(M200="Observed",OR(K200="",AND(NOT(ISNUMBER(G200)),J200=""))),"Observation/source missing",IF(AND(ISNUMBER(G200),H200=""),"Value/unit missing",IF(AND(N200&lt;&gt;"",OR(N200=A200,COUNTIFS('Observations'!$A$7:$A$306,N200,'Observations'!$B$7:$B$306,B200,'Observations'!$M$7:$M$306,"Corrected")&lt;&gt;1)),"Correction ref to check","Valid input"))))))))</x:f>
      </x:c>
    </x:row>
    <x:row r="201" ht="25" customHeight="1">
      <x:c r="A201" s="3"/>
      <x:c r="B201" s="3"/>
      <x:c r="C201" s="3"/>
      <x:c r="D201" s="3"/>
      <x:c r="E201" s="25"/>
      <x:c r="F201" s="25"/>
      <x:c r="G201" s="22"/>
      <x:c r="H201" s="3"/>
      <x:c r="I201" s="22"/>
      <x:c r="J201" s="3"/>
      <x:c r="K201" s="3"/>
      <x:c r="L201" s="3"/>
      <x:c r="M201" s="3"/>
      <x:c r="N201" s="3"/>
      <x:c r="O201" s="3"/>
      <x:c r="P201" s="19" t="str">
        <x:f>IF(A201="","",IF(COUNTIFS('Observations'!$A$7:$A$306,A201)&lt;&gt;1,"Duplicate ID",IF(COUNTIFS('Cases overview'!$A$7:$A$306,B201)&lt;&gt;1,"Invalid case ref",IF(AND(C201&lt;&gt;"",COUNTIFS('Plan versions'!$A$7:$A$306,C201,'Plan versions'!$B$7:$B$306,B201,'Plan versions'!$L$7:$L$306,"Frozen")&lt;&gt;1),"Invalid plan ref",IF(OR(NOT(ISNUMBER(F201)),M201=""),"Registration info missing",IF(AND(M201="Observed",OR(K201="",AND(NOT(ISNUMBER(G201)),J201=""))),"Observation/source missing",IF(AND(ISNUMBER(G201),H201=""),"Value/unit missing",IF(AND(N201&lt;&gt;"",OR(N201=A201,COUNTIFS('Observations'!$A$7:$A$306,N201,'Observations'!$B$7:$B$306,B201,'Observations'!$M$7:$M$306,"Corrected")&lt;&gt;1)),"Correction ref to check","Valid input"))))))))</x:f>
      </x:c>
    </x:row>
    <x:row r="202" ht="25" customHeight="1">
      <x:c r="A202" s="3"/>
      <x:c r="B202" s="3"/>
      <x:c r="C202" s="3"/>
      <x:c r="D202" s="3"/>
      <x:c r="E202" s="25"/>
      <x:c r="F202" s="25"/>
      <x:c r="G202" s="22"/>
      <x:c r="H202" s="3"/>
      <x:c r="I202" s="22"/>
      <x:c r="J202" s="3"/>
      <x:c r="K202" s="3"/>
      <x:c r="L202" s="3"/>
      <x:c r="M202" s="3"/>
      <x:c r="N202" s="3"/>
      <x:c r="O202" s="3"/>
      <x:c r="P202" s="19" t="str">
        <x:f>IF(A202="","",IF(COUNTIFS('Observations'!$A$7:$A$306,A202)&lt;&gt;1,"Duplicate ID",IF(COUNTIFS('Cases overview'!$A$7:$A$306,B202)&lt;&gt;1,"Invalid case ref",IF(AND(C202&lt;&gt;"",COUNTIFS('Plan versions'!$A$7:$A$306,C202,'Plan versions'!$B$7:$B$306,B202,'Plan versions'!$L$7:$L$306,"Frozen")&lt;&gt;1),"Invalid plan ref",IF(OR(NOT(ISNUMBER(F202)),M202=""),"Registration info missing",IF(AND(M202="Observed",OR(K202="",AND(NOT(ISNUMBER(G202)),J202=""))),"Observation/source missing",IF(AND(ISNUMBER(G202),H202=""),"Value/unit missing",IF(AND(N202&lt;&gt;"",OR(N202=A202,COUNTIFS('Observations'!$A$7:$A$306,N202,'Observations'!$B$7:$B$306,B202,'Observations'!$M$7:$M$306,"Corrected")&lt;&gt;1)),"Correction ref to check","Valid input"))))))))</x:f>
      </x:c>
    </x:row>
    <x:row r="203" ht="25" customHeight="1">
      <x:c r="A203" s="3"/>
      <x:c r="B203" s="3"/>
      <x:c r="C203" s="3"/>
      <x:c r="D203" s="3"/>
      <x:c r="E203" s="25"/>
      <x:c r="F203" s="25"/>
      <x:c r="G203" s="22"/>
      <x:c r="H203" s="3"/>
      <x:c r="I203" s="22"/>
      <x:c r="J203" s="3"/>
      <x:c r="K203" s="3"/>
      <x:c r="L203" s="3"/>
      <x:c r="M203" s="3"/>
      <x:c r="N203" s="3"/>
      <x:c r="O203" s="3"/>
      <x:c r="P203" s="19" t="str">
        <x:f>IF(A203="","",IF(COUNTIFS('Observations'!$A$7:$A$306,A203)&lt;&gt;1,"Duplicate ID",IF(COUNTIFS('Cases overview'!$A$7:$A$306,B203)&lt;&gt;1,"Invalid case ref",IF(AND(C203&lt;&gt;"",COUNTIFS('Plan versions'!$A$7:$A$306,C203,'Plan versions'!$B$7:$B$306,B203,'Plan versions'!$L$7:$L$306,"Frozen")&lt;&gt;1),"Invalid plan ref",IF(OR(NOT(ISNUMBER(F203)),M203=""),"Registration info missing",IF(AND(M203="Observed",OR(K203="",AND(NOT(ISNUMBER(G203)),J203=""))),"Observation/source missing",IF(AND(ISNUMBER(G203),H203=""),"Value/unit missing",IF(AND(N203&lt;&gt;"",OR(N203=A203,COUNTIFS('Observations'!$A$7:$A$306,N203,'Observations'!$B$7:$B$306,B203,'Observations'!$M$7:$M$306,"Corrected")&lt;&gt;1)),"Correction ref to check","Valid input"))))))))</x:f>
      </x:c>
    </x:row>
    <x:row r="204" ht="25" customHeight="1">
      <x:c r="A204" s="3"/>
      <x:c r="B204" s="3"/>
      <x:c r="C204" s="3"/>
      <x:c r="D204" s="3"/>
      <x:c r="E204" s="25"/>
      <x:c r="F204" s="25"/>
      <x:c r="G204" s="22"/>
      <x:c r="H204" s="3"/>
      <x:c r="I204" s="22"/>
      <x:c r="J204" s="3"/>
      <x:c r="K204" s="3"/>
      <x:c r="L204" s="3"/>
      <x:c r="M204" s="3"/>
      <x:c r="N204" s="3"/>
      <x:c r="O204" s="3"/>
      <x:c r="P204" s="19" t="str">
        <x:f>IF(A204="","",IF(COUNTIFS('Observations'!$A$7:$A$306,A204)&lt;&gt;1,"Duplicate ID",IF(COUNTIFS('Cases overview'!$A$7:$A$306,B204)&lt;&gt;1,"Invalid case ref",IF(AND(C204&lt;&gt;"",COUNTIFS('Plan versions'!$A$7:$A$306,C204,'Plan versions'!$B$7:$B$306,B204,'Plan versions'!$L$7:$L$306,"Frozen")&lt;&gt;1),"Invalid plan ref",IF(OR(NOT(ISNUMBER(F204)),M204=""),"Registration info missing",IF(AND(M204="Observed",OR(K204="",AND(NOT(ISNUMBER(G204)),J204=""))),"Observation/source missing",IF(AND(ISNUMBER(G204),H204=""),"Value/unit missing",IF(AND(N204&lt;&gt;"",OR(N204=A204,COUNTIFS('Observations'!$A$7:$A$306,N204,'Observations'!$B$7:$B$306,B204,'Observations'!$M$7:$M$306,"Corrected")&lt;&gt;1)),"Correction ref to check","Valid input"))))))))</x:f>
      </x:c>
    </x:row>
    <x:row r="205" ht="25" customHeight="1">
      <x:c r="A205" s="3"/>
      <x:c r="B205" s="3"/>
      <x:c r="C205" s="3"/>
      <x:c r="D205" s="3"/>
      <x:c r="E205" s="25"/>
      <x:c r="F205" s="25"/>
      <x:c r="G205" s="22"/>
      <x:c r="H205" s="3"/>
      <x:c r="I205" s="22"/>
      <x:c r="J205" s="3"/>
      <x:c r="K205" s="3"/>
      <x:c r="L205" s="3"/>
      <x:c r="M205" s="3"/>
      <x:c r="N205" s="3"/>
      <x:c r="O205" s="3"/>
      <x:c r="P205" s="19" t="str">
        <x:f>IF(A205="","",IF(COUNTIFS('Observations'!$A$7:$A$306,A205)&lt;&gt;1,"Duplicate ID",IF(COUNTIFS('Cases overview'!$A$7:$A$306,B205)&lt;&gt;1,"Invalid case ref",IF(AND(C205&lt;&gt;"",COUNTIFS('Plan versions'!$A$7:$A$306,C205,'Plan versions'!$B$7:$B$306,B205,'Plan versions'!$L$7:$L$306,"Frozen")&lt;&gt;1),"Invalid plan ref",IF(OR(NOT(ISNUMBER(F205)),M205=""),"Registration info missing",IF(AND(M205="Observed",OR(K205="",AND(NOT(ISNUMBER(G205)),J205=""))),"Observation/source missing",IF(AND(ISNUMBER(G205),H205=""),"Value/unit missing",IF(AND(N205&lt;&gt;"",OR(N205=A205,COUNTIFS('Observations'!$A$7:$A$306,N205,'Observations'!$B$7:$B$306,B205,'Observations'!$M$7:$M$306,"Corrected")&lt;&gt;1)),"Correction ref to check","Valid input"))))))))</x:f>
      </x:c>
    </x:row>
    <x:row r="206" ht="25" customHeight="1">
      <x:c r="A206" s="3"/>
      <x:c r="B206" s="3"/>
      <x:c r="C206" s="3"/>
      <x:c r="D206" s="3"/>
      <x:c r="E206" s="25"/>
      <x:c r="F206" s="25"/>
      <x:c r="G206" s="22"/>
      <x:c r="H206" s="3"/>
      <x:c r="I206" s="22"/>
      <x:c r="J206" s="3"/>
      <x:c r="K206" s="3"/>
      <x:c r="L206" s="3"/>
      <x:c r="M206" s="3"/>
      <x:c r="N206" s="3"/>
      <x:c r="O206" s="3"/>
      <x:c r="P206" s="19" t="str">
        <x:f>IF(A206="","",IF(COUNTIFS('Observations'!$A$7:$A$306,A206)&lt;&gt;1,"Duplicate ID",IF(COUNTIFS('Cases overview'!$A$7:$A$306,B206)&lt;&gt;1,"Invalid case ref",IF(AND(C206&lt;&gt;"",COUNTIFS('Plan versions'!$A$7:$A$306,C206,'Plan versions'!$B$7:$B$306,B206,'Plan versions'!$L$7:$L$306,"Frozen")&lt;&gt;1),"Invalid plan ref",IF(OR(NOT(ISNUMBER(F206)),M206=""),"Registration info missing",IF(AND(M206="Observed",OR(K206="",AND(NOT(ISNUMBER(G206)),J206=""))),"Observation/source missing",IF(AND(ISNUMBER(G206),H206=""),"Value/unit missing",IF(AND(N206&lt;&gt;"",OR(N206=A206,COUNTIFS('Observations'!$A$7:$A$306,N206,'Observations'!$B$7:$B$306,B206,'Observations'!$M$7:$M$306,"Corrected")&lt;&gt;1)),"Correction ref to check","Valid input"))))))))</x:f>
      </x:c>
    </x:row>
    <x:row r="207" ht="25" customHeight="1">
      <x:c r="A207" s="3"/>
      <x:c r="B207" s="3"/>
      <x:c r="C207" s="3"/>
      <x:c r="D207" s="3"/>
      <x:c r="E207" s="25"/>
      <x:c r="F207" s="25"/>
      <x:c r="G207" s="22"/>
      <x:c r="H207" s="3"/>
      <x:c r="I207" s="22"/>
      <x:c r="J207" s="3"/>
      <x:c r="K207" s="3"/>
      <x:c r="L207" s="3"/>
      <x:c r="M207" s="3"/>
      <x:c r="N207" s="3"/>
      <x:c r="O207" s="3"/>
      <x:c r="P207" s="19" t="str">
        <x:f>IF(A207="","",IF(COUNTIFS('Observations'!$A$7:$A$306,A207)&lt;&gt;1,"Duplicate ID",IF(COUNTIFS('Cases overview'!$A$7:$A$306,B207)&lt;&gt;1,"Invalid case ref",IF(AND(C207&lt;&gt;"",COUNTIFS('Plan versions'!$A$7:$A$306,C207,'Plan versions'!$B$7:$B$306,B207,'Plan versions'!$L$7:$L$306,"Frozen")&lt;&gt;1),"Invalid plan ref",IF(OR(NOT(ISNUMBER(F207)),M207=""),"Registration info missing",IF(AND(M207="Observed",OR(K207="",AND(NOT(ISNUMBER(G207)),J207=""))),"Observation/source missing",IF(AND(ISNUMBER(G207),H207=""),"Value/unit missing",IF(AND(N207&lt;&gt;"",OR(N207=A207,COUNTIFS('Observations'!$A$7:$A$306,N207,'Observations'!$B$7:$B$306,B207,'Observations'!$M$7:$M$306,"Corrected")&lt;&gt;1)),"Correction ref to check","Valid input"))))))))</x:f>
      </x:c>
    </x:row>
    <x:row r="208" ht="25" customHeight="1">
      <x:c r="A208" s="3"/>
      <x:c r="B208" s="3"/>
      <x:c r="C208" s="3"/>
      <x:c r="D208" s="3"/>
      <x:c r="E208" s="25"/>
      <x:c r="F208" s="25"/>
      <x:c r="G208" s="22"/>
      <x:c r="H208" s="3"/>
      <x:c r="I208" s="22"/>
      <x:c r="J208" s="3"/>
      <x:c r="K208" s="3"/>
      <x:c r="L208" s="3"/>
      <x:c r="M208" s="3"/>
      <x:c r="N208" s="3"/>
      <x:c r="O208" s="3"/>
      <x:c r="P208" s="19" t="str">
        <x:f>IF(A208="","",IF(COUNTIFS('Observations'!$A$7:$A$306,A208)&lt;&gt;1,"Duplicate ID",IF(COUNTIFS('Cases overview'!$A$7:$A$306,B208)&lt;&gt;1,"Invalid case ref",IF(AND(C208&lt;&gt;"",COUNTIFS('Plan versions'!$A$7:$A$306,C208,'Plan versions'!$B$7:$B$306,B208,'Plan versions'!$L$7:$L$306,"Frozen")&lt;&gt;1),"Invalid plan ref",IF(OR(NOT(ISNUMBER(F208)),M208=""),"Registration info missing",IF(AND(M208="Observed",OR(K208="",AND(NOT(ISNUMBER(G208)),J208=""))),"Observation/source missing",IF(AND(ISNUMBER(G208),H208=""),"Value/unit missing",IF(AND(N208&lt;&gt;"",OR(N208=A208,COUNTIFS('Observations'!$A$7:$A$306,N208,'Observations'!$B$7:$B$306,B208,'Observations'!$M$7:$M$306,"Corrected")&lt;&gt;1)),"Correction ref to check","Valid input"))))))))</x:f>
      </x:c>
    </x:row>
    <x:row r="209" ht="25" customHeight="1">
      <x:c r="A209" s="3"/>
      <x:c r="B209" s="3"/>
      <x:c r="C209" s="3"/>
      <x:c r="D209" s="3"/>
      <x:c r="E209" s="25"/>
      <x:c r="F209" s="25"/>
      <x:c r="G209" s="22"/>
      <x:c r="H209" s="3"/>
      <x:c r="I209" s="22"/>
      <x:c r="J209" s="3"/>
      <x:c r="K209" s="3"/>
      <x:c r="L209" s="3"/>
      <x:c r="M209" s="3"/>
      <x:c r="N209" s="3"/>
      <x:c r="O209" s="3"/>
      <x:c r="P209" s="19" t="str">
        <x:f>IF(A209="","",IF(COUNTIFS('Observations'!$A$7:$A$306,A209)&lt;&gt;1,"Duplicate ID",IF(COUNTIFS('Cases overview'!$A$7:$A$306,B209)&lt;&gt;1,"Invalid case ref",IF(AND(C209&lt;&gt;"",COUNTIFS('Plan versions'!$A$7:$A$306,C209,'Plan versions'!$B$7:$B$306,B209,'Plan versions'!$L$7:$L$306,"Frozen")&lt;&gt;1),"Invalid plan ref",IF(OR(NOT(ISNUMBER(F209)),M209=""),"Registration info missing",IF(AND(M209="Observed",OR(K209="",AND(NOT(ISNUMBER(G209)),J209=""))),"Observation/source missing",IF(AND(ISNUMBER(G209),H209=""),"Value/unit missing",IF(AND(N209&lt;&gt;"",OR(N209=A209,COUNTIFS('Observations'!$A$7:$A$306,N209,'Observations'!$B$7:$B$306,B209,'Observations'!$M$7:$M$306,"Corrected")&lt;&gt;1)),"Correction ref to check","Valid input"))))))))</x:f>
      </x:c>
    </x:row>
    <x:row r="210" ht="25" customHeight="1">
      <x:c r="A210" s="3"/>
      <x:c r="B210" s="3"/>
      <x:c r="C210" s="3"/>
      <x:c r="D210" s="3"/>
      <x:c r="E210" s="25"/>
      <x:c r="F210" s="25"/>
      <x:c r="G210" s="22"/>
      <x:c r="H210" s="3"/>
      <x:c r="I210" s="22"/>
      <x:c r="J210" s="3"/>
      <x:c r="K210" s="3"/>
      <x:c r="L210" s="3"/>
      <x:c r="M210" s="3"/>
      <x:c r="N210" s="3"/>
      <x:c r="O210" s="3"/>
      <x:c r="P210" s="19" t="str">
        <x:f>IF(A210="","",IF(COUNTIFS('Observations'!$A$7:$A$306,A210)&lt;&gt;1,"Duplicate ID",IF(COUNTIFS('Cases overview'!$A$7:$A$306,B210)&lt;&gt;1,"Invalid case ref",IF(AND(C210&lt;&gt;"",COUNTIFS('Plan versions'!$A$7:$A$306,C210,'Plan versions'!$B$7:$B$306,B210,'Plan versions'!$L$7:$L$306,"Frozen")&lt;&gt;1),"Invalid plan ref",IF(OR(NOT(ISNUMBER(F210)),M210=""),"Registration info missing",IF(AND(M210="Observed",OR(K210="",AND(NOT(ISNUMBER(G210)),J210=""))),"Observation/source missing",IF(AND(ISNUMBER(G210),H210=""),"Value/unit missing",IF(AND(N210&lt;&gt;"",OR(N210=A210,COUNTIFS('Observations'!$A$7:$A$306,N210,'Observations'!$B$7:$B$306,B210,'Observations'!$M$7:$M$306,"Corrected")&lt;&gt;1)),"Correction ref to check","Valid input"))))))))</x:f>
      </x:c>
    </x:row>
    <x:row r="211" ht="25" customHeight="1">
      <x:c r="A211" s="3"/>
      <x:c r="B211" s="3"/>
      <x:c r="C211" s="3"/>
      <x:c r="D211" s="3"/>
      <x:c r="E211" s="25"/>
      <x:c r="F211" s="25"/>
      <x:c r="G211" s="22"/>
      <x:c r="H211" s="3"/>
      <x:c r="I211" s="22"/>
      <x:c r="J211" s="3"/>
      <x:c r="K211" s="3"/>
      <x:c r="L211" s="3"/>
      <x:c r="M211" s="3"/>
      <x:c r="N211" s="3"/>
      <x:c r="O211" s="3"/>
      <x:c r="P211" s="19" t="str">
        <x:f>IF(A211="","",IF(COUNTIFS('Observations'!$A$7:$A$306,A211)&lt;&gt;1,"Duplicate ID",IF(COUNTIFS('Cases overview'!$A$7:$A$306,B211)&lt;&gt;1,"Invalid case ref",IF(AND(C211&lt;&gt;"",COUNTIFS('Plan versions'!$A$7:$A$306,C211,'Plan versions'!$B$7:$B$306,B211,'Plan versions'!$L$7:$L$306,"Frozen")&lt;&gt;1),"Invalid plan ref",IF(OR(NOT(ISNUMBER(F211)),M211=""),"Registration info missing",IF(AND(M211="Observed",OR(K211="",AND(NOT(ISNUMBER(G211)),J211=""))),"Observation/source missing",IF(AND(ISNUMBER(G211),H211=""),"Value/unit missing",IF(AND(N211&lt;&gt;"",OR(N211=A211,COUNTIFS('Observations'!$A$7:$A$306,N211,'Observations'!$B$7:$B$306,B211,'Observations'!$M$7:$M$306,"Corrected")&lt;&gt;1)),"Correction ref to check","Valid input"))))))))</x:f>
      </x:c>
    </x:row>
    <x:row r="212" ht="25" customHeight="1">
      <x:c r="A212" s="3"/>
      <x:c r="B212" s="3"/>
      <x:c r="C212" s="3"/>
      <x:c r="D212" s="3"/>
      <x:c r="E212" s="25"/>
      <x:c r="F212" s="25"/>
      <x:c r="G212" s="22"/>
      <x:c r="H212" s="3"/>
      <x:c r="I212" s="22"/>
      <x:c r="J212" s="3"/>
      <x:c r="K212" s="3"/>
      <x:c r="L212" s="3"/>
      <x:c r="M212" s="3"/>
      <x:c r="N212" s="3"/>
      <x:c r="O212" s="3"/>
      <x:c r="P212" s="19" t="str">
        <x:f>IF(A212="","",IF(COUNTIFS('Observations'!$A$7:$A$306,A212)&lt;&gt;1,"Duplicate ID",IF(COUNTIFS('Cases overview'!$A$7:$A$306,B212)&lt;&gt;1,"Invalid case ref",IF(AND(C212&lt;&gt;"",COUNTIFS('Plan versions'!$A$7:$A$306,C212,'Plan versions'!$B$7:$B$306,B212,'Plan versions'!$L$7:$L$306,"Frozen")&lt;&gt;1),"Invalid plan ref",IF(OR(NOT(ISNUMBER(F212)),M212=""),"Registration info missing",IF(AND(M212="Observed",OR(K212="",AND(NOT(ISNUMBER(G212)),J212=""))),"Observation/source missing",IF(AND(ISNUMBER(G212),H212=""),"Value/unit missing",IF(AND(N212&lt;&gt;"",OR(N212=A212,COUNTIFS('Observations'!$A$7:$A$306,N212,'Observations'!$B$7:$B$306,B212,'Observations'!$M$7:$M$306,"Corrected")&lt;&gt;1)),"Correction ref to check","Valid input"))))))))</x:f>
      </x:c>
    </x:row>
    <x:row r="213" ht="25" customHeight="1">
      <x:c r="A213" s="3"/>
      <x:c r="B213" s="3"/>
      <x:c r="C213" s="3"/>
      <x:c r="D213" s="3"/>
      <x:c r="E213" s="25"/>
      <x:c r="F213" s="25"/>
      <x:c r="G213" s="22"/>
      <x:c r="H213" s="3"/>
      <x:c r="I213" s="22"/>
      <x:c r="J213" s="3"/>
      <x:c r="K213" s="3"/>
      <x:c r="L213" s="3"/>
      <x:c r="M213" s="3"/>
      <x:c r="N213" s="3"/>
      <x:c r="O213" s="3"/>
      <x:c r="P213" s="19" t="str">
        <x:f>IF(A213="","",IF(COUNTIFS('Observations'!$A$7:$A$306,A213)&lt;&gt;1,"Duplicate ID",IF(COUNTIFS('Cases overview'!$A$7:$A$306,B213)&lt;&gt;1,"Invalid case ref",IF(AND(C213&lt;&gt;"",COUNTIFS('Plan versions'!$A$7:$A$306,C213,'Plan versions'!$B$7:$B$306,B213,'Plan versions'!$L$7:$L$306,"Frozen")&lt;&gt;1),"Invalid plan ref",IF(OR(NOT(ISNUMBER(F213)),M213=""),"Registration info missing",IF(AND(M213="Observed",OR(K213="",AND(NOT(ISNUMBER(G213)),J213=""))),"Observation/source missing",IF(AND(ISNUMBER(G213),H213=""),"Value/unit missing",IF(AND(N213&lt;&gt;"",OR(N213=A213,COUNTIFS('Observations'!$A$7:$A$306,N213,'Observations'!$B$7:$B$306,B213,'Observations'!$M$7:$M$306,"Corrected")&lt;&gt;1)),"Correction ref to check","Valid input"))))))))</x:f>
      </x:c>
    </x:row>
    <x:row r="214" ht="25" customHeight="1">
      <x:c r="A214" s="3"/>
      <x:c r="B214" s="3"/>
      <x:c r="C214" s="3"/>
      <x:c r="D214" s="3"/>
      <x:c r="E214" s="25"/>
      <x:c r="F214" s="25"/>
      <x:c r="G214" s="22"/>
      <x:c r="H214" s="3"/>
      <x:c r="I214" s="22"/>
      <x:c r="J214" s="3"/>
      <x:c r="K214" s="3"/>
      <x:c r="L214" s="3"/>
      <x:c r="M214" s="3"/>
      <x:c r="N214" s="3"/>
      <x:c r="O214" s="3"/>
      <x:c r="P214" s="19" t="str">
        <x:f>IF(A214="","",IF(COUNTIFS('Observations'!$A$7:$A$306,A214)&lt;&gt;1,"Duplicate ID",IF(COUNTIFS('Cases overview'!$A$7:$A$306,B214)&lt;&gt;1,"Invalid case ref",IF(AND(C214&lt;&gt;"",COUNTIFS('Plan versions'!$A$7:$A$306,C214,'Plan versions'!$B$7:$B$306,B214,'Plan versions'!$L$7:$L$306,"Frozen")&lt;&gt;1),"Invalid plan ref",IF(OR(NOT(ISNUMBER(F214)),M214=""),"Registration info missing",IF(AND(M214="Observed",OR(K214="",AND(NOT(ISNUMBER(G214)),J214=""))),"Observation/source missing",IF(AND(ISNUMBER(G214),H214=""),"Value/unit missing",IF(AND(N214&lt;&gt;"",OR(N214=A214,COUNTIFS('Observations'!$A$7:$A$306,N214,'Observations'!$B$7:$B$306,B214,'Observations'!$M$7:$M$306,"Corrected")&lt;&gt;1)),"Correction ref to check","Valid input"))))))))</x:f>
      </x:c>
    </x:row>
    <x:row r="215" ht="25" customHeight="1">
      <x:c r="A215" s="3"/>
      <x:c r="B215" s="3"/>
      <x:c r="C215" s="3"/>
      <x:c r="D215" s="3"/>
      <x:c r="E215" s="25"/>
      <x:c r="F215" s="25"/>
      <x:c r="G215" s="22"/>
      <x:c r="H215" s="3"/>
      <x:c r="I215" s="22"/>
      <x:c r="J215" s="3"/>
      <x:c r="K215" s="3"/>
      <x:c r="L215" s="3"/>
      <x:c r="M215" s="3"/>
      <x:c r="N215" s="3"/>
      <x:c r="O215" s="3"/>
      <x:c r="P215" s="19" t="str">
        <x:f>IF(A215="","",IF(COUNTIFS('Observations'!$A$7:$A$306,A215)&lt;&gt;1,"Duplicate ID",IF(COUNTIFS('Cases overview'!$A$7:$A$306,B215)&lt;&gt;1,"Invalid case ref",IF(AND(C215&lt;&gt;"",COUNTIFS('Plan versions'!$A$7:$A$306,C215,'Plan versions'!$B$7:$B$306,B215,'Plan versions'!$L$7:$L$306,"Frozen")&lt;&gt;1),"Invalid plan ref",IF(OR(NOT(ISNUMBER(F215)),M215=""),"Registration info missing",IF(AND(M215="Observed",OR(K215="",AND(NOT(ISNUMBER(G215)),J215=""))),"Observation/source missing",IF(AND(ISNUMBER(G215),H215=""),"Value/unit missing",IF(AND(N215&lt;&gt;"",OR(N215=A215,COUNTIFS('Observations'!$A$7:$A$306,N215,'Observations'!$B$7:$B$306,B215,'Observations'!$M$7:$M$306,"Corrected")&lt;&gt;1)),"Correction ref to check","Valid input"))))))))</x:f>
      </x:c>
    </x:row>
    <x:row r="216" ht="25" customHeight="1">
      <x:c r="A216" s="3"/>
      <x:c r="B216" s="3"/>
      <x:c r="C216" s="3"/>
      <x:c r="D216" s="3"/>
      <x:c r="E216" s="25"/>
      <x:c r="F216" s="25"/>
      <x:c r="G216" s="22"/>
      <x:c r="H216" s="3"/>
      <x:c r="I216" s="22"/>
      <x:c r="J216" s="3"/>
      <x:c r="K216" s="3"/>
      <x:c r="L216" s="3"/>
      <x:c r="M216" s="3"/>
      <x:c r="N216" s="3"/>
      <x:c r="O216" s="3"/>
      <x:c r="P216" s="19" t="str">
        <x:f>IF(A216="","",IF(COUNTIFS('Observations'!$A$7:$A$306,A216)&lt;&gt;1,"Duplicate ID",IF(COUNTIFS('Cases overview'!$A$7:$A$306,B216)&lt;&gt;1,"Invalid case ref",IF(AND(C216&lt;&gt;"",COUNTIFS('Plan versions'!$A$7:$A$306,C216,'Plan versions'!$B$7:$B$306,B216,'Plan versions'!$L$7:$L$306,"Frozen")&lt;&gt;1),"Invalid plan ref",IF(OR(NOT(ISNUMBER(F216)),M216=""),"Registration info missing",IF(AND(M216="Observed",OR(K216="",AND(NOT(ISNUMBER(G216)),J216=""))),"Observation/source missing",IF(AND(ISNUMBER(G216),H216=""),"Value/unit missing",IF(AND(N216&lt;&gt;"",OR(N216=A216,COUNTIFS('Observations'!$A$7:$A$306,N216,'Observations'!$B$7:$B$306,B216,'Observations'!$M$7:$M$306,"Corrected")&lt;&gt;1)),"Correction ref to check","Valid input"))))))))</x:f>
      </x:c>
    </x:row>
    <x:row r="217" ht="25" customHeight="1">
      <x:c r="A217" s="3"/>
      <x:c r="B217" s="3"/>
      <x:c r="C217" s="3"/>
      <x:c r="D217" s="3"/>
      <x:c r="E217" s="25"/>
      <x:c r="F217" s="25"/>
      <x:c r="G217" s="22"/>
      <x:c r="H217" s="3"/>
      <x:c r="I217" s="22"/>
      <x:c r="J217" s="3"/>
      <x:c r="K217" s="3"/>
      <x:c r="L217" s="3"/>
      <x:c r="M217" s="3"/>
      <x:c r="N217" s="3"/>
      <x:c r="O217" s="3"/>
      <x:c r="P217" s="19" t="str">
        <x:f>IF(A217="","",IF(COUNTIFS('Observations'!$A$7:$A$306,A217)&lt;&gt;1,"Duplicate ID",IF(COUNTIFS('Cases overview'!$A$7:$A$306,B217)&lt;&gt;1,"Invalid case ref",IF(AND(C217&lt;&gt;"",COUNTIFS('Plan versions'!$A$7:$A$306,C217,'Plan versions'!$B$7:$B$306,B217,'Plan versions'!$L$7:$L$306,"Frozen")&lt;&gt;1),"Invalid plan ref",IF(OR(NOT(ISNUMBER(F217)),M217=""),"Registration info missing",IF(AND(M217="Observed",OR(K217="",AND(NOT(ISNUMBER(G217)),J217=""))),"Observation/source missing",IF(AND(ISNUMBER(G217),H217=""),"Value/unit missing",IF(AND(N217&lt;&gt;"",OR(N217=A217,COUNTIFS('Observations'!$A$7:$A$306,N217,'Observations'!$B$7:$B$306,B217,'Observations'!$M$7:$M$306,"Corrected")&lt;&gt;1)),"Correction ref to check","Valid input"))))))))</x:f>
      </x:c>
    </x:row>
    <x:row r="218" ht="25" customHeight="1">
      <x:c r="A218" s="3"/>
      <x:c r="B218" s="3"/>
      <x:c r="C218" s="3"/>
      <x:c r="D218" s="3"/>
      <x:c r="E218" s="25"/>
      <x:c r="F218" s="25"/>
      <x:c r="G218" s="22"/>
      <x:c r="H218" s="3"/>
      <x:c r="I218" s="22"/>
      <x:c r="J218" s="3"/>
      <x:c r="K218" s="3"/>
      <x:c r="L218" s="3"/>
      <x:c r="M218" s="3"/>
      <x:c r="N218" s="3"/>
      <x:c r="O218" s="3"/>
      <x:c r="P218" s="19" t="str">
        <x:f>IF(A218="","",IF(COUNTIFS('Observations'!$A$7:$A$306,A218)&lt;&gt;1,"Duplicate ID",IF(COUNTIFS('Cases overview'!$A$7:$A$306,B218)&lt;&gt;1,"Invalid case ref",IF(AND(C218&lt;&gt;"",COUNTIFS('Plan versions'!$A$7:$A$306,C218,'Plan versions'!$B$7:$B$306,B218,'Plan versions'!$L$7:$L$306,"Frozen")&lt;&gt;1),"Invalid plan ref",IF(OR(NOT(ISNUMBER(F218)),M218=""),"Registration info missing",IF(AND(M218="Observed",OR(K218="",AND(NOT(ISNUMBER(G218)),J218=""))),"Observation/source missing",IF(AND(ISNUMBER(G218),H218=""),"Value/unit missing",IF(AND(N218&lt;&gt;"",OR(N218=A218,COUNTIFS('Observations'!$A$7:$A$306,N218,'Observations'!$B$7:$B$306,B218,'Observations'!$M$7:$M$306,"Corrected")&lt;&gt;1)),"Correction ref to check","Valid input"))))))))</x:f>
      </x:c>
    </x:row>
    <x:row r="219" ht="25" customHeight="1">
      <x:c r="A219" s="3"/>
      <x:c r="B219" s="3"/>
      <x:c r="C219" s="3"/>
      <x:c r="D219" s="3"/>
      <x:c r="E219" s="25"/>
      <x:c r="F219" s="25"/>
      <x:c r="G219" s="22"/>
      <x:c r="H219" s="3"/>
      <x:c r="I219" s="22"/>
      <x:c r="J219" s="3"/>
      <x:c r="K219" s="3"/>
      <x:c r="L219" s="3"/>
      <x:c r="M219" s="3"/>
      <x:c r="N219" s="3"/>
      <x:c r="O219" s="3"/>
      <x:c r="P219" s="19" t="str">
        <x:f>IF(A219="","",IF(COUNTIFS('Observations'!$A$7:$A$306,A219)&lt;&gt;1,"Duplicate ID",IF(COUNTIFS('Cases overview'!$A$7:$A$306,B219)&lt;&gt;1,"Invalid case ref",IF(AND(C219&lt;&gt;"",COUNTIFS('Plan versions'!$A$7:$A$306,C219,'Plan versions'!$B$7:$B$306,B219,'Plan versions'!$L$7:$L$306,"Frozen")&lt;&gt;1),"Invalid plan ref",IF(OR(NOT(ISNUMBER(F219)),M219=""),"Registration info missing",IF(AND(M219="Observed",OR(K219="",AND(NOT(ISNUMBER(G219)),J219=""))),"Observation/source missing",IF(AND(ISNUMBER(G219),H219=""),"Value/unit missing",IF(AND(N219&lt;&gt;"",OR(N219=A219,COUNTIFS('Observations'!$A$7:$A$306,N219,'Observations'!$B$7:$B$306,B219,'Observations'!$M$7:$M$306,"Corrected")&lt;&gt;1)),"Correction ref to check","Valid input"))))))))</x:f>
      </x:c>
    </x:row>
    <x:row r="220" ht="25" customHeight="1">
      <x:c r="A220" s="3"/>
      <x:c r="B220" s="3"/>
      <x:c r="C220" s="3"/>
      <x:c r="D220" s="3"/>
      <x:c r="E220" s="25"/>
      <x:c r="F220" s="25"/>
      <x:c r="G220" s="22"/>
      <x:c r="H220" s="3"/>
      <x:c r="I220" s="22"/>
      <x:c r="J220" s="3"/>
      <x:c r="K220" s="3"/>
      <x:c r="L220" s="3"/>
      <x:c r="M220" s="3"/>
      <x:c r="N220" s="3"/>
      <x:c r="O220" s="3"/>
      <x:c r="P220" s="19" t="str">
        <x:f>IF(A220="","",IF(COUNTIFS('Observations'!$A$7:$A$306,A220)&lt;&gt;1,"Duplicate ID",IF(COUNTIFS('Cases overview'!$A$7:$A$306,B220)&lt;&gt;1,"Invalid case ref",IF(AND(C220&lt;&gt;"",COUNTIFS('Plan versions'!$A$7:$A$306,C220,'Plan versions'!$B$7:$B$306,B220,'Plan versions'!$L$7:$L$306,"Frozen")&lt;&gt;1),"Invalid plan ref",IF(OR(NOT(ISNUMBER(F220)),M220=""),"Registration info missing",IF(AND(M220="Observed",OR(K220="",AND(NOT(ISNUMBER(G220)),J220=""))),"Observation/source missing",IF(AND(ISNUMBER(G220),H220=""),"Value/unit missing",IF(AND(N220&lt;&gt;"",OR(N220=A220,COUNTIFS('Observations'!$A$7:$A$306,N220,'Observations'!$B$7:$B$306,B220,'Observations'!$M$7:$M$306,"Corrected")&lt;&gt;1)),"Correction ref to check","Valid input"))))))))</x:f>
      </x:c>
    </x:row>
    <x:row r="221" ht="25" customHeight="1">
      <x:c r="A221" s="3"/>
      <x:c r="B221" s="3"/>
      <x:c r="C221" s="3"/>
      <x:c r="D221" s="3"/>
      <x:c r="E221" s="25"/>
      <x:c r="F221" s="25"/>
      <x:c r="G221" s="22"/>
      <x:c r="H221" s="3"/>
      <x:c r="I221" s="22"/>
      <x:c r="J221" s="3"/>
      <x:c r="K221" s="3"/>
      <x:c r="L221" s="3"/>
      <x:c r="M221" s="3"/>
      <x:c r="N221" s="3"/>
      <x:c r="O221" s="3"/>
      <x:c r="P221" s="19" t="str">
        <x:f>IF(A221="","",IF(COUNTIFS('Observations'!$A$7:$A$306,A221)&lt;&gt;1,"Duplicate ID",IF(COUNTIFS('Cases overview'!$A$7:$A$306,B221)&lt;&gt;1,"Invalid case ref",IF(AND(C221&lt;&gt;"",COUNTIFS('Plan versions'!$A$7:$A$306,C221,'Plan versions'!$B$7:$B$306,B221,'Plan versions'!$L$7:$L$306,"Frozen")&lt;&gt;1),"Invalid plan ref",IF(OR(NOT(ISNUMBER(F221)),M221=""),"Registration info missing",IF(AND(M221="Observed",OR(K221="",AND(NOT(ISNUMBER(G221)),J221=""))),"Observation/source missing",IF(AND(ISNUMBER(G221),H221=""),"Value/unit missing",IF(AND(N221&lt;&gt;"",OR(N221=A221,COUNTIFS('Observations'!$A$7:$A$306,N221,'Observations'!$B$7:$B$306,B221,'Observations'!$M$7:$M$306,"Corrected")&lt;&gt;1)),"Correction ref to check","Valid input"))))))))</x:f>
      </x:c>
    </x:row>
    <x:row r="222" ht="25" customHeight="1">
      <x:c r="A222" s="3"/>
      <x:c r="B222" s="3"/>
      <x:c r="C222" s="3"/>
      <x:c r="D222" s="3"/>
      <x:c r="E222" s="25"/>
      <x:c r="F222" s="25"/>
      <x:c r="G222" s="22"/>
      <x:c r="H222" s="3"/>
      <x:c r="I222" s="22"/>
      <x:c r="J222" s="3"/>
      <x:c r="K222" s="3"/>
      <x:c r="L222" s="3"/>
      <x:c r="M222" s="3"/>
      <x:c r="N222" s="3"/>
      <x:c r="O222" s="3"/>
      <x:c r="P222" s="19" t="str">
        <x:f>IF(A222="","",IF(COUNTIFS('Observations'!$A$7:$A$306,A222)&lt;&gt;1,"Duplicate ID",IF(COUNTIFS('Cases overview'!$A$7:$A$306,B222)&lt;&gt;1,"Invalid case ref",IF(AND(C222&lt;&gt;"",COUNTIFS('Plan versions'!$A$7:$A$306,C222,'Plan versions'!$B$7:$B$306,B222,'Plan versions'!$L$7:$L$306,"Frozen")&lt;&gt;1),"Invalid plan ref",IF(OR(NOT(ISNUMBER(F222)),M222=""),"Registration info missing",IF(AND(M222="Observed",OR(K222="",AND(NOT(ISNUMBER(G222)),J222=""))),"Observation/source missing",IF(AND(ISNUMBER(G222),H222=""),"Value/unit missing",IF(AND(N222&lt;&gt;"",OR(N222=A222,COUNTIFS('Observations'!$A$7:$A$306,N222,'Observations'!$B$7:$B$306,B222,'Observations'!$M$7:$M$306,"Corrected")&lt;&gt;1)),"Correction ref to check","Valid input"))))))))</x:f>
      </x:c>
    </x:row>
    <x:row r="223" ht="25" customHeight="1">
      <x:c r="A223" s="3"/>
      <x:c r="B223" s="3"/>
      <x:c r="C223" s="3"/>
      <x:c r="D223" s="3"/>
      <x:c r="E223" s="25"/>
      <x:c r="F223" s="25"/>
      <x:c r="G223" s="22"/>
      <x:c r="H223" s="3"/>
      <x:c r="I223" s="22"/>
      <x:c r="J223" s="3"/>
      <x:c r="K223" s="3"/>
      <x:c r="L223" s="3"/>
      <x:c r="M223" s="3"/>
      <x:c r="N223" s="3"/>
      <x:c r="O223" s="3"/>
      <x:c r="P223" s="19" t="str">
        <x:f>IF(A223="","",IF(COUNTIFS('Observations'!$A$7:$A$306,A223)&lt;&gt;1,"Duplicate ID",IF(COUNTIFS('Cases overview'!$A$7:$A$306,B223)&lt;&gt;1,"Invalid case ref",IF(AND(C223&lt;&gt;"",COUNTIFS('Plan versions'!$A$7:$A$306,C223,'Plan versions'!$B$7:$B$306,B223,'Plan versions'!$L$7:$L$306,"Frozen")&lt;&gt;1),"Invalid plan ref",IF(OR(NOT(ISNUMBER(F223)),M223=""),"Registration info missing",IF(AND(M223="Observed",OR(K223="",AND(NOT(ISNUMBER(G223)),J223=""))),"Observation/source missing",IF(AND(ISNUMBER(G223),H223=""),"Value/unit missing",IF(AND(N223&lt;&gt;"",OR(N223=A223,COUNTIFS('Observations'!$A$7:$A$306,N223,'Observations'!$B$7:$B$306,B223,'Observations'!$M$7:$M$306,"Corrected")&lt;&gt;1)),"Correction ref to check","Valid input"))))))))</x:f>
      </x:c>
    </x:row>
    <x:row r="224" ht="25" customHeight="1">
      <x:c r="A224" s="3"/>
      <x:c r="B224" s="3"/>
      <x:c r="C224" s="3"/>
      <x:c r="D224" s="3"/>
      <x:c r="E224" s="25"/>
      <x:c r="F224" s="25"/>
      <x:c r="G224" s="22"/>
      <x:c r="H224" s="3"/>
      <x:c r="I224" s="22"/>
      <x:c r="J224" s="3"/>
      <x:c r="K224" s="3"/>
      <x:c r="L224" s="3"/>
      <x:c r="M224" s="3"/>
      <x:c r="N224" s="3"/>
      <x:c r="O224" s="3"/>
      <x:c r="P224" s="19" t="str">
        <x:f>IF(A224="","",IF(COUNTIFS('Observations'!$A$7:$A$306,A224)&lt;&gt;1,"Duplicate ID",IF(COUNTIFS('Cases overview'!$A$7:$A$306,B224)&lt;&gt;1,"Invalid case ref",IF(AND(C224&lt;&gt;"",COUNTIFS('Plan versions'!$A$7:$A$306,C224,'Plan versions'!$B$7:$B$306,B224,'Plan versions'!$L$7:$L$306,"Frozen")&lt;&gt;1),"Invalid plan ref",IF(OR(NOT(ISNUMBER(F224)),M224=""),"Registration info missing",IF(AND(M224="Observed",OR(K224="",AND(NOT(ISNUMBER(G224)),J224=""))),"Observation/source missing",IF(AND(ISNUMBER(G224),H224=""),"Value/unit missing",IF(AND(N224&lt;&gt;"",OR(N224=A224,COUNTIFS('Observations'!$A$7:$A$306,N224,'Observations'!$B$7:$B$306,B224,'Observations'!$M$7:$M$306,"Corrected")&lt;&gt;1)),"Correction ref to check","Valid input"))))))))</x:f>
      </x:c>
    </x:row>
    <x:row r="225" ht="25" customHeight="1">
      <x:c r="A225" s="3"/>
      <x:c r="B225" s="3"/>
      <x:c r="C225" s="3"/>
      <x:c r="D225" s="3"/>
      <x:c r="E225" s="25"/>
      <x:c r="F225" s="25"/>
      <x:c r="G225" s="22"/>
      <x:c r="H225" s="3"/>
      <x:c r="I225" s="22"/>
      <x:c r="J225" s="3"/>
      <x:c r="K225" s="3"/>
      <x:c r="L225" s="3"/>
      <x:c r="M225" s="3"/>
      <x:c r="N225" s="3"/>
      <x:c r="O225" s="3"/>
      <x:c r="P225" s="19" t="str">
        <x:f>IF(A225="","",IF(COUNTIFS('Observations'!$A$7:$A$306,A225)&lt;&gt;1,"Duplicate ID",IF(COUNTIFS('Cases overview'!$A$7:$A$306,B225)&lt;&gt;1,"Invalid case ref",IF(AND(C225&lt;&gt;"",COUNTIFS('Plan versions'!$A$7:$A$306,C225,'Plan versions'!$B$7:$B$306,B225,'Plan versions'!$L$7:$L$306,"Frozen")&lt;&gt;1),"Invalid plan ref",IF(OR(NOT(ISNUMBER(F225)),M225=""),"Registration info missing",IF(AND(M225="Observed",OR(K225="",AND(NOT(ISNUMBER(G225)),J225=""))),"Observation/source missing",IF(AND(ISNUMBER(G225),H225=""),"Value/unit missing",IF(AND(N225&lt;&gt;"",OR(N225=A225,COUNTIFS('Observations'!$A$7:$A$306,N225,'Observations'!$B$7:$B$306,B225,'Observations'!$M$7:$M$306,"Corrected")&lt;&gt;1)),"Correction ref to check","Valid input"))))))))</x:f>
      </x:c>
    </x:row>
    <x:row r="226" ht="25" customHeight="1">
      <x:c r="A226" s="3"/>
      <x:c r="B226" s="3"/>
      <x:c r="C226" s="3"/>
      <x:c r="D226" s="3"/>
      <x:c r="E226" s="25"/>
      <x:c r="F226" s="25"/>
      <x:c r="G226" s="22"/>
      <x:c r="H226" s="3"/>
      <x:c r="I226" s="22"/>
      <x:c r="J226" s="3"/>
      <x:c r="K226" s="3"/>
      <x:c r="L226" s="3"/>
      <x:c r="M226" s="3"/>
      <x:c r="N226" s="3"/>
      <x:c r="O226" s="3"/>
      <x:c r="P226" s="19" t="str">
        <x:f>IF(A226="","",IF(COUNTIFS('Observations'!$A$7:$A$306,A226)&lt;&gt;1,"Duplicate ID",IF(COUNTIFS('Cases overview'!$A$7:$A$306,B226)&lt;&gt;1,"Invalid case ref",IF(AND(C226&lt;&gt;"",COUNTIFS('Plan versions'!$A$7:$A$306,C226,'Plan versions'!$B$7:$B$306,B226,'Plan versions'!$L$7:$L$306,"Frozen")&lt;&gt;1),"Invalid plan ref",IF(OR(NOT(ISNUMBER(F226)),M226=""),"Registration info missing",IF(AND(M226="Observed",OR(K226="",AND(NOT(ISNUMBER(G226)),J226=""))),"Observation/source missing",IF(AND(ISNUMBER(G226),H226=""),"Value/unit missing",IF(AND(N226&lt;&gt;"",OR(N226=A226,COUNTIFS('Observations'!$A$7:$A$306,N226,'Observations'!$B$7:$B$306,B226,'Observations'!$M$7:$M$306,"Corrected")&lt;&gt;1)),"Correction ref to check","Valid input"))))))))</x:f>
      </x:c>
    </x:row>
    <x:row r="227" ht="25" customHeight="1">
      <x:c r="A227" s="3"/>
      <x:c r="B227" s="3"/>
      <x:c r="C227" s="3"/>
      <x:c r="D227" s="3"/>
      <x:c r="E227" s="25"/>
      <x:c r="F227" s="25"/>
      <x:c r="G227" s="22"/>
      <x:c r="H227" s="3"/>
      <x:c r="I227" s="22"/>
      <x:c r="J227" s="3"/>
      <x:c r="K227" s="3"/>
      <x:c r="L227" s="3"/>
      <x:c r="M227" s="3"/>
      <x:c r="N227" s="3"/>
      <x:c r="O227" s="3"/>
      <x:c r="P227" s="19" t="str">
        <x:f>IF(A227="","",IF(COUNTIFS('Observations'!$A$7:$A$306,A227)&lt;&gt;1,"Duplicate ID",IF(COUNTIFS('Cases overview'!$A$7:$A$306,B227)&lt;&gt;1,"Invalid case ref",IF(AND(C227&lt;&gt;"",COUNTIFS('Plan versions'!$A$7:$A$306,C227,'Plan versions'!$B$7:$B$306,B227,'Plan versions'!$L$7:$L$306,"Frozen")&lt;&gt;1),"Invalid plan ref",IF(OR(NOT(ISNUMBER(F227)),M227=""),"Registration info missing",IF(AND(M227="Observed",OR(K227="",AND(NOT(ISNUMBER(G227)),J227=""))),"Observation/source missing",IF(AND(ISNUMBER(G227),H227=""),"Value/unit missing",IF(AND(N227&lt;&gt;"",OR(N227=A227,COUNTIFS('Observations'!$A$7:$A$306,N227,'Observations'!$B$7:$B$306,B227,'Observations'!$M$7:$M$306,"Corrected")&lt;&gt;1)),"Correction ref to check","Valid input"))))))))</x:f>
      </x:c>
    </x:row>
    <x:row r="228" ht="25" customHeight="1">
      <x:c r="A228" s="3"/>
      <x:c r="B228" s="3"/>
      <x:c r="C228" s="3"/>
      <x:c r="D228" s="3"/>
      <x:c r="E228" s="25"/>
      <x:c r="F228" s="25"/>
      <x:c r="G228" s="22"/>
      <x:c r="H228" s="3"/>
      <x:c r="I228" s="22"/>
      <x:c r="J228" s="3"/>
      <x:c r="K228" s="3"/>
      <x:c r="L228" s="3"/>
      <x:c r="M228" s="3"/>
      <x:c r="N228" s="3"/>
      <x:c r="O228" s="3"/>
      <x:c r="P228" s="19" t="str">
        <x:f>IF(A228="","",IF(COUNTIFS('Observations'!$A$7:$A$306,A228)&lt;&gt;1,"Duplicate ID",IF(COUNTIFS('Cases overview'!$A$7:$A$306,B228)&lt;&gt;1,"Invalid case ref",IF(AND(C228&lt;&gt;"",COUNTIFS('Plan versions'!$A$7:$A$306,C228,'Plan versions'!$B$7:$B$306,B228,'Plan versions'!$L$7:$L$306,"Frozen")&lt;&gt;1),"Invalid plan ref",IF(OR(NOT(ISNUMBER(F228)),M228=""),"Registration info missing",IF(AND(M228="Observed",OR(K228="",AND(NOT(ISNUMBER(G228)),J228=""))),"Observation/source missing",IF(AND(ISNUMBER(G228),H228=""),"Value/unit missing",IF(AND(N228&lt;&gt;"",OR(N228=A228,COUNTIFS('Observations'!$A$7:$A$306,N228,'Observations'!$B$7:$B$306,B228,'Observations'!$M$7:$M$306,"Corrected")&lt;&gt;1)),"Correction ref to check","Valid input"))))))))</x:f>
      </x:c>
    </x:row>
    <x:row r="229" ht="25" customHeight="1">
      <x:c r="A229" s="3"/>
      <x:c r="B229" s="3"/>
      <x:c r="C229" s="3"/>
      <x:c r="D229" s="3"/>
      <x:c r="E229" s="25"/>
      <x:c r="F229" s="25"/>
      <x:c r="G229" s="22"/>
      <x:c r="H229" s="3"/>
      <x:c r="I229" s="22"/>
      <x:c r="J229" s="3"/>
      <x:c r="K229" s="3"/>
      <x:c r="L229" s="3"/>
      <x:c r="M229" s="3"/>
      <x:c r="N229" s="3"/>
      <x:c r="O229" s="3"/>
      <x:c r="P229" s="19" t="str">
        <x:f>IF(A229="","",IF(COUNTIFS('Observations'!$A$7:$A$306,A229)&lt;&gt;1,"Duplicate ID",IF(COUNTIFS('Cases overview'!$A$7:$A$306,B229)&lt;&gt;1,"Invalid case ref",IF(AND(C229&lt;&gt;"",COUNTIFS('Plan versions'!$A$7:$A$306,C229,'Plan versions'!$B$7:$B$306,B229,'Plan versions'!$L$7:$L$306,"Frozen")&lt;&gt;1),"Invalid plan ref",IF(OR(NOT(ISNUMBER(F229)),M229=""),"Registration info missing",IF(AND(M229="Observed",OR(K229="",AND(NOT(ISNUMBER(G229)),J229=""))),"Observation/source missing",IF(AND(ISNUMBER(G229),H229=""),"Value/unit missing",IF(AND(N229&lt;&gt;"",OR(N229=A229,COUNTIFS('Observations'!$A$7:$A$306,N229,'Observations'!$B$7:$B$306,B229,'Observations'!$M$7:$M$306,"Corrected")&lt;&gt;1)),"Correction ref to check","Valid input"))))))))</x:f>
      </x:c>
    </x:row>
    <x:row r="230" ht="25" customHeight="1">
      <x:c r="A230" s="3"/>
      <x:c r="B230" s="3"/>
      <x:c r="C230" s="3"/>
      <x:c r="D230" s="3"/>
      <x:c r="E230" s="25"/>
      <x:c r="F230" s="25"/>
      <x:c r="G230" s="22"/>
      <x:c r="H230" s="3"/>
      <x:c r="I230" s="22"/>
      <x:c r="J230" s="3"/>
      <x:c r="K230" s="3"/>
      <x:c r="L230" s="3"/>
      <x:c r="M230" s="3"/>
      <x:c r="N230" s="3"/>
      <x:c r="O230" s="3"/>
      <x:c r="P230" s="19" t="str">
        <x:f>IF(A230="","",IF(COUNTIFS('Observations'!$A$7:$A$306,A230)&lt;&gt;1,"Duplicate ID",IF(COUNTIFS('Cases overview'!$A$7:$A$306,B230)&lt;&gt;1,"Invalid case ref",IF(AND(C230&lt;&gt;"",COUNTIFS('Plan versions'!$A$7:$A$306,C230,'Plan versions'!$B$7:$B$306,B230,'Plan versions'!$L$7:$L$306,"Frozen")&lt;&gt;1),"Invalid plan ref",IF(OR(NOT(ISNUMBER(F230)),M230=""),"Registration info missing",IF(AND(M230="Observed",OR(K230="",AND(NOT(ISNUMBER(G230)),J230=""))),"Observation/source missing",IF(AND(ISNUMBER(G230),H230=""),"Value/unit missing",IF(AND(N230&lt;&gt;"",OR(N230=A230,COUNTIFS('Observations'!$A$7:$A$306,N230,'Observations'!$B$7:$B$306,B230,'Observations'!$M$7:$M$306,"Corrected")&lt;&gt;1)),"Correction ref to check","Valid input"))))))))</x:f>
      </x:c>
    </x:row>
    <x:row r="231" ht="25" customHeight="1">
      <x:c r="A231" s="3"/>
      <x:c r="B231" s="3"/>
      <x:c r="C231" s="3"/>
      <x:c r="D231" s="3"/>
      <x:c r="E231" s="25"/>
      <x:c r="F231" s="25"/>
      <x:c r="G231" s="22"/>
      <x:c r="H231" s="3"/>
      <x:c r="I231" s="22"/>
      <x:c r="J231" s="3"/>
      <x:c r="K231" s="3"/>
      <x:c r="L231" s="3"/>
      <x:c r="M231" s="3"/>
      <x:c r="N231" s="3"/>
      <x:c r="O231" s="3"/>
      <x:c r="P231" s="19" t="str">
        <x:f>IF(A231="","",IF(COUNTIFS('Observations'!$A$7:$A$306,A231)&lt;&gt;1,"Duplicate ID",IF(COUNTIFS('Cases overview'!$A$7:$A$306,B231)&lt;&gt;1,"Invalid case ref",IF(AND(C231&lt;&gt;"",COUNTIFS('Plan versions'!$A$7:$A$306,C231,'Plan versions'!$B$7:$B$306,B231,'Plan versions'!$L$7:$L$306,"Frozen")&lt;&gt;1),"Invalid plan ref",IF(OR(NOT(ISNUMBER(F231)),M231=""),"Registration info missing",IF(AND(M231="Observed",OR(K231="",AND(NOT(ISNUMBER(G231)),J231=""))),"Observation/source missing",IF(AND(ISNUMBER(G231),H231=""),"Value/unit missing",IF(AND(N231&lt;&gt;"",OR(N231=A231,COUNTIFS('Observations'!$A$7:$A$306,N231,'Observations'!$B$7:$B$306,B231,'Observations'!$M$7:$M$306,"Corrected")&lt;&gt;1)),"Correction ref to check","Valid input"))))))))</x:f>
      </x:c>
    </x:row>
    <x:row r="232" ht="25" customHeight="1">
      <x:c r="A232" s="3"/>
      <x:c r="B232" s="3"/>
      <x:c r="C232" s="3"/>
      <x:c r="D232" s="3"/>
      <x:c r="E232" s="25"/>
      <x:c r="F232" s="25"/>
      <x:c r="G232" s="22"/>
      <x:c r="H232" s="3"/>
      <x:c r="I232" s="22"/>
      <x:c r="J232" s="3"/>
      <x:c r="K232" s="3"/>
      <x:c r="L232" s="3"/>
      <x:c r="M232" s="3"/>
      <x:c r="N232" s="3"/>
      <x:c r="O232" s="3"/>
      <x:c r="P232" s="19" t="str">
        <x:f>IF(A232="","",IF(COUNTIFS('Observations'!$A$7:$A$306,A232)&lt;&gt;1,"Duplicate ID",IF(COUNTIFS('Cases overview'!$A$7:$A$306,B232)&lt;&gt;1,"Invalid case ref",IF(AND(C232&lt;&gt;"",COUNTIFS('Plan versions'!$A$7:$A$306,C232,'Plan versions'!$B$7:$B$306,B232,'Plan versions'!$L$7:$L$306,"Frozen")&lt;&gt;1),"Invalid plan ref",IF(OR(NOT(ISNUMBER(F232)),M232=""),"Registration info missing",IF(AND(M232="Observed",OR(K232="",AND(NOT(ISNUMBER(G232)),J232=""))),"Observation/source missing",IF(AND(ISNUMBER(G232),H232=""),"Value/unit missing",IF(AND(N232&lt;&gt;"",OR(N232=A232,COUNTIFS('Observations'!$A$7:$A$306,N232,'Observations'!$B$7:$B$306,B232,'Observations'!$M$7:$M$306,"Corrected")&lt;&gt;1)),"Correction ref to check","Valid input"))))))))</x:f>
      </x:c>
    </x:row>
    <x:row r="233" ht="25" customHeight="1">
      <x:c r="A233" s="3"/>
      <x:c r="B233" s="3"/>
      <x:c r="C233" s="3"/>
      <x:c r="D233" s="3"/>
      <x:c r="E233" s="25"/>
      <x:c r="F233" s="25"/>
      <x:c r="G233" s="22"/>
      <x:c r="H233" s="3"/>
      <x:c r="I233" s="22"/>
      <x:c r="J233" s="3"/>
      <x:c r="K233" s="3"/>
      <x:c r="L233" s="3"/>
      <x:c r="M233" s="3"/>
      <x:c r="N233" s="3"/>
      <x:c r="O233" s="3"/>
      <x:c r="P233" s="19" t="str">
        <x:f>IF(A233="","",IF(COUNTIFS('Observations'!$A$7:$A$306,A233)&lt;&gt;1,"Duplicate ID",IF(COUNTIFS('Cases overview'!$A$7:$A$306,B233)&lt;&gt;1,"Invalid case ref",IF(AND(C233&lt;&gt;"",COUNTIFS('Plan versions'!$A$7:$A$306,C233,'Plan versions'!$B$7:$B$306,B233,'Plan versions'!$L$7:$L$306,"Frozen")&lt;&gt;1),"Invalid plan ref",IF(OR(NOT(ISNUMBER(F233)),M233=""),"Registration info missing",IF(AND(M233="Observed",OR(K233="",AND(NOT(ISNUMBER(G233)),J233=""))),"Observation/source missing",IF(AND(ISNUMBER(G233),H233=""),"Value/unit missing",IF(AND(N233&lt;&gt;"",OR(N233=A233,COUNTIFS('Observations'!$A$7:$A$306,N233,'Observations'!$B$7:$B$306,B233,'Observations'!$M$7:$M$306,"Corrected")&lt;&gt;1)),"Correction ref to check","Valid input"))))))))</x:f>
      </x:c>
    </x:row>
    <x:row r="234" ht="25" customHeight="1">
      <x:c r="A234" s="3"/>
      <x:c r="B234" s="3"/>
      <x:c r="C234" s="3"/>
      <x:c r="D234" s="3"/>
      <x:c r="E234" s="25"/>
      <x:c r="F234" s="25"/>
      <x:c r="G234" s="22"/>
      <x:c r="H234" s="3"/>
      <x:c r="I234" s="22"/>
      <x:c r="J234" s="3"/>
      <x:c r="K234" s="3"/>
      <x:c r="L234" s="3"/>
      <x:c r="M234" s="3"/>
      <x:c r="N234" s="3"/>
      <x:c r="O234" s="3"/>
      <x:c r="P234" s="19" t="str">
        <x:f>IF(A234="","",IF(COUNTIFS('Observations'!$A$7:$A$306,A234)&lt;&gt;1,"Duplicate ID",IF(COUNTIFS('Cases overview'!$A$7:$A$306,B234)&lt;&gt;1,"Invalid case ref",IF(AND(C234&lt;&gt;"",COUNTIFS('Plan versions'!$A$7:$A$306,C234,'Plan versions'!$B$7:$B$306,B234,'Plan versions'!$L$7:$L$306,"Frozen")&lt;&gt;1),"Invalid plan ref",IF(OR(NOT(ISNUMBER(F234)),M234=""),"Registration info missing",IF(AND(M234="Observed",OR(K234="",AND(NOT(ISNUMBER(G234)),J234=""))),"Observation/source missing",IF(AND(ISNUMBER(G234),H234=""),"Value/unit missing",IF(AND(N234&lt;&gt;"",OR(N234=A234,COUNTIFS('Observations'!$A$7:$A$306,N234,'Observations'!$B$7:$B$306,B234,'Observations'!$M$7:$M$306,"Corrected")&lt;&gt;1)),"Correction ref to check","Valid input"))))))))</x:f>
      </x:c>
    </x:row>
    <x:row r="235" ht="25" customHeight="1">
      <x:c r="A235" s="3"/>
      <x:c r="B235" s="3"/>
      <x:c r="C235" s="3"/>
      <x:c r="D235" s="3"/>
      <x:c r="E235" s="25"/>
      <x:c r="F235" s="25"/>
      <x:c r="G235" s="22"/>
      <x:c r="H235" s="3"/>
      <x:c r="I235" s="22"/>
      <x:c r="J235" s="3"/>
      <x:c r="K235" s="3"/>
      <x:c r="L235" s="3"/>
      <x:c r="M235" s="3"/>
      <x:c r="N235" s="3"/>
      <x:c r="O235" s="3"/>
      <x:c r="P235" s="19" t="str">
        <x:f>IF(A235="","",IF(COUNTIFS('Observations'!$A$7:$A$306,A235)&lt;&gt;1,"Duplicate ID",IF(COUNTIFS('Cases overview'!$A$7:$A$306,B235)&lt;&gt;1,"Invalid case ref",IF(AND(C235&lt;&gt;"",COUNTIFS('Plan versions'!$A$7:$A$306,C235,'Plan versions'!$B$7:$B$306,B235,'Plan versions'!$L$7:$L$306,"Frozen")&lt;&gt;1),"Invalid plan ref",IF(OR(NOT(ISNUMBER(F235)),M235=""),"Registration info missing",IF(AND(M235="Observed",OR(K235="",AND(NOT(ISNUMBER(G235)),J235=""))),"Observation/source missing",IF(AND(ISNUMBER(G235),H235=""),"Value/unit missing",IF(AND(N235&lt;&gt;"",OR(N235=A235,COUNTIFS('Observations'!$A$7:$A$306,N235,'Observations'!$B$7:$B$306,B235,'Observations'!$M$7:$M$306,"Corrected")&lt;&gt;1)),"Correction ref to check","Valid input"))))))))</x:f>
      </x:c>
    </x:row>
    <x:row r="236" ht="25" customHeight="1">
      <x:c r="A236" s="3"/>
      <x:c r="B236" s="3"/>
      <x:c r="C236" s="3"/>
      <x:c r="D236" s="3"/>
      <x:c r="E236" s="25"/>
      <x:c r="F236" s="25"/>
      <x:c r="G236" s="22"/>
      <x:c r="H236" s="3"/>
      <x:c r="I236" s="22"/>
      <x:c r="J236" s="3"/>
      <x:c r="K236" s="3"/>
      <x:c r="L236" s="3"/>
      <x:c r="M236" s="3"/>
      <x:c r="N236" s="3"/>
      <x:c r="O236" s="3"/>
      <x:c r="P236" s="19" t="str">
        <x:f>IF(A236="","",IF(COUNTIFS('Observations'!$A$7:$A$306,A236)&lt;&gt;1,"Duplicate ID",IF(COUNTIFS('Cases overview'!$A$7:$A$306,B236)&lt;&gt;1,"Invalid case ref",IF(AND(C236&lt;&gt;"",COUNTIFS('Plan versions'!$A$7:$A$306,C236,'Plan versions'!$B$7:$B$306,B236,'Plan versions'!$L$7:$L$306,"Frozen")&lt;&gt;1),"Invalid plan ref",IF(OR(NOT(ISNUMBER(F236)),M236=""),"Registration info missing",IF(AND(M236="Observed",OR(K236="",AND(NOT(ISNUMBER(G236)),J236=""))),"Observation/source missing",IF(AND(ISNUMBER(G236),H236=""),"Value/unit missing",IF(AND(N236&lt;&gt;"",OR(N236=A236,COUNTIFS('Observations'!$A$7:$A$306,N236,'Observations'!$B$7:$B$306,B236,'Observations'!$M$7:$M$306,"Corrected")&lt;&gt;1)),"Correction ref to check","Valid input"))))))))</x:f>
      </x:c>
    </x:row>
    <x:row r="237" ht="25" customHeight="1">
      <x:c r="A237" s="3"/>
      <x:c r="B237" s="3"/>
      <x:c r="C237" s="3"/>
      <x:c r="D237" s="3"/>
      <x:c r="E237" s="25"/>
      <x:c r="F237" s="25"/>
      <x:c r="G237" s="22"/>
      <x:c r="H237" s="3"/>
      <x:c r="I237" s="22"/>
      <x:c r="J237" s="3"/>
      <x:c r="K237" s="3"/>
      <x:c r="L237" s="3"/>
      <x:c r="M237" s="3"/>
      <x:c r="N237" s="3"/>
      <x:c r="O237" s="3"/>
      <x:c r="P237" s="19" t="str">
        <x:f>IF(A237="","",IF(COUNTIFS('Observations'!$A$7:$A$306,A237)&lt;&gt;1,"Duplicate ID",IF(COUNTIFS('Cases overview'!$A$7:$A$306,B237)&lt;&gt;1,"Invalid case ref",IF(AND(C237&lt;&gt;"",COUNTIFS('Plan versions'!$A$7:$A$306,C237,'Plan versions'!$B$7:$B$306,B237,'Plan versions'!$L$7:$L$306,"Frozen")&lt;&gt;1),"Invalid plan ref",IF(OR(NOT(ISNUMBER(F237)),M237=""),"Registration info missing",IF(AND(M237="Observed",OR(K237="",AND(NOT(ISNUMBER(G237)),J237=""))),"Observation/source missing",IF(AND(ISNUMBER(G237),H237=""),"Value/unit missing",IF(AND(N237&lt;&gt;"",OR(N237=A237,COUNTIFS('Observations'!$A$7:$A$306,N237,'Observations'!$B$7:$B$306,B237,'Observations'!$M$7:$M$306,"Corrected")&lt;&gt;1)),"Correction ref to check","Valid input"))))))))</x:f>
      </x:c>
    </x:row>
    <x:row r="238" ht="25" customHeight="1">
      <x:c r="A238" s="3"/>
      <x:c r="B238" s="3"/>
      <x:c r="C238" s="3"/>
      <x:c r="D238" s="3"/>
      <x:c r="E238" s="25"/>
      <x:c r="F238" s="25"/>
      <x:c r="G238" s="22"/>
      <x:c r="H238" s="3"/>
      <x:c r="I238" s="22"/>
      <x:c r="J238" s="3"/>
      <x:c r="K238" s="3"/>
      <x:c r="L238" s="3"/>
      <x:c r="M238" s="3"/>
      <x:c r="N238" s="3"/>
      <x:c r="O238" s="3"/>
      <x:c r="P238" s="19" t="str">
        <x:f>IF(A238="","",IF(COUNTIFS('Observations'!$A$7:$A$306,A238)&lt;&gt;1,"Duplicate ID",IF(COUNTIFS('Cases overview'!$A$7:$A$306,B238)&lt;&gt;1,"Invalid case ref",IF(AND(C238&lt;&gt;"",COUNTIFS('Plan versions'!$A$7:$A$306,C238,'Plan versions'!$B$7:$B$306,B238,'Plan versions'!$L$7:$L$306,"Frozen")&lt;&gt;1),"Invalid plan ref",IF(OR(NOT(ISNUMBER(F238)),M238=""),"Registration info missing",IF(AND(M238="Observed",OR(K238="",AND(NOT(ISNUMBER(G238)),J238=""))),"Observation/source missing",IF(AND(ISNUMBER(G238),H238=""),"Value/unit missing",IF(AND(N238&lt;&gt;"",OR(N238=A238,COUNTIFS('Observations'!$A$7:$A$306,N238,'Observations'!$B$7:$B$306,B238,'Observations'!$M$7:$M$306,"Corrected")&lt;&gt;1)),"Correction ref to check","Valid input"))))))))</x:f>
      </x:c>
    </x:row>
    <x:row r="239" ht="25" customHeight="1">
      <x:c r="A239" s="3"/>
      <x:c r="B239" s="3"/>
      <x:c r="C239" s="3"/>
      <x:c r="D239" s="3"/>
      <x:c r="E239" s="25"/>
      <x:c r="F239" s="25"/>
      <x:c r="G239" s="22"/>
      <x:c r="H239" s="3"/>
      <x:c r="I239" s="22"/>
      <x:c r="J239" s="3"/>
      <x:c r="K239" s="3"/>
      <x:c r="L239" s="3"/>
      <x:c r="M239" s="3"/>
      <x:c r="N239" s="3"/>
      <x:c r="O239" s="3"/>
      <x:c r="P239" s="19" t="str">
        <x:f>IF(A239="","",IF(COUNTIFS('Observations'!$A$7:$A$306,A239)&lt;&gt;1,"Duplicate ID",IF(COUNTIFS('Cases overview'!$A$7:$A$306,B239)&lt;&gt;1,"Invalid case ref",IF(AND(C239&lt;&gt;"",COUNTIFS('Plan versions'!$A$7:$A$306,C239,'Plan versions'!$B$7:$B$306,B239,'Plan versions'!$L$7:$L$306,"Frozen")&lt;&gt;1),"Invalid plan ref",IF(OR(NOT(ISNUMBER(F239)),M239=""),"Registration info missing",IF(AND(M239="Observed",OR(K239="",AND(NOT(ISNUMBER(G239)),J239=""))),"Observation/source missing",IF(AND(ISNUMBER(G239),H239=""),"Value/unit missing",IF(AND(N239&lt;&gt;"",OR(N239=A239,COUNTIFS('Observations'!$A$7:$A$306,N239,'Observations'!$B$7:$B$306,B239,'Observations'!$M$7:$M$306,"Corrected")&lt;&gt;1)),"Correction ref to check","Valid input"))))))))</x:f>
      </x:c>
    </x:row>
    <x:row r="240" ht="25" customHeight="1">
      <x:c r="A240" s="3"/>
      <x:c r="B240" s="3"/>
      <x:c r="C240" s="3"/>
      <x:c r="D240" s="3"/>
      <x:c r="E240" s="25"/>
      <x:c r="F240" s="25"/>
      <x:c r="G240" s="22"/>
      <x:c r="H240" s="3"/>
      <x:c r="I240" s="22"/>
      <x:c r="J240" s="3"/>
      <x:c r="K240" s="3"/>
      <x:c r="L240" s="3"/>
      <x:c r="M240" s="3"/>
      <x:c r="N240" s="3"/>
      <x:c r="O240" s="3"/>
      <x:c r="P240" s="19" t="str">
        <x:f>IF(A240="","",IF(COUNTIFS('Observations'!$A$7:$A$306,A240)&lt;&gt;1,"Duplicate ID",IF(COUNTIFS('Cases overview'!$A$7:$A$306,B240)&lt;&gt;1,"Invalid case ref",IF(AND(C240&lt;&gt;"",COUNTIFS('Plan versions'!$A$7:$A$306,C240,'Plan versions'!$B$7:$B$306,B240,'Plan versions'!$L$7:$L$306,"Frozen")&lt;&gt;1),"Invalid plan ref",IF(OR(NOT(ISNUMBER(F240)),M240=""),"Registration info missing",IF(AND(M240="Observed",OR(K240="",AND(NOT(ISNUMBER(G240)),J240=""))),"Observation/source missing",IF(AND(ISNUMBER(G240),H240=""),"Value/unit missing",IF(AND(N240&lt;&gt;"",OR(N240=A240,COUNTIFS('Observations'!$A$7:$A$306,N240,'Observations'!$B$7:$B$306,B240,'Observations'!$M$7:$M$306,"Corrected")&lt;&gt;1)),"Correction ref to check","Valid input"))))))))</x:f>
      </x:c>
    </x:row>
    <x:row r="241" ht="25" customHeight="1">
      <x:c r="A241" s="3"/>
      <x:c r="B241" s="3"/>
      <x:c r="C241" s="3"/>
      <x:c r="D241" s="3"/>
      <x:c r="E241" s="25"/>
      <x:c r="F241" s="25"/>
      <x:c r="G241" s="22"/>
      <x:c r="H241" s="3"/>
      <x:c r="I241" s="22"/>
      <x:c r="J241" s="3"/>
      <x:c r="K241" s="3"/>
      <x:c r="L241" s="3"/>
      <x:c r="M241" s="3"/>
      <x:c r="N241" s="3"/>
      <x:c r="O241" s="3"/>
      <x:c r="P241" s="19" t="str">
        <x:f>IF(A241="","",IF(COUNTIFS('Observations'!$A$7:$A$306,A241)&lt;&gt;1,"Duplicate ID",IF(COUNTIFS('Cases overview'!$A$7:$A$306,B241)&lt;&gt;1,"Invalid case ref",IF(AND(C241&lt;&gt;"",COUNTIFS('Plan versions'!$A$7:$A$306,C241,'Plan versions'!$B$7:$B$306,B241,'Plan versions'!$L$7:$L$306,"Frozen")&lt;&gt;1),"Invalid plan ref",IF(OR(NOT(ISNUMBER(F241)),M241=""),"Registration info missing",IF(AND(M241="Observed",OR(K241="",AND(NOT(ISNUMBER(G241)),J241=""))),"Observation/source missing",IF(AND(ISNUMBER(G241),H241=""),"Value/unit missing",IF(AND(N241&lt;&gt;"",OR(N241=A241,COUNTIFS('Observations'!$A$7:$A$306,N241,'Observations'!$B$7:$B$306,B241,'Observations'!$M$7:$M$306,"Corrected")&lt;&gt;1)),"Correction ref to check","Valid input"))))))))</x:f>
      </x:c>
    </x:row>
    <x:row r="242" ht="25" customHeight="1">
      <x:c r="A242" s="3"/>
      <x:c r="B242" s="3"/>
      <x:c r="C242" s="3"/>
      <x:c r="D242" s="3"/>
      <x:c r="E242" s="25"/>
      <x:c r="F242" s="25"/>
      <x:c r="G242" s="22"/>
      <x:c r="H242" s="3"/>
      <x:c r="I242" s="22"/>
      <x:c r="J242" s="3"/>
      <x:c r="K242" s="3"/>
      <x:c r="L242" s="3"/>
      <x:c r="M242" s="3"/>
      <x:c r="N242" s="3"/>
      <x:c r="O242" s="3"/>
      <x:c r="P242" s="19" t="str">
        <x:f>IF(A242="","",IF(COUNTIFS('Observations'!$A$7:$A$306,A242)&lt;&gt;1,"Duplicate ID",IF(COUNTIFS('Cases overview'!$A$7:$A$306,B242)&lt;&gt;1,"Invalid case ref",IF(AND(C242&lt;&gt;"",COUNTIFS('Plan versions'!$A$7:$A$306,C242,'Plan versions'!$B$7:$B$306,B242,'Plan versions'!$L$7:$L$306,"Frozen")&lt;&gt;1),"Invalid plan ref",IF(OR(NOT(ISNUMBER(F242)),M242=""),"Registration info missing",IF(AND(M242="Observed",OR(K242="",AND(NOT(ISNUMBER(G242)),J242=""))),"Observation/source missing",IF(AND(ISNUMBER(G242),H242=""),"Value/unit missing",IF(AND(N242&lt;&gt;"",OR(N242=A242,COUNTIFS('Observations'!$A$7:$A$306,N242,'Observations'!$B$7:$B$306,B242,'Observations'!$M$7:$M$306,"Corrected")&lt;&gt;1)),"Correction ref to check","Valid input"))))))))</x:f>
      </x:c>
    </x:row>
    <x:row r="243" ht="25" customHeight="1">
      <x:c r="A243" s="3"/>
      <x:c r="B243" s="3"/>
      <x:c r="C243" s="3"/>
      <x:c r="D243" s="3"/>
      <x:c r="E243" s="25"/>
      <x:c r="F243" s="25"/>
      <x:c r="G243" s="22"/>
      <x:c r="H243" s="3"/>
      <x:c r="I243" s="22"/>
      <x:c r="J243" s="3"/>
      <x:c r="K243" s="3"/>
      <x:c r="L243" s="3"/>
      <x:c r="M243" s="3"/>
      <x:c r="N243" s="3"/>
      <x:c r="O243" s="3"/>
      <x:c r="P243" s="19" t="str">
        <x:f>IF(A243="","",IF(COUNTIFS('Observations'!$A$7:$A$306,A243)&lt;&gt;1,"Duplicate ID",IF(COUNTIFS('Cases overview'!$A$7:$A$306,B243)&lt;&gt;1,"Invalid case ref",IF(AND(C243&lt;&gt;"",COUNTIFS('Plan versions'!$A$7:$A$306,C243,'Plan versions'!$B$7:$B$306,B243,'Plan versions'!$L$7:$L$306,"Frozen")&lt;&gt;1),"Invalid plan ref",IF(OR(NOT(ISNUMBER(F243)),M243=""),"Registration info missing",IF(AND(M243="Observed",OR(K243="",AND(NOT(ISNUMBER(G243)),J243=""))),"Observation/source missing",IF(AND(ISNUMBER(G243),H243=""),"Value/unit missing",IF(AND(N243&lt;&gt;"",OR(N243=A243,COUNTIFS('Observations'!$A$7:$A$306,N243,'Observations'!$B$7:$B$306,B243,'Observations'!$M$7:$M$306,"Corrected")&lt;&gt;1)),"Correction ref to check","Valid input"))))))))</x:f>
      </x:c>
    </x:row>
    <x:row r="244" ht="25" customHeight="1">
      <x:c r="A244" s="3"/>
      <x:c r="B244" s="3"/>
      <x:c r="C244" s="3"/>
      <x:c r="D244" s="3"/>
      <x:c r="E244" s="25"/>
      <x:c r="F244" s="25"/>
      <x:c r="G244" s="22"/>
      <x:c r="H244" s="3"/>
      <x:c r="I244" s="22"/>
      <x:c r="J244" s="3"/>
      <x:c r="K244" s="3"/>
      <x:c r="L244" s="3"/>
      <x:c r="M244" s="3"/>
      <x:c r="N244" s="3"/>
      <x:c r="O244" s="3"/>
      <x:c r="P244" s="19" t="str">
        <x:f>IF(A244="","",IF(COUNTIFS('Observations'!$A$7:$A$306,A244)&lt;&gt;1,"Duplicate ID",IF(COUNTIFS('Cases overview'!$A$7:$A$306,B244)&lt;&gt;1,"Invalid case ref",IF(AND(C244&lt;&gt;"",COUNTIFS('Plan versions'!$A$7:$A$306,C244,'Plan versions'!$B$7:$B$306,B244,'Plan versions'!$L$7:$L$306,"Frozen")&lt;&gt;1),"Invalid plan ref",IF(OR(NOT(ISNUMBER(F244)),M244=""),"Registration info missing",IF(AND(M244="Observed",OR(K244="",AND(NOT(ISNUMBER(G244)),J244=""))),"Observation/source missing",IF(AND(ISNUMBER(G244),H244=""),"Value/unit missing",IF(AND(N244&lt;&gt;"",OR(N244=A244,COUNTIFS('Observations'!$A$7:$A$306,N244,'Observations'!$B$7:$B$306,B244,'Observations'!$M$7:$M$306,"Corrected")&lt;&gt;1)),"Correction ref to check","Valid input"))))))))</x:f>
      </x:c>
    </x:row>
    <x:row r="245" ht="25" customHeight="1">
      <x:c r="A245" s="3"/>
      <x:c r="B245" s="3"/>
      <x:c r="C245" s="3"/>
      <x:c r="D245" s="3"/>
      <x:c r="E245" s="25"/>
      <x:c r="F245" s="25"/>
      <x:c r="G245" s="22"/>
      <x:c r="H245" s="3"/>
      <x:c r="I245" s="22"/>
      <x:c r="J245" s="3"/>
      <x:c r="K245" s="3"/>
      <x:c r="L245" s="3"/>
      <x:c r="M245" s="3"/>
      <x:c r="N245" s="3"/>
      <x:c r="O245" s="3"/>
      <x:c r="P245" s="19" t="str">
        <x:f>IF(A245="","",IF(COUNTIFS('Observations'!$A$7:$A$306,A245)&lt;&gt;1,"Duplicate ID",IF(COUNTIFS('Cases overview'!$A$7:$A$306,B245)&lt;&gt;1,"Invalid case ref",IF(AND(C245&lt;&gt;"",COUNTIFS('Plan versions'!$A$7:$A$306,C245,'Plan versions'!$B$7:$B$306,B245,'Plan versions'!$L$7:$L$306,"Frozen")&lt;&gt;1),"Invalid plan ref",IF(OR(NOT(ISNUMBER(F245)),M245=""),"Registration info missing",IF(AND(M245="Observed",OR(K245="",AND(NOT(ISNUMBER(G245)),J245=""))),"Observation/source missing",IF(AND(ISNUMBER(G245),H245=""),"Value/unit missing",IF(AND(N245&lt;&gt;"",OR(N245=A245,COUNTIFS('Observations'!$A$7:$A$306,N245,'Observations'!$B$7:$B$306,B245,'Observations'!$M$7:$M$306,"Corrected")&lt;&gt;1)),"Correction ref to check","Valid input"))))))))</x:f>
      </x:c>
    </x:row>
    <x:row r="246" ht="25" customHeight="1">
      <x:c r="A246" s="3"/>
      <x:c r="B246" s="3"/>
      <x:c r="C246" s="3"/>
      <x:c r="D246" s="3"/>
      <x:c r="E246" s="25"/>
      <x:c r="F246" s="25"/>
      <x:c r="G246" s="22"/>
      <x:c r="H246" s="3"/>
      <x:c r="I246" s="22"/>
      <x:c r="J246" s="3"/>
      <x:c r="K246" s="3"/>
      <x:c r="L246" s="3"/>
      <x:c r="M246" s="3"/>
      <x:c r="N246" s="3"/>
      <x:c r="O246" s="3"/>
      <x:c r="P246" s="19" t="str">
        <x:f>IF(A246="","",IF(COUNTIFS('Observations'!$A$7:$A$306,A246)&lt;&gt;1,"Duplicate ID",IF(COUNTIFS('Cases overview'!$A$7:$A$306,B246)&lt;&gt;1,"Invalid case ref",IF(AND(C246&lt;&gt;"",COUNTIFS('Plan versions'!$A$7:$A$306,C246,'Plan versions'!$B$7:$B$306,B246,'Plan versions'!$L$7:$L$306,"Frozen")&lt;&gt;1),"Invalid plan ref",IF(OR(NOT(ISNUMBER(F246)),M246=""),"Registration info missing",IF(AND(M246="Observed",OR(K246="",AND(NOT(ISNUMBER(G246)),J246=""))),"Observation/source missing",IF(AND(ISNUMBER(G246),H246=""),"Value/unit missing",IF(AND(N246&lt;&gt;"",OR(N246=A246,COUNTIFS('Observations'!$A$7:$A$306,N246,'Observations'!$B$7:$B$306,B246,'Observations'!$M$7:$M$306,"Corrected")&lt;&gt;1)),"Correction ref to check","Valid input"))))))))</x:f>
      </x:c>
    </x:row>
    <x:row r="247" ht="25" customHeight="1">
      <x:c r="A247" s="3"/>
      <x:c r="B247" s="3"/>
      <x:c r="C247" s="3"/>
      <x:c r="D247" s="3"/>
      <x:c r="E247" s="25"/>
      <x:c r="F247" s="25"/>
      <x:c r="G247" s="22"/>
      <x:c r="H247" s="3"/>
      <x:c r="I247" s="22"/>
      <x:c r="J247" s="3"/>
      <x:c r="K247" s="3"/>
      <x:c r="L247" s="3"/>
      <x:c r="M247" s="3"/>
      <x:c r="N247" s="3"/>
      <x:c r="O247" s="3"/>
      <x:c r="P247" s="19" t="str">
        <x:f>IF(A247="","",IF(COUNTIFS('Observations'!$A$7:$A$306,A247)&lt;&gt;1,"Duplicate ID",IF(COUNTIFS('Cases overview'!$A$7:$A$306,B247)&lt;&gt;1,"Invalid case ref",IF(AND(C247&lt;&gt;"",COUNTIFS('Plan versions'!$A$7:$A$306,C247,'Plan versions'!$B$7:$B$306,B247,'Plan versions'!$L$7:$L$306,"Frozen")&lt;&gt;1),"Invalid plan ref",IF(OR(NOT(ISNUMBER(F247)),M247=""),"Registration info missing",IF(AND(M247="Observed",OR(K247="",AND(NOT(ISNUMBER(G247)),J247=""))),"Observation/source missing",IF(AND(ISNUMBER(G247),H247=""),"Value/unit missing",IF(AND(N247&lt;&gt;"",OR(N247=A247,COUNTIFS('Observations'!$A$7:$A$306,N247,'Observations'!$B$7:$B$306,B247,'Observations'!$M$7:$M$306,"Corrected")&lt;&gt;1)),"Correction ref to check","Valid input"))))))))</x:f>
      </x:c>
    </x:row>
    <x:row r="248" ht="25" customHeight="1">
      <x:c r="A248" s="3"/>
      <x:c r="B248" s="3"/>
      <x:c r="C248" s="3"/>
      <x:c r="D248" s="3"/>
      <x:c r="E248" s="25"/>
      <x:c r="F248" s="25"/>
      <x:c r="G248" s="22"/>
      <x:c r="H248" s="3"/>
      <x:c r="I248" s="22"/>
      <x:c r="J248" s="3"/>
      <x:c r="K248" s="3"/>
      <x:c r="L248" s="3"/>
      <x:c r="M248" s="3"/>
      <x:c r="N248" s="3"/>
      <x:c r="O248" s="3"/>
      <x:c r="P248" s="19" t="str">
        <x:f>IF(A248="","",IF(COUNTIFS('Observations'!$A$7:$A$306,A248)&lt;&gt;1,"Duplicate ID",IF(COUNTIFS('Cases overview'!$A$7:$A$306,B248)&lt;&gt;1,"Invalid case ref",IF(AND(C248&lt;&gt;"",COUNTIFS('Plan versions'!$A$7:$A$306,C248,'Plan versions'!$B$7:$B$306,B248,'Plan versions'!$L$7:$L$306,"Frozen")&lt;&gt;1),"Invalid plan ref",IF(OR(NOT(ISNUMBER(F248)),M248=""),"Registration info missing",IF(AND(M248="Observed",OR(K248="",AND(NOT(ISNUMBER(G248)),J248=""))),"Observation/source missing",IF(AND(ISNUMBER(G248),H248=""),"Value/unit missing",IF(AND(N248&lt;&gt;"",OR(N248=A248,COUNTIFS('Observations'!$A$7:$A$306,N248,'Observations'!$B$7:$B$306,B248,'Observations'!$M$7:$M$306,"Corrected")&lt;&gt;1)),"Correction ref to check","Valid input"))))))))</x:f>
      </x:c>
    </x:row>
    <x:row r="249" ht="25" customHeight="1">
      <x:c r="A249" s="3"/>
      <x:c r="B249" s="3"/>
      <x:c r="C249" s="3"/>
      <x:c r="D249" s="3"/>
      <x:c r="E249" s="25"/>
      <x:c r="F249" s="25"/>
      <x:c r="G249" s="22"/>
      <x:c r="H249" s="3"/>
      <x:c r="I249" s="22"/>
      <x:c r="J249" s="3"/>
      <x:c r="K249" s="3"/>
      <x:c r="L249" s="3"/>
      <x:c r="M249" s="3"/>
      <x:c r="N249" s="3"/>
      <x:c r="O249" s="3"/>
      <x:c r="P249" s="19" t="str">
        <x:f>IF(A249="","",IF(COUNTIFS('Observations'!$A$7:$A$306,A249)&lt;&gt;1,"Duplicate ID",IF(COUNTIFS('Cases overview'!$A$7:$A$306,B249)&lt;&gt;1,"Invalid case ref",IF(AND(C249&lt;&gt;"",COUNTIFS('Plan versions'!$A$7:$A$306,C249,'Plan versions'!$B$7:$B$306,B249,'Plan versions'!$L$7:$L$306,"Frozen")&lt;&gt;1),"Invalid plan ref",IF(OR(NOT(ISNUMBER(F249)),M249=""),"Registration info missing",IF(AND(M249="Observed",OR(K249="",AND(NOT(ISNUMBER(G249)),J249=""))),"Observation/source missing",IF(AND(ISNUMBER(G249),H249=""),"Value/unit missing",IF(AND(N249&lt;&gt;"",OR(N249=A249,COUNTIFS('Observations'!$A$7:$A$306,N249,'Observations'!$B$7:$B$306,B249,'Observations'!$M$7:$M$306,"Corrected")&lt;&gt;1)),"Correction ref to check","Valid input"))))))))</x:f>
      </x:c>
    </x:row>
    <x:row r="250" ht="25" customHeight="1">
      <x:c r="A250" s="3"/>
      <x:c r="B250" s="3"/>
      <x:c r="C250" s="3"/>
      <x:c r="D250" s="3"/>
      <x:c r="E250" s="25"/>
      <x:c r="F250" s="25"/>
      <x:c r="G250" s="22"/>
      <x:c r="H250" s="3"/>
      <x:c r="I250" s="22"/>
      <x:c r="J250" s="3"/>
      <x:c r="K250" s="3"/>
      <x:c r="L250" s="3"/>
      <x:c r="M250" s="3"/>
      <x:c r="N250" s="3"/>
      <x:c r="O250" s="3"/>
      <x:c r="P250" s="19" t="str">
        <x:f>IF(A250="","",IF(COUNTIFS('Observations'!$A$7:$A$306,A250)&lt;&gt;1,"Duplicate ID",IF(COUNTIFS('Cases overview'!$A$7:$A$306,B250)&lt;&gt;1,"Invalid case ref",IF(AND(C250&lt;&gt;"",COUNTIFS('Plan versions'!$A$7:$A$306,C250,'Plan versions'!$B$7:$B$306,B250,'Plan versions'!$L$7:$L$306,"Frozen")&lt;&gt;1),"Invalid plan ref",IF(OR(NOT(ISNUMBER(F250)),M250=""),"Registration info missing",IF(AND(M250="Observed",OR(K250="",AND(NOT(ISNUMBER(G250)),J250=""))),"Observation/source missing",IF(AND(ISNUMBER(G250),H250=""),"Value/unit missing",IF(AND(N250&lt;&gt;"",OR(N250=A250,COUNTIFS('Observations'!$A$7:$A$306,N250,'Observations'!$B$7:$B$306,B250,'Observations'!$M$7:$M$306,"Corrected")&lt;&gt;1)),"Correction ref to check","Valid input"))))))))</x:f>
      </x:c>
    </x:row>
    <x:row r="251" ht="25" customHeight="1">
      <x:c r="A251" s="3"/>
      <x:c r="B251" s="3"/>
      <x:c r="C251" s="3"/>
      <x:c r="D251" s="3"/>
      <x:c r="E251" s="25"/>
      <x:c r="F251" s="25"/>
      <x:c r="G251" s="22"/>
      <x:c r="H251" s="3"/>
      <x:c r="I251" s="22"/>
      <x:c r="J251" s="3"/>
      <x:c r="K251" s="3"/>
      <x:c r="L251" s="3"/>
      <x:c r="M251" s="3"/>
      <x:c r="N251" s="3"/>
      <x:c r="O251" s="3"/>
      <x:c r="P251" s="19" t="str">
        <x:f>IF(A251="","",IF(COUNTIFS('Observations'!$A$7:$A$306,A251)&lt;&gt;1,"Duplicate ID",IF(COUNTIFS('Cases overview'!$A$7:$A$306,B251)&lt;&gt;1,"Invalid case ref",IF(AND(C251&lt;&gt;"",COUNTIFS('Plan versions'!$A$7:$A$306,C251,'Plan versions'!$B$7:$B$306,B251,'Plan versions'!$L$7:$L$306,"Frozen")&lt;&gt;1),"Invalid plan ref",IF(OR(NOT(ISNUMBER(F251)),M251=""),"Registration info missing",IF(AND(M251="Observed",OR(K251="",AND(NOT(ISNUMBER(G251)),J251=""))),"Observation/source missing",IF(AND(ISNUMBER(G251),H251=""),"Value/unit missing",IF(AND(N251&lt;&gt;"",OR(N251=A251,COUNTIFS('Observations'!$A$7:$A$306,N251,'Observations'!$B$7:$B$306,B251,'Observations'!$M$7:$M$306,"Corrected")&lt;&gt;1)),"Correction ref to check","Valid input"))))))))</x:f>
      </x:c>
    </x:row>
    <x:row r="252" ht="25" customHeight="1">
      <x:c r="A252" s="3"/>
      <x:c r="B252" s="3"/>
      <x:c r="C252" s="3"/>
      <x:c r="D252" s="3"/>
      <x:c r="E252" s="25"/>
      <x:c r="F252" s="25"/>
      <x:c r="G252" s="22"/>
      <x:c r="H252" s="3"/>
      <x:c r="I252" s="22"/>
      <x:c r="J252" s="3"/>
      <x:c r="K252" s="3"/>
      <x:c r="L252" s="3"/>
      <x:c r="M252" s="3"/>
      <x:c r="N252" s="3"/>
      <x:c r="O252" s="3"/>
      <x:c r="P252" s="19" t="str">
        <x:f>IF(A252="","",IF(COUNTIFS('Observations'!$A$7:$A$306,A252)&lt;&gt;1,"Duplicate ID",IF(COUNTIFS('Cases overview'!$A$7:$A$306,B252)&lt;&gt;1,"Invalid case ref",IF(AND(C252&lt;&gt;"",COUNTIFS('Plan versions'!$A$7:$A$306,C252,'Plan versions'!$B$7:$B$306,B252,'Plan versions'!$L$7:$L$306,"Frozen")&lt;&gt;1),"Invalid plan ref",IF(OR(NOT(ISNUMBER(F252)),M252=""),"Registration info missing",IF(AND(M252="Observed",OR(K252="",AND(NOT(ISNUMBER(G252)),J252=""))),"Observation/source missing",IF(AND(ISNUMBER(G252),H252=""),"Value/unit missing",IF(AND(N252&lt;&gt;"",OR(N252=A252,COUNTIFS('Observations'!$A$7:$A$306,N252,'Observations'!$B$7:$B$306,B252,'Observations'!$M$7:$M$306,"Corrected")&lt;&gt;1)),"Correction ref to check","Valid input"))))))))</x:f>
      </x:c>
    </x:row>
    <x:row r="253" ht="25" customHeight="1">
      <x:c r="A253" s="3"/>
      <x:c r="B253" s="3"/>
      <x:c r="C253" s="3"/>
      <x:c r="D253" s="3"/>
      <x:c r="E253" s="25"/>
      <x:c r="F253" s="25"/>
      <x:c r="G253" s="22"/>
      <x:c r="H253" s="3"/>
      <x:c r="I253" s="22"/>
      <x:c r="J253" s="3"/>
      <x:c r="K253" s="3"/>
      <x:c r="L253" s="3"/>
      <x:c r="M253" s="3"/>
      <x:c r="N253" s="3"/>
      <x:c r="O253" s="3"/>
      <x:c r="P253" s="19" t="str">
        <x:f>IF(A253="","",IF(COUNTIFS('Observations'!$A$7:$A$306,A253)&lt;&gt;1,"Duplicate ID",IF(COUNTIFS('Cases overview'!$A$7:$A$306,B253)&lt;&gt;1,"Invalid case ref",IF(AND(C253&lt;&gt;"",COUNTIFS('Plan versions'!$A$7:$A$306,C253,'Plan versions'!$B$7:$B$306,B253,'Plan versions'!$L$7:$L$306,"Frozen")&lt;&gt;1),"Invalid plan ref",IF(OR(NOT(ISNUMBER(F253)),M253=""),"Registration info missing",IF(AND(M253="Observed",OR(K253="",AND(NOT(ISNUMBER(G253)),J253=""))),"Observation/source missing",IF(AND(ISNUMBER(G253),H253=""),"Value/unit missing",IF(AND(N253&lt;&gt;"",OR(N253=A253,COUNTIFS('Observations'!$A$7:$A$306,N253,'Observations'!$B$7:$B$306,B253,'Observations'!$M$7:$M$306,"Corrected")&lt;&gt;1)),"Correction ref to check","Valid input"))))))))</x:f>
      </x:c>
    </x:row>
    <x:row r="254" ht="25" customHeight="1">
      <x:c r="A254" s="3"/>
      <x:c r="B254" s="3"/>
      <x:c r="C254" s="3"/>
      <x:c r="D254" s="3"/>
      <x:c r="E254" s="25"/>
      <x:c r="F254" s="25"/>
      <x:c r="G254" s="22"/>
      <x:c r="H254" s="3"/>
      <x:c r="I254" s="22"/>
      <x:c r="J254" s="3"/>
      <x:c r="K254" s="3"/>
      <x:c r="L254" s="3"/>
      <x:c r="M254" s="3"/>
      <x:c r="N254" s="3"/>
      <x:c r="O254" s="3"/>
      <x:c r="P254" s="19" t="str">
        <x:f>IF(A254="","",IF(COUNTIFS('Observations'!$A$7:$A$306,A254)&lt;&gt;1,"Duplicate ID",IF(COUNTIFS('Cases overview'!$A$7:$A$306,B254)&lt;&gt;1,"Invalid case ref",IF(AND(C254&lt;&gt;"",COUNTIFS('Plan versions'!$A$7:$A$306,C254,'Plan versions'!$B$7:$B$306,B254,'Plan versions'!$L$7:$L$306,"Frozen")&lt;&gt;1),"Invalid plan ref",IF(OR(NOT(ISNUMBER(F254)),M254=""),"Registration info missing",IF(AND(M254="Observed",OR(K254="",AND(NOT(ISNUMBER(G254)),J254=""))),"Observation/source missing",IF(AND(ISNUMBER(G254),H254=""),"Value/unit missing",IF(AND(N254&lt;&gt;"",OR(N254=A254,COUNTIFS('Observations'!$A$7:$A$306,N254,'Observations'!$B$7:$B$306,B254,'Observations'!$M$7:$M$306,"Corrected")&lt;&gt;1)),"Correction ref to check","Valid input"))))))))</x:f>
      </x:c>
    </x:row>
    <x:row r="255" ht="25" customHeight="1">
      <x:c r="A255" s="3"/>
      <x:c r="B255" s="3"/>
      <x:c r="C255" s="3"/>
      <x:c r="D255" s="3"/>
      <x:c r="E255" s="25"/>
      <x:c r="F255" s="25"/>
      <x:c r="G255" s="22"/>
      <x:c r="H255" s="3"/>
      <x:c r="I255" s="22"/>
      <x:c r="J255" s="3"/>
      <x:c r="K255" s="3"/>
      <x:c r="L255" s="3"/>
      <x:c r="M255" s="3"/>
      <x:c r="N255" s="3"/>
      <x:c r="O255" s="3"/>
      <x:c r="P255" s="19" t="str">
        <x:f>IF(A255="","",IF(COUNTIFS('Observations'!$A$7:$A$306,A255)&lt;&gt;1,"Duplicate ID",IF(COUNTIFS('Cases overview'!$A$7:$A$306,B255)&lt;&gt;1,"Invalid case ref",IF(AND(C255&lt;&gt;"",COUNTIFS('Plan versions'!$A$7:$A$306,C255,'Plan versions'!$B$7:$B$306,B255,'Plan versions'!$L$7:$L$306,"Frozen")&lt;&gt;1),"Invalid plan ref",IF(OR(NOT(ISNUMBER(F255)),M255=""),"Registration info missing",IF(AND(M255="Observed",OR(K255="",AND(NOT(ISNUMBER(G255)),J255=""))),"Observation/source missing",IF(AND(ISNUMBER(G255),H255=""),"Value/unit missing",IF(AND(N255&lt;&gt;"",OR(N255=A255,COUNTIFS('Observations'!$A$7:$A$306,N255,'Observations'!$B$7:$B$306,B255,'Observations'!$M$7:$M$306,"Corrected")&lt;&gt;1)),"Correction ref to check","Valid input"))))))))</x:f>
      </x:c>
    </x:row>
    <x:row r="256" ht="25" customHeight="1">
      <x:c r="A256" s="3"/>
      <x:c r="B256" s="3"/>
      <x:c r="C256" s="3"/>
      <x:c r="D256" s="3"/>
      <x:c r="E256" s="25"/>
      <x:c r="F256" s="25"/>
      <x:c r="G256" s="22"/>
      <x:c r="H256" s="3"/>
      <x:c r="I256" s="22"/>
      <x:c r="J256" s="3"/>
      <x:c r="K256" s="3"/>
      <x:c r="L256" s="3"/>
      <x:c r="M256" s="3"/>
      <x:c r="N256" s="3"/>
      <x:c r="O256" s="3"/>
      <x:c r="P256" s="19" t="str">
        <x:f>IF(A256="","",IF(COUNTIFS('Observations'!$A$7:$A$306,A256)&lt;&gt;1,"Duplicate ID",IF(COUNTIFS('Cases overview'!$A$7:$A$306,B256)&lt;&gt;1,"Invalid case ref",IF(AND(C256&lt;&gt;"",COUNTIFS('Plan versions'!$A$7:$A$306,C256,'Plan versions'!$B$7:$B$306,B256,'Plan versions'!$L$7:$L$306,"Frozen")&lt;&gt;1),"Invalid plan ref",IF(OR(NOT(ISNUMBER(F256)),M256=""),"Registration info missing",IF(AND(M256="Observed",OR(K256="",AND(NOT(ISNUMBER(G256)),J256=""))),"Observation/source missing",IF(AND(ISNUMBER(G256),H256=""),"Value/unit missing",IF(AND(N256&lt;&gt;"",OR(N256=A256,COUNTIFS('Observations'!$A$7:$A$306,N256,'Observations'!$B$7:$B$306,B256,'Observations'!$M$7:$M$306,"Corrected")&lt;&gt;1)),"Correction ref to check","Valid input"))))))))</x:f>
      </x:c>
    </x:row>
    <x:row r="257" ht="25" customHeight="1">
      <x:c r="A257" s="3"/>
      <x:c r="B257" s="3"/>
      <x:c r="C257" s="3"/>
      <x:c r="D257" s="3"/>
      <x:c r="E257" s="25"/>
      <x:c r="F257" s="25"/>
      <x:c r="G257" s="22"/>
      <x:c r="H257" s="3"/>
      <x:c r="I257" s="22"/>
      <x:c r="J257" s="3"/>
      <x:c r="K257" s="3"/>
      <x:c r="L257" s="3"/>
      <x:c r="M257" s="3"/>
      <x:c r="N257" s="3"/>
      <x:c r="O257" s="3"/>
      <x:c r="P257" s="19" t="str">
        <x:f>IF(A257="","",IF(COUNTIFS('Observations'!$A$7:$A$306,A257)&lt;&gt;1,"Duplicate ID",IF(COUNTIFS('Cases overview'!$A$7:$A$306,B257)&lt;&gt;1,"Invalid case ref",IF(AND(C257&lt;&gt;"",COUNTIFS('Plan versions'!$A$7:$A$306,C257,'Plan versions'!$B$7:$B$306,B257,'Plan versions'!$L$7:$L$306,"Frozen")&lt;&gt;1),"Invalid plan ref",IF(OR(NOT(ISNUMBER(F257)),M257=""),"Registration info missing",IF(AND(M257="Observed",OR(K257="",AND(NOT(ISNUMBER(G257)),J257=""))),"Observation/source missing",IF(AND(ISNUMBER(G257),H257=""),"Value/unit missing",IF(AND(N257&lt;&gt;"",OR(N257=A257,COUNTIFS('Observations'!$A$7:$A$306,N257,'Observations'!$B$7:$B$306,B257,'Observations'!$M$7:$M$306,"Corrected")&lt;&gt;1)),"Correction ref to check","Valid input"))))))))</x:f>
      </x:c>
    </x:row>
    <x:row r="258" ht="25" customHeight="1">
      <x:c r="A258" s="3"/>
      <x:c r="B258" s="3"/>
      <x:c r="C258" s="3"/>
      <x:c r="D258" s="3"/>
      <x:c r="E258" s="25"/>
      <x:c r="F258" s="25"/>
      <x:c r="G258" s="22"/>
      <x:c r="H258" s="3"/>
      <x:c r="I258" s="22"/>
      <x:c r="J258" s="3"/>
      <x:c r="K258" s="3"/>
      <x:c r="L258" s="3"/>
      <x:c r="M258" s="3"/>
      <x:c r="N258" s="3"/>
      <x:c r="O258" s="3"/>
      <x:c r="P258" s="19" t="str">
        <x:f>IF(A258="","",IF(COUNTIFS('Observations'!$A$7:$A$306,A258)&lt;&gt;1,"Duplicate ID",IF(COUNTIFS('Cases overview'!$A$7:$A$306,B258)&lt;&gt;1,"Invalid case ref",IF(AND(C258&lt;&gt;"",COUNTIFS('Plan versions'!$A$7:$A$306,C258,'Plan versions'!$B$7:$B$306,B258,'Plan versions'!$L$7:$L$306,"Frozen")&lt;&gt;1),"Invalid plan ref",IF(OR(NOT(ISNUMBER(F258)),M258=""),"Registration info missing",IF(AND(M258="Observed",OR(K258="",AND(NOT(ISNUMBER(G258)),J258=""))),"Observation/source missing",IF(AND(ISNUMBER(G258),H258=""),"Value/unit missing",IF(AND(N258&lt;&gt;"",OR(N258=A258,COUNTIFS('Observations'!$A$7:$A$306,N258,'Observations'!$B$7:$B$306,B258,'Observations'!$M$7:$M$306,"Corrected")&lt;&gt;1)),"Correction ref to check","Valid input"))))))))</x:f>
      </x:c>
    </x:row>
    <x:row r="259" ht="25" customHeight="1">
      <x:c r="A259" s="3"/>
      <x:c r="B259" s="3"/>
      <x:c r="C259" s="3"/>
      <x:c r="D259" s="3"/>
      <x:c r="E259" s="25"/>
      <x:c r="F259" s="25"/>
      <x:c r="G259" s="22"/>
      <x:c r="H259" s="3"/>
      <x:c r="I259" s="22"/>
      <x:c r="J259" s="3"/>
      <x:c r="K259" s="3"/>
      <x:c r="L259" s="3"/>
      <x:c r="M259" s="3"/>
      <x:c r="N259" s="3"/>
      <x:c r="O259" s="3"/>
      <x:c r="P259" s="19" t="str">
        <x:f>IF(A259="","",IF(COUNTIFS('Observations'!$A$7:$A$306,A259)&lt;&gt;1,"Duplicate ID",IF(COUNTIFS('Cases overview'!$A$7:$A$306,B259)&lt;&gt;1,"Invalid case ref",IF(AND(C259&lt;&gt;"",COUNTIFS('Plan versions'!$A$7:$A$306,C259,'Plan versions'!$B$7:$B$306,B259,'Plan versions'!$L$7:$L$306,"Frozen")&lt;&gt;1),"Invalid plan ref",IF(OR(NOT(ISNUMBER(F259)),M259=""),"Registration info missing",IF(AND(M259="Observed",OR(K259="",AND(NOT(ISNUMBER(G259)),J259=""))),"Observation/source missing",IF(AND(ISNUMBER(G259),H259=""),"Value/unit missing",IF(AND(N259&lt;&gt;"",OR(N259=A259,COUNTIFS('Observations'!$A$7:$A$306,N259,'Observations'!$B$7:$B$306,B259,'Observations'!$M$7:$M$306,"Corrected")&lt;&gt;1)),"Correction ref to check","Valid input"))))))))</x:f>
      </x:c>
    </x:row>
    <x:row r="260" ht="25" customHeight="1">
      <x:c r="A260" s="3"/>
      <x:c r="B260" s="3"/>
      <x:c r="C260" s="3"/>
      <x:c r="D260" s="3"/>
      <x:c r="E260" s="25"/>
      <x:c r="F260" s="25"/>
      <x:c r="G260" s="22"/>
      <x:c r="H260" s="3"/>
      <x:c r="I260" s="22"/>
      <x:c r="J260" s="3"/>
      <x:c r="K260" s="3"/>
      <x:c r="L260" s="3"/>
      <x:c r="M260" s="3"/>
      <x:c r="N260" s="3"/>
      <x:c r="O260" s="3"/>
      <x:c r="P260" s="19" t="str">
        <x:f>IF(A260="","",IF(COUNTIFS('Observations'!$A$7:$A$306,A260)&lt;&gt;1,"Duplicate ID",IF(COUNTIFS('Cases overview'!$A$7:$A$306,B260)&lt;&gt;1,"Invalid case ref",IF(AND(C260&lt;&gt;"",COUNTIFS('Plan versions'!$A$7:$A$306,C260,'Plan versions'!$B$7:$B$306,B260,'Plan versions'!$L$7:$L$306,"Frozen")&lt;&gt;1),"Invalid plan ref",IF(OR(NOT(ISNUMBER(F260)),M260=""),"Registration info missing",IF(AND(M260="Observed",OR(K260="",AND(NOT(ISNUMBER(G260)),J260=""))),"Observation/source missing",IF(AND(ISNUMBER(G260),H260=""),"Value/unit missing",IF(AND(N260&lt;&gt;"",OR(N260=A260,COUNTIFS('Observations'!$A$7:$A$306,N260,'Observations'!$B$7:$B$306,B260,'Observations'!$M$7:$M$306,"Corrected")&lt;&gt;1)),"Correction ref to check","Valid input"))))))))</x:f>
      </x:c>
    </x:row>
    <x:row r="261" ht="25" customHeight="1">
      <x:c r="A261" s="3"/>
      <x:c r="B261" s="3"/>
      <x:c r="C261" s="3"/>
      <x:c r="D261" s="3"/>
      <x:c r="E261" s="25"/>
      <x:c r="F261" s="25"/>
      <x:c r="G261" s="22"/>
      <x:c r="H261" s="3"/>
      <x:c r="I261" s="22"/>
      <x:c r="J261" s="3"/>
      <x:c r="K261" s="3"/>
      <x:c r="L261" s="3"/>
      <x:c r="M261" s="3"/>
      <x:c r="N261" s="3"/>
      <x:c r="O261" s="3"/>
      <x:c r="P261" s="19" t="str">
        <x:f>IF(A261="","",IF(COUNTIFS('Observations'!$A$7:$A$306,A261)&lt;&gt;1,"Duplicate ID",IF(COUNTIFS('Cases overview'!$A$7:$A$306,B261)&lt;&gt;1,"Invalid case ref",IF(AND(C261&lt;&gt;"",COUNTIFS('Plan versions'!$A$7:$A$306,C261,'Plan versions'!$B$7:$B$306,B261,'Plan versions'!$L$7:$L$306,"Frozen")&lt;&gt;1),"Invalid plan ref",IF(OR(NOT(ISNUMBER(F261)),M261=""),"Registration info missing",IF(AND(M261="Observed",OR(K261="",AND(NOT(ISNUMBER(G261)),J261=""))),"Observation/source missing",IF(AND(ISNUMBER(G261),H261=""),"Value/unit missing",IF(AND(N261&lt;&gt;"",OR(N261=A261,COUNTIFS('Observations'!$A$7:$A$306,N261,'Observations'!$B$7:$B$306,B261,'Observations'!$M$7:$M$306,"Corrected")&lt;&gt;1)),"Correction ref to check","Valid input"))))))))</x:f>
      </x:c>
    </x:row>
    <x:row r="262" ht="25" customHeight="1">
      <x:c r="A262" s="3"/>
      <x:c r="B262" s="3"/>
      <x:c r="C262" s="3"/>
      <x:c r="D262" s="3"/>
      <x:c r="E262" s="25"/>
      <x:c r="F262" s="25"/>
      <x:c r="G262" s="22"/>
      <x:c r="H262" s="3"/>
      <x:c r="I262" s="22"/>
      <x:c r="J262" s="3"/>
      <x:c r="K262" s="3"/>
      <x:c r="L262" s="3"/>
      <x:c r="M262" s="3"/>
      <x:c r="N262" s="3"/>
      <x:c r="O262" s="3"/>
      <x:c r="P262" s="19" t="str">
        <x:f>IF(A262="","",IF(COUNTIFS('Observations'!$A$7:$A$306,A262)&lt;&gt;1,"Duplicate ID",IF(COUNTIFS('Cases overview'!$A$7:$A$306,B262)&lt;&gt;1,"Invalid case ref",IF(AND(C262&lt;&gt;"",COUNTIFS('Plan versions'!$A$7:$A$306,C262,'Plan versions'!$B$7:$B$306,B262,'Plan versions'!$L$7:$L$306,"Frozen")&lt;&gt;1),"Invalid plan ref",IF(OR(NOT(ISNUMBER(F262)),M262=""),"Registration info missing",IF(AND(M262="Observed",OR(K262="",AND(NOT(ISNUMBER(G262)),J262=""))),"Observation/source missing",IF(AND(ISNUMBER(G262),H262=""),"Value/unit missing",IF(AND(N262&lt;&gt;"",OR(N262=A262,COUNTIFS('Observations'!$A$7:$A$306,N262,'Observations'!$B$7:$B$306,B262,'Observations'!$M$7:$M$306,"Corrected")&lt;&gt;1)),"Correction ref to check","Valid input"))))))))</x:f>
      </x:c>
    </x:row>
    <x:row r="263" ht="25" customHeight="1">
      <x:c r="A263" s="3"/>
      <x:c r="B263" s="3"/>
      <x:c r="C263" s="3"/>
      <x:c r="D263" s="3"/>
      <x:c r="E263" s="25"/>
      <x:c r="F263" s="25"/>
      <x:c r="G263" s="22"/>
      <x:c r="H263" s="3"/>
      <x:c r="I263" s="22"/>
      <x:c r="J263" s="3"/>
      <x:c r="K263" s="3"/>
      <x:c r="L263" s="3"/>
      <x:c r="M263" s="3"/>
      <x:c r="N263" s="3"/>
      <x:c r="O263" s="3"/>
      <x:c r="P263" s="19" t="str">
        <x:f>IF(A263="","",IF(COUNTIFS('Observations'!$A$7:$A$306,A263)&lt;&gt;1,"Duplicate ID",IF(COUNTIFS('Cases overview'!$A$7:$A$306,B263)&lt;&gt;1,"Invalid case ref",IF(AND(C263&lt;&gt;"",COUNTIFS('Plan versions'!$A$7:$A$306,C263,'Plan versions'!$B$7:$B$306,B263,'Plan versions'!$L$7:$L$306,"Frozen")&lt;&gt;1),"Invalid plan ref",IF(OR(NOT(ISNUMBER(F263)),M263=""),"Registration info missing",IF(AND(M263="Observed",OR(K263="",AND(NOT(ISNUMBER(G263)),J263=""))),"Observation/source missing",IF(AND(ISNUMBER(G263),H263=""),"Value/unit missing",IF(AND(N263&lt;&gt;"",OR(N263=A263,COUNTIFS('Observations'!$A$7:$A$306,N263,'Observations'!$B$7:$B$306,B263,'Observations'!$M$7:$M$306,"Corrected")&lt;&gt;1)),"Correction ref to check","Valid input"))))))))</x:f>
      </x:c>
    </x:row>
    <x:row r="264" ht="25" customHeight="1">
      <x:c r="A264" s="3"/>
      <x:c r="B264" s="3"/>
      <x:c r="C264" s="3"/>
      <x:c r="D264" s="3"/>
      <x:c r="E264" s="25"/>
      <x:c r="F264" s="25"/>
      <x:c r="G264" s="22"/>
      <x:c r="H264" s="3"/>
      <x:c r="I264" s="22"/>
      <x:c r="J264" s="3"/>
      <x:c r="K264" s="3"/>
      <x:c r="L264" s="3"/>
      <x:c r="M264" s="3"/>
      <x:c r="N264" s="3"/>
      <x:c r="O264" s="3"/>
      <x:c r="P264" s="19" t="str">
        <x:f>IF(A264="","",IF(COUNTIFS('Observations'!$A$7:$A$306,A264)&lt;&gt;1,"Duplicate ID",IF(COUNTIFS('Cases overview'!$A$7:$A$306,B264)&lt;&gt;1,"Invalid case ref",IF(AND(C264&lt;&gt;"",COUNTIFS('Plan versions'!$A$7:$A$306,C264,'Plan versions'!$B$7:$B$306,B264,'Plan versions'!$L$7:$L$306,"Frozen")&lt;&gt;1),"Invalid plan ref",IF(OR(NOT(ISNUMBER(F264)),M264=""),"Registration info missing",IF(AND(M264="Observed",OR(K264="",AND(NOT(ISNUMBER(G264)),J264=""))),"Observation/source missing",IF(AND(ISNUMBER(G264),H264=""),"Value/unit missing",IF(AND(N264&lt;&gt;"",OR(N264=A264,COUNTIFS('Observations'!$A$7:$A$306,N264,'Observations'!$B$7:$B$306,B264,'Observations'!$M$7:$M$306,"Corrected")&lt;&gt;1)),"Correction ref to check","Valid input"))))))))</x:f>
      </x:c>
    </x:row>
    <x:row r="265" ht="25" customHeight="1">
      <x:c r="A265" s="3"/>
      <x:c r="B265" s="3"/>
      <x:c r="C265" s="3"/>
      <x:c r="D265" s="3"/>
      <x:c r="E265" s="25"/>
      <x:c r="F265" s="25"/>
      <x:c r="G265" s="22"/>
      <x:c r="H265" s="3"/>
      <x:c r="I265" s="22"/>
      <x:c r="J265" s="3"/>
      <x:c r="K265" s="3"/>
      <x:c r="L265" s="3"/>
      <x:c r="M265" s="3"/>
      <x:c r="N265" s="3"/>
      <x:c r="O265" s="3"/>
      <x:c r="P265" s="19" t="str">
        <x:f>IF(A265="","",IF(COUNTIFS('Observations'!$A$7:$A$306,A265)&lt;&gt;1,"Duplicate ID",IF(COUNTIFS('Cases overview'!$A$7:$A$306,B265)&lt;&gt;1,"Invalid case ref",IF(AND(C265&lt;&gt;"",COUNTIFS('Plan versions'!$A$7:$A$306,C265,'Plan versions'!$B$7:$B$306,B265,'Plan versions'!$L$7:$L$306,"Frozen")&lt;&gt;1),"Invalid plan ref",IF(OR(NOT(ISNUMBER(F265)),M265=""),"Registration info missing",IF(AND(M265="Observed",OR(K265="",AND(NOT(ISNUMBER(G265)),J265=""))),"Observation/source missing",IF(AND(ISNUMBER(G265),H265=""),"Value/unit missing",IF(AND(N265&lt;&gt;"",OR(N265=A265,COUNTIFS('Observations'!$A$7:$A$306,N265,'Observations'!$B$7:$B$306,B265,'Observations'!$M$7:$M$306,"Corrected")&lt;&gt;1)),"Correction ref to check","Valid input"))))))))</x:f>
      </x:c>
    </x:row>
    <x:row r="266" ht="25" customHeight="1">
      <x:c r="A266" s="3"/>
      <x:c r="B266" s="3"/>
      <x:c r="C266" s="3"/>
      <x:c r="D266" s="3"/>
      <x:c r="E266" s="25"/>
      <x:c r="F266" s="25"/>
      <x:c r="G266" s="22"/>
      <x:c r="H266" s="3"/>
      <x:c r="I266" s="22"/>
      <x:c r="J266" s="3"/>
      <x:c r="K266" s="3"/>
      <x:c r="L266" s="3"/>
      <x:c r="M266" s="3"/>
      <x:c r="N266" s="3"/>
      <x:c r="O266" s="3"/>
      <x:c r="P266" s="19" t="str">
        <x:f>IF(A266="","",IF(COUNTIFS('Observations'!$A$7:$A$306,A266)&lt;&gt;1,"Duplicate ID",IF(COUNTIFS('Cases overview'!$A$7:$A$306,B266)&lt;&gt;1,"Invalid case ref",IF(AND(C266&lt;&gt;"",COUNTIFS('Plan versions'!$A$7:$A$306,C266,'Plan versions'!$B$7:$B$306,B266,'Plan versions'!$L$7:$L$306,"Frozen")&lt;&gt;1),"Invalid plan ref",IF(OR(NOT(ISNUMBER(F266)),M266=""),"Registration info missing",IF(AND(M266="Observed",OR(K266="",AND(NOT(ISNUMBER(G266)),J266=""))),"Observation/source missing",IF(AND(ISNUMBER(G266),H266=""),"Value/unit missing",IF(AND(N266&lt;&gt;"",OR(N266=A266,COUNTIFS('Observations'!$A$7:$A$306,N266,'Observations'!$B$7:$B$306,B266,'Observations'!$M$7:$M$306,"Corrected")&lt;&gt;1)),"Correction ref to check","Valid input"))))))))</x:f>
      </x:c>
    </x:row>
    <x:row r="267" ht="25" customHeight="1">
      <x:c r="A267" s="3"/>
      <x:c r="B267" s="3"/>
      <x:c r="C267" s="3"/>
      <x:c r="D267" s="3"/>
      <x:c r="E267" s="25"/>
      <x:c r="F267" s="25"/>
      <x:c r="G267" s="22"/>
      <x:c r="H267" s="3"/>
      <x:c r="I267" s="22"/>
      <x:c r="J267" s="3"/>
      <x:c r="K267" s="3"/>
      <x:c r="L267" s="3"/>
      <x:c r="M267" s="3"/>
      <x:c r="N267" s="3"/>
      <x:c r="O267" s="3"/>
      <x:c r="P267" s="19" t="str">
        <x:f>IF(A267="","",IF(COUNTIFS('Observations'!$A$7:$A$306,A267)&lt;&gt;1,"Duplicate ID",IF(COUNTIFS('Cases overview'!$A$7:$A$306,B267)&lt;&gt;1,"Invalid case ref",IF(AND(C267&lt;&gt;"",COUNTIFS('Plan versions'!$A$7:$A$306,C267,'Plan versions'!$B$7:$B$306,B267,'Plan versions'!$L$7:$L$306,"Frozen")&lt;&gt;1),"Invalid plan ref",IF(OR(NOT(ISNUMBER(F267)),M267=""),"Registration info missing",IF(AND(M267="Observed",OR(K267="",AND(NOT(ISNUMBER(G267)),J267=""))),"Observation/source missing",IF(AND(ISNUMBER(G267),H267=""),"Value/unit missing",IF(AND(N267&lt;&gt;"",OR(N267=A267,COUNTIFS('Observations'!$A$7:$A$306,N267,'Observations'!$B$7:$B$306,B267,'Observations'!$M$7:$M$306,"Corrected")&lt;&gt;1)),"Correction ref to check","Valid input"))))))))</x:f>
      </x:c>
    </x:row>
    <x:row r="268" ht="25" customHeight="1">
      <x:c r="A268" s="3"/>
      <x:c r="B268" s="3"/>
      <x:c r="C268" s="3"/>
      <x:c r="D268" s="3"/>
      <x:c r="E268" s="25"/>
      <x:c r="F268" s="25"/>
      <x:c r="G268" s="22"/>
      <x:c r="H268" s="3"/>
      <x:c r="I268" s="22"/>
      <x:c r="J268" s="3"/>
      <x:c r="K268" s="3"/>
      <x:c r="L268" s="3"/>
      <x:c r="M268" s="3"/>
      <x:c r="N268" s="3"/>
      <x:c r="O268" s="3"/>
      <x:c r="P268" s="19" t="str">
        <x:f>IF(A268="","",IF(COUNTIFS('Observations'!$A$7:$A$306,A268)&lt;&gt;1,"Duplicate ID",IF(COUNTIFS('Cases overview'!$A$7:$A$306,B268)&lt;&gt;1,"Invalid case ref",IF(AND(C268&lt;&gt;"",COUNTIFS('Plan versions'!$A$7:$A$306,C268,'Plan versions'!$B$7:$B$306,B268,'Plan versions'!$L$7:$L$306,"Frozen")&lt;&gt;1),"Invalid plan ref",IF(OR(NOT(ISNUMBER(F268)),M268=""),"Registration info missing",IF(AND(M268="Observed",OR(K268="",AND(NOT(ISNUMBER(G268)),J268=""))),"Observation/source missing",IF(AND(ISNUMBER(G268),H268=""),"Value/unit missing",IF(AND(N268&lt;&gt;"",OR(N268=A268,COUNTIFS('Observations'!$A$7:$A$306,N268,'Observations'!$B$7:$B$306,B268,'Observations'!$M$7:$M$306,"Corrected")&lt;&gt;1)),"Correction ref to check","Valid input"))))))))</x:f>
      </x:c>
    </x:row>
    <x:row r="269" ht="25" customHeight="1">
      <x:c r="A269" s="3"/>
      <x:c r="B269" s="3"/>
      <x:c r="C269" s="3"/>
      <x:c r="D269" s="3"/>
      <x:c r="E269" s="25"/>
      <x:c r="F269" s="25"/>
      <x:c r="G269" s="22"/>
      <x:c r="H269" s="3"/>
      <x:c r="I269" s="22"/>
      <x:c r="J269" s="3"/>
      <x:c r="K269" s="3"/>
      <x:c r="L269" s="3"/>
      <x:c r="M269" s="3"/>
      <x:c r="N269" s="3"/>
      <x:c r="O269" s="3"/>
      <x:c r="P269" s="19" t="str">
        <x:f>IF(A269="","",IF(COUNTIFS('Observations'!$A$7:$A$306,A269)&lt;&gt;1,"Duplicate ID",IF(COUNTIFS('Cases overview'!$A$7:$A$306,B269)&lt;&gt;1,"Invalid case ref",IF(AND(C269&lt;&gt;"",COUNTIFS('Plan versions'!$A$7:$A$306,C269,'Plan versions'!$B$7:$B$306,B269,'Plan versions'!$L$7:$L$306,"Frozen")&lt;&gt;1),"Invalid plan ref",IF(OR(NOT(ISNUMBER(F269)),M269=""),"Registration info missing",IF(AND(M269="Observed",OR(K269="",AND(NOT(ISNUMBER(G269)),J269=""))),"Observation/source missing",IF(AND(ISNUMBER(G269),H269=""),"Value/unit missing",IF(AND(N269&lt;&gt;"",OR(N269=A269,COUNTIFS('Observations'!$A$7:$A$306,N269,'Observations'!$B$7:$B$306,B269,'Observations'!$M$7:$M$306,"Corrected")&lt;&gt;1)),"Correction ref to check","Valid input"))))))))</x:f>
      </x:c>
    </x:row>
    <x:row r="270" ht="25" customHeight="1">
      <x:c r="A270" s="3"/>
      <x:c r="B270" s="3"/>
      <x:c r="C270" s="3"/>
      <x:c r="D270" s="3"/>
      <x:c r="E270" s="25"/>
      <x:c r="F270" s="25"/>
      <x:c r="G270" s="22"/>
      <x:c r="H270" s="3"/>
      <x:c r="I270" s="22"/>
      <x:c r="J270" s="3"/>
      <x:c r="K270" s="3"/>
      <x:c r="L270" s="3"/>
      <x:c r="M270" s="3"/>
      <x:c r="N270" s="3"/>
      <x:c r="O270" s="3"/>
      <x:c r="P270" s="19" t="str">
        <x:f>IF(A270="","",IF(COUNTIFS('Observations'!$A$7:$A$306,A270)&lt;&gt;1,"Duplicate ID",IF(COUNTIFS('Cases overview'!$A$7:$A$306,B270)&lt;&gt;1,"Invalid case ref",IF(AND(C270&lt;&gt;"",COUNTIFS('Plan versions'!$A$7:$A$306,C270,'Plan versions'!$B$7:$B$306,B270,'Plan versions'!$L$7:$L$306,"Frozen")&lt;&gt;1),"Invalid plan ref",IF(OR(NOT(ISNUMBER(F270)),M270=""),"Registration info missing",IF(AND(M270="Observed",OR(K270="",AND(NOT(ISNUMBER(G270)),J270=""))),"Observation/source missing",IF(AND(ISNUMBER(G270),H270=""),"Value/unit missing",IF(AND(N270&lt;&gt;"",OR(N270=A270,COUNTIFS('Observations'!$A$7:$A$306,N270,'Observations'!$B$7:$B$306,B270,'Observations'!$M$7:$M$306,"Corrected")&lt;&gt;1)),"Correction ref to check","Valid input"))))))))</x:f>
      </x:c>
    </x:row>
    <x:row r="271" ht="25" customHeight="1">
      <x:c r="A271" s="3"/>
      <x:c r="B271" s="3"/>
      <x:c r="C271" s="3"/>
      <x:c r="D271" s="3"/>
      <x:c r="E271" s="25"/>
      <x:c r="F271" s="25"/>
      <x:c r="G271" s="22"/>
      <x:c r="H271" s="3"/>
      <x:c r="I271" s="22"/>
      <x:c r="J271" s="3"/>
      <x:c r="K271" s="3"/>
      <x:c r="L271" s="3"/>
      <x:c r="M271" s="3"/>
      <x:c r="N271" s="3"/>
      <x:c r="O271" s="3"/>
      <x:c r="P271" s="19" t="str">
        <x:f>IF(A271="","",IF(COUNTIFS('Observations'!$A$7:$A$306,A271)&lt;&gt;1,"Duplicate ID",IF(COUNTIFS('Cases overview'!$A$7:$A$306,B271)&lt;&gt;1,"Invalid case ref",IF(AND(C271&lt;&gt;"",COUNTIFS('Plan versions'!$A$7:$A$306,C271,'Plan versions'!$B$7:$B$306,B271,'Plan versions'!$L$7:$L$306,"Frozen")&lt;&gt;1),"Invalid plan ref",IF(OR(NOT(ISNUMBER(F271)),M271=""),"Registration info missing",IF(AND(M271="Observed",OR(K271="",AND(NOT(ISNUMBER(G271)),J271=""))),"Observation/source missing",IF(AND(ISNUMBER(G271),H271=""),"Value/unit missing",IF(AND(N271&lt;&gt;"",OR(N271=A271,COUNTIFS('Observations'!$A$7:$A$306,N271,'Observations'!$B$7:$B$306,B271,'Observations'!$M$7:$M$306,"Corrected")&lt;&gt;1)),"Correction ref to check","Valid input"))))))))</x:f>
      </x:c>
    </x:row>
    <x:row r="272" ht="25" customHeight="1">
      <x:c r="A272" s="3"/>
      <x:c r="B272" s="3"/>
      <x:c r="C272" s="3"/>
      <x:c r="D272" s="3"/>
      <x:c r="E272" s="25"/>
      <x:c r="F272" s="25"/>
      <x:c r="G272" s="22"/>
      <x:c r="H272" s="3"/>
      <x:c r="I272" s="22"/>
      <x:c r="J272" s="3"/>
      <x:c r="K272" s="3"/>
      <x:c r="L272" s="3"/>
      <x:c r="M272" s="3"/>
      <x:c r="N272" s="3"/>
      <x:c r="O272" s="3"/>
      <x:c r="P272" s="19" t="str">
        <x:f>IF(A272="","",IF(COUNTIFS('Observations'!$A$7:$A$306,A272)&lt;&gt;1,"Duplicate ID",IF(COUNTIFS('Cases overview'!$A$7:$A$306,B272)&lt;&gt;1,"Invalid case ref",IF(AND(C272&lt;&gt;"",COUNTIFS('Plan versions'!$A$7:$A$306,C272,'Plan versions'!$B$7:$B$306,B272,'Plan versions'!$L$7:$L$306,"Frozen")&lt;&gt;1),"Invalid plan ref",IF(OR(NOT(ISNUMBER(F272)),M272=""),"Registration info missing",IF(AND(M272="Observed",OR(K272="",AND(NOT(ISNUMBER(G272)),J272=""))),"Observation/source missing",IF(AND(ISNUMBER(G272),H272=""),"Value/unit missing",IF(AND(N272&lt;&gt;"",OR(N272=A272,COUNTIFS('Observations'!$A$7:$A$306,N272,'Observations'!$B$7:$B$306,B272,'Observations'!$M$7:$M$306,"Corrected")&lt;&gt;1)),"Correction ref to check","Valid input"))))))))</x:f>
      </x:c>
    </x:row>
    <x:row r="273" ht="25" customHeight="1">
      <x:c r="A273" s="3"/>
      <x:c r="B273" s="3"/>
      <x:c r="C273" s="3"/>
      <x:c r="D273" s="3"/>
      <x:c r="E273" s="25"/>
      <x:c r="F273" s="25"/>
      <x:c r="G273" s="22"/>
      <x:c r="H273" s="3"/>
      <x:c r="I273" s="22"/>
      <x:c r="J273" s="3"/>
      <x:c r="K273" s="3"/>
      <x:c r="L273" s="3"/>
      <x:c r="M273" s="3"/>
      <x:c r="N273" s="3"/>
      <x:c r="O273" s="3"/>
      <x:c r="P273" s="19" t="str">
        <x:f>IF(A273="","",IF(COUNTIFS('Observations'!$A$7:$A$306,A273)&lt;&gt;1,"Duplicate ID",IF(COUNTIFS('Cases overview'!$A$7:$A$306,B273)&lt;&gt;1,"Invalid case ref",IF(AND(C273&lt;&gt;"",COUNTIFS('Plan versions'!$A$7:$A$306,C273,'Plan versions'!$B$7:$B$306,B273,'Plan versions'!$L$7:$L$306,"Frozen")&lt;&gt;1),"Invalid plan ref",IF(OR(NOT(ISNUMBER(F273)),M273=""),"Registration info missing",IF(AND(M273="Observed",OR(K273="",AND(NOT(ISNUMBER(G273)),J273=""))),"Observation/source missing",IF(AND(ISNUMBER(G273),H273=""),"Value/unit missing",IF(AND(N273&lt;&gt;"",OR(N273=A273,COUNTIFS('Observations'!$A$7:$A$306,N273,'Observations'!$B$7:$B$306,B273,'Observations'!$M$7:$M$306,"Corrected")&lt;&gt;1)),"Correction ref to check","Valid input"))))))))</x:f>
      </x:c>
    </x:row>
    <x:row r="274" ht="25" customHeight="1">
      <x:c r="A274" s="3"/>
      <x:c r="B274" s="3"/>
      <x:c r="C274" s="3"/>
      <x:c r="D274" s="3"/>
      <x:c r="E274" s="25"/>
      <x:c r="F274" s="25"/>
      <x:c r="G274" s="22"/>
      <x:c r="H274" s="3"/>
      <x:c r="I274" s="22"/>
      <x:c r="J274" s="3"/>
      <x:c r="K274" s="3"/>
      <x:c r="L274" s="3"/>
      <x:c r="M274" s="3"/>
      <x:c r="N274" s="3"/>
      <x:c r="O274" s="3"/>
      <x:c r="P274" s="19" t="str">
        <x:f>IF(A274="","",IF(COUNTIFS('Observations'!$A$7:$A$306,A274)&lt;&gt;1,"Duplicate ID",IF(COUNTIFS('Cases overview'!$A$7:$A$306,B274)&lt;&gt;1,"Invalid case ref",IF(AND(C274&lt;&gt;"",COUNTIFS('Plan versions'!$A$7:$A$306,C274,'Plan versions'!$B$7:$B$306,B274,'Plan versions'!$L$7:$L$306,"Frozen")&lt;&gt;1),"Invalid plan ref",IF(OR(NOT(ISNUMBER(F274)),M274=""),"Registration info missing",IF(AND(M274="Observed",OR(K274="",AND(NOT(ISNUMBER(G274)),J274=""))),"Observation/source missing",IF(AND(ISNUMBER(G274),H274=""),"Value/unit missing",IF(AND(N274&lt;&gt;"",OR(N274=A274,COUNTIFS('Observations'!$A$7:$A$306,N274,'Observations'!$B$7:$B$306,B274,'Observations'!$M$7:$M$306,"Corrected")&lt;&gt;1)),"Correction ref to check","Valid input"))))))))</x:f>
      </x:c>
    </x:row>
    <x:row r="275" ht="25" customHeight="1">
      <x:c r="A275" s="3"/>
      <x:c r="B275" s="3"/>
      <x:c r="C275" s="3"/>
      <x:c r="D275" s="3"/>
      <x:c r="E275" s="25"/>
      <x:c r="F275" s="25"/>
      <x:c r="G275" s="22"/>
      <x:c r="H275" s="3"/>
      <x:c r="I275" s="22"/>
      <x:c r="J275" s="3"/>
      <x:c r="K275" s="3"/>
      <x:c r="L275" s="3"/>
      <x:c r="M275" s="3"/>
      <x:c r="N275" s="3"/>
      <x:c r="O275" s="3"/>
      <x:c r="P275" s="19" t="str">
        <x:f>IF(A275="","",IF(COUNTIFS('Observations'!$A$7:$A$306,A275)&lt;&gt;1,"Duplicate ID",IF(COUNTIFS('Cases overview'!$A$7:$A$306,B275)&lt;&gt;1,"Invalid case ref",IF(AND(C275&lt;&gt;"",COUNTIFS('Plan versions'!$A$7:$A$306,C275,'Plan versions'!$B$7:$B$306,B275,'Plan versions'!$L$7:$L$306,"Frozen")&lt;&gt;1),"Invalid plan ref",IF(OR(NOT(ISNUMBER(F275)),M275=""),"Registration info missing",IF(AND(M275="Observed",OR(K275="",AND(NOT(ISNUMBER(G275)),J275=""))),"Observation/source missing",IF(AND(ISNUMBER(G275),H275=""),"Value/unit missing",IF(AND(N275&lt;&gt;"",OR(N275=A275,COUNTIFS('Observations'!$A$7:$A$306,N275,'Observations'!$B$7:$B$306,B275,'Observations'!$M$7:$M$306,"Corrected")&lt;&gt;1)),"Correction ref to check","Valid input"))))))))</x:f>
      </x:c>
    </x:row>
    <x:row r="276" ht="25" customHeight="1">
      <x:c r="A276" s="3"/>
      <x:c r="B276" s="3"/>
      <x:c r="C276" s="3"/>
      <x:c r="D276" s="3"/>
      <x:c r="E276" s="25"/>
      <x:c r="F276" s="25"/>
      <x:c r="G276" s="22"/>
      <x:c r="H276" s="3"/>
      <x:c r="I276" s="22"/>
      <x:c r="J276" s="3"/>
      <x:c r="K276" s="3"/>
      <x:c r="L276" s="3"/>
      <x:c r="M276" s="3"/>
      <x:c r="N276" s="3"/>
      <x:c r="O276" s="3"/>
      <x:c r="P276" s="19" t="str">
        <x:f>IF(A276="","",IF(COUNTIFS('Observations'!$A$7:$A$306,A276)&lt;&gt;1,"Duplicate ID",IF(COUNTIFS('Cases overview'!$A$7:$A$306,B276)&lt;&gt;1,"Invalid case ref",IF(AND(C276&lt;&gt;"",COUNTIFS('Plan versions'!$A$7:$A$306,C276,'Plan versions'!$B$7:$B$306,B276,'Plan versions'!$L$7:$L$306,"Frozen")&lt;&gt;1),"Invalid plan ref",IF(OR(NOT(ISNUMBER(F276)),M276=""),"Registration info missing",IF(AND(M276="Observed",OR(K276="",AND(NOT(ISNUMBER(G276)),J276=""))),"Observation/source missing",IF(AND(ISNUMBER(G276),H276=""),"Value/unit missing",IF(AND(N276&lt;&gt;"",OR(N276=A276,COUNTIFS('Observations'!$A$7:$A$306,N276,'Observations'!$B$7:$B$306,B276,'Observations'!$M$7:$M$306,"Corrected")&lt;&gt;1)),"Correction ref to check","Valid input"))))))))</x:f>
      </x:c>
    </x:row>
    <x:row r="277" ht="25" customHeight="1">
      <x:c r="A277" s="3"/>
      <x:c r="B277" s="3"/>
      <x:c r="C277" s="3"/>
      <x:c r="D277" s="3"/>
      <x:c r="E277" s="25"/>
      <x:c r="F277" s="25"/>
      <x:c r="G277" s="22"/>
      <x:c r="H277" s="3"/>
      <x:c r="I277" s="22"/>
      <x:c r="J277" s="3"/>
      <x:c r="K277" s="3"/>
      <x:c r="L277" s="3"/>
      <x:c r="M277" s="3"/>
      <x:c r="N277" s="3"/>
      <x:c r="O277" s="3"/>
      <x:c r="P277" s="19" t="str">
        <x:f>IF(A277="","",IF(COUNTIFS('Observations'!$A$7:$A$306,A277)&lt;&gt;1,"Duplicate ID",IF(COUNTIFS('Cases overview'!$A$7:$A$306,B277)&lt;&gt;1,"Invalid case ref",IF(AND(C277&lt;&gt;"",COUNTIFS('Plan versions'!$A$7:$A$306,C277,'Plan versions'!$B$7:$B$306,B277,'Plan versions'!$L$7:$L$306,"Frozen")&lt;&gt;1),"Invalid plan ref",IF(OR(NOT(ISNUMBER(F277)),M277=""),"Registration info missing",IF(AND(M277="Observed",OR(K277="",AND(NOT(ISNUMBER(G277)),J277=""))),"Observation/source missing",IF(AND(ISNUMBER(G277),H277=""),"Value/unit missing",IF(AND(N277&lt;&gt;"",OR(N277=A277,COUNTIFS('Observations'!$A$7:$A$306,N277,'Observations'!$B$7:$B$306,B277,'Observations'!$M$7:$M$306,"Corrected")&lt;&gt;1)),"Correction ref to check","Valid input"))))))))</x:f>
      </x:c>
    </x:row>
    <x:row r="278" ht="25" customHeight="1">
      <x:c r="A278" s="3"/>
      <x:c r="B278" s="3"/>
      <x:c r="C278" s="3"/>
      <x:c r="D278" s="3"/>
      <x:c r="E278" s="25"/>
      <x:c r="F278" s="25"/>
      <x:c r="G278" s="22"/>
      <x:c r="H278" s="3"/>
      <x:c r="I278" s="22"/>
      <x:c r="J278" s="3"/>
      <x:c r="K278" s="3"/>
      <x:c r="L278" s="3"/>
      <x:c r="M278" s="3"/>
      <x:c r="N278" s="3"/>
      <x:c r="O278" s="3"/>
      <x:c r="P278" s="19" t="str">
        <x:f>IF(A278="","",IF(COUNTIFS('Observations'!$A$7:$A$306,A278)&lt;&gt;1,"Duplicate ID",IF(COUNTIFS('Cases overview'!$A$7:$A$306,B278)&lt;&gt;1,"Invalid case ref",IF(AND(C278&lt;&gt;"",COUNTIFS('Plan versions'!$A$7:$A$306,C278,'Plan versions'!$B$7:$B$306,B278,'Plan versions'!$L$7:$L$306,"Frozen")&lt;&gt;1),"Invalid plan ref",IF(OR(NOT(ISNUMBER(F278)),M278=""),"Registration info missing",IF(AND(M278="Observed",OR(K278="",AND(NOT(ISNUMBER(G278)),J278=""))),"Observation/source missing",IF(AND(ISNUMBER(G278),H278=""),"Value/unit missing",IF(AND(N278&lt;&gt;"",OR(N278=A278,COUNTIFS('Observations'!$A$7:$A$306,N278,'Observations'!$B$7:$B$306,B278,'Observations'!$M$7:$M$306,"Corrected")&lt;&gt;1)),"Correction ref to check","Valid input"))))))))</x:f>
      </x:c>
    </x:row>
    <x:row r="279" ht="25" customHeight="1">
      <x:c r="A279" s="3"/>
      <x:c r="B279" s="3"/>
      <x:c r="C279" s="3"/>
      <x:c r="D279" s="3"/>
      <x:c r="E279" s="25"/>
      <x:c r="F279" s="25"/>
      <x:c r="G279" s="22"/>
      <x:c r="H279" s="3"/>
      <x:c r="I279" s="22"/>
      <x:c r="J279" s="3"/>
      <x:c r="K279" s="3"/>
      <x:c r="L279" s="3"/>
      <x:c r="M279" s="3"/>
      <x:c r="N279" s="3"/>
      <x:c r="O279" s="3"/>
      <x:c r="P279" s="19" t="str">
        <x:f>IF(A279="","",IF(COUNTIFS('Observations'!$A$7:$A$306,A279)&lt;&gt;1,"Duplicate ID",IF(COUNTIFS('Cases overview'!$A$7:$A$306,B279)&lt;&gt;1,"Invalid case ref",IF(AND(C279&lt;&gt;"",COUNTIFS('Plan versions'!$A$7:$A$306,C279,'Plan versions'!$B$7:$B$306,B279,'Plan versions'!$L$7:$L$306,"Frozen")&lt;&gt;1),"Invalid plan ref",IF(OR(NOT(ISNUMBER(F279)),M279=""),"Registration info missing",IF(AND(M279="Observed",OR(K279="",AND(NOT(ISNUMBER(G279)),J279=""))),"Observation/source missing",IF(AND(ISNUMBER(G279),H279=""),"Value/unit missing",IF(AND(N279&lt;&gt;"",OR(N279=A279,COUNTIFS('Observations'!$A$7:$A$306,N279,'Observations'!$B$7:$B$306,B279,'Observations'!$M$7:$M$306,"Corrected")&lt;&gt;1)),"Correction ref to check","Valid input"))))))))</x:f>
      </x:c>
    </x:row>
    <x:row r="280" ht="25" customHeight="1">
      <x:c r="A280" s="3"/>
      <x:c r="B280" s="3"/>
      <x:c r="C280" s="3"/>
      <x:c r="D280" s="3"/>
      <x:c r="E280" s="25"/>
      <x:c r="F280" s="25"/>
      <x:c r="G280" s="22"/>
      <x:c r="H280" s="3"/>
      <x:c r="I280" s="22"/>
      <x:c r="J280" s="3"/>
      <x:c r="K280" s="3"/>
      <x:c r="L280" s="3"/>
      <x:c r="M280" s="3"/>
      <x:c r="N280" s="3"/>
      <x:c r="O280" s="3"/>
      <x:c r="P280" s="19" t="str">
        <x:f>IF(A280="","",IF(COUNTIFS('Observations'!$A$7:$A$306,A280)&lt;&gt;1,"Duplicate ID",IF(COUNTIFS('Cases overview'!$A$7:$A$306,B280)&lt;&gt;1,"Invalid case ref",IF(AND(C280&lt;&gt;"",COUNTIFS('Plan versions'!$A$7:$A$306,C280,'Plan versions'!$B$7:$B$306,B280,'Plan versions'!$L$7:$L$306,"Frozen")&lt;&gt;1),"Invalid plan ref",IF(OR(NOT(ISNUMBER(F280)),M280=""),"Registration info missing",IF(AND(M280="Observed",OR(K280="",AND(NOT(ISNUMBER(G280)),J280=""))),"Observation/source missing",IF(AND(ISNUMBER(G280),H280=""),"Value/unit missing",IF(AND(N280&lt;&gt;"",OR(N280=A280,COUNTIFS('Observations'!$A$7:$A$306,N280,'Observations'!$B$7:$B$306,B280,'Observations'!$M$7:$M$306,"Corrected")&lt;&gt;1)),"Correction ref to check","Valid input"))))))))</x:f>
      </x:c>
    </x:row>
    <x:row r="281" ht="25" customHeight="1">
      <x:c r="A281" s="3"/>
      <x:c r="B281" s="3"/>
      <x:c r="C281" s="3"/>
      <x:c r="D281" s="3"/>
      <x:c r="E281" s="25"/>
      <x:c r="F281" s="25"/>
      <x:c r="G281" s="22"/>
      <x:c r="H281" s="3"/>
      <x:c r="I281" s="22"/>
      <x:c r="J281" s="3"/>
      <x:c r="K281" s="3"/>
      <x:c r="L281" s="3"/>
      <x:c r="M281" s="3"/>
      <x:c r="N281" s="3"/>
      <x:c r="O281" s="3"/>
      <x:c r="P281" s="19" t="str">
        <x:f>IF(A281="","",IF(COUNTIFS('Observations'!$A$7:$A$306,A281)&lt;&gt;1,"Duplicate ID",IF(COUNTIFS('Cases overview'!$A$7:$A$306,B281)&lt;&gt;1,"Invalid case ref",IF(AND(C281&lt;&gt;"",COUNTIFS('Plan versions'!$A$7:$A$306,C281,'Plan versions'!$B$7:$B$306,B281,'Plan versions'!$L$7:$L$306,"Frozen")&lt;&gt;1),"Invalid plan ref",IF(OR(NOT(ISNUMBER(F281)),M281=""),"Registration info missing",IF(AND(M281="Observed",OR(K281="",AND(NOT(ISNUMBER(G281)),J281=""))),"Observation/source missing",IF(AND(ISNUMBER(G281),H281=""),"Value/unit missing",IF(AND(N281&lt;&gt;"",OR(N281=A281,COUNTIFS('Observations'!$A$7:$A$306,N281,'Observations'!$B$7:$B$306,B281,'Observations'!$M$7:$M$306,"Corrected")&lt;&gt;1)),"Correction ref to check","Valid input"))))))))</x:f>
      </x:c>
    </x:row>
    <x:row r="282" ht="25" customHeight="1">
      <x:c r="A282" s="3"/>
      <x:c r="B282" s="3"/>
      <x:c r="C282" s="3"/>
      <x:c r="D282" s="3"/>
      <x:c r="E282" s="25"/>
      <x:c r="F282" s="25"/>
      <x:c r="G282" s="22"/>
      <x:c r="H282" s="3"/>
      <x:c r="I282" s="22"/>
      <x:c r="J282" s="3"/>
      <x:c r="K282" s="3"/>
      <x:c r="L282" s="3"/>
      <x:c r="M282" s="3"/>
      <x:c r="N282" s="3"/>
      <x:c r="O282" s="3"/>
      <x:c r="P282" s="19" t="str">
        <x:f>IF(A282="","",IF(COUNTIFS('Observations'!$A$7:$A$306,A282)&lt;&gt;1,"Duplicate ID",IF(COUNTIFS('Cases overview'!$A$7:$A$306,B282)&lt;&gt;1,"Invalid case ref",IF(AND(C282&lt;&gt;"",COUNTIFS('Plan versions'!$A$7:$A$306,C282,'Plan versions'!$B$7:$B$306,B282,'Plan versions'!$L$7:$L$306,"Frozen")&lt;&gt;1),"Invalid plan ref",IF(OR(NOT(ISNUMBER(F282)),M282=""),"Registration info missing",IF(AND(M282="Observed",OR(K282="",AND(NOT(ISNUMBER(G282)),J282=""))),"Observation/source missing",IF(AND(ISNUMBER(G282),H282=""),"Value/unit missing",IF(AND(N282&lt;&gt;"",OR(N282=A282,COUNTIFS('Observations'!$A$7:$A$306,N282,'Observations'!$B$7:$B$306,B282,'Observations'!$M$7:$M$306,"Corrected")&lt;&gt;1)),"Correction ref to check","Valid input"))))))))</x:f>
      </x:c>
    </x:row>
    <x:row r="283" ht="25" customHeight="1">
      <x:c r="A283" s="3"/>
      <x:c r="B283" s="3"/>
      <x:c r="C283" s="3"/>
      <x:c r="D283" s="3"/>
      <x:c r="E283" s="25"/>
      <x:c r="F283" s="25"/>
      <x:c r="G283" s="22"/>
      <x:c r="H283" s="3"/>
      <x:c r="I283" s="22"/>
      <x:c r="J283" s="3"/>
      <x:c r="K283" s="3"/>
      <x:c r="L283" s="3"/>
      <x:c r="M283" s="3"/>
      <x:c r="N283" s="3"/>
      <x:c r="O283" s="3"/>
      <x:c r="P283" s="19" t="str">
        <x:f>IF(A283="","",IF(COUNTIFS('Observations'!$A$7:$A$306,A283)&lt;&gt;1,"Duplicate ID",IF(COUNTIFS('Cases overview'!$A$7:$A$306,B283)&lt;&gt;1,"Invalid case ref",IF(AND(C283&lt;&gt;"",COUNTIFS('Plan versions'!$A$7:$A$306,C283,'Plan versions'!$B$7:$B$306,B283,'Plan versions'!$L$7:$L$306,"Frozen")&lt;&gt;1),"Invalid plan ref",IF(OR(NOT(ISNUMBER(F283)),M283=""),"Registration info missing",IF(AND(M283="Observed",OR(K283="",AND(NOT(ISNUMBER(G283)),J283=""))),"Observation/source missing",IF(AND(ISNUMBER(G283),H283=""),"Value/unit missing",IF(AND(N283&lt;&gt;"",OR(N283=A283,COUNTIFS('Observations'!$A$7:$A$306,N283,'Observations'!$B$7:$B$306,B283,'Observations'!$M$7:$M$306,"Corrected")&lt;&gt;1)),"Correction ref to check","Valid input"))))))))</x:f>
      </x:c>
    </x:row>
    <x:row r="284" ht="25" customHeight="1">
      <x:c r="A284" s="3"/>
      <x:c r="B284" s="3"/>
      <x:c r="C284" s="3"/>
      <x:c r="D284" s="3"/>
      <x:c r="E284" s="25"/>
      <x:c r="F284" s="25"/>
      <x:c r="G284" s="22"/>
      <x:c r="H284" s="3"/>
      <x:c r="I284" s="22"/>
      <x:c r="J284" s="3"/>
      <x:c r="K284" s="3"/>
      <x:c r="L284" s="3"/>
      <x:c r="M284" s="3"/>
      <x:c r="N284" s="3"/>
      <x:c r="O284" s="3"/>
      <x:c r="P284" s="19" t="str">
        <x:f>IF(A284="","",IF(COUNTIFS('Observations'!$A$7:$A$306,A284)&lt;&gt;1,"Duplicate ID",IF(COUNTIFS('Cases overview'!$A$7:$A$306,B284)&lt;&gt;1,"Invalid case ref",IF(AND(C284&lt;&gt;"",COUNTIFS('Plan versions'!$A$7:$A$306,C284,'Plan versions'!$B$7:$B$306,B284,'Plan versions'!$L$7:$L$306,"Frozen")&lt;&gt;1),"Invalid plan ref",IF(OR(NOT(ISNUMBER(F284)),M284=""),"Registration info missing",IF(AND(M284="Observed",OR(K284="",AND(NOT(ISNUMBER(G284)),J284=""))),"Observation/source missing",IF(AND(ISNUMBER(G284),H284=""),"Value/unit missing",IF(AND(N284&lt;&gt;"",OR(N284=A284,COUNTIFS('Observations'!$A$7:$A$306,N284,'Observations'!$B$7:$B$306,B284,'Observations'!$M$7:$M$306,"Corrected")&lt;&gt;1)),"Correction ref to check","Valid input"))))))))</x:f>
      </x:c>
    </x:row>
    <x:row r="285" ht="25" customHeight="1">
      <x:c r="A285" s="3"/>
      <x:c r="B285" s="3"/>
      <x:c r="C285" s="3"/>
      <x:c r="D285" s="3"/>
      <x:c r="E285" s="25"/>
      <x:c r="F285" s="25"/>
      <x:c r="G285" s="22"/>
      <x:c r="H285" s="3"/>
      <x:c r="I285" s="22"/>
      <x:c r="J285" s="3"/>
      <x:c r="K285" s="3"/>
      <x:c r="L285" s="3"/>
      <x:c r="M285" s="3"/>
      <x:c r="N285" s="3"/>
      <x:c r="O285" s="3"/>
      <x:c r="P285" s="19" t="str">
        <x:f>IF(A285="","",IF(COUNTIFS('Observations'!$A$7:$A$306,A285)&lt;&gt;1,"Duplicate ID",IF(COUNTIFS('Cases overview'!$A$7:$A$306,B285)&lt;&gt;1,"Invalid case ref",IF(AND(C285&lt;&gt;"",COUNTIFS('Plan versions'!$A$7:$A$306,C285,'Plan versions'!$B$7:$B$306,B285,'Plan versions'!$L$7:$L$306,"Frozen")&lt;&gt;1),"Invalid plan ref",IF(OR(NOT(ISNUMBER(F285)),M285=""),"Registration info missing",IF(AND(M285="Observed",OR(K285="",AND(NOT(ISNUMBER(G285)),J285=""))),"Observation/source missing",IF(AND(ISNUMBER(G285),H285=""),"Value/unit missing",IF(AND(N285&lt;&gt;"",OR(N285=A285,COUNTIFS('Observations'!$A$7:$A$306,N285,'Observations'!$B$7:$B$306,B285,'Observations'!$M$7:$M$306,"Corrected")&lt;&gt;1)),"Correction ref to check","Valid input"))))))))</x:f>
      </x:c>
    </x:row>
    <x:row r="286" ht="25" customHeight="1">
      <x:c r="A286" s="3"/>
      <x:c r="B286" s="3"/>
      <x:c r="C286" s="3"/>
      <x:c r="D286" s="3"/>
      <x:c r="E286" s="25"/>
      <x:c r="F286" s="25"/>
      <x:c r="G286" s="22"/>
      <x:c r="H286" s="3"/>
      <x:c r="I286" s="22"/>
      <x:c r="J286" s="3"/>
      <x:c r="K286" s="3"/>
      <x:c r="L286" s="3"/>
      <x:c r="M286" s="3"/>
      <x:c r="N286" s="3"/>
      <x:c r="O286" s="3"/>
      <x:c r="P286" s="19" t="str">
        <x:f>IF(A286="","",IF(COUNTIFS('Observations'!$A$7:$A$306,A286)&lt;&gt;1,"Duplicate ID",IF(COUNTIFS('Cases overview'!$A$7:$A$306,B286)&lt;&gt;1,"Invalid case ref",IF(AND(C286&lt;&gt;"",COUNTIFS('Plan versions'!$A$7:$A$306,C286,'Plan versions'!$B$7:$B$306,B286,'Plan versions'!$L$7:$L$306,"Frozen")&lt;&gt;1),"Invalid plan ref",IF(OR(NOT(ISNUMBER(F286)),M286=""),"Registration info missing",IF(AND(M286="Observed",OR(K286="",AND(NOT(ISNUMBER(G286)),J286=""))),"Observation/source missing",IF(AND(ISNUMBER(G286),H286=""),"Value/unit missing",IF(AND(N286&lt;&gt;"",OR(N286=A286,COUNTIFS('Observations'!$A$7:$A$306,N286,'Observations'!$B$7:$B$306,B286,'Observations'!$M$7:$M$306,"Corrected")&lt;&gt;1)),"Correction ref to check","Valid input"))))))))</x:f>
      </x:c>
    </x:row>
    <x:row r="287" ht="25" customHeight="1">
      <x:c r="A287" s="3"/>
      <x:c r="B287" s="3"/>
      <x:c r="C287" s="3"/>
      <x:c r="D287" s="3"/>
      <x:c r="E287" s="25"/>
      <x:c r="F287" s="25"/>
      <x:c r="G287" s="22"/>
      <x:c r="H287" s="3"/>
      <x:c r="I287" s="22"/>
      <x:c r="J287" s="3"/>
      <x:c r="K287" s="3"/>
      <x:c r="L287" s="3"/>
      <x:c r="M287" s="3"/>
      <x:c r="N287" s="3"/>
      <x:c r="O287" s="3"/>
      <x:c r="P287" s="19" t="str">
        <x:f>IF(A287="","",IF(COUNTIFS('Observations'!$A$7:$A$306,A287)&lt;&gt;1,"Duplicate ID",IF(COUNTIFS('Cases overview'!$A$7:$A$306,B287)&lt;&gt;1,"Invalid case ref",IF(AND(C287&lt;&gt;"",COUNTIFS('Plan versions'!$A$7:$A$306,C287,'Plan versions'!$B$7:$B$306,B287,'Plan versions'!$L$7:$L$306,"Frozen")&lt;&gt;1),"Invalid plan ref",IF(OR(NOT(ISNUMBER(F287)),M287=""),"Registration info missing",IF(AND(M287="Observed",OR(K287="",AND(NOT(ISNUMBER(G287)),J287=""))),"Observation/source missing",IF(AND(ISNUMBER(G287),H287=""),"Value/unit missing",IF(AND(N287&lt;&gt;"",OR(N287=A287,COUNTIFS('Observations'!$A$7:$A$306,N287,'Observations'!$B$7:$B$306,B287,'Observations'!$M$7:$M$306,"Corrected")&lt;&gt;1)),"Correction ref to check","Valid input"))))))))</x:f>
      </x:c>
    </x:row>
    <x:row r="288" ht="25" customHeight="1">
      <x:c r="A288" s="3"/>
      <x:c r="B288" s="3"/>
      <x:c r="C288" s="3"/>
      <x:c r="D288" s="3"/>
      <x:c r="E288" s="25"/>
      <x:c r="F288" s="25"/>
      <x:c r="G288" s="22"/>
      <x:c r="H288" s="3"/>
      <x:c r="I288" s="22"/>
      <x:c r="J288" s="3"/>
      <x:c r="K288" s="3"/>
      <x:c r="L288" s="3"/>
      <x:c r="M288" s="3"/>
      <x:c r="N288" s="3"/>
      <x:c r="O288" s="3"/>
      <x:c r="P288" s="19" t="str">
        <x:f>IF(A288="","",IF(COUNTIFS('Observations'!$A$7:$A$306,A288)&lt;&gt;1,"Duplicate ID",IF(COUNTIFS('Cases overview'!$A$7:$A$306,B288)&lt;&gt;1,"Invalid case ref",IF(AND(C288&lt;&gt;"",COUNTIFS('Plan versions'!$A$7:$A$306,C288,'Plan versions'!$B$7:$B$306,B288,'Plan versions'!$L$7:$L$306,"Frozen")&lt;&gt;1),"Invalid plan ref",IF(OR(NOT(ISNUMBER(F288)),M288=""),"Registration info missing",IF(AND(M288="Observed",OR(K288="",AND(NOT(ISNUMBER(G288)),J288=""))),"Observation/source missing",IF(AND(ISNUMBER(G288),H288=""),"Value/unit missing",IF(AND(N288&lt;&gt;"",OR(N288=A288,COUNTIFS('Observations'!$A$7:$A$306,N288,'Observations'!$B$7:$B$306,B288,'Observations'!$M$7:$M$306,"Corrected")&lt;&gt;1)),"Correction ref to check","Valid input"))))))))</x:f>
      </x:c>
    </x:row>
    <x:row r="289" ht="25" customHeight="1">
      <x:c r="A289" s="3"/>
      <x:c r="B289" s="3"/>
      <x:c r="C289" s="3"/>
      <x:c r="D289" s="3"/>
      <x:c r="E289" s="25"/>
      <x:c r="F289" s="25"/>
      <x:c r="G289" s="22"/>
      <x:c r="H289" s="3"/>
      <x:c r="I289" s="22"/>
      <x:c r="J289" s="3"/>
      <x:c r="K289" s="3"/>
      <x:c r="L289" s="3"/>
      <x:c r="M289" s="3"/>
      <x:c r="N289" s="3"/>
      <x:c r="O289" s="3"/>
      <x:c r="P289" s="19" t="str">
        <x:f>IF(A289="","",IF(COUNTIFS('Observations'!$A$7:$A$306,A289)&lt;&gt;1,"Duplicate ID",IF(COUNTIFS('Cases overview'!$A$7:$A$306,B289)&lt;&gt;1,"Invalid case ref",IF(AND(C289&lt;&gt;"",COUNTIFS('Plan versions'!$A$7:$A$306,C289,'Plan versions'!$B$7:$B$306,B289,'Plan versions'!$L$7:$L$306,"Frozen")&lt;&gt;1),"Invalid plan ref",IF(OR(NOT(ISNUMBER(F289)),M289=""),"Registration info missing",IF(AND(M289="Observed",OR(K289="",AND(NOT(ISNUMBER(G289)),J289=""))),"Observation/source missing",IF(AND(ISNUMBER(G289),H289=""),"Value/unit missing",IF(AND(N289&lt;&gt;"",OR(N289=A289,COUNTIFS('Observations'!$A$7:$A$306,N289,'Observations'!$B$7:$B$306,B289,'Observations'!$M$7:$M$306,"Corrected")&lt;&gt;1)),"Correction ref to check","Valid input"))))))))</x:f>
      </x:c>
    </x:row>
    <x:row r="290" ht="25" customHeight="1">
      <x:c r="A290" s="3"/>
      <x:c r="B290" s="3"/>
      <x:c r="C290" s="3"/>
      <x:c r="D290" s="3"/>
      <x:c r="E290" s="25"/>
      <x:c r="F290" s="25"/>
      <x:c r="G290" s="22"/>
      <x:c r="H290" s="3"/>
      <x:c r="I290" s="22"/>
      <x:c r="J290" s="3"/>
      <x:c r="K290" s="3"/>
      <x:c r="L290" s="3"/>
      <x:c r="M290" s="3"/>
      <x:c r="N290" s="3"/>
      <x:c r="O290" s="3"/>
      <x:c r="P290" s="19" t="str">
        <x:f>IF(A290="","",IF(COUNTIFS('Observations'!$A$7:$A$306,A290)&lt;&gt;1,"Duplicate ID",IF(COUNTIFS('Cases overview'!$A$7:$A$306,B290)&lt;&gt;1,"Invalid case ref",IF(AND(C290&lt;&gt;"",COUNTIFS('Plan versions'!$A$7:$A$306,C290,'Plan versions'!$B$7:$B$306,B290,'Plan versions'!$L$7:$L$306,"Frozen")&lt;&gt;1),"Invalid plan ref",IF(OR(NOT(ISNUMBER(F290)),M290=""),"Registration info missing",IF(AND(M290="Observed",OR(K290="",AND(NOT(ISNUMBER(G290)),J290=""))),"Observation/source missing",IF(AND(ISNUMBER(G290),H290=""),"Value/unit missing",IF(AND(N290&lt;&gt;"",OR(N290=A290,COUNTIFS('Observations'!$A$7:$A$306,N290,'Observations'!$B$7:$B$306,B290,'Observations'!$M$7:$M$306,"Corrected")&lt;&gt;1)),"Correction ref to check","Valid input"))))))))</x:f>
      </x:c>
    </x:row>
    <x:row r="291" ht="25" customHeight="1">
      <x:c r="A291" s="3"/>
      <x:c r="B291" s="3"/>
      <x:c r="C291" s="3"/>
      <x:c r="D291" s="3"/>
      <x:c r="E291" s="25"/>
      <x:c r="F291" s="25"/>
      <x:c r="G291" s="22"/>
      <x:c r="H291" s="3"/>
      <x:c r="I291" s="22"/>
      <x:c r="J291" s="3"/>
      <x:c r="K291" s="3"/>
      <x:c r="L291" s="3"/>
      <x:c r="M291" s="3"/>
      <x:c r="N291" s="3"/>
      <x:c r="O291" s="3"/>
      <x:c r="P291" s="19" t="str">
        <x:f>IF(A291="","",IF(COUNTIFS('Observations'!$A$7:$A$306,A291)&lt;&gt;1,"Duplicate ID",IF(COUNTIFS('Cases overview'!$A$7:$A$306,B291)&lt;&gt;1,"Invalid case ref",IF(AND(C291&lt;&gt;"",COUNTIFS('Plan versions'!$A$7:$A$306,C291,'Plan versions'!$B$7:$B$306,B291,'Plan versions'!$L$7:$L$306,"Frozen")&lt;&gt;1),"Invalid plan ref",IF(OR(NOT(ISNUMBER(F291)),M291=""),"Registration info missing",IF(AND(M291="Observed",OR(K291="",AND(NOT(ISNUMBER(G291)),J291=""))),"Observation/source missing",IF(AND(ISNUMBER(G291),H291=""),"Value/unit missing",IF(AND(N291&lt;&gt;"",OR(N291=A291,COUNTIFS('Observations'!$A$7:$A$306,N291,'Observations'!$B$7:$B$306,B291,'Observations'!$M$7:$M$306,"Corrected")&lt;&gt;1)),"Correction ref to check","Valid input"))))))))</x:f>
      </x:c>
    </x:row>
    <x:row r="292" ht="25" customHeight="1">
      <x:c r="A292" s="3"/>
      <x:c r="B292" s="3"/>
      <x:c r="C292" s="3"/>
      <x:c r="D292" s="3"/>
      <x:c r="E292" s="25"/>
      <x:c r="F292" s="25"/>
      <x:c r="G292" s="22"/>
      <x:c r="H292" s="3"/>
      <x:c r="I292" s="22"/>
      <x:c r="J292" s="3"/>
      <x:c r="K292" s="3"/>
      <x:c r="L292" s="3"/>
      <x:c r="M292" s="3"/>
      <x:c r="N292" s="3"/>
      <x:c r="O292" s="3"/>
      <x:c r="P292" s="19" t="str">
        <x:f>IF(A292="","",IF(COUNTIFS('Observations'!$A$7:$A$306,A292)&lt;&gt;1,"Duplicate ID",IF(COUNTIFS('Cases overview'!$A$7:$A$306,B292)&lt;&gt;1,"Invalid case ref",IF(AND(C292&lt;&gt;"",COUNTIFS('Plan versions'!$A$7:$A$306,C292,'Plan versions'!$B$7:$B$306,B292,'Plan versions'!$L$7:$L$306,"Frozen")&lt;&gt;1),"Invalid plan ref",IF(OR(NOT(ISNUMBER(F292)),M292=""),"Registration info missing",IF(AND(M292="Observed",OR(K292="",AND(NOT(ISNUMBER(G292)),J292=""))),"Observation/source missing",IF(AND(ISNUMBER(G292),H292=""),"Value/unit missing",IF(AND(N292&lt;&gt;"",OR(N292=A292,COUNTIFS('Observations'!$A$7:$A$306,N292,'Observations'!$B$7:$B$306,B292,'Observations'!$M$7:$M$306,"Corrected")&lt;&gt;1)),"Correction ref to check","Valid input"))))))))</x:f>
      </x:c>
    </x:row>
    <x:row r="293" ht="25" customHeight="1">
      <x:c r="A293" s="3"/>
      <x:c r="B293" s="3"/>
      <x:c r="C293" s="3"/>
      <x:c r="D293" s="3"/>
      <x:c r="E293" s="25"/>
      <x:c r="F293" s="25"/>
      <x:c r="G293" s="22"/>
      <x:c r="H293" s="3"/>
      <x:c r="I293" s="22"/>
      <x:c r="J293" s="3"/>
      <x:c r="K293" s="3"/>
      <x:c r="L293" s="3"/>
      <x:c r="M293" s="3"/>
      <x:c r="N293" s="3"/>
      <x:c r="O293" s="3"/>
      <x:c r="P293" s="19" t="str">
        <x:f>IF(A293="","",IF(COUNTIFS('Observations'!$A$7:$A$306,A293)&lt;&gt;1,"Duplicate ID",IF(COUNTIFS('Cases overview'!$A$7:$A$306,B293)&lt;&gt;1,"Invalid case ref",IF(AND(C293&lt;&gt;"",COUNTIFS('Plan versions'!$A$7:$A$306,C293,'Plan versions'!$B$7:$B$306,B293,'Plan versions'!$L$7:$L$306,"Frozen")&lt;&gt;1),"Invalid plan ref",IF(OR(NOT(ISNUMBER(F293)),M293=""),"Registration info missing",IF(AND(M293="Observed",OR(K293="",AND(NOT(ISNUMBER(G293)),J293=""))),"Observation/source missing",IF(AND(ISNUMBER(G293),H293=""),"Value/unit missing",IF(AND(N293&lt;&gt;"",OR(N293=A293,COUNTIFS('Observations'!$A$7:$A$306,N293,'Observations'!$B$7:$B$306,B293,'Observations'!$M$7:$M$306,"Corrected")&lt;&gt;1)),"Correction ref to check","Valid input"))))))))</x:f>
      </x:c>
    </x:row>
    <x:row r="294" ht="25" customHeight="1">
      <x:c r="A294" s="3"/>
      <x:c r="B294" s="3"/>
      <x:c r="C294" s="3"/>
      <x:c r="D294" s="3"/>
      <x:c r="E294" s="25"/>
      <x:c r="F294" s="25"/>
      <x:c r="G294" s="22"/>
      <x:c r="H294" s="3"/>
      <x:c r="I294" s="22"/>
      <x:c r="J294" s="3"/>
      <x:c r="K294" s="3"/>
      <x:c r="L294" s="3"/>
      <x:c r="M294" s="3"/>
      <x:c r="N294" s="3"/>
      <x:c r="O294" s="3"/>
      <x:c r="P294" s="19" t="str">
        <x:f>IF(A294="","",IF(COUNTIFS('Observations'!$A$7:$A$306,A294)&lt;&gt;1,"Duplicate ID",IF(COUNTIFS('Cases overview'!$A$7:$A$306,B294)&lt;&gt;1,"Invalid case ref",IF(AND(C294&lt;&gt;"",COUNTIFS('Plan versions'!$A$7:$A$306,C294,'Plan versions'!$B$7:$B$306,B294,'Plan versions'!$L$7:$L$306,"Frozen")&lt;&gt;1),"Invalid plan ref",IF(OR(NOT(ISNUMBER(F294)),M294=""),"Registration info missing",IF(AND(M294="Observed",OR(K294="",AND(NOT(ISNUMBER(G294)),J294=""))),"Observation/source missing",IF(AND(ISNUMBER(G294),H294=""),"Value/unit missing",IF(AND(N294&lt;&gt;"",OR(N294=A294,COUNTIFS('Observations'!$A$7:$A$306,N294,'Observations'!$B$7:$B$306,B294,'Observations'!$M$7:$M$306,"Corrected")&lt;&gt;1)),"Correction ref to check","Valid input"))))))))</x:f>
      </x:c>
    </x:row>
    <x:row r="295" ht="25" customHeight="1">
      <x:c r="A295" s="3"/>
      <x:c r="B295" s="3"/>
      <x:c r="C295" s="3"/>
      <x:c r="D295" s="3"/>
      <x:c r="E295" s="25"/>
      <x:c r="F295" s="25"/>
      <x:c r="G295" s="22"/>
      <x:c r="H295" s="3"/>
      <x:c r="I295" s="22"/>
      <x:c r="J295" s="3"/>
      <x:c r="K295" s="3"/>
      <x:c r="L295" s="3"/>
      <x:c r="M295" s="3"/>
      <x:c r="N295" s="3"/>
      <x:c r="O295" s="3"/>
      <x:c r="P295" s="19" t="str">
        <x:f>IF(A295="","",IF(COUNTIFS('Observations'!$A$7:$A$306,A295)&lt;&gt;1,"Duplicate ID",IF(COUNTIFS('Cases overview'!$A$7:$A$306,B295)&lt;&gt;1,"Invalid case ref",IF(AND(C295&lt;&gt;"",COUNTIFS('Plan versions'!$A$7:$A$306,C295,'Plan versions'!$B$7:$B$306,B295,'Plan versions'!$L$7:$L$306,"Frozen")&lt;&gt;1),"Invalid plan ref",IF(OR(NOT(ISNUMBER(F295)),M295=""),"Registration info missing",IF(AND(M295="Observed",OR(K295="",AND(NOT(ISNUMBER(G295)),J295=""))),"Observation/source missing",IF(AND(ISNUMBER(G295),H295=""),"Value/unit missing",IF(AND(N295&lt;&gt;"",OR(N295=A295,COUNTIFS('Observations'!$A$7:$A$306,N295,'Observations'!$B$7:$B$306,B295,'Observations'!$M$7:$M$306,"Corrected")&lt;&gt;1)),"Correction ref to check","Valid input"))))))))</x:f>
      </x:c>
    </x:row>
    <x:row r="296" ht="25" customHeight="1">
      <x:c r="A296" s="3"/>
      <x:c r="B296" s="3"/>
      <x:c r="C296" s="3"/>
      <x:c r="D296" s="3"/>
      <x:c r="E296" s="25"/>
      <x:c r="F296" s="25"/>
      <x:c r="G296" s="22"/>
      <x:c r="H296" s="3"/>
      <x:c r="I296" s="22"/>
      <x:c r="J296" s="3"/>
      <x:c r="K296" s="3"/>
      <x:c r="L296" s="3"/>
      <x:c r="M296" s="3"/>
      <x:c r="N296" s="3"/>
      <x:c r="O296" s="3"/>
      <x:c r="P296" s="19" t="str">
        <x:f>IF(A296="","",IF(COUNTIFS('Observations'!$A$7:$A$306,A296)&lt;&gt;1,"Duplicate ID",IF(COUNTIFS('Cases overview'!$A$7:$A$306,B296)&lt;&gt;1,"Invalid case ref",IF(AND(C296&lt;&gt;"",COUNTIFS('Plan versions'!$A$7:$A$306,C296,'Plan versions'!$B$7:$B$306,B296,'Plan versions'!$L$7:$L$306,"Frozen")&lt;&gt;1),"Invalid plan ref",IF(OR(NOT(ISNUMBER(F296)),M296=""),"Registration info missing",IF(AND(M296="Observed",OR(K296="",AND(NOT(ISNUMBER(G296)),J296=""))),"Observation/source missing",IF(AND(ISNUMBER(G296),H296=""),"Value/unit missing",IF(AND(N296&lt;&gt;"",OR(N296=A296,COUNTIFS('Observations'!$A$7:$A$306,N296,'Observations'!$B$7:$B$306,B296,'Observations'!$M$7:$M$306,"Corrected")&lt;&gt;1)),"Correction ref to check","Valid input"))))))))</x:f>
      </x:c>
    </x:row>
    <x:row r="297" ht="25" customHeight="1">
      <x:c r="A297" s="3"/>
      <x:c r="B297" s="3"/>
      <x:c r="C297" s="3"/>
      <x:c r="D297" s="3"/>
      <x:c r="E297" s="25"/>
      <x:c r="F297" s="25"/>
      <x:c r="G297" s="22"/>
      <x:c r="H297" s="3"/>
      <x:c r="I297" s="22"/>
      <x:c r="J297" s="3"/>
      <x:c r="K297" s="3"/>
      <x:c r="L297" s="3"/>
      <x:c r="M297" s="3"/>
      <x:c r="N297" s="3"/>
      <x:c r="O297" s="3"/>
      <x:c r="P297" s="19" t="str">
        <x:f>IF(A297="","",IF(COUNTIFS('Observations'!$A$7:$A$306,A297)&lt;&gt;1,"Duplicate ID",IF(COUNTIFS('Cases overview'!$A$7:$A$306,B297)&lt;&gt;1,"Invalid case ref",IF(AND(C297&lt;&gt;"",COUNTIFS('Plan versions'!$A$7:$A$306,C297,'Plan versions'!$B$7:$B$306,B297,'Plan versions'!$L$7:$L$306,"Frozen")&lt;&gt;1),"Invalid plan ref",IF(OR(NOT(ISNUMBER(F297)),M297=""),"Registration info missing",IF(AND(M297="Observed",OR(K297="",AND(NOT(ISNUMBER(G297)),J297=""))),"Observation/source missing",IF(AND(ISNUMBER(G297),H297=""),"Value/unit missing",IF(AND(N297&lt;&gt;"",OR(N297=A297,COUNTIFS('Observations'!$A$7:$A$306,N297,'Observations'!$B$7:$B$306,B297,'Observations'!$M$7:$M$306,"Corrected")&lt;&gt;1)),"Correction ref to check","Valid input"))))))))</x:f>
      </x:c>
    </x:row>
    <x:row r="298" ht="25" customHeight="1">
      <x:c r="A298" s="3"/>
      <x:c r="B298" s="3"/>
      <x:c r="C298" s="3"/>
      <x:c r="D298" s="3"/>
      <x:c r="E298" s="25"/>
      <x:c r="F298" s="25"/>
      <x:c r="G298" s="22"/>
      <x:c r="H298" s="3"/>
      <x:c r="I298" s="22"/>
      <x:c r="J298" s="3"/>
      <x:c r="K298" s="3"/>
      <x:c r="L298" s="3"/>
      <x:c r="M298" s="3"/>
      <x:c r="N298" s="3"/>
      <x:c r="O298" s="3"/>
      <x:c r="P298" s="19" t="str">
        <x:f>IF(A298="","",IF(COUNTIFS('Observations'!$A$7:$A$306,A298)&lt;&gt;1,"Duplicate ID",IF(COUNTIFS('Cases overview'!$A$7:$A$306,B298)&lt;&gt;1,"Invalid case ref",IF(AND(C298&lt;&gt;"",COUNTIFS('Plan versions'!$A$7:$A$306,C298,'Plan versions'!$B$7:$B$306,B298,'Plan versions'!$L$7:$L$306,"Frozen")&lt;&gt;1),"Invalid plan ref",IF(OR(NOT(ISNUMBER(F298)),M298=""),"Registration info missing",IF(AND(M298="Observed",OR(K298="",AND(NOT(ISNUMBER(G298)),J298=""))),"Observation/source missing",IF(AND(ISNUMBER(G298),H298=""),"Value/unit missing",IF(AND(N298&lt;&gt;"",OR(N298=A298,COUNTIFS('Observations'!$A$7:$A$306,N298,'Observations'!$B$7:$B$306,B298,'Observations'!$M$7:$M$306,"Corrected")&lt;&gt;1)),"Correction ref to check","Valid input"))))))))</x:f>
      </x:c>
    </x:row>
    <x:row r="299" ht="25" customHeight="1">
      <x:c r="A299" s="3"/>
      <x:c r="B299" s="3"/>
      <x:c r="C299" s="3"/>
      <x:c r="D299" s="3"/>
      <x:c r="E299" s="25"/>
      <x:c r="F299" s="25"/>
      <x:c r="G299" s="22"/>
      <x:c r="H299" s="3"/>
      <x:c r="I299" s="22"/>
      <x:c r="J299" s="3"/>
      <x:c r="K299" s="3"/>
      <x:c r="L299" s="3"/>
      <x:c r="M299" s="3"/>
      <x:c r="N299" s="3"/>
      <x:c r="O299" s="3"/>
      <x:c r="P299" s="19" t="str">
        <x:f>IF(A299="","",IF(COUNTIFS('Observations'!$A$7:$A$306,A299)&lt;&gt;1,"Duplicate ID",IF(COUNTIFS('Cases overview'!$A$7:$A$306,B299)&lt;&gt;1,"Invalid case ref",IF(AND(C299&lt;&gt;"",COUNTIFS('Plan versions'!$A$7:$A$306,C299,'Plan versions'!$B$7:$B$306,B299,'Plan versions'!$L$7:$L$306,"Frozen")&lt;&gt;1),"Invalid plan ref",IF(OR(NOT(ISNUMBER(F299)),M299=""),"Registration info missing",IF(AND(M299="Observed",OR(K299="",AND(NOT(ISNUMBER(G299)),J299=""))),"Observation/source missing",IF(AND(ISNUMBER(G299),H299=""),"Value/unit missing",IF(AND(N299&lt;&gt;"",OR(N299=A299,COUNTIFS('Observations'!$A$7:$A$306,N299,'Observations'!$B$7:$B$306,B299,'Observations'!$M$7:$M$306,"Corrected")&lt;&gt;1)),"Correction ref to check","Valid input"))))))))</x:f>
      </x:c>
    </x:row>
    <x:row r="300" ht="25" customHeight="1">
      <x:c r="A300" s="3"/>
      <x:c r="B300" s="3"/>
      <x:c r="C300" s="3"/>
      <x:c r="D300" s="3"/>
      <x:c r="E300" s="25"/>
      <x:c r="F300" s="25"/>
      <x:c r="G300" s="22"/>
      <x:c r="H300" s="3"/>
      <x:c r="I300" s="22"/>
      <x:c r="J300" s="3"/>
      <x:c r="K300" s="3"/>
      <x:c r="L300" s="3"/>
      <x:c r="M300" s="3"/>
      <x:c r="N300" s="3"/>
      <x:c r="O300" s="3"/>
      <x:c r="P300" s="19" t="str">
        <x:f>IF(A300="","",IF(COUNTIFS('Observations'!$A$7:$A$306,A300)&lt;&gt;1,"Duplicate ID",IF(COUNTIFS('Cases overview'!$A$7:$A$306,B300)&lt;&gt;1,"Invalid case ref",IF(AND(C300&lt;&gt;"",COUNTIFS('Plan versions'!$A$7:$A$306,C300,'Plan versions'!$B$7:$B$306,B300,'Plan versions'!$L$7:$L$306,"Frozen")&lt;&gt;1),"Invalid plan ref",IF(OR(NOT(ISNUMBER(F300)),M300=""),"Registration info missing",IF(AND(M300="Observed",OR(K300="",AND(NOT(ISNUMBER(G300)),J300=""))),"Observation/source missing",IF(AND(ISNUMBER(G300),H300=""),"Value/unit missing",IF(AND(N300&lt;&gt;"",OR(N300=A300,COUNTIFS('Observations'!$A$7:$A$306,N300,'Observations'!$B$7:$B$306,B300,'Observations'!$M$7:$M$306,"Corrected")&lt;&gt;1)),"Correction ref to check","Valid input"))))))))</x:f>
      </x:c>
    </x:row>
    <x:row r="301" ht="25" customHeight="1">
      <x:c r="A301" s="3"/>
      <x:c r="B301" s="3"/>
      <x:c r="C301" s="3"/>
      <x:c r="D301" s="3"/>
      <x:c r="E301" s="25"/>
      <x:c r="F301" s="25"/>
      <x:c r="G301" s="22"/>
      <x:c r="H301" s="3"/>
      <x:c r="I301" s="22"/>
      <x:c r="J301" s="3"/>
      <x:c r="K301" s="3"/>
      <x:c r="L301" s="3"/>
      <x:c r="M301" s="3"/>
      <x:c r="N301" s="3"/>
      <x:c r="O301" s="3"/>
      <x:c r="P301" s="19" t="str">
        <x:f>IF(A301="","",IF(COUNTIFS('Observations'!$A$7:$A$306,A301)&lt;&gt;1,"Duplicate ID",IF(COUNTIFS('Cases overview'!$A$7:$A$306,B301)&lt;&gt;1,"Invalid case ref",IF(AND(C301&lt;&gt;"",COUNTIFS('Plan versions'!$A$7:$A$306,C301,'Plan versions'!$B$7:$B$306,B301,'Plan versions'!$L$7:$L$306,"Frozen")&lt;&gt;1),"Invalid plan ref",IF(OR(NOT(ISNUMBER(F301)),M301=""),"Registration info missing",IF(AND(M301="Observed",OR(K301="",AND(NOT(ISNUMBER(G301)),J301=""))),"Observation/source missing",IF(AND(ISNUMBER(G301),H301=""),"Value/unit missing",IF(AND(N301&lt;&gt;"",OR(N301=A301,COUNTIFS('Observations'!$A$7:$A$306,N301,'Observations'!$B$7:$B$306,B301,'Observations'!$M$7:$M$306,"Corrected")&lt;&gt;1)),"Correction ref to check","Valid input"))))))))</x:f>
      </x:c>
    </x:row>
    <x:row r="302" ht="25" customHeight="1">
      <x:c r="A302" s="3"/>
      <x:c r="B302" s="3"/>
      <x:c r="C302" s="3"/>
      <x:c r="D302" s="3"/>
      <x:c r="E302" s="25"/>
      <x:c r="F302" s="25"/>
      <x:c r="G302" s="22"/>
      <x:c r="H302" s="3"/>
      <x:c r="I302" s="22"/>
      <x:c r="J302" s="3"/>
      <x:c r="K302" s="3"/>
      <x:c r="L302" s="3"/>
      <x:c r="M302" s="3"/>
      <x:c r="N302" s="3"/>
      <x:c r="O302" s="3"/>
      <x:c r="P302" s="19" t="str">
        <x:f>IF(A302="","",IF(COUNTIFS('Observations'!$A$7:$A$306,A302)&lt;&gt;1,"Duplicate ID",IF(COUNTIFS('Cases overview'!$A$7:$A$306,B302)&lt;&gt;1,"Invalid case ref",IF(AND(C302&lt;&gt;"",COUNTIFS('Plan versions'!$A$7:$A$306,C302,'Plan versions'!$B$7:$B$306,B302,'Plan versions'!$L$7:$L$306,"Frozen")&lt;&gt;1),"Invalid plan ref",IF(OR(NOT(ISNUMBER(F302)),M302=""),"Registration info missing",IF(AND(M302="Observed",OR(K302="",AND(NOT(ISNUMBER(G302)),J302=""))),"Observation/source missing",IF(AND(ISNUMBER(G302),H302=""),"Value/unit missing",IF(AND(N302&lt;&gt;"",OR(N302=A302,COUNTIFS('Observations'!$A$7:$A$306,N302,'Observations'!$B$7:$B$306,B302,'Observations'!$M$7:$M$306,"Corrected")&lt;&gt;1)),"Correction ref to check","Valid input"))))))))</x:f>
      </x:c>
    </x:row>
    <x:row r="303" ht="25" customHeight="1">
      <x:c r="A303" s="3"/>
      <x:c r="B303" s="3"/>
      <x:c r="C303" s="3"/>
      <x:c r="D303" s="3"/>
      <x:c r="E303" s="25"/>
      <x:c r="F303" s="25"/>
      <x:c r="G303" s="22"/>
      <x:c r="H303" s="3"/>
      <x:c r="I303" s="22"/>
      <x:c r="J303" s="3"/>
      <x:c r="K303" s="3"/>
      <x:c r="L303" s="3"/>
      <x:c r="M303" s="3"/>
      <x:c r="N303" s="3"/>
      <x:c r="O303" s="3"/>
      <x:c r="P303" s="19" t="str">
        <x:f>IF(A303="","",IF(COUNTIFS('Observations'!$A$7:$A$306,A303)&lt;&gt;1,"Duplicate ID",IF(COUNTIFS('Cases overview'!$A$7:$A$306,B303)&lt;&gt;1,"Invalid case ref",IF(AND(C303&lt;&gt;"",COUNTIFS('Plan versions'!$A$7:$A$306,C303,'Plan versions'!$B$7:$B$306,B303,'Plan versions'!$L$7:$L$306,"Frozen")&lt;&gt;1),"Invalid plan ref",IF(OR(NOT(ISNUMBER(F303)),M303=""),"Registration info missing",IF(AND(M303="Observed",OR(K303="",AND(NOT(ISNUMBER(G303)),J303=""))),"Observation/source missing",IF(AND(ISNUMBER(G303),H303=""),"Value/unit missing",IF(AND(N303&lt;&gt;"",OR(N303=A303,COUNTIFS('Observations'!$A$7:$A$306,N303,'Observations'!$B$7:$B$306,B303,'Observations'!$M$7:$M$306,"Corrected")&lt;&gt;1)),"Correction ref to check","Valid input"))))))))</x:f>
      </x:c>
    </x:row>
    <x:row r="304" ht="25" customHeight="1">
      <x:c r="A304" s="3"/>
      <x:c r="B304" s="3"/>
      <x:c r="C304" s="3"/>
      <x:c r="D304" s="3"/>
      <x:c r="E304" s="25"/>
      <x:c r="F304" s="25"/>
      <x:c r="G304" s="22"/>
      <x:c r="H304" s="3"/>
      <x:c r="I304" s="22"/>
      <x:c r="J304" s="3"/>
      <x:c r="K304" s="3"/>
      <x:c r="L304" s="3"/>
      <x:c r="M304" s="3"/>
      <x:c r="N304" s="3"/>
      <x:c r="O304" s="3"/>
      <x:c r="P304" s="19" t="str">
        <x:f>IF(A304="","",IF(COUNTIFS('Observations'!$A$7:$A$306,A304)&lt;&gt;1,"Duplicate ID",IF(COUNTIFS('Cases overview'!$A$7:$A$306,B304)&lt;&gt;1,"Invalid case ref",IF(AND(C304&lt;&gt;"",COUNTIFS('Plan versions'!$A$7:$A$306,C304,'Plan versions'!$B$7:$B$306,B304,'Plan versions'!$L$7:$L$306,"Frozen")&lt;&gt;1),"Invalid plan ref",IF(OR(NOT(ISNUMBER(F304)),M304=""),"Registration info missing",IF(AND(M304="Observed",OR(K304="",AND(NOT(ISNUMBER(G304)),J304=""))),"Observation/source missing",IF(AND(ISNUMBER(G304),H304=""),"Value/unit missing",IF(AND(N304&lt;&gt;"",OR(N304=A304,COUNTIFS('Observations'!$A$7:$A$306,N304,'Observations'!$B$7:$B$306,B304,'Observations'!$M$7:$M$306,"Corrected")&lt;&gt;1)),"Correction ref to check","Valid input"))))))))</x:f>
      </x:c>
    </x:row>
    <x:row r="305" ht="25" customHeight="1">
      <x:c r="A305" s="3"/>
      <x:c r="B305" s="3"/>
      <x:c r="C305" s="3"/>
      <x:c r="D305" s="3"/>
      <x:c r="E305" s="25"/>
      <x:c r="F305" s="25"/>
      <x:c r="G305" s="22"/>
      <x:c r="H305" s="3"/>
      <x:c r="I305" s="22"/>
      <x:c r="J305" s="3"/>
      <x:c r="K305" s="3"/>
      <x:c r="L305" s="3"/>
      <x:c r="M305" s="3"/>
      <x:c r="N305" s="3"/>
      <x:c r="O305" s="3"/>
      <x:c r="P305" s="19" t="str">
        <x:f>IF(A305="","",IF(COUNTIFS('Observations'!$A$7:$A$306,A305)&lt;&gt;1,"Duplicate ID",IF(COUNTIFS('Cases overview'!$A$7:$A$306,B305)&lt;&gt;1,"Invalid case ref",IF(AND(C305&lt;&gt;"",COUNTIFS('Plan versions'!$A$7:$A$306,C305,'Plan versions'!$B$7:$B$306,B305,'Plan versions'!$L$7:$L$306,"Frozen")&lt;&gt;1),"Invalid plan ref",IF(OR(NOT(ISNUMBER(F305)),M305=""),"Registration info missing",IF(AND(M305="Observed",OR(K305="",AND(NOT(ISNUMBER(G305)),J305=""))),"Observation/source missing",IF(AND(ISNUMBER(G305),H305=""),"Value/unit missing",IF(AND(N305&lt;&gt;"",OR(N305=A305,COUNTIFS('Observations'!$A$7:$A$306,N305,'Observations'!$B$7:$B$306,B305,'Observations'!$M$7:$M$306,"Corrected")&lt;&gt;1)),"Correction ref to check","Valid input"))))))))</x:f>
      </x:c>
    </x:row>
    <x:row r="306" ht="25" customHeight="1">
      <x:c r="A306" s="3"/>
      <x:c r="B306" s="3"/>
      <x:c r="C306" s="3"/>
      <x:c r="D306" s="3"/>
      <x:c r="E306" s="25"/>
      <x:c r="F306" s="25"/>
      <x:c r="G306" s="22"/>
      <x:c r="H306" s="3"/>
      <x:c r="I306" s="22"/>
      <x:c r="J306" s="3"/>
      <x:c r="K306" s="3"/>
      <x:c r="L306" s="3"/>
      <x:c r="M306" s="3"/>
      <x:c r="N306" s="3"/>
      <x:c r="O306" s="3"/>
      <x:c r="P306" s="19" t="str">
        <x:f>IF(A306="","",IF(COUNTIFS('Observations'!$A$7:$A$306,A306)&lt;&gt;1,"Duplicate ID",IF(COUNTIFS('Cases overview'!$A$7:$A$306,B306)&lt;&gt;1,"Invalid case ref",IF(AND(C306&lt;&gt;"",COUNTIFS('Plan versions'!$A$7:$A$306,C306,'Plan versions'!$B$7:$B$306,B306,'Plan versions'!$L$7:$L$306,"Frozen")&lt;&gt;1),"Invalid plan ref",IF(OR(NOT(ISNUMBER(F306)),M306=""),"Registration info missing",IF(AND(M306="Observed",OR(K306="",AND(NOT(ISNUMBER(G306)),J306=""))),"Observation/source missing",IF(AND(ISNUMBER(G306),H306=""),"Value/unit missing",IF(AND(N306&lt;&gt;"",OR(N306=A306,COUNTIFS('Observations'!$A$7:$A$306,N306,'Observations'!$B$7:$B$306,B306,'Observations'!$M$7:$M$306,"Corrected")&lt;&gt;1)),"Correction ref to check","Valid input"))))))))</x:f>
      </x:c>
    </x:row>
  </x:sheetData>
  <x:conditionalFormatting sqref="P7:P306">
    <x:cfRule type="expression" dxfId="3" priority="1">
      <x:formula>AND($A7&lt;&gt;"",P7&lt;&gt;"Valid input")</x:formula>
    </x:cfRule>
  </x:conditionalFormatting>
  <x:dataValidations count="1">
    <x:dataValidation type="list" sqref="M7:M306">
      <x:formula1>"Observed,Not observed,Not due,Missing,Undeterminable,Corrected,Revoked"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a67bd445ac47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3" hidden="0" customWidth="1"/>
    <x:col min="5" max="5" width="23" hidden="0" customWidth="1"/>
    <x:col min="6" max="6" width="29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9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9" hidden="0" customWidth="1"/>
    <x:col min="18" max="18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16" t="str">
        <x:v>Predictions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</x:row>
    <x:row r="3" ht="25" customHeight="1">
      <x:c r="A3" s="18" t="str">
        <x:v>One row per prediction. Probability 0–1; outcome 0 or 1. Only pre-specified, resolved records are scored.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0" customHeight="1">
      <x:c r="A6" s="12" t="str">
        <x:v>Prediction ID</x:v>
      </x:c>
      <x:c r="B6" s="13" t="str">
        <x:v>Case ID</x:v>
      </x:c>
      <x:c r="C6" s="13" t="str">
        <x:v>Plan ID</x:v>
      </x:c>
      <x:c r="D6" s="13" t="str">
        <x:v>Registered at</x:v>
      </x:c>
      <x:c r="E6" s="13" t="str">
        <x:v>Due time</x:v>
      </x:c>
      <x:c r="F6" s="13" t="str">
        <x:v>Event and resolution criteria</x:v>
      </x:c>
      <x:c r="G6" s="13" t="str">
        <x:v>Forecast probability</x:v>
      </x:c>
      <x:c r="H6" s="13" t="str">
        <x:v>Baseline probability</x:v>
      </x:c>
      <x:c r="I6" s="13" t="str">
        <x:v>Resolution status</x:v>
      </x:c>
      <x:c r="J6" s="13" t="str">
        <x:v>Actual outcome (0/1)</x:v>
      </x:c>
      <x:c r="K6" s="13" t="str">
        <x:v>Resolved at</x:v>
      </x:c>
      <x:c r="L6" s="13" t="str">
        <x:v>Evidence OB refs (prediction)</x:v>
      </x:c>
      <x:c r="M6" s="13" t="str">
        <x:v>Pre-specified scoring</x:v>
      </x:c>
      <x:c r="N6" s="13" t="str">
        <x:v>Brier score</x:v>
      </x:c>
      <x:c r="O6" s="13" t="str">
        <x:v>Baseline Brier</x:v>
      </x:c>
      <x:c r="P6" s="13" t="str">
        <x:v>Relative improvement</x:v>
      </x:c>
      <x:c r="Q6" s="13" t="str">
        <x:v>Prediction file</x:v>
      </x:c>
      <x:c r="R6" s="14" t="str">
        <x:v>Input check</x:v>
      </x:c>
    </x:row>
    <x:row r="7" ht="25" customHeight="1">
      <x:c r="A7" s="3"/>
      <x:c r="B7" s="3"/>
      <x:c r="C7" s="3"/>
      <x:c r="D7" s="25"/>
      <x:c r="E7" s="25"/>
      <x:c r="F7" s="3"/>
      <x:c r="G7" s="26"/>
      <x:c r="H7" s="26"/>
      <x:c r="I7" s="3"/>
      <x:c r="J7" s="22"/>
      <x:c r="K7" s="25"/>
      <x:c r="L7" s="3"/>
      <x:c r="M7" s="3"/>
      <x:c r="N7" s="24" t="str">
        <x:f>IF(AND(R7="Valid input",I7="Resolved",M7="Yes",ISNUMBER(G7)),(G7-J7)^2,"")</x:f>
      </x:c>
      <x:c r="O7" s="24" t="str">
        <x:f>IF(AND(ISNUMBER(N7),ISNUMBER(H7)),(H7-J7)^2,"")</x:f>
      </x:c>
      <x:c r="P7" s="24" t="str">
        <x:f>IF(AND(ISNUMBER(N7),ISNUMBER(O7)),O7-N7,"")</x:f>
      </x:c>
      <x:c r="Q7" s="3"/>
      <x:c r="R7" s="19" t="str">
        <x:f>IF(A7="","",IF(COUNTIFS('Predictions'!$A$7:$A$306,A7)&lt;&gt;1,"Duplicate ID",IF(COUNTIFS('Cases overview'!$A$7:$A$306,B7)&lt;&gt;1,"Invalid case ref",IF(COUNTIFS('Plan versions'!$A$7:$A$306,C7,'Plan versions'!$B$7:$B$306,B7,'Plan versions'!$L$7:$L$306,"Frozen")&lt;&gt;1,"Invalid plan ref",IF(OR(NOT(ISNUMBER(D7)),NOT(ISNUMBER(E7)),F7="",I7="",M7="",Q7=""),"Prediction info missing",IF(D7&gt;E7,"Not pre-registered before due",IF(OR(AND(G7&lt;&gt;"",OR(NOT(ISNUMBER(G7)),G7&lt;0,G7&gt;1)),AND(H7&lt;&gt;"",OR(NOT(ISNUMBER(H7)),H7&lt;0,H7&gt;1))),"Invalid probability",IF(AND(I7="Resolved",OR(NOT(ISNUMBER(J7)),AND(J7&lt;&gt;0,J7&lt;&gt;1),NOT(ISNUMBER(K7)),L7="")),"Resolution evidence missing",IF(AND(I7="Resolved",D7&gt;K7),"Retroactive: not scored","Valid input")))))))))</x:f>
      </x:c>
    </x:row>
    <x:row r="8" ht="25" customHeight="1">
      <x:c r="A8" s="3"/>
      <x:c r="B8" s="3"/>
      <x:c r="C8" s="3"/>
      <x:c r="D8" s="25"/>
      <x:c r="E8" s="25"/>
      <x:c r="F8" s="3"/>
      <x:c r="G8" s="26"/>
      <x:c r="H8" s="26"/>
      <x:c r="I8" s="3"/>
      <x:c r="J8" s="22"/>
      <x:c r="K8" s="25"/>
      <x:c r="L8" s="3"/>
      <x:c r="M8" s="3"/>
      <x:c r="N8" s="24" t="str">
        <x:f>IF(AND(R8="Valid input",I8="Resolved",M8="Yes",ISNUMBER(G8)),(G8-J8)^2,"")</x:f>
      </x:c>
      <x:c r="O8" s="24" t="str">
        <x:f>IF(AND(ISNUMBER(N8),ISNUMBER(H8)),(H8-J8)^2,"")</x:f>
      </x:c>
      <x:c r="P8" s="24" t="str">
        <x:f>IF(AND(ISNUMBER(N8),ISNUMBER(O8)),O8-N8,"")</x:f>
      </x:c>
      <x:c r="Q8" s="3"/>
      <x:c r="R8" s="19" t="str">
        <x:f>IF(A8="","",IF(COUNTIFS('Predictions'!$A$7:$A$306,A8)&lt;&gt;1,"Duplicate ID",IF(COUNTIFS('Cases overview'!$A$7:$A$306,B8)&lt;&gt;1,"Invalid case ref",IF(COUNTIFS('Plan versions'!$A$7:$A$306,C8,'Plan versions'!$B$7:$B$306,B8,'Plan versions'!$L$7:$L$306,"Frozen")&lt;&gt;1,"Invalid plan ref",IF(OR(NOT(ISNUMBER(D8)),NOT(ISNUMBER(E8)),F8="",I8="",M8="",Q8=""),"Prediction info missing",IF(D8&gt;E8,"Not pre-registered before due",IF(OR(AND(G8&lt;&gt;"",OR(NOT(ISNUMBER(G8)),G8&lt;0,G8&gt;1)),AND(H8&lt;&gt;"",OR(NOT(ISNUMBER(H8)),H8&lt;0,H8&gt;1))),"Invalid probability",IF(AND(I8="Resolved",OR(NOT(ISNUMBER(J8)),AND(J8&lt;&gt;0,J8&lt;&gt;1),NOT(ISNUMBER(K8)),L8="")),"Resolution evidence missing",IF(AND(I8="Resolved",D8&gt;K8),"Retroactive: not scored","Valid input")))))))))</x:f>
      </x:c>
    </x:row>
    <x:row r="9" ht="25" customHeight="1">
      <x:c r="A9" s="3"/>
      <x:c r="B9" s="3"/>
      <x:c r="C9" s="3"/>
      <x:c r="D9" s="25"/>
      <x:c r="E9" s="25"/>
      <x:c r="F9" s="3"/>
      <x:c r="G9" s="26"/>
      <x:c r="H9" s="26"/>
      <x:c r="I9" s="3"/>
      <x:c r="J9" s="22"/>
      <x:c r="K9" s="25"/>
      <x:c r="L9" s="3"/>
      <x:c r="M9" s="3"/>
      <x:c r="N9" s="24" t="str">
        <x:f>IF(AND(R9="Valid input",I9="Resolved",M9="Yes",ISNUMBER(G9)),(G9-J9)^2,"")</x:f>
      </x:c>
      <x:c r="O9" s="24" t="str">
        <x:f>IF(AND(ISNUMBER(N9),ISNUMBER(H9)),(H9-J9)^2,"")</x:f>
      </x:c>
      <x:c r="P9" s="24" t="str">
        <x:f>IF(AND(ISNUMBER(N9),ISNUMBER(O9)),O9-N9,"")</x:f>
      </x:c>
      <x:c r="Q9" s="3"/>
      <x:c r="R9" s="19" t="str">
        <x:f>IF(A9="","",IF(COUNTIFS('Predictions'!$A$7:$A$306,A9)&lt;&gt;1,"Duplicate ID",IF(COUNTIFS('Cases overview'!$A$7:$A$306,B9)&lt;&gt;1,"Invalid case ref",IF(COUNTIFS('Plan versions'!$A$7:$A$306,C9,'Plan versions'!$B$7:$B$306,B9,'Plan versions'!$L$7:$L$306,"Frozen")&lt;&gt;1,"Invalid plan ref",IF(OR(NOT(ISNUMBER(D9)),NOT(ISNUMBER(E9)),F9="",I9="",M9="",Q9=""),"Prediction info missing",IF(D9&gt;E9,"Not pre-registered before due",IF(OR(AND(G9&lt;&gt;"",OR(NOT(ISNUMBER(G9)),G9&lt;0,G9&gt;1)),AND(H9&lt;&gt;"",OR(NOT(ISNUMBER(H9)),H9&lt;0,H9&gt;1))),"Invalid probability",IF(AND(I9="Resolved",OR(NOT(ISNUMBER(J9)),AND(J9&lt;&gt;0,J9&lt;&gt;1),NOT(ISNUMBER(K9)),L9="")),"Resolution evidence missing",IF(AND(I9="Resolved",D9&gt;K9),"Retroactive: not scored","Valid input")))))))))</x:f>
      </x:c>
    </x:row>
    <x:row r="10" ht="25" customHeight="1">
      <x:c r="A10" s="3"/>
      <x:c r="B10" s="3"/>
      <x:c r="C10" s="3"/>
      <x:c r="D10" s="25"/>
      <x:c r="E10" s="25"/>
      <x:c r="F10" s="3"/>
      <x:c r="G10" s="26"/>
      <x:c r="H10" s="26"/>
      <x:c r="I10" s="3"/>
      <x:c r="J10" s="22"/>
      <x:c r="K10" s="25"/>
      <x:c r="L10" s="3"/>
      <x:c r="M10" s="3"/>
      <x:c r="N10" s="24" t="str">
        <x:f>IF(AND(R10="Valid input",I10="Resolved",M10="Yes",ISNUMBER(G10)),(G10-J10)^2,"")</x:f>
      </x:c>
      <x:c r="O10" s="24" t="str">
        <x:f>IF(AND(ISNUMBER(N10),ISNUMBER(H10)),(H10-J10)^2,"")</x:f>
      </x:c>
      <x:c r="P10" s="24" t="str">
        <x:f>IF(AND(ISNUMBER(N10),ISNUMBER(O10)),O10-N10,"")</x:f>
      </x:c>
      <x:c r="Q10" s="3"/>
      <x:c r="R10" s="19" t="str">
        <x:f>IF(A10="","",IF(COUNTIFS('Predictions'!$A$7:$A$306,A10)&lt;&gt;1,"Duplicate ID",IF(COUNTIFS('Cases overview'!$A$7:$A$306,B10)&lt;&gt;1,"Invalid case ref",IF(COUNTIFS('Plan versions'!$A$7:$A$306,C10,'Plan versions'!$B$7:$B$306,B10,'Plan versions'!$L$7:$L$306,"Frozen")&lt;&gt;1,"Invalid plan ref",IF(OR(NOT(ISNUMBER(D10)),NOT(ISNUMBER(E10)),F10="",I10="",M10="",Q10=""),"Prediction info missing",IF(D10&gt;E10,"Not pre-registered before due",IF(OR(AND(G10&lt;&gt;"",OR(NOT(ISNUMBER(G10)),G10&lt;0,G10&gt;1)),AND(H10&lt;&gt;"",OR(NOT(ISNUMBER(H10)),H10&lt;0,H10&gt;1))),"Invalid probability",IF(AND(I10="Resolved",OR(NOT(ISNUMBER(J10)),AND(J10&lt;&gt;0,J10&lt;&gt;1),NOT(ISNUMBER(K10)),L10="")),"Resolution evidence missing",IF(AND(I10="Resolved",D10&gt;K10),"Retroactive: not scored","Valid input")))))))))</x:f>
      </x:c>
    </x:row>
    <x:row r="11" ht="25" customHeight="1">
      <x:c r="A11" s="3"/>
      <x:c r="B11" s="3"/>
      <x:c r="C11" s="3"/>
      <x:c r="D11" s="25"/>
      <x:c r="E11" s="25"/>
      <x:c r="F11" s="3"/>
      <x:c r="G11" s="26"/>
      <x:c r="H11" s="26"/>
      <x:c r="I11" s="3"/>
      <x:c r="J11" s="22"/>
      <x:c r="K11" s="25"/>
      <x:c r="L11" s="3"/>
      <x:c r="M11" s="3"/>
      <x:c r="N11" s="24" t="str">
        <x:f>IF(AND(R11="Valid input",I11="Resolved",M11="Yes",ISNUMBER(G11)),(G11-J11)^2,"")</x:f>
      </x:c>
      <x:c r="O11" s="24" t="str">
        <x:f>IF(AND(ISNUMBER(N11),ISNUMBER(H11)),(H11-J11)^2,"")</x:f>
      </x:c>
      <x:c r="P11" s="24" t="str">
        <x:f>IF(AND(ISNUMBER(N11),ISNUMBER(O11)),O11-N11,"")</x:f>
      </x:c>
      <x:c r="Q11" s="3"/>
      <x:c r="R11" s="19" t="str">
        <x:f>IF(A11="","",IF(COUNTIFS('Predictions'!$A$7:$A$306,A11)&lt;&gt;1,"Duplicate ID",IF(COUNTIFS('Cases overview'!$A$7:$A$306,B11)&lt;&gt;1,"Invalid case ref",IF(COUNTIFS('Plan versions'!$A$7:$A$306,C11,'Plan versions'!$B$7:$B$306,B11,'Plan versions'!$L$7:$L$306,"Frozen")&lt;&gt;1,"Invalid plan ref",IF(OR(NOT(ISNUMBER(D11)),NOT(ISNUMBER(E11)),F11="",I11="",M11="",Q11=""),"Prediction info missing",IF(D11&gt;E11,"Not pre-registered before due",IF(OR(AND(G11&lt;&gt;"",OR(NOT(ISNUMBER(G11)),G11&lt;0,G11&gt;1)),AND(H11&lt;&gt;"",OR(NOT(ISNUMBER(H11)),H11&lt;0,H11&gt;1))),"Invalid probability",IF(AND(I11="Resolved",OR(NOT(ISNUMBER(J11)),AND(J11&lt;&gt;0,J11&lt;&gt;1),NOT(ISNUMBER(K11)),L11="")),"Resolution evidence missing",IF(AND(I11="Resolved",D11&gt;K11),"Retroactive: not scored","Valid input")))))))))</x:f>
      </x:c>
    </x:row>
    <x:row r="12" ht="25" customHeight="1">
      <x:c r="A12" s="3"/>
      <x:c r="B12" s="3"/>
      <x:c r="C12" s="3"/>
      <x:c r="D12" s="25"/>
      <x:c r="E12" s="25"/>
      <x:c r="F12" s="3"/>
      <x:c r="G12" s="26"/>
      <x:c r="H12" s="26"/>
      <x:c r="I12" s="3"/>
      <x:c r="J12" s="22"/>
      <x:c r="K12" s="25"/>
      <x:c r="L12" s="3"/>
      <x:c r="M12" s="3"/>
      <x:c r="N12" s="24" t="str">
        <x:f>IF(AND(R12="Valid input",I12="Resolved",M12="Yes",ISNUMBER(G12)),(G12-J12)^2,"")</x:f>
      </x:c>
      <x:c r="O12" s="24" t="str">
        <x:f>IF(AND(ISNUMBER(N12),ISNUMBER(H12)),(H12-J12)^2,"")</x:f>
      </x:c>
      <x:c r="P12" s="24" t="str">
        <x:f>IF(AND(ISNUMBER(N12),ISNUMBER(O12)),O12-N12,"")</x:f>
      </x:c>
      <x:c r="Q12" s="3"/>
      <x:c r="R12" s="19" t="str">
        <x:f>IF(A12="","",IF(COUNTIFS('Predictions'!$A$7:$A$306,A12)&lt;&gt;1,"Duplicate ID",IF(COUNTIFS('Cases overview'!$A$7:$A$306,B12)&lt;&gt;1,"Invalid case ref",IF(COUNTIFS('Plan versions'!$A$7:$A$306,C12,'Plan versions'!$B$7:$B$306,B12,'Plan versions'!$L$7:$L$306,"Frozen")&lt;&gt;1,"Invalid plan ref",IF(OR(NOT(ISNUMBER(D12)),NOT(ISNUMBER(E12)),F12="",I12="",M12="",Q12=""),"Prediction info missing",IF(D12&gt;E12,"Not pre-registered before due",IF(OR(AND(G12&lt;&gt;"",OR(NOT(ISNUMBER(G12)),G12&lt;0,G12&gt;1)),AND(H12&lt;&gt;"",OR(NOT(ISNUMBER(H12)),H12&lt;0,H12&gt;1))),"Invalid probability",IF(AND(I12="Resolved",OR(NOT(ISNUMBER(J12)),AND(J12&lt;&gt;0,J12&lt;&gt;1),NOT(ISNUMBER(K12)),L12="")),"Resolution evidence missing",IF(AND(I12="Resolved",D12&gt;K12),"Retroactive: not scored","Valid input")))))))))</x:f>
      </x:c>
    </x:row>
    <x:row r="13" ht="25" customHeight="1">
      <x:c r="A13" s="3"/>
      <x:c r="B13" s="3"/>
      <x:c r="C13" s="3"/>
      <x:c r="D13" s="25"/>
      <x:c r="E13" s="25"/>
      <x:c r="F13" s="3"/>
      <x:c r="G13" s="26"/>
      <x:c r="H13" s="26"/>
      <x:c r="I13" s="3"/>
      <x:c r="J13" s="22"/>
      <x:c r="K13" s="25"/>
      <x:c r="L13" s="3"/>
      <x:c r="M13" s="3"/>
      <x:c r="N13" s="24" t="str">
        <x:f>IF(AND(R13="Valid input",I13="Resolved",M13="Yes",ISNUMBER(G13)),(G13-J13)^2,"")</x:f>
      </x:c>
      <x:c r="O13" s="24" t="str">
        <x:f>IF(AND(ISNUMBER(N13),ISNUMBER(H13)),(H13-J13)^2,"")</x:f>
      </x:c>
      <x:c r="P13" s="24" t="str">
        <x:f>IF(AND(ISNUMBER(N13),ISNUMBER(O13)),O13-N13,"")</x:f>
      </x:c>
      <x:c r="Q13" s="3"/>
      <x:c r="R13" s="19" t="str">
        <x:f>IF(A13="","",IF(COUNTIFS('Predictions'!$A$7:$A$306,A13)&lt;&gt;1,"Duplicate ID",IF(COUNTIFS('Cases overview'!$A$7:$A$306,B13)&lt;&gt;1,"Invalid case ref",IF(COUNTIFS('Plan versions'!$A$7:$A$306,C13,'Plan versions'!$B$7:$B$306,B13,'Plan versions'!$L$7:$L$306,"Frozen")&lt;&gt;1,"Invalid plan ref",IF(OR(NOT(ISNUMBER(D13)),NOT(ISNUMBER(E13)),F13="",I13="",M13="",Q13=""),"Prediction info missing",IF(D13&gt;E13,"Not pre-registered before due",IF(OR(AND(G13&lt;&gt;"",OR(NOT(ISNUMBER(G13)),G13&lt;0,G13&gt;1)),AND(H13&lt;&gt;"",OR(NOT(ISNUMBER(H13)),H13&lt;0,H13&gt;1))),"Invalid probability",IF(AND(I13="Resolved",OR(NOT(ISNUMBER(J13)),AND(J13&lt;&gt;0,J13&lt;&gt;1),NOT(ISNUMBER(K13)),L13="")),"Resolution evidence missing",IF(AND(I13="Resolved",D13&gt;K13),"Retroactive: not scored","Valid input")))))))))</x:f>
      </x:c>
    </x:row>
    <x:row r="14" ht="25" customHeight="1">
      <x:c r="A14" s="3"/>
      <x:c r="B14" s="3"/>
      <x:c r="C14" s="3"/>
      <x:c r="D14" s="25"/>
      <x:c r="E14" s="25"/>
      <x:c r="F14" s="3"/>
      <x:c r="G14" s="26"/>
      <x:c r="H14" s="26"/>
      <x:c r="I14" s="3"/>
      <x:c r="J14" s="22"/>
      <x:c r="K14" s="25"/>
      <x:c r="L14" s="3"/>
      <x:c r="M14" s="3"/>
      <x:c r="N14" s="24" t="str">
        <x:f>IF(AND(R14="Valid input",I14="Resolved",M14="Yes",ISNUMBER(G14)),(G14-J14)^2,"")</x:f>
      </x:c>
      <x:c r="O14" s="24" t="str">
        <x:f>IF(AND(ISNUMBER(N14),ISNUMBER(H14)),(H14-J14)^2,"")</x:f>
      </x:c>
      <x:c r="P14" s="24" t="str">
        <x:f>IF(AND(ISNUMBER(N14),ISNUMBER(O14)),O14-N14,"")</x:f>
      </x:c>
      <x:c r="Q14" s="3"/>
      <x:c r="R14" s="19" t="str">
        <x:f>IF(A14="","",IF(COUNTIFS('Predictions'!$A$7:$A$306,A14)&lt;&gt;1,"Duplicate ID",IF(COUNTIFS('Cases overview'!$A$7:$A$306,B14)&lt;&gt;1,"Invalid case ref",IF(COUNTIFS('Plan versions'!$A$7:$A$306,C14,'Plan versions'!$B$7:$B$306,B14,'Plan versions'!$L$7:$L$306,"Frozen")&lt;&gt;1,"Invalid plan ref",IF(OR(NOT(ISNUMBER(D14)),NOT(ISNUMBER(E14)),F14="",I14="",M14="",Q14=""),"Prediction info missing",IF(D14&gt;E14,"Not pre-registered before due",IF(OR(AND(G14&lt;&gt;"",OR(NOT(ISNUMBER(G14)),G14&lt;0,G14&gt;1)),AND(H14&lt;&gt;"",OR(NOT(ISNUMBER(H14)),H14&lt;0,H14&gt;1))),"Invalid probability",IF(AND(I14="Resolved",OR(NOT(ISNUMBER(J14)),AND(J14&lt;&gt;0,J14&lt;&gt;1),NOT(ISNUMBER(K14)),L14="")),"Resolution evidence missing",IF(AND(I14="Resolved",D14&gt;K14),"Retroactive: not scored","Valid input")))))))))</x:f>
      </x:c>
    </x:row>
    <x:row r="15" ht="25" customHeight="1">
      <x:c r="A15" s="3"/>
      <x:c r="B15" s="3"/>
      <x:c r="C15" s="3"/>
      <x:c r="D15" s="25"/>
      <x:c r="E15" s="25"/>
      <x:c r="F15" s="3"/>
      <x:c r="G15" s="26"/>
      <x:c r="H15" s="26"/>
      <x:c r="I15" s="3"/>
      <x:c r="J15" s="22"/>
      <x:c r="K15" s="25"/>
      <x:c r="L15" s="3"/>
      <x:c r="M15" s="3"/>
      <x:c r="N15" s="24" t="str">
        <x:f>IF(AND(R15="Valid input",I15="Resolved",M15="Yes",ISNUMBER(G15)),(G15-J15)^2,"")</x:f>
      </x:c>
      <x:c r="O15" s="24" t="str">
        <x:f>IF(AND(ISNUMBER(N15),ISNUMBER(H15)),(H15-J15)^2,"")</x:f>
      </x:c>
      <x:c r="P15" s="24" t="str">
        <x:f>IF(AND(ISNUMBER(N15),ISNUMBER(O15)),O15-N15,"")</x:f>
      </x:c>
      <x:c r="Q15" s="3"/>
      <x:c r="R15" s="19" t="str">
        <x:f>IF(A15="","",IF(COUNTIFS('Predictions'!$A$7:$A$306,A15)&lt;&gt;1,"Duplicate ID",IF(COUNTIFS('Cases overview'!$A$7:$A$306,B15)&lt;&gt;1,"Invalid case ref",IF(COUNTIFS('Plan versions'!$A$7:$A$306,C15,'Plan versions'!$B$7:$B$306,B15,'Plan versions'!$L$7:$L$306,"Frozen")&lt;&gt;1,"Invalid plan ref",IF(OR(NOT(ISNUMBER(D15)),NOT(ISNUMBER(E15)),F15="",I15="",M15="",Q15=""),"Prediction info missing",IF(D15&gt;E15,"Not pre-registered before due",IF(OR(AND(G15&lt;&gt;"",OR(NOT(ISNUMBER(G15)),G15&lt;0,G15&gt;1)),AND(H15&lt;&gt;"",OR(NOT(ISNUMBER(H15)),H15&lt;0,H15&gt;1))),"Invalid probability",IF(AND(I15="Resolved",OR(NOT(ISNUMBER(J15)),AND(J15&lt;&gt;0,J15&lt;&gt;1),NOT(ISNUMBER(K15)),L15="")),"Resolution evidence missing",IF(AND(I15="Resolved",D15&gt;K15),"Retroactive: not scored","Valid input")))))))))</x:f>
      </x:c>
    </x:row>
    <x:row r="16" ht="25" customHeight="1">
      <x:c r="A16" s="3"/>
      <x:c r="B16" s="3"/>
      <x:c r="C16" s="3"/>
      <x:c r="D16" s="25"/>
      <x:c r="E16" s="25"/>
      <x:c r="F16" s="3"/>
      <x:c r="G16" s="26"/>
      <x:c r="H16" s="26"/>
      <x:c r="I16" s="3"/>
      <x:c r="J16" s="22"/>
      <x:c r="K16" s="25"/>
      <x:c r="L16" s="3"/>
      <x:c r="M16" s="3"/>
      <x:c r="N16" s="24" t="str">
        <x:f>IF(AND(R16="Valid input",I16="Resolved",M16="Yes",ISNUMBER(G16)),(G16-J16)^2,"")</x:f>
      </x:c>
      <x:c r="O16" s="24" t="str">
        <x:f>IF(AND(ISNUMBER(N16),ISNUMBER(H16)),(H16-J16)^2,"")</x:f>
      </x:c>
      <x:c r="P16" s="24" t="str">
        <x:f>IF(AND(ISNUMBER(N16),ISNUMBER(O16)),O16-N16,"")</x:f>
      </x:c>
      <x:c r="Q16" s="3"/>
      <x:c r="R16" s="19" t="str">
        <x:f>IF(A16="","",IF(COUNTIFS('Predictions'!$A$7:$A$306,A16)&lt;&gt;1,"Duplicate ID",IF(COUNTIFS('Cases overview'!$A$7:$A$306,B16)&lt;&gt;1,"Invalid case ref",IF(COUNTIFS('Plan versions'!$A$7:$A$306,C16,'Plan versions'!$B$7:$B$306,B16,'Plan versions'!$L$7:$L$306,"Frozen")&lt;&gt;1,"Invalid plan ref",IF(OR(NOT(ISNUMBER(D16)),NOT(ISNUMBER(E16)),F16="",I16="",M16="",Q16=""),"Prediction info missing",IF(D16&gt;E16,"Not pre-registered before due",IF(OR(AND(G16&lt;&gt;"",OR(NOT(ISNUMBER(G16)),G16&lt;0,G16&gt;1)),AND(H16&lt;&gt;"",OR(NOT(ISNUMBER(H16)),H16&lt;0,H16&gt;1))),"Invalid probability",IF(AND(I16="Resolved",OR(NOT(ISNUMBER(J16)),AND(J16&lt;&gt;0,J16&lt;&gt;1),NOT(ISNUMBER(K16)),L16="")),"Resolution evidence missing",IF(AND(I16="Resolved",D16&gt;K16),"Retroactive: not scored","Valid input")))))))))</x:f>
      </x:c>
    </x:row>
    <x:row r="17" ht="25" customHeight="1">
      <x:c r="A17" s="3"/>
      <x:c r="B17" s="3"/>
      <x:c r="C17" s="3"/>
      <x:c r="D17" s="25"/>
      <x:c r="E17" s="25"/>
      <x:c r="F17" s="3"/>
      <x:c r="G17" s="26"/>
      <x:c r="H17" s="26"/>
      <x:c r="I17" s="3"/>
      <x:c r="J17" s="22"/>
      <x:c r="K17" s="25"/>
      <x:c r="L17" s="3"/>
      <x:c r="M17" s="3"/>
      <x:c r="N17" s="24" t="str">
        <x:f>IF(AND(R17="Valid input",I17="Resolved",M17="Yes",ISNUMBER(G17)),(G17-J17)^2,"")</x:f>
      </x:c>
      <x:c r="O17" s="24" t="str">
        <x:f>IF(AND(ISNUMBER(N17),ISNUMBER(H17)),(H17-J17)^2,"")</x:f>
      </x:c>
      <x:c r="P17" s="24" t="str">
        <x:f>IF(AND(ISNUMBER(N17),ISNUMBER(O17)),O17-N17,"")</x:f>
      </x:c>
      <x:c r="Q17" s="3"/>
      <x:c r="R17" s="19" t="str">
        <x:f>IF(A17="","",IF(COUNTIFS('Predictions'!$A$7:$A$306,A17)&lt;&gt;1,"Duplicate ID",IF(COUNTIFS('Cases overview'!$A$7:$A$306,B17)&lt;&gt;1,"Invalid case ref",IF(COUNTIFS('Plan versions'!$A$7:$A$306,C17,'Plan versions'!$B$7:$B$306,B17,'Plan versions'!$L$7:$L$306,"Frozen")&lt;&gt;1,"Invalid plan ref",IF(OR(NOT(ISNUMBER(D17)),NOT(ISNUMBER(E17)),F17="",I17="",M17="",Q17=""),"Prediction info missing",IF(D17&gt;E17,"Not pre-registered before due",IF(OR(AND(G17&lt;&gt;"",OR(NOT(ISNUMBER(G17)),G17&lt;0,G17&gt;1)),AND(H17&lt;&gt;"",OR(NOT(ISNUMBER(H17)),H17&lt;0,H17&gt;1))),"Invalid probability",IF(AND(I17="Resolved",OR(NOT(ISNUMBER(J17)),AND(J17&lt;&gt;0,J17&lt;&gt;1),NOT(ISNUMBER(K17)),L17="")),"Resolution evidence missing",IF(AND(I17="Resolved",D17&gt;K17),"Retroactive: not scored","Valid input")))))))))</x:f>
      </x:c>
    </x:row>
    <x:row r="18" ht="25" customHeight="1">
      <x:c r="A18" s="3"/>
      <x:c r="B18" s="3"/>
      <x:c r="C18" s="3"/>
      <x:c r="D18" s="25"/>
      <x:c r="E18" s="25"/>
      <x:c r="F18" s="3"/>
      <x:c r="G18" s="26"/>
      <x:c r="H18" s="26"/>
      <x:c r="I18" s="3"/>
      <x:c r="J18" s="22"/>
      <x:c r="K18" s="25"/>
      <x:c r="L18" s="3"/>
      <x:c r="M18" s="3"/>
      <x:c r="N18" s="24" t="str">
        <x:f>IF(AND(R18="Valid input",I18="Resolved",M18="Yes",ISNUMBER(G18)),(G18-J18)^2,"")</x:f>
      </x:c>
      <x:c r="O18" s="24" t="str">
        <x:f>IF(AND(ISNUMBER(N18),ISNUMBER(H18)),(H18-J18)^2,"")</x:f>
      </x:c>
      <x:c r="P18" s="24" t="str">
        <x:f>IF(AND(ISNUMBER(N18),ISNUMBER(O18)),O18-N18,"")</x:f>
      </x:c>
      <x:c r="Q18" s="3"/>
      <x:c r="R18" s="19" t="str">
        <x:f>IF(A18="","",IF(COUNTIFS('Predictions'!$A$7:$A$306,A18)&lt;&gt;1,"Duplicate ID",IF(COUNTIFS('Cases overview'!$A$7:$A$306,B18)&lt;&gt;1,"Invalid case ref",IF(COUNTIFS('Plan versions'!$A$7:$A$306,C18,'Plan versions'!$B$7:$B$306,B18,'Plan versions'!$L$7:$L$306,"Frozen")&lt;&gt;1,"Invalid plan ref",IF(OR(NOT(ISNUMBER(D18)),NOT(ISNUMBER(E18)),F18="",I18="",M18="",Q18=""),"Prediction info missing",IF(D18&gt;E18,"Not pre-registered before due",IF(OR(AND(G18&lt;&gt;"",OR(NOT(ISNUMBER(G18)),G18&lt;0,G18&gt;1)),AND(H18&lt;&gt;"",OR(NOT(ISNUMBER(H18)),H18&lt;0,H18&gt;1))),"Invalid probability",IF(AND(I18="Resolved",OR(NOT(ISNUMBER(J18)),AND(J18&lt;&gt;0,J18&lt;&gt;1),NOT(ISNUMBER(K18)),L18="")),"Resolution evidence missing",IF(AND(I18="Resolved",D18&gt;K18),"Retroactive: not scored","Valid input")))))))))</x:f>
      </x:c>
    </x:row>
    <x:row r="19" ht="25" customHeight="1">
      <x:c r="A19" s="3"/>
      <x:c r="B19" s="3"/>
      <x:c r="C19" s="3"/>
      <x:c r="D19" s="25"/>
      <x:c r="E19" s="25"/>
      <x:c r="F19" s="3"/>
      <x:c r="G19" s="26"/>
      <x:c r="H19" s="26"/>
      <x:c r="I19" s="3"/>
      <x:c r="J19" s="22"/>
      <x:c r="K19" s="25"/>
      <x:c r="L19" s="3"/>
      <x:c r="M19" s="3"/>
      <x:c r="N19" s="24" t="str">
        <x:f>IF(AND(R19="Valid input",I19="Resolved",M19="Yes",ISNUMBER(G19)),(G19-J19)^2,"")</x:f>
      </x:c>
      <x:c r="O19" s="24" t="str">
        <x:f>IF(AND(ISNUMBER(N19),ISNUMBER(H19)),(H19-J19)^2,"")</x:f>
      </x:c>
      <x:c r="P19" s="24" t="str">
        <x:f>IF(AND(ISNUMBER(N19),ISNUMBER(O19)),O19-N19,"")</x:f>
      </x:c>
      <x:c r="Q19" s="3"/>
      <x:c r="R19" s="19" t="str">
        <x:f>IF(A19="","",IF(COUNTIFS('Predictions'!$A$7:$A$306,A19)&lt;&gt;1,"Duplicate ID",IF(COUNTIFS('Cases overview'!$A$7:$A$306,B19)&lt;&gt;1,"Invalid case ref",IF(COUNTIFS('Plan versions'!$A$7:$A$306,C19,'Plan versions'!$B$7:$B$306,B19,'Plan versions'!$L$7:$L$306,"Frozen")&lt;&gt;1,"Invalid plan ref",IF(OR(NOT(ISNUMBER(D19)),NOT(ISNUMBER(E19)),F19="",I19="",M19="",Q19=""),"Prediction info missing",IF(D19&gt;E19,"Not pre-registered before due",IF(OR(AND(G19&lt;&gt;"",OR(NOT(ISNUMBER(G19)),G19&lt;0,G19&gt;1)),AND(H19&lt;&gt;"",OR(NOT(ISNUMBER(H19)),H19&lt;0,H19&gt;1))),"Invalid probability",IF(AND(I19="Resolved",OR(NOT(ISNUMBER(J19)),AND(J19&lt;&gt;0,J19&lt;&gt;1),NOT(ISNUMBER(K19)),L19="")),"Resolution evidence missing",IF(AND(I19="Resolved",D19&gt;K19),"Retroactive: not scored","Valid input")))))))))</x:f>
      </x:c>
    </x:row>
    <x:row r="20" ht="25" customHeight="1">
      <x:c r="A20" s="3"/>
      <x:c r="B20" s="3"/>
      <x:c r="C20" s="3"/>
      <x:c r="D20" s="25"/>
      <x:c r="E20" s="25"/>
      <x:c r="F20" s="3"/>
      <x:c r="G20" s="26"/>
      <x:c r="H20" s="26"/>
      <x:c r="I20" s="3"/>
      <x:c r="J20" s="22"/>
      <x:c r="K20" s="25"/>
      <x:c r="L20" s="3"/>
      <x:c r="M20" s="3"/>
      <x:c r="N20" s="24" t="str">
        <x:f>IF(AND(R20="Valid input",I20="Resolved",M20="Yes",ISNUMBER(G20)),(G20-J20)^2,"")</x:f>
      </x:c>
      <x:c r="O20" s="24" t="str">
        <x:f>IF(AND(ISNUMBER(N20),ISNUMBER(H20)),(H20-J20)^2,"")</x:f>
      </x:c>
      <x:c r="P20" s="24" t="str">
        <x:f>IF(AND(ISNUMBER(N20),ISNUMBER(O20)),O20-N20,"")</x:f>
      </x:c>
      <x:c r="Q20" s="3"/>
      <x:c r="R20" s="19" t="str">
        <x:f>IF(A20="","",IF(COUNTIFS('Predictions'!$A$7:$A$306,A20)&lt;&gt;1,"Duplicate ID",IF(COUNTIFS('Cases overview'!$A$7:$A$306,B20)&lt;&gt;1,"Invalid case ref",IF(COUNTIFS('Plan versions'!$A$7:$A$306,C20,'Plan versions'!$B$7:$B$306,B20,'Plan versions'!$L$7:$L$306,"Frozen")&lt;&gt;1,"Invalid plan ref",IF(OR(NOT(ISNUMBER(D20)),NOT(ISNUMBER(E20)),F20="",I20="",M20="",Q20=""),"Prediction info missing",IF(D20&gt;E20,"Not pre-registered before due",IF(OR(AND(G20&lt;&gt;"",OR(NOT(ISNUMBER(G20)),G20&lt;0,G20&gt;1)),AND(H20&lt;&gt;"",OR(NOT(ISNUMBER(H20)),H20&lt;0,H20&gt;1))),"Invalid probability",IF(AND(I20="Resolved",OR(NOT(ISNUMBER(J20)),AND(J20&lt;&gt;0,J20&lt;&gt;1),NOT(ISNUMBER(K20)),L20="")),"Resolution evidence missing",IF(AND(I20="Resolved",D20&gt;K20),"Retroactive: not scored","Valid input")))))))))</x:f>
      </x:c>
    </x:row>
    <x:row r="21" ht="25" customHeight="1">
      <x:c r="A21" s="3"/>
      <x:c r="B21" s="3"/>
      <x:c r="C21" s="3"/>
      <x:c r="D21" s="25"/>
      <x:c r="E21" s="25"/>
      <x:c r="F21" s="3"/>
      <x:c r="G21" s="26"/>
      <x:c r="H21" s="26"/>
      <x:c r="I21" s="3"/>
      <x:c r="J21" s="22"/>
      <x:c r="K21" s="25"/>
      <x:c r="L21" s="3"/>
      <x:c r="M21" s="3"/>
      <x:c r="N21" s="24" t="str">
        <x:f>IF(AND(R21="Valid input",I21="Resolved",M21="Yes",ISNUMBER(G21)),(G21-J21)^2,"")</x:f>
      </x:c>
      <x:c r="O21" s="24" t="str">
        <x:f>IF(AND(ISNUMBER(N21),ISNUMBER(H21)),(H21-J21)^2,"")</x:f>
      </x:c>
      <x:c r="P21" s="24" t="str">
        <x:f>IF(AND(ISNUMBER(N21),ISNUMBER(O21)),O21-N21,"")</x:f>
      </x:c>
      <x:c r="Q21" s="3"/>
      <x:c r="R21" s="19" t="str">
        <x:f>IF(A21="","",IF(COUNTIFS('Predictions'!$A$7:$A$306,A21)&lt;&gt;1,"Duplicate ID",IF(COUNTIFS('Cases overview'!$A$7:$A$306,B21)&lt;&gt;1,"Invalid case ref",IF(COUNTIFS('Plan versions'!$A$7:$A$306,C21,'Plan versions'!$B$7:$B$306,B21,'Plan versions'!$L$7:$L$306,"Frozen")&lt;&gt;1,"Invalid plan ref",IF(OR(NOT(ISNUMBER(D21)),NOT(ISNUMBER(E21)),F21="",I21="",M21="",Q21=""),"Prediction info missing",IF(D21&gt;E21,"Not pre-registered before due",IF(OR(AND(G21&lt;&gt;"",OR(NOT(ISNUMBER(G21)),G21&lt;0,G21&gt;1)),AND(H21&lt;&gt;"",OR(NOT(ISNUMBER(H21)),H21&lt;0,H21&gt;1))),"Invalid probability",IF(AND(I21="Resolved",OR(NOT(ISNUMBER(J21)),AND(J21&lt;&gt;0,J21&lt;&gt;1),NOT(ISNUMBER(K21)),L21="")),"Resolution evidence missing",IF(AND(I21="Resolved",D21&gt;K21),"Retroactive: not scored","Valid input")))))))))</x:f>
      </x:c>
    </x:row>
    <x:row r="22" ht="25" customHeight="1">
      <x:c r="A22" s="3"/>
      <x:c r="B22" s="3"/>
      <x:c r="C22" s="3"/>
      <x:c r="D22" s="25"/>
      <x:c r="E22" s="25"/>
      <x:c r="F22" s="3"/>
      <x:c r="G22" s="26"/>
      <x:c r="H22" s="26"/>
      <x:c r="I22" s="3"/>
      <x:c r="J22" s="22"/>
      <x:c r="K22" s="25"/>
      <x:c r="L22" s="3"/>
      <x:c r="M22" s="3"/>
      <x:c r="N22" s="24" t="str">
        <x:f>IF(AND(R22="Valid input",I22="Resolved",M22="Yes",ISNUMBER(G22)),(G22-J22)^2,"")</x:f>
      </x:c>
      <x:c r="O22" s="24" t="str">
        <x:f>IF(AND(ISNUMBER(N22),ISNUMBER(H22)),(H22-J22)^2,"")</x:f>
      </x:c>
      <x:c r="P22" s="24" t="str">
        <x:f>IF(AND(ISNUMBER(N22),ISNUMBER(O22)),O22-N22,"")</x:f>
      </x:c>
      <x:c r="Q22" s="3"/>
      <x:c r="R22" s="19" t="str">
        <x:f>IF(A22="","",IF(COUNTIFS('Predictions'!$A$7:$A$306,A22)&lt;&gt;1,"Duplicate ID",IF(COUNTIFS('Cases overview'!$A$7:$A$306,B22)&lt;&gt;1,"Invalid case ref",IF(COUNTIFS('Plan versions'!$A$7:$A$306,C22,'Plan versions'!$B$7:$B$306,B22,'Plan versions'!$L$7:$L$306,"Frozen")&lt;&gt;1,"Invalid plan ref",IF(OR(NOT(ISNUMBER(D22)),NOT(ISNUMBER(E22)),F22="",I22="",M22="",Q22=""),"Prediction info missing",IF(D22&gt;E22,"Not pre-registered before due",IF(OR(AND(G22&lt;&gt;"",OR(NOT(ISNUMBER(G22)),G22&lt;0,G22&gt;1)),AND(H22&lt;&gt;"",OR(NOT(ISNUMBER(H22)),H22&lt;0,H22&gt;1))),"Invalid probability",IF(AND(I22="Resolved",OR(NOT(ISNUMBER(J22)),AND(J22&lt;&gt;0,J22&lt;&gt;1),NOT(ISNUMBER(K22)),L22="")),"Resolution evidence missing",IF(AND(I22="Resolved",D22&gt;K22),"Retroactive: not scored","Valid input")))))))))</x:f>
      </x:c>
    </x:row>
    <x:row r="23" ht="25" customHeight="1">
      <x:c r="A23" s="3"/>
      <x:c r="B23" s="3"/>
      <x:c r="C23" s="3"/>
      <x:c r="D23" s="25"/>
      <x:c r="E23" s="25"/>
      <x:c r="F23" s="3"/>
      <x:c r="G23" s="26"/>
      <x:c r="H23" s="26"/>
      <x:c r="I23" s="3"/>
      <x:c r="J23" s="22"/>
      <x:c r="K23" s="25"/>
      <x:c r="L23" s="3"/>
      <x:c r="M23" s="3"/>
      <x:c r="N23" s="24" t="str">
        <x:f>IF(AND(R23="Valid input",I23="Resolved",M23="Yes",ISNUMBER(G23)),(G23-J23)^2,"")</x:f>
      </x:c>
      <x:c r="O23" s="24" t="str">
        <x:f>IF(AND(ISNUMBER(N23),ISNUMBER(H23)),(H23-J23)^2,"")</x:f>
      </x:c>
      <x:c r="P23" s="24" t="str">
        <x:f>IF(AND(ISNUMBER(N23),ISNUMBER(O23)),O23-N23,"")</x:f>
      </x:c>
      <x:c r="Q23" s="3"/>
      <x:c r="R23" s="19" t="str">
        <x:f>IF(A23="","",IF(COUNTIFS('Predictions'!$A$7:$A$306,A23)&lt;&gt;1,"Duplicate ID",IF(COUNTIFS('Cases overview'!$A$7:$A$306,B23)&lt;&gt;1,"Invalid case ref",IF(COUNTIFS('Plan versions'!$A$7:$A$306,C23,'Plan versions'!$B$7:$B$306,B23,'Plan versions'!$L$7:$L$306,"Frozen")&lt;&gt;1,"Invalid plan ref",IF(OR(NOT(ISNUMBER(D23)),NOT(ISNUMBER(E23)),F23="",I23="",M23="",Q23=""),"Prediction info missing",IF(D23&gt;E23,"Not pre-registered before due",IF(OR(AND(G23&lt;&gt;"",OR(NOT(ISNUMBER(G23)),G23&lt;0,G23&gt;1)),AND(H23&lt;&gt;"",OR(NOT(ISNUMBER(H23)),H23&lt;0,H23&gt;1))),"Invalid probability",IF(AND(I23="Resolved",OR(NOT(ISNUMBER(J23)),AND(J23&lt;&gt;0,J23&lt;&gt;1),NOT(ISNUMBER(K23)),L23="")),"Resolution evidence missing",IF(AND(I23="Resolved",D23&gt;K23),"Retroactive: not scored","Valid input")))))))))</x:f>
      </x:c>
    </x:row>
    <x:row r="24" ht="25" customHeight="1">
      <x:c r="A24" s="3"/>
      <x:c r="B24" s="3"/>
      <x:c r="C24" s="3"/>
      <x:c r="D24" s="25"/>
      <x:c r="E24" s="25"/>
      <x:c r="F24" s="3"/>
      <x:c r="G24" s="26"/>
      <x:c r="H24" s="26"/>
      <x:c r="I24" s="3"/>
      <x:c r="J24" s="22"/>
      <x:c r="K24" s="25"/>
      <x:c r="L24" s="3"/>
      <x:c r="M24" s="3"/>
      <x:c r="N24" s="24" t="str">
        <x:f>IF(AND(R24="Valid input",I24="Resolved",M24="Yes",ISNUMBER(G24)),(G24-J24)^2,"")</x:f>
      </x:c>
      <x:c r="O24" s="24" t="str">
        <x:f>IF(AND(ISNUMBER(N24),ISNUMBER(H24)),(H24-J24)^2,"")</x:f>
      </x:c>
      <x:c r="P24" s="24" t="str">
        <x:f>IF(AND(ISNUMBER(N24),ISNUMBER(O24)),O24-N24,"")</x:f>
      </x:c>
      <x:c r="Q24" s="3"/>
      <x:c r="R24" s="19" t="str">
        <x:f>IF(A24="","",IF(COUNTIFS('Predictions'!$A$7:$A$306,A24)&lt;&gt;1,"Duplicate ID",IF(COUNTIFS('Cases overview'!$A$7:$A$306,B24)&lt;&gt;1,"Invalid case ref",IF(COUNTIFS('Plan versions'!$A$7:$A$306,C24,'Plan versions'!$B$7:$B$306,B24,'Plan versions'!$L$7:$L$306,"Frozen")&lt;&gt;1,"Invalid plan ref",IF(OR(NOT(ISNUMBER(D24)),NOT(ISNUMBER(E24)),F24="",I24="",M24="",Q24=""),"Prediction info missing",IF(D24&gt;E24,"Not pre-registered before due",IF(OR(AND(G24&lt;&gt;"",OR(NOT(ISNUMBER(G24)),G24&lt;0,G24&gt;1)),AND(H24&lt;&gt;"",OR(NOT(ISNUMBER(H24)),H24&lt;0,H24&gt;1))),"Invalid probability",IF(AND(I24="Resolved",OR(NOT(ISNUMBER(J24)),AND(J24&lt;&gt;0,J24&lt;&gt;1),NOT(ISNUMBER(K24)),L24="")),"Resolution evidence missing",IF(AND(I24="Resolved",D24&gt;K24),"Retroactive: not scored","Valid input")))))))))</x:f>
      </x:c>
    </x:row>
    <x:row r="25" ht="25" customHeight="1">
      <x:c r="A25" s="3"/>
      <x:c r="B25" s="3"/>
      <x:c r="C25" s="3"/>
      <x:c r="D25" s="25"/>
      <x:c r="E25" s="25"/>
      <x:c r="F25" s="3"/>
      <x:c r="G25" s="26"/>
      <x:c r="H25" s="26"/>
      <x:c r="I25" s="3"/>
      <x:c r="J25" s="22"/>
      <x:c r="K25" s="25"/>
      <x:c r="L25" s="3"/>
      <x:c r="M25" s="3"/>
      <x:c r="N25" s="24" t="str">
        <x:f>IF(AND(R25="Valid input",I25="Resolved",M25="Yes",ISNUMBER(G25)),(G25-J25)^2,"")</x:f>
      </x:c>
      <x:c r="O25" s="24" t="str">
        <x:f>IF(AND(ISNUMBER(N25),ISNUMBER(H25)),(H25-J25)^2,"")</x:f>
      </x:c>
      <x:c r="P25" s="24" t="str">
        <x:f>IF(AND(ISNUMBER(N25),ISNUMBER(O25)),O25-N25,"")</x:f>
      </x:c>
      <x:c r="Q25" s="3"/>
      <x:c r="R25" s="19" t="str">
        <x:f>IF(A25="","",IF(COUNTIFS('Predictions'!$A$7:$A$306,A25)&lt;&gt;1,"Duplicate ID",IF(COUNTIFS('Cases overview'!$A$7:$A$306,B25)&lt;&gt;1,"Invalid case ref",IF(COUNTIFS('Plan versions'!$A$7:$A$306,C25,'Plan versions'!$B$7:$B$306,B25,'Plan versions'!$L$7:$L$306,"Frozen")&lt;&gt;1,"Invalid plan ref",IF(OR(NOT(ISNUMBER(D25)),NOT(ISNUMBER(E25)),F25="",I25="",M25="",Q25=""),"Prediction info missing",IF(D25&gt;E25,"Not pre-registered before due",IF(OR(AND(G25&lt;&gt;"",OR(NOT(ISNUMBER(G25)),G25&lt;0,G25&gt;1)),AND(H25&lt;&gt;"",OR(NOT(ISNUMBER(H25)),H25&lt;0,H25&gt;1))),"Invalid probability",IF(AND(I25="Resolved",OR(NOT(ISNUMBER(J25)),AND(J25&lt;&gt;0,J25&lt;&gt;1),NOT(ISNUMBER(K25)),L25="")),"Resolution evidence missing",IF(AND(I25="Resolved",D25&gt;K25),"Retroactive: not scored","Valid input")))))))))</x:f>
      </x:c>
    </x:row>
    <x:row r="26" ht="25" customHeight="1">
      <x:c r="A26" s="3"/>
      <x:c r="B26" s="3"/>
      <x:c r="C26" s="3"/>
      <x:c r="D26" s="25"/>
      <x:c r="E26" s="25"/>
      <x:c r="F26" s="3"/>
      <x:c r="G26" s="26"/>
      <x:c r="H26" s="26"/>
      <x:c r="I26" s="3"/>
      <x:c r="J26" s="22"/>
      <x:c r="K26" s="25"/>
      <x:c r="L26" s="3"/>
      <x:c r="M26" s="3"/>
      <x:c r="N26" s="24" t="str">
        <x:f>IF(AND(R26="Valid input",I26="Resolved",M26="Yes",ISNUMBER(G26)),(G26-J26)^2,"")</x:f>
      </x:c>
      <x:c r="O26" s="24" t="str">
        <x:f>IF(AND(ISNUMBER(N26),ISNUMBER(H26)),(H26-J26)^2,"")</x:f>
      </x:c>
      <x:c r="P26" s="24" t="str">
        <x:f>IF(AND(ISNUMBER(N26),ISNUMBER(O26)),O26-N26,"")</x:f>
      </x:c>
      <x:c r="Q26" s="3"/>
      <x:c r="R26" s="19" t="str">
        <x:f>IF(A26="","",IF(COUNTIFS('Predictions'!$A$7:$A$306,A26)&lt;&gt;1,"Duplicate ID",IF(COUNTIFS('Cases overview'!$A$7:$A$306,B26)&lt;&gt;1,"Invalid case ref",IF(COUNTIFS('Plan versions'!$A$7:$A$306,C26,'Plan versions'!$B$7:$B$306,B26,'Plan versions'!$L$7:$L$306,"Frozen")&lt;&gt;1,"Invalid plan ref",IF(OR(NOT(ISNUMBER(D26)),NOT(ISNUMBER(E26)),F26="",I26="",M26="",Q26=""),"Prediction info missing",IF(D26&gt;E26,"Not pre-registered before due",IF(OR(AND(G26&lt;&gt;"",OR(NOT(ISNUMBER(G26)),G26&lt;0,G26&gt;1)),AND(H26&lt;&gt;"",OR(NOT(ISNUMBER(H26)),H26&lt;0,H26&gt;1))),"Invalid probability",IF(AND(I26="Resolved",OR(NOT(ISNUMBER(J26)),AND(J26&lt;&gt;0,J26&lt;&gt;1),NOT(ISNUMBER(K26)),L26="")),"Resolution evidence missing",IF(AND(I26="Resolved",D26&gt;K26),"Retroactive: not scored","Valid input")))))))))</x:f>
      </x:c>
    </x:row>
    <x:row r="27" ht="25" customHeight="1">
      <x:c r="A27" s="3"/>
      <x:c r="B27" s="3"/>
      <x:c r="C27" s="3"/>
      <x:c r="D27" s="25"/>
      <x:c r="E27" s="25"/>
      <x:c r="F27" s="3"/>
      <x:c r="G27" s="26"/>
      <x:c r="H27" s="26"/>
      <x:c r="I27" s="3"/>
      <x:c r="J27" s="22"/>
      <x:c r="K27" s="25"/>
      <x:c r="L27" s="3"/>
      <x:c r="M27" s="3"/>
      <x:c r="N27" s="24" t="str">
        <x:f>IF(AND(R27="Valid input",I27="Resolved",M27="Yes",ISNUMBER(G27)),(G27-J27)^2,"")</x:f>
      </x:c>
      <x:c r="O27" s="24" t="str">
        <x:f>IF(AND(ISNUMBER(N27),ISNUMBER(H27)),(H27-J27)^2,"")</x:f>
      </x:c>
      <x:c r="P27" s="24" t="str">
        <x:f>IF(AND(ISNUMBER(N27),ISNUMBER(O27)),O27-N27,"")</x:f>
      </x:c>
      <x:c r="Q27" s="3"/>
      <x:c r="R27" s="19" t="str">
        <x:f>IF(A27="","",IF(COUNTIFS('Predictions'!$A$7:$A$306,A27)&lt;&gt;1,"Duplicate ID",IF(COUNTIFS('Cases overview'!$A$7:$A$306,B27)&lt;&gt;1,"Invalid case ref",IF(COUNTIFS('Plan versions'!$A$7:$A$306,C27,'Plan versions'!$B$7:$B$306,B27,'Plan versions'!$L$7:$L$306,"Frozen")&lt;&gt;1,"Invalid plan ref",IF(OR(NOT(ISNUMBER(D27)),NOT(ISNUMBER(E27)),F27="",I27="",M27="",Q27=""),"Prediction info missing",IF(D27&gt;E27,"Not pre-registered before due",IF(OR(AND(G27&lt;&gt;"",OR(NOT(ISNUMBER(G27)),G27&lt;0,G27&gt;1)),AND(H27&lt;&gt;"",OR(NOT(ISNUMBER(H27)),H27&lt;0,H27&gt;1))),"Invalid probability",IF(AND(I27="Resolved",OR(NOT(ISNUMBER(J27)),AND(J27&lt;&gt;0,J27&lt;&gt;1),NOT(ISNUMBER(K27)),L27="")),"Resolution evidence missing",IF(AND(I27="Resolved",D27&gt;K27),"Retroactive: not scored","Valid input")))))))))</x:f>
      </x:c>
    </x:row>
    <x:row r="28" ht="25" customHeight="1">
      <x:c r="A28" s="3"/>
      <x:c r="B28" s="3"/>
      <x:c r="C28" s="3"/>
      <x:c r="D28" s="25"/>
      <x:c r="E28" s="25"/>
      <x:c r="F28" s="3"/>
      <x:c r="G28" s="26"/>
      <x:c r="H28" s="26"/>
      <x:c r="I28" s="3"/>
      <x:c r="J28" s="22"/>
      <x:c r="K28" s="25"/>
      <x:c r="L28" s="3"/>
      <x:c r="M28" s="3"/>
      <x:c r="N28" s="24" t="str">
        <x:f>IF(AND(R28="Valid input",I28="Resolved",M28="Yes",ISNUMBER(G28)),(G28-J28)^2,"")</x:f>
      </x:c>
      <x:c r="O28" s="24" t="str">
        <x:f>IF(AND(ISNUMBER(N28),ISNUMBER(H28)),(H28-J28)^2,"")</x:f>
      </x:c>
      <x:c r="P28" s="24" t="str">
        <x:f>IF(AND(ISNUMBER(N28),ISNUMBER(O28)),O28-N28,"")</x:f>
      </x:c>
      <x:c r="Q28" s="3"/>
      <x:c r="R28" s="19" t="str">
        <x:f>IF(A28="","",IF(COUNTIFS('Predictions'!$A$7:$A$306,A28)&lt;&gt;1,"Duplicate ID",IF(COUNTIFS('Cases overview'!$A$7:$A$306,B28)&lt;&gt;1,"Invalid case ref",IF(COUNTIFS('Plan versions'!$A$7:$A$306,C28,'Plan versions'!$B$7:$B$306,B28,'Plan versions'!$L$7:$L$306,"Frozen")&lt;&gt;1,"Invalid plan ref",IF(OR(NOT(ISNUMBER(D28)),NOT(ISNUMBER(E28)),F28="",I28="",M28="",Q28=""),"Prediction info missing",IF(D28&gt;E28,"Not pre-registered before due",IF(OR(AND(G28&lt;&gt;"",OR(NOT(ISNUMBER(G28)),G28&lt;0,G28&gt;1)),AND(H28&lt;&gt;"",OR(NOT(ISNUMBER(H28)),H28&lt;0,H28&gt;1))),"Invalid probability",IF(AND(I28="Resolved",OR(NOT(ISNUMBER(J28)),AND(J28&lt;&gt;0,J28&lt;&gt;1),NOT(ISNUMBER(K28)),L28="")),"Resolution evidence missing",IF(AND(I28="Resolved",D28&gt;K28),"Retroactive: not scored","Valid input")))))))))</x:f>
      </x:c>
    </x:row>
    <x:row r="29" ht="25" customHeight="1">
      <x:c r="A29" s="3"/>
      <x:c r="B29" s="3"/>
      <x:c r="C29" s="3"/>
      <x:c r="D29" s="25"/>
      <x:c r="E29" s="25"/>
      <x:c r="F29" s="3"/>
      <x:c r="G29" s="26"/>
      <x:c r="H29" s="26"/>
      <x:c r="I29" s="3"/>
      <x:c r="J29" s="22"/>
      <x:c r="K29" s="25"/>
      <x:c r="L29" s="3"/>
      <x:c r="M29" s="3"/>
      <x:c r="N29" s="24" t="str">
        <x:f>IF(AND(R29="Valid input",I29="Resolved",M29="Yes",ISNUMBER(G29)),(G29-J29)^2,"")</x:f>
      </x:c>
      <x:c r="O29" s="24" t="str">
        <x:f>IF(AND(ISNUMBER(N29),ISNUMBER(H29)),(H29-J29)^2,"")</x:f>
      </x:c>
      <x:c r="P29" s="24" t="str">
        <x:f>IF(AND(ISNUMBER(N29),ISNUMBER(O29)),O29-N29,"")</x:f>
      </x:c>
      <x:c r="Q29" s="3"/>
      <x:c r="R29" s="19" t="str">
        <x:f>IF(A29="","",IF(COUNTIFS('Predictions'!$A$7:$A$306,A29)&lt;&gt;1,"Duplicate ID",IF(COUNTIFS('Cases overview'!$A$7:$A$306,B29)&lt;&gt;1,"Invalid case ref",IF(COUNTIFS('Plan versions'!$A$7:$A$306,C29,'Plan versions'!$B$7:$B$306,B29,'Plan versions'!$L$7:$L$306,"Frozen")&lt;&gt;1,"Invalid plan ref",IF(OR(NOT(ISNUMBER(D29)),NOT(ISNUMBER(E29)),F29="",I29="",M29="",Q29=""),"Prediction info missing",IF(D29&gt;E29,"Not pre-registered before due",IF(OR(AND(G29&lt;&gt;"",OR(NOT(ISNUMBER(G29)),G29&lt;0,G29&gt;1)),AND(H29&lt;&gt;"",OR(NOT(ISNUMBER(H29)),H29&lt;0,H29&gt;1))),"Invalid probability",IF(AND(I29="Resolved",OR(NOT(ISNUMBER(J29)),AND(J29&lt;&gt;0,J29&lt;&gt;1),NOT(ISNUMBER(K29)),L29="")),"Resolution evidence missing",IF(AND(I29="Resolved",D29&gt;K29),"Retroactive: not scored","Valid input")))))))))</x:f>
      </x:c>
    </x:row>
    <x:row r="30" ht="25" customHeight="1">
      <x:c r="A30" s="3"/>
      <x:c r="B30" s="3"/>
      <x:c r="C30" s="3"/>
      <x:c r="D30" s="25"/>
      <x:c r="E30" s="25"/>
      <x:c r="F30" s="3"/>
      <x:c r="G30" s="26"/>
      <x:c r="H30" s="26"/>
      <x:c r="I30" s="3"/>
      <x:c r="J30" s="22"/>
      <x:c r="K30" s="25"/>
      <x:c r="L30" s="3"/>
      <x:c r="M30" s="3"/>
      <x:c r="N30" s="24" t="str">
        <x:f>IF(AND(R30="Valid input",I30="Resolved",M30="Yes",ISNUMBER(G30)),(G30-J30)^2,"")</x:f>
      </x:c>
      <x:c r="O30" s="24" t="str">
        <x:f>IF(AND(ISNUMBER(N30),ISNUMBER(H30)),(H30-J30)^2,"")</x:f>
      </x:c>
      <x:c r="P30" s="24" t="str">
        <x:f>IF(AND(ISNUMBER(N30),ISNUMBER(O30)),O30-N30,"")</x:f>
      </x:c>
      <x:c r="Q30" s="3"/>
      <x:c r="R30" s="19" t="str">
        <x:f>IF(A30="","",IF(COUNTIFS('Predictions'!$A$7:$A$306,A30)&lt;&gt;1,"Duplicate ID",IF(COUNTIFS('Cases overview'!$A$7:$A$306,B30)&lt;&gt;1,"Invalid case ref",IF(COUNTIFS('Plan versions'!$A$7:$A$306,C30,'Plan versions'!$B$7:$B$306,B30,'Plan versions'!$L$7:$L$306,"Frozen")&lt;&gt;1,"Invalid plan ref",IF(OR(NOT(ISNUMBER(D30)),NOT(ISNUMBER(E30)),F30="",I30="",M30="",Q30=""),"Prediction info missing",IF(D30&gt;E30,"Not pre-registered before due",IF(OR(AND(G30&lt;&gt;"",OR(NOT(ISNUMBER(G30)),G30&lt;0,G30&gt;1)),AND(H30&lt;&gt;"",OR(NOT(ISNUMBER(H30)),H30&lt;0,H30&gt;1))),"Invalid probability",IF(AND(I30="Resolved",OR(NOT(ISNUMBER(J30)),AND(J30&lt;&gt;0,J30&lt;&gt;1),NOT(ISNUMBER(K30)),L30="")),"Resolution evidence missing",IF(AND(I30="Resolved",D30&gt;K30),"Retroactive: not scored","Valid input")))))))))</x:f>
      </x:c>
    </x:row>
    <x:row r="31" ht="25" customHeight="1">
      <x:c r="A31" s="3"/>
      <x:c r="B31" s="3"/>
      <x:c r="C31" s="3"/>
      <x:c r="D31" s="25"/>
      <x:c r="E31" s="25"/>
      <x:c r="F31" s="3"/>
      <x:c r="G31" s="26"/>
      <x:c r="H31" s="26"/>
      <x:c r="I31" s="3"/>
      <x:c r="J31" s="22"/>
      <x:c r="K31" s="25"/>
      <x:c r="L31" s="3"/>
      <x:c r="M31" s="3"/>
      <x:c r="N31" s="24" t="str">
        <x:f>IF(AND(R31="Valid input",I31="Resolved",M31="Yes",ISNUMBER(G31)),(G31-J31)^2,"")</x:f>
      </x:c>
      <x:c r="O31" s="24" t="str">
        <x:f>IF(AND(ISNUMBER(N31),ISNUMBER(H31)),(H31-J31)^2,"")</x:f>
      </x:c>
      <x:c r="P31" s="24" t="str">
        <x:f>IF(AND(ISNUMBER(N31),ISNUMBER(O31)),O31-N31,"")</x:f>
      </x:c>
      <x:c r="Q31" s="3"/>
      <x:c r="R31" s="19" t="str">
        <x:f>IF(A31="","",IF(COUNTIFS('Predictions'!$A$7:$A$306,A31)&lt;&gt;1,"Duplicate ID",IF(COUNTIFS('Cases overview'!$A$7:$A$306,B31)&lt;&gt;1,"Invalid case ref",IF(COUNTIFS('Plan versions'!$A$7:$A$306,C31,'Plan versions'!$B$7:$B$306,B31,'Plan versions'!$L$7:$L$306,"Frozen")&lt;&gt;1,"Invalid plan ref",IF(OR(NOT(ISNUMBER(D31)),NOT(ISNUMBER(E31)),F31="",I31="",M31="",Q31=""),"Prediction info missing",IF(D31&gt;E31,"Not pre-registered before due",IF(OR(AND(G31&lt;&gt;"",OR(NOT(ISNUMBER(G31)),G31&lt;0,G31&gt;1)),AND(H31&lt;&gt;"",OR(NOT(ISNUMBER(H31)),H31&lt;0,H31&gt;1))),"Invalid probability",IF(AND(I31="Resolved",OR(NOT(ISNUMBER(J31)),AND(J31&lt;&gt;0,J31&lt;&gt;1),NOT(ISNUMBER(K31)),L31="")),"Resolution evidence missing",IF(AND(I31="Resolved",D31&gt;K31),"Retroactive: not scored","Valid input")))))))))</x:f>
      </x:c>
    </x:row>
    <x:row r="32" ht="25" customHeight="1">
      <x:c r="A32" s="3"/>
      <x:c r="B32" s="3"/>
      <x:c r="C32" s="3"/>
      <x:c r="D32" s="25"/>
      <x:c r="E32" s="25"/>
      <x:c r="F32" s="3"/>
      <x:c r="G32" s="26"/>
      <x:c r="H32" s="26"/>
      <x:c r="I32" s="3"/>
      <x:c r="J32" s="22"/>
      <x:c r="K32" s="25"/>
      <x:c r="L32" s="3"/>
      <x:c r="M32" s="3"/>
      <x:c r="N32" s="24" t="str">
        <x:f>IF(AND(R32="Valid input",I32="Resolved",M32="Yes",ISNUMBER(G32)),(G32-J32)^2,"")</x:f>
      </x:c>
      <x:c r="O32" s="24" t="str">
        <x:f>IF(AND(ISNUMBER(N32),ISNUMBER(H32)),(H32-J32)^2,"")</x:f>
      </x:c>
      <x:c r="P32" s="24" t="str">
        <x:f>IF(AND(ISNUMBER(N32),ISNUMBER(O32)),O32-N32,"")</x:f>
      </x:c>
      <x:c r="Q32" s="3"/>
      <x:c r="R32" s="19" t="str">
        <x:f>IF(A32="","",IF(COUNTIFS('Predictions'!$A$7:$A$306,A32)&lt;&gt;1,"Duplicate ID",IF(COUNTIFS('Cases overview'!$A$7:$A$306,B32)&lt;&gt;1,"Invalid case ref",IF(COUNTIFS('Plan versions'!$A$7:$A$306,C32,'Plan versions'!$B$7:$B$306,B32,'Plan versions'!$L$7:$L$306,"Frozen")&lt;&gt;1,"Invalid plan ref",IF(OR(NOT(ISNUMBER(D32)),NOT(ISNUMBER(E32)),F32="",I32="",M32="",Q32=""),"Prediction info missing",IF(D32&gt;E32,"Not pre-registered before due",IF(OR(AND(G32&lt;&gt;"",OR(NOT(ISNUMBER(G32)),G32&lt;0,G32&gt;1)),AND(H32&lt;&gt;"",OR(NOT(ISNUMBER(H32)),H32&lt;0,H32&gt;1))),"Invalid probability",IF(AND(I32="Resolved",OR(NOT(ISNUMBER(J32)),AND(J32&lt;&gt;0,J32&lt;&gt;1),NOT(ISNUMBER(K32)),L32="")),"Resolution evidence missing",IF(AND(I32="Resolved",D32&gt;K32),"Retroactive: not scored","Valid input")))))))))</x:f>
      </x:c>
    </x:row>
    <x:row r="33" ht="25" customHeight="1">
      <x:c r="A33" s="3"/>
      <x:c r="B33" s="3"/>
      <x:c r="C33" s="3"/>
      <x:c r="D33" s="25"/>
      <x:c r="E33" s="25"/>
      <x:c r="F33" s="3"/>
      <x:c r="G33" s="26"/>
      <x:c r="H33" s="26"/>
      <x:c r="I33" s="3"/>
      <x:c r="J33" s="22"/>
      <x:c r="K33" s="25"/>
      <x:c r="L33" s="3"/>
      <x:c r="M33" s="3"/>
      <x:c r="N33" s="24" t="str">
        <x:f>IF(AND(R33="Valid input",I33="Resolved",M33="Yes",ISNUMBER(G33)),(G33-J33)^2,"")</x:f>
      </x:c>
      <x:c r="O33" s="24" t="str">
        <x:f>IF(AND(ISNUMBER(N33),ISNUMBER(H33)),(H33-J33)^2,"")</x:f>
      </x:c>
      <x:c r="P33" s="24" t="str">
        <x:f>IF(AND(ISNUMBER(N33),ISNUMBER(O33)),O33-N33,"")</x:f>
      </x:c>
      <x:c r="Q33" s="3"/>
      <x:c r="R33" s="19" t="str">
        <x:f>IF(A33="","",IF(COUNTIFS('Predictions'!$A$7:$A$306,A33)&lt;&gt;1,"Duplicate ID",IF(COUNTIFS('Cases overview'!$A$7:$A$306,B33)&lt;&gt;1,"Invalid case ref",IF(COUNTIFS('Plan versions'!$A$7:$A$306,C33,'Plan versions'!$B$7:$B$306,B33,'Plan versions'!$L$7:$L$306,"Frozen")&lt;&gt;1,"Invalid plan ref",IF(OR(NOT(ISNUMBER(D33)),NOT(ISNUMBER(E33)),F33="",I33="",M33="",Q33=""),"Prediction info missing",IF(D33&gt;E33,"Not pre-registered before due",IF(OR(AND(G33&lt;&gt;"",OR(NOT(ISNUMBER(G33)),G33&lt;0,G33&gt;1)),AND(H33&lt;&gt;"",OR(NOT(ISNUMBER(H33)),H33&lt;0,H33&gt;1))),"Invalid probability",IF(AND(I33="Resolved",OR(NOT(ISNUMBER(J33)),AND(J33&lt;&gt;0,J33&lt;&gt;1),NOT(ISNUMBER(K33)),L33="")),"Resolution evidence missing",IF(AND(I33="Resolved",D33&gt;K33),"Retroactive: not scored","Valid input")))))))))</x:f>
      </x:c>
    </x:row>
    <x:row r="34" ht="25" customHeight="1">
      <x:c r="A34" s="3"/>
      <x:c r="B34" s="3"/>
      <x:c r="C34" s="3"/>
      <x:c r="D34" s="25"/>
      <x:c r="E34" s="25"/>
      <x:c r="F34" s="3"/>
      <x:c r="G34" s="26"/>
      <x:c r="H34" s="26"/>
      <x:c r="I34" s="3"/>
      <x:c r="J34" s="22"/>
      <x:c r="K34" s="25"/>
      <x:c r="L34" s="3"/>
      <x:c r="M34" s="3"/>
      <x:c r="N34" s="24" t="str">
        <x:f>IF(AND(R34="Valid input",I34="Resolved",M34="Yes",ISNUMBER(G34)),(G34-J34)^2,"")</x:f>
      </x:c>
      <x:c r="O34" s="24" t="str">
        <x:f>IF(AND(ISNUMBER(N34),ISNUMBER(H34)),(H34-J34)^2,"")</x:f>
      </x:c>
      <x:c r="P34" s="24" t="str">
        <x:f>IF(AND(ISNUMBER(N34),ISNUMBER(O34)),O34-N34,"")</x:f>
      </x:c>
      <x:c r="Q34" s="3"/>
      <x:c r="R34" s="19" t="str">
        <x:f>IF(A34="","",IF(COUNTIFS('Predictions'!$A$7:$A$306,A34)&lt;&gt;1,"Duplicate ID",IF(COUNTIFS('Cases overview'!$A$7:$A$306,B34)&lt;&gt;1,"Invalid case ref",IF(COUNTIFS('Plan versions'!$A$7:$A$306,C34,'Plan versions'!$B$7:$B$306,B34,'Plan versions'!$L$7:$L$306,"Frozen")&lt;&gt;1,"Invalid plan ref",IF(OR(NOT(ISNUMBER(D34)),NOT(ISNUMBER(E34)),F34="",I34="",M34="",Q34=""),"Prediction info missing",IF(D34&gt;E34,"Not pre-registered before due",IF(OR(AND(G34&lt;&gt;"",OR(NOT(ISNUMBER(G34)),G34&lt;0,G34&gt;1)),AND(H34&lt;&gt;"",OR(NOT(ISNUMBER(H34)),H34&lt;0,H34&gt;1))),"Invalid probability",IF(AND(I34="Resolved",OR(NOT(ISNUMBER(J34)),AND(J34&lt;&gt;0,J34&lt;&gt;1),NOT(ISNUMBER(K34)),L34="")),"Resolution evidence missing",IF(AND(I34="Resolved",D34&gt;K34),"Retroactive: not scored","Valid input")))))))))</x:f>
      </x:c>
    </x:row>
    <x:row r="35" ht="25" customHeight="1">
      <x:c r="A35" s="3"/>
      <x:c r="B35" s="3"/>
      <x:c r="C35" s="3"/>
      <x:c r="D35" s="25"/>
      <x:c r="E35" s="25"/>
      <x:c r="F35" s="3"/>
      <x:c r="G35" s="26"/>
      <x:c r="H35" s="26"/>
      <x:c r="I35" s="3"/>
      <x:c r="J35" s="22"/>
      <x:c r="K35" s="25"/>
      <x:c r="L35" s="3"/>
      <x:c r="M35" s="3"/>
      <x:c r="N35" s="24" t="str">
        <x:f>IF(AND(R35="Valid input",I35="Resolved",M35="Yes",ISNUMBER(G35)),(G35-J35)^2,"")</x:f>
      </x:c>
      <x:c r="O35" s="24" t="str">
        <x:f>IF(AND(ISNUMBER(N35),ISNUMBER(H35)),(H35-J35)^2,"")</x:f>
      </x:c>
      <x:c r="P35" s="24" t="str">
        <x:f>IF(AND(ISNUMBER(N35),ISNUMBER(O35)),O35-N35,"")</x:f>
      </x:c>
      <x:c r="Q35" s="3"/>
      <x:c r="R35" s="19" t="str">
        <x:f>IF(A35="","",IF(COUNTIFS('Predictions'!$A$7:$A$306,A35)&lt;&gt;1,"Duplicate ID",IF(COUNTIFS('Cases overview'!$A$7:$A$306,B35)&lt;&gt;1,"Invalid case ref",IF(COUNTIFS('Plan versions'!$A$7:$A$306,C35,'Plan versions'!$B$7:$B$306,B35,'Plan versions'!$L$7:$L$306,"Frozen")&lt;&gt;1,"Invalid plan ref",IF(OR(NOT(ISNUMBER(D35)),NOT(ISNUMBER(E35)),F35="",I35="",M35="",Q35=""),"Prediction info missing",IF(D35&gt;E35,"Not pre-registered before due",IF(OR(AND(G35&lt;&gt;"",OR(NOT(ISNUMBER(G35)),G35&lt;0,G35&gt;1)),AND(H35&lt;&gt;"",OR(NOT(ISNUMBER(H35)),H35&lt;0,H35&gt;1))),"Invalid probability",IF(AND(I35="Resolved",OR(NOT(ISNUMBER(J35)),AND(J35&lt;&gt;0,J35&lt;&gt;1),NOT(ISNUMBER(K35)),L35="")),"Resolution evidence missing",IF(AND(I35="Resolved",D35&gt;K35),"Retroactive: not scored","Valid input")))))))))</x:f>
      </x:c>
    </x:row>
    <x:row r="36" ht="25" customHeight="1">
      <x:c r="A36" s="3"/>
      <x:c r="B36" s="3"/>
      <x:c r="C36" s="3"/>
      <x:c r="D36" s="25"/>
      <x:c r="E36" s="25"/>
      <x:c r="F36" s="3"/>
      <x:c r="G36" s="26"/>
      <x:c r="H36" s="26"/>
      <x:c r="I36" s="3"/>
      <x:c r="J36" s="22"/>
      <x:c r="K36" s="25"/>
      <x:c r="L36" s="3"/>
      <x:c r="M36" s="3"/>
      <x:c r="N36" s="24" t="str">
        <x:f>IF(AND(R36="Valid input",I36="Resolved",M36="Yes",ISNUMBER(G36)),(G36-J36)^2,"")</x:f>
      </x:c>
      <x:c r="O36" s="24" t="str">
        <x:f>IF(AND(ISNUMBER(N36),ISNUMBER(H36)),(H36-J36)^2,"")</x:f>
      </x:c>
      <x:c r="P36" s="24" t="str">
        <x:f>IF(AND(ISNUMBER(N36),ISNUMBER(O36)),O36-N36,"")</x:f>
      </x:c>
      <x:c r="Q36" s="3"/>
      <x:c r="R36" s="19" t="str">
        <x:f>IF(A36="","",IF(COUNTIFS('Predictions'!$A$7:$A$306,A36)&lt;&gt;1,"Duplicate ID",IF(COUNTIFS('Cases overview'!$A$7:$A$306,B36)&lt;&gt;1,"Invalid case ref",IF(COUNTIFS('Plan versions'!$A$7:$A$306,C36,'Plan versions'!$B$7:$B$306,B36,'Plan versions'!$L$7:$L$306,"Frozen")&lt;&gt;1,"Invalid plan ref",IF(OR(NOT(ISNUMBER(D36)),NOT(ISNUMBER(E36)),F36="",I36="",M36="",Q36=""),"Prediction info missing",IF(D36&gt;E36,"Not pre-registered before due",IF(OR(AND(G36&lt;&gt;"",OR(NOT(ISNUMBER(G36)),G36&lt;0,G36&gt;1)),AND(H36&lt;&gt;"",OR(NOT(ISNUMBER(H36)),H36&lt;0,H36&gt;1))),"Invalid probability",IF(AND(I36="Resolved",OR(NOT(ISNUMBER(J36)),AND(J36&lt;&gt;0,J36&lt;&gt;1),NOT(ISNUMBER(K36)),L36="")),"Resolution evidence missing",IF(AND(I36="Resolved",D36&gt;K36),"Retroactive: not scored","Valid input")))))))))</x:f>
      </x:c>
    </x:row>
    <x:row r="37" ht="25" customHeight="1">
      <x:c r="A37" s="3"/>
      <x:c r="B37" s="3"/>
      <x:c r="C37" s="3"/>
      <x:c r="D37" s="25"/>
      <x:c r="E37" s="25"/>
      <x:c r="F37" s="3"/>
      <x:c r="G37" s="26"/>
      <x:c r="H37" s="26"/>
      <x:c r="I37" s="3"/>
      <x:c r="J37" s="22"/>
      <x:c r="K37" s="25"/>
      <x:c r="L37" s="3"/>
      <x:c r="M37" s="3"/>
      <x:c r="N37" s="24" t="str">
        <x:f>IF(AND(R37="Valid input",I37="Resolved",M37="Yes",ISNUMBER(G37)),(G37-J37)^2,"")</x:f>
      </x:c>
      <x:c r="O37" s="24" t="str">
        <x:f>IF(AND(ISNUMBER(N37),ISNUMBER(H37)),(H37-J37)^2,"")</x:f>
      </x:c>
      <x:c r="P37" s="24" t="str">
        <x:f>IF(AND(ISNUMBER(N37),ISNUMBER(O37)),O37-N37,"")</x:f>
      </x:c>
      <x:c r="Q37" s="3"/>
      <x:c r="R37" s="19" t="str">
        <x:f>IF(A37="","",IF(COUNTIFS('Predictions'!$A$7:$A$306,A37)&lt;&gt;1,"Duplicate ID",IF(COUNTIFS('Cases overview'!$A$7:$A$306,B37)&lt;&gt;1,"Invalid case ref",IF(COUNTIFS('Plan versions'!$A$7:$A$306,C37,'Plan versions'!$B$7:$B$306,B37,'Plan versions'!$L$7:$L$306,"Frozen")&lt;&gt;1,"Invalid plan ref",IF(OR(NOT(ISNUMBER(D37)),NOT(ISNUMBER(E37)),F37="",I37="",M37="",Q37=""),"Prediction info missing",IF(D37&gt;E37,"Not pre-registered before due",IF(OR(AND(G37&lt;&gt;"",OR(NOT(ISNUMBER(G37)),G37&lt;0,G37&gt;1)),AND(H37&lt;&gt;"",OR(NOT(ISNUMBER(H37)),H37&lt;0,H37&gt;1))),"Invalid probability",IF(AND(I37="Resolved",OR(NOT(ISNUMBER(J37)),AND(J37&lt;&gt;0,J37&lt;&gt;1),NOT(ISNUMBER(K37)),L37="")),"Resolution evidence missing",IF(AND(I37="Resolved",D37&gt;K37),"Retroactive: not scored","Valid input")))))))))</x:f>
      </x:c>
    </x:row>
    <x:row r="38" ht="25" customHeight="1">
      <x:c r="A38" s="3"/>
      <x:c r="B38" s="3"/>
      <x:c r="C38" s="3"/>
      <x:c r="D38" s="25"/>
      <x:c r="E38" s="25"/>
      <x:c r="F38" s="3"/>
      <x:c r="G38" s="26"/>
      <x:c r="H38" s="26"/>
      <x:c r="I38" s="3"/>
      <x:c r="J38" s="22"/>
      <x:c r="K38" s="25"/>
      <x:c r="L38" s="3"/>
      <x:c r="M38" s="3"/>
      <x:c r="N38" s="24" t="str">
        <x:f>IF(AND(R38="Valid input",I38="Resolved",M38="Yes",ISNUMBER(G38)),(G38-J38)^2,"")</x:f>
      </x:c>
      <x:c r="O38" s="24" t="str">
        <x:f>IF(AND(ISNUMBER(N38),ISNUMBER(H38)),(H38-J38)^2,"")</x:f>
      </x:c>
      <x:c r="P38" s="24" t="str">
        <x:f>IF(AND(ISNUMBER(N38),ISNUMBER(O38)),O38-N38,"")</x:f>
      </x:c>
      <x:c r="Q38" s="3"/>
      <x:c r="R38" s="19" t="str">
        <x:f>IF(A38="","",IF(COUNTIFS('Predictions'!$A$7:$A$306,A38)&lt;&gt;1,"Duplicate ID",IF(COUNTIFS('Cases overview'!$A$7:$A$306,B38)&lt;&gt;1,"Invalid case ref",IF(COUNTIFS('Plan versions'!$A$7:$A$306,C38,'Plan versions'!$B$7:$B$306,B38,'Plan versions'!$L$7:$L$306,"Frozen")&lt;&gt;1,"Invalid plan ref",IF(OR(NOT(ISNUMBER(D38)),NOT(ISNUMBER(E38)),F38="",I38="",M38="",Q38=""),"Prediction info missing",IF(D38&gt;E38,"Not pre-registered before due",IF(OR(AND(G38&lt;&gt;"",OR(NOT(ISNUMBER(G38)),G38&lt;0,G38&gt;1)),AND(H38&lt;&gt;"",OR(NOT(ISNUMBER(H38)),H38&lt;0,H38&gt;1))),"Invalid probability",IF(AND(I38="Resolved",OR(NOT(ISNUMBER(J38)),AND(J38&lt;&gt;0,J38&lt;&gt;1),NOT(ISNUMBER(K38)),L38="")),"Resolution evidence missing",IF(AND(I38="Resolved",D38&gt;K38),"Retroactive: not scored","Valid input")))))))))</x:f>
      </x:c>
    </x:row>
    <x:row r="39" ht="25" customHeight="1">
      <x:c r="A39" s="3"/>
      <x:c r="B39" s="3"/>
      <x:c r="C39" s="3"/>
      <x:c r="D39" s="25"/>
      <x:c r="E39" s="25"/>
      <x:c r="F39" s="3"/>
      <x:c r="G39" s="26"/>
      <x:c r="H39" s="26"/>
      <x:c r="I39" s="3"/>
      <x:c r="J39" s="22"/>
      <x:c r="K39" s="25"/>
      <x:c r="L39" s="3"/>
      <x:c r="M39" s="3"/>
      <x:c r="N39" s="24" t="str">
        <x:f>IF(AND(R39="Valid input",I39="Resolved",M39="Yes",ISNUMBER(G39)),(G39-J39)^2,"")</x:f>
      </x:c>
      <x:c r="O39" s="24" t="str">
        <x:f>IF(AND(ISNUMBER(N39),ISNUMBER(H39)),(H39-J39)^2,"")</x:f>
      </x:c>
      <x:c r="P39" s="24" t="str">
        <x:f>IF(AND(ISNUMBER(N39),ISNUMBER(O39)),O39-N39,"")</x:f>
      </x:c>
      <x:c r="Q39" s="3"/>
      <x:c r="R39" s="19" t="str">
        <x:f>IF(A39="","",IF(COUNTIFS('Predictions'!$A$7:$A$306,A39)&lt;&gt;1,"Duplicate ID",IF(COUNTIFS('Cases overview'!$A$7:$A$306,B39)&lt;&gt;1,"Invalid case ref",IF(COUNTIFS('Plan versions'!$A$7:$A$306,C39,'Plan versions'!$B$7:$B$306,B39,'Plan versions'!$L$7:$L$306,"Frozen")&lt;&gt;1,"Invalid plan ref",IF(OR(NOT(ISNUMBER(D39)),NOT(ISNUMBER(E39)),F39="",I39="",M39="",Q39=""),"Prediction info missing",IF(D39&gt;E39,"Not pre-registered before due",IF(OR(AND(G39&lt;&gt;"",OR(NOT(ISNUMBER(G39)),G39&lt;0,G39&gt;1)),AND(H39&lt;&gt;"",OR(NOT(ISNUMBER(H39)),H39&lt;0,H39&gt;1))),"Invalid probability",IF(AND(I39="Resolved",OR(NOT(ISNUMBER(J39)),AND(J39&lt;&gt;0,J39&lt;&gt;1),NOT(ISNUMBER(K39)),L39="")),"Resolution evidence missing",IF(AND(I39="Resolved",D39&gt;K39),"Retroactive: not scored","Valid input")))))))))</x:f>
      </x:c>
    </x:row>
    <x:row r="40" ht="25" customHeight="1">
      <x:c r="A40" s="3"/>
      <x:c r="B40" s="3"/>
      <x:c r="C40" s="3"/>
      <x:c r="D40" s="25"/>
      <x:c r="E40" s="25"/>
      <x:c r="F40" s="3"/>
      <x:c r="G40" s="26"/>
      <x:c r="H40" s="26"/>
      <x:c r="I40" s="3"/>
      <x:c r="J40" s="22"/>
      <x:c r="K40" s="25"/>
      <x:c r="L40" s="3"/>
      <x:c r="M40" s="3"/>
      <x:c r="N40" s="24" t="str">
        <x:f>IF(AND(R40="Valid input",I40="Resolved",M40="Yes",ISNUMBER(G40)),(G40-J40)^2,"")</x:f>
      </x:c>
      <x:c r="O40" s="24" t="str">
        <x:f>IF(AND(ISNUMBER(N40),ISNUMBER(H40)),(H40-J40)^2,"")</x:f>
      </x:c>
      <x:c r="P40" s="24" t="str">
        <x:f>IF(AND(ISNUMBER(N40),ISNUMBER(O40)),O40-N40,"")</x:f>
      </x:c>
      <x:c r="Q40" s="3"/>
      <x:c r="R40" s="19" t="str">
        <x:f>IF(A40="","",IF(COUNTIFS('Predictions'!$A$7:$A$306,A40)&lt;&gt;1,"Duplicate ID",IF(COUNTIFS('Cases overview'!$A$7:$A$306,B40)&lt;&gt;1,"Invalid case ref",IF(COUNTIFS('Plan versions'!$A$7:$A$306,C40,'Plan versions'!$B$7:$B$306,B40,'Plan versions'!$L$7:$L$306,"Frozen")&lt;&gt;1,"Invalid plan ref",IF(OR(NOT(ISNUMBER(D40)),NOT(ISNUMBER(E40)),F40="",I40="",M40="",Q40=""),"Prediction info missing",IF(D40&gt;E40,"Not pre-registered before due",IF(OR(AND(G40&lt;&gt;"",OR(NOT(ISNUMBER(G40)),G40&lt;0,G40&gt;1)),AND(H40&lt;&gt;"",OR(NOT(ISNUMBER(H40)),H40&lt;0,H40&gt;1))),"Invalid probability",IF(AND(I40="Resolved",OR(NOT(ISNUMBER(J40)),AND(J40&lt;&gt;0,J40&lt;&gt;1),NOT(ISNUMBER(K40)),L40="")),"Resolution evidence missing",IF(AND(I40="Resolved",D40&gt;K40),"Retroactive: not scored","Valid input")))))))))</x:f>
      </x:c>
    </x:row>
    <x:row r="41" ht="25" customHeight="1">
      <x:c r="A41" s="3"/>
      <x:c r="B41" s="3"/>
      <x:c r="C41" s="3"/>
      <x:c r="D41" s="25"/>
      <x:c r="E41" s="25"/>
      <x:c r="F41" s="3"/>
      <x:c r="G41" s="26"/>
      <x:c r="H41" s="26"/>
      <x:c r="I41" s="3"/>
      <x:c r="J41" s="22"/>
      <x:c r="K41" s="25"/>
      <x:c r="L41" s="3"/>
      <x:c r="M41" s="3"/>
      <x:c r="N41" s="24" t="str">
        <x:f>IF(AND(R41="Valid input",I41="Resolved",M41="Yes",ISNUMBER(G41)),(G41-J41)^2,"")</x:f>
      </x:c>
      <x:c r="O41" s="24" t="str">
        <x:f>IF(AND(ISNUMBER(N41),ISNUMBER(H41)),(H41-J41)^2,"")</x:f>
      </x:c>
      <x:c r="P41" s="24" t="str">
        <x:f>IF(AND(ISNUMBER(N41),ISNUMBER(O41)),O41-N41,"")</x:f>
      </x:c>
      <x:c r="Q41" s="3"/>
      <x:c r="R41" s="19" t="str">
        <x:f>IF(A41="","",IF(COUNTIFS('Predictions'!$A$7:$A$306,A41)&lt;&gt;1,"Duplicate ID",IF(COUNTIFS('Cases overview'!$A$7:$A$306,B41)&lt;&gt;1,"Invalid case ref",IF(COUNTIFS('Plan versions'!$A$7:$A$306,C41,'Plan versions'!$B$7:$B$306,B41,'Plan versions'!$L$7:$L$306,"Frozen")&lt;&gt;1,"Invalid plan ref",IF(OR(NOT(ISNUMBER(D41)),NOT(ISNUMBER(E41)),F41="",I41="",M41="",Q41=""),"Prediction info missing",IF(D41&gt;E41,"Not pre-registered before due",IF(OR(AND(G41&lt;&gt;"",OR(NOT(ISNUMBER(G41)),G41&lt;0,G41&gt;1)),AND(H41&lt;&gt;"",OR(NOT(ISNUMBER(H41)),H41&lt;0,H41&gt;1))),"Invalid probability",IF(AND(I41="Resolved",OR(NOT(ISNUMBER(J41)),AND(J41&lt;&gt;0,J41&lt;&gt;1),NOT(ISNUMBER(K41)),L41="")),"Resolution evidence missing",IF(AND(I41="Resolved",D41&gt;K41),"Retroactive: not scored","Valid input")))))))))</x:f>
      </x:c>
    </x:row>
    <x:row r="42" ht="25" customHeight="1">
      <x:c r="A42" s="3"/>
      <x:c r="B42" s="3"/>
      <x:c r="C42" s="3"/>
      <x:c r="D42" s="25"/>
      <x:c r="E42" s="25"/>
      <x:c r="F42" s="3"/>
      <x:c r="G42" s="26"/>
      <x:c r="H42" s="26"/>
      <x:c r="I42" s="3"/>
      <x:c r="J42" s="22"/>
      <x:c r="K42" s="25"/>
      <x:c r="L42" s="3"/>
      <x:c r="M42" s="3"/>
      <x:c r="N42" s="24" t="str">
        <x:f>IF(AND(R42="Valid input",I42="Resolved",M42="Yes",ISNUMBER(G42)),(G42-J42)^2,"")</x:f>
      </x:c>
      <x:c r="O42" s="24" t="str">
        <x:f>IF(AND(ISNUMBER(N42),ISNUMBER(H42)),(H42-J42)^2,"")</x:f>
      </x:c>
      <x:c r="P42" s="24" t="str">
        <x:f>IF(AND(ISNUMBER(N42),ISNUMBER(O42)),O42-N42,"")</x:f>
      </x:c>
      <x:c r="Q42" s="3"/>
      <x:c r="R42" s="19" t="str">
        <x:f>IF(A42="","",IF(COUNTIFS('Predictions'!$A$7:$A$306,A42)&lt;&gt;1,"Duplicate ID",IF(COUNTIFS('Cases overview'!$A$7:$A$306,B42)&lt;&gt;1,"Invalid case ref",IF(COUNTIFS('Plan versions'!$A$7:$A$306,C42,'Plan versions'!$B$7:$B$306,B42,'Plan versions'!$L$7:$L$306,"Frozen")&lt;&gt;1,"Invalid plan ref",IF(OR(NOT(ISNUMBER(D42)),NOT(ISNUMBER(E42)),F42="",I42="",M42="",Q42=""),"Prediction info missing",IF(D42&gt;E42,"Not pre-registered before due",IF(OR(AND(G42&lt;&gt;"",OR(NOT(ISNUMBER(G42)),G42&lt;0,G42&gt;1)),AND(H42&lt;&gt;"",OR(NOT(ISNUMBER(H42)),H42&lt;0,H42&gt;1))),"Invalid probability",IF(AND(I42="Resolved",OR(NOT(ISNUMBER(J42)),AND(J42&lt;&gt;0,J42&lt;&gt;1),NOT(ISNUMBER(K42)),L42="")),"Resolution evidence missing",IF(AND(I42="Resolved",D42&gt;K42),"Retroactive: not scored","Valid input")))))))))</x:f>
      </x:c>
    </x:row>
    <x:row r="43" ht="25" customHeight="1">
      <x:c r="A43" s="3"/>
      <x:c r="B43" s="3"/>
      <x:c r="C43" s="3"/>
      <x:c r="D43" s="25"/>
      <x:c r="E43" s="25"/>
      <x:c r="F43" s="3"/>
      <x:c r="G43" s="26"/>
      <x:c r="H43" s="26"/>
      <x:c r="I43" s="3"/>
      <x:c r="J43" s="22"/>
      <x:c r="K43" s="25"/>
      <x:c r="L43" s="3"/>
      <x:c r="M43" s="3"/>
      <x:c r="N43" s="24" t="str">
        <x:f>IF(AND(R43="Valid input",I43="Resolved",M43="Yes",ISNUMBER(G43)),(G43-J43)^2,"")</x:f>
      </x:c>
      <x:c r="O43" s="24" t="str">
        <x:f>IF(AND(ISNUMBER(N43),ISNUMBER(H43)),(H43-J43)^2,"")</x:f>
      </x:c>
      <x:c r="P43" s="24" t="str">
        <x:f>IF(AND(ISNUMBER(N43),ISNUMBER(O43)),O43-N43,"")</x:f>
      </x:c>
      <x:c r="Q43" s="3"/>
      <x:c r="R43" s="19" t="str">
        <x:f>IF(A43="","",IF(COUNTIFS('Predictions'!$A$7:$A$306,A43)&lt;&gt;1,"Duplicate ID",IF(COUNTIFS('Cases overview'!$A$7:$A$306,B43)&lt;&gt;1,"Invalid case ref",IF(COUNTIFS('Plan versions'!$A$7:$A$306,C43,'Plan versions'!$B$7:$B$306,B43,'Plan versions'!$L$7:$L$306,"Frozen")&lt;&gt;1,"Invalid plan ref",IF(OR(NOT(ISNUMBER(D43)),NOT(ISNUMBER(E43)),F43="",I43="",M43="",Q43=""),"Prediction info missing",IF(D43&gt;E43,"Not pre-registered before due",IF(OR(AND(G43&lt;&gt;"",OR(NOT(ISNUMBER(G43)),G43&lt;0,G43&gt;1)),AND(H43&lt;&gt;"",OR(NOT(ISNUMBER(H43)),H43&lt;0,H43&gt;1))),"Invalid probability",IF(AND(I43="Resolved",OR(NOT(ISNUMBER(J43)),AND(J43&lt;&gt;0,J43&lt;&gt;1),NOT(ISNUMBER(K43)),L43="")),"Resolution evidence missing",IF(AND(I43="Resolved",D43&gt;K43),"Retroactive: not scored","Valid input")))))))))</x:f>
      </x:c>
    </x:row>
    <x:row r="44" ht="25" customHeight="1">
      <x:c r="A44" s="3"/>
      <x:c r="B44" s="3"/>
      <x:c r="C44" s="3"/>
      <x:c r="D44" s="25"/>
      <x:c r="E44" s="25"/>
      <x:c r="F44" s="3"/>
      <x:c r="G44" s="26"/>
      <x:c r="H44" s="26"/>
      <x:c r="I44" s="3"/>
      <x:c r="J44" s="22"/>
      <x:c r="K44" s="25"/>
      <x:c r="L44" s="3"/>
      <x:c r="M44" s="3"/>
      <x:c r="N44" s="24" t="str">
        <x:f>IF(AND(R44="Valid input",I44="Resolved",M44="Yes",ISNUMBER(G44)),(G44-J44)^2,"")</x:f>
      </x:c>
      <x:c r="O44" s="24" t="str">
        <x:f>IF(AND(ISNUMBER(N44),ISNUMBER(H44)),(H44-J44)^2,"")</x:f>
      </x:c>
      <x:c r="P44" s="24" t="str">
        <x:f>IF(AND(ISNUMBER(N44),ISNUMBER(O44)),O44-N44,"")</x:f>
      </x:c>
      <x:c r="Q44" s="3"/>
      <x:c r="R44" s="19" t="str">
        <x:f>IF(A44="","",IF(COUNTIFS('Predictions'!$A$7:$A$306,A44)&lt;&gt;1,"Duplicate ID",IF(COUNTIFS('Cases overview'!$A$7:$A$306,B44)&lt;&gt;1,"Invalid case ref",IF(COUNTIFS('Plan versions'!$A$7:$A$306,C44,'Plan versions'!$B$7:$B$306,B44,'Plan versions'!$L$7:$L$306,"Frozen")&lt;&gt;1,"Invalid plan ref",IF(OR(NOT(ISNUMBER(D44)),NOT(ISNUMBER(E44)),F44="",I44="",M44="",Q44=""),"Prediction info missing",IF(D44&gt;E44,"Not pre-registered before due",IF(OR(AND(G44&lt;&gt;"",OR(NOT(ISNUMBER(G44)),G44&lt;0,G44&gt;1)),AND(H44&lt;&gt;"",OR(NOT(ISNUMBER(H44)),H44&lt;0,H44&gt;1))),"Invalid probability",IF(AND(I44="Resolved",OR(NOT(ISNUMBER(J44)),AND(J44&lt;&gt;0,J44&lt;&gt;1),NOT(ISNUMBER(K44)),L44="")),"Resolution evidence missing",IF(AND(I44="Resolved",D44&gt;K44),"Retroactive: not scored","Valid input")))))))))</x:f>
      </x:c>
    </x:row>
    <x:row r="45" ht="25" customHeight="1">
      <x:c r="A45" s="3"/>
      <x:c r="B45" s="3"/>
      <x:c r="C45" s="3"/>
      <x:c r="D45" s="25"/>
      <x:c r="E45" s="25"/>
      <x:c r="F45" s="3"/>
      <x:c r="G45" s="26"/>
      <x:c r="H45" s="26"/>
      <x:c r="I45" s="3"/>
      <x:c r="J45" s="22"/>
      <x:c r="K45" s="25"/>
      <x:c r="L45" s="3"/>
      <x:c r="M45" s="3"/>
      <x:c r="N45" s="24" t="str">
        <x:f>IF(AND(R45="Valid input",I45="Resolved",M45="Yes",ISNUMBER(G45)),(G45-J45)^2,"")</x:f>
      </x:c>
      <x:c r="O45" s="24" t="str">
        <x:f>IF(AND(ISNUMBER(N45),ISNUMBER(H45)),(H45-J45)^2,"")</x:f>
      </x:c>
      <x:c r="P45" s="24" t="str">
        <x:f>IF(AND(ISNUMBER(N45),ISNUMBER(O45)),O45-N45,"")</x:f>
      </x:c>
      <x:c r="Q45" s="3"/>
      <x:c r="R45" s="19" t="str">
        <x:f>IF(A45="","",IF(COUNTIFS('Predictions'!$A$7:$A$306,A45)&lt;&gt;1,"Duplicate ID",IF(COUNTIFS('Cases overview'!$A$7:$A$306,B45)&lt;&gt;1,"Invalid case ref",IF(COUNTIFS('Plan versions'!$A$7:$A$306,C45,'Plan versions'!$B$7:$B$306,B45,'Plan versions'!$L$7:$L$306,"Frozen")&lt;&gt;1,"Invalid plan ref",IF(OR(NOT(ISNUMBER(D45)),NOT(ISNUMBER(E45)),F45="",I45="",M45="",Q45=""),"Prediction info missing",IF(D45&gt;E45,"Not pre-registered before due",IF(OR(AND(G45&lt;&gt;"",OR(NOT(ISNUMBER(G45)),G45&lt;0,G45&gt;1)),AND(H45&lt;&gt;"",OR(NOT(ISNUMBER(H45)),H45&lt;0,H45&gt;1))),"Invalid probability",IF(AND(I45="Resolved",OR(NOT(ISNUMBER(J45)),AND(J45&lt;&gt;0,J45&lt;&gt;1),NOT(ISNUMBER(K45)),L45="")),"Resolution evidence missing",IF(AND(I45="Resolved",D45&gt;K45),"Retroactive: not scored","Valid input")))))))))</x:f>
      </x:c>
    </x:row>
    <x:row r="46" ht="25" customHeight="1">
      <x:c r="A46" s="3"/>
      <x:c r="B46" s="3"/>
      <x:c r="C46" s="3"/>
      <x:c r="D46" s="25"/>
      <x:c r="E46" s="25"/>
      <x:c r="F46" s="3"/>
      <x:c r="G46" s="26"/>
      <x:c r="H46" s="26"/>
      <x:c r="I46" s="3"/>
      <x:c r="J46" s="22"/>
      <x:c r="K46" s="25"/>
      <x:c r="L46" s="3"/>
      <x:c r="M46" s="3"/>
      <x:c r="N46" s="24" t="str">
        <x:f>IF(AND(R46="Valid input",I46="Resolved",M46="Yes",ISNUMBER(G46)),(G46-J46)^2,"")</x:f>
      </x:c>
      <x:c r="O46" s="24" t="str">
        <x:f>IF(AND(ISNUMBER(N46),ISNUMBER(H46)),(H46-J46)^2,"")</x:f>
      </x:c>
      <x:c r="P46" s="24" t="str">
        <x:f>IF(AND(ISNUMBER(N46),ISNUMBER(O46)),O46-N46,"")</x:f>
      </x:c>
      <x:c r="Q46" s="3"/>
      <x:c r="R46" s="19" t="str">
        <x:f>IF(A46="","",IF(COUNTIFS('Predictions'!$A$7:$A$306,A46)&lt;&gt;1,"Duplicate ID",IF(COUNTIFS('Cases overview'!$A$7:$A$306,B46)&lt;&gt;1,"Invalid case ref",IF(COUNTIFS('Plan versions'!$A$7:$A$306,C46,'Plan versions'!$B$7:$B$306,B46,'Plan versions'!$L$7:$L$306,"Frozen")&lt;&gt;1,"Invalid plan ref",IF(OR(NOT(ISNUMBER(D46)),NOT(ISNUMBER(E46)),F46="",I46="",M46="",Q46=""),"Prediction info missing",IF(D46&gt;E46,"Not pre-registered before due",IF(OR(AND(G46&lt;&gt;"",OR(NOT(ISNUMBER(G46)),G46&lt;0,G46&gt;1)),AND(H46&lt;&gt;"",OR(NOT(ISNUMBER(H46)),H46&lt;0,H46&gt;1))),"Invalid probability",IF(AND(I46="Resolved",OR(NOT(ISNUMBER(J46)),AND(J46&lt;&gt;0,J46&lt;&gt;1),NOT(ISNUMBER(K46)),L46="")),"Resolution evidence missing",IF(AND(I46="Resolved",D46&gt;K46),"Retroactive: not scored","Valid input")))))))))</x:f>
      </x:c>
    </x:row>
    <x:row r="47" ht="25" customHeight="1">
      <x:c r="A47" s="3"/>
      <x:c r="B47" s="3"/>
      <x:c r="C47" s="3"/>
      <x:c r="D47" s="25"/>
      <x:c r="E47" s="25"/>
      <x:c r="F47" s="3"/>
      <x:c r="G47" s="26"/>
      <x:c r="H47" s="26"/>
      <x:c r="I47" s="3"/>
      <x:c r="J47" s="22"/>
      <x:c r="K47" s="25"/>
      <x:c r="L47" s="3"/>
      <x:c r="M47" s="3"/>
      <x:c r="N47" s="24" t="str">
        <x:f>IF(AND(R47="Valid input",I47="Resolved",M47="Yes",ISNUMBER(G47)),(G47-J47)^2,"")</x:f>
      </x:c>
      <x:c r="O47" s="24" t="str">
        <x:f>IF(AND(ISNUMBER(N47),ISNUMBER(H47)),(H47-J47)^2,"")</x:f>
      </x:c>
      <x:c r="P47" s="24" t="str">
        <x:f>IF(AND(ISNUMBER(N47),ISNUMBER(O47)),O47-N47,"")</x:f>
      </x:c>
      <x:c r="Q47" s="3"/>
      <x:c r="R47" s="19" t="str">
        <x:f>IF(A47="","",IF(COUNTIFS('Predictions'!$A$7:$A$306,A47)&lt;&gt;1,"Duplicate ID",IF(COUNTIFS('Cases overview'!$A$7:$A$306,B47)&lt;&gt;1,"Invalid case ref",IF(COUNTIFS('Plan versions'!$A$7:$A$306,C47,'Plan versions'!$B$7:$B$306,B47,'Plan versions'!$L$7:$L$306,"Frozen")&lt;&gt;1,"Invalid plan ref",IF(OR(NOT(ISNUMBER(D47)),NOT(ISNUMBER(E47)),F47="",I47="",M47="",Q47=""),"Prediction info missing",IF(D47&gt;E47,"Not pre-registered before due",IF(OR(AND(G47&lt;&gt;"",OR(NOT(ISNUMBER(G47)),G47&lt;0,G47&gt;1)),AND(H47&lt;&gt;"",OR(NOT(ISNUMBER(H47)),H47&lt;0,H47&gt;1))),"Invalid probability",IF(AND(I47="Resolved",OR(NOT(ISNUMBER(J47)),AND(J47&lt;&gt;0,J47&lt;&gt;1),NOT(ISNUMBER(K47)),L47="")),"Resolution evidence missing",IF(AND(I47="Resolved",D47&gt;K47),"Retroactive: not scored","Valid input")))))))))</x:f>
      </x:c>
    </x:row>
    <x:row r="48" ht="25" customHeight="1">
      <x:c r="A48" s="3"/>
      <x:c r="B48" s="3"/>
      <x:c r="C48" s="3"/>
      <x:c r="D48" s="25"/>
      <x:c r="E48" s="25"/>
      <x:c r="F48" s="3"/>
      <x:c r="G48" s="26"/>
      <x:c r="H48" s="26"/>
      <x:c r="I48" s="3"/>
      <x:c r="J48" s="22"/>
      <x:c r="K48" s="25"/>
      <x:c r="L48" s="3"/>
      <x:c r="M48" s="3"/>
      <x:c r="N48" s="24" t="str">
        <x:f>IF(AND(R48="Valid input",I48="Resolved",M48="Yes",ISNUMBER(G48)),(G48-J48)^2,"")</x:f>
      </x:c>
      <x:c r="O48" s="24" t="str">
        <x:f>IF(AND(ISNUMBER(N48),ISNUMBER(H48)),(H48-J48)^2,"")</x:f>
      </x:c>
      <x:c r="P48" s="24" t="str">
        <x:f>IF(AND(ISNUMBER(N48),ISNUMBER(O48)),O48-N48,"")</x:f>
      </x:c>
      <x:c r="Q48" s="3"/>
      <x:c r="R48" s="19" t="str">
        <x:f>IF(A48="","",IF(COUNTIFS('Predictions'!$A$7:$A$306,A48)&lt;&gt;1,"Duplicate ID",IF(COUNTIFS('Cases overview'!$A$7:$A$306,B48)&lt;&gt;1,"Invalid case ref",IF(COUNTIFS('Plan versions'!$A$7:$A$306,C48,'Plan versions'!$B$7:$B$306,B48,'Plan versions'!$L$7:$L$306,"Frozen")&lt;&gt;1,"Invalid plan ref",IF(OR(NOT(ISNUMBER(D48)),NOT(ISNUMBER(E48)),F48="",I48="",M48="",Q48=""),"Prediction info missing",IF(D48&gt;E48,"Not pre-registered before due",IF(OR(AND(G48&lt;&gt;"",OR(NOT(ISNUMBER(G48)),G48&lt;0,G48&gt;1)),AND(H48&lt;&gt;"",OR(NOT(ISNUMBER(H48)),H48&lt;0,H48&gt;1))),"Invalid probability",IF(AND(I48="Resolved",OR(NOT(ISNUMBER(J48)),AND(J48&lt;&gt;0,J48&lt;&gt;1),NOT(ISNUMBER(K48)),L48="")),"Resolution evidence missing",IF(AND(I48="Resolved",D48&gt;K48),"Retroactive: not scored","Valid input")))))))))</x:f>
      </x:c>
    </x:row>
    <x:row r="49" ht="25" customHeight="1">
      <x:c r="A49" s="3"/>
      <x:c r="B49" s="3"/>
      <x:c r="C49" s="3"/>
      <x:c r="D49" s="25"/>
      <x:c r="E49" s="25"/>
      <x:c r="F49" s="3"/>
      <x:c r="G49" s="26"/>
      <x:c r="H49" s="26"/>
      <x:c r="I49" s="3"/>
      <x:c r="J49" s="22"/>
      <x:c r="K49" s="25"/>
      <x:c r="L49" s="3"/>
      <x:c r="M49" s="3"/>
      <x:c r="N49" s="24" t="str">
        <x:f>IF(AND(R49="Valid input",I49="Resolved",M49="Yes",ISNUMBER(G49)),(G49-J49)^2,"")</x:f>
      </x:c>
      <x:c r="O49" s="24" t="str">
        <x:f>IF(AND(ISNUMBER(N49),ISNUMBER(H49)),(H49-J49)^2,"")</x:f>
      </x:c>
      <x:c r="P49" s="24" t="str">
        <x:f>IF(AND(ISNUMBER(N49),ISNUMBER(O49)),O49-N49,"")</x:f>
      </x:c>
      <x:c r="Q49" s="3"/>
      <x:c r="R49" s="19" t="str">
        <x:f>IF(A49="","",IF(COUNTIFS('Predictions'!$A$7:$A$306,A49)&lt;&gt;1,"Duplicate ID",IF(COUNTIFS('Cases overview'!$A$7:$A$306,B49)&lt;&gt;1,"Invalid case ref",IF(COUNTIFS('Plan versions'!$A$7:$A$306,C49,'Plan versions'!$B$7:$B$306,B49,'Plan versions'!$L$7:$L$306,"Frozen")&lt;&gt;1,"Invalid plan ref",IF(OR(NOT(ISNUMBER(D49)),NOT(ISNUMBER(E49)),F49="",I49="",M49="",Q49=""),"Prediction info missing",IF(D49&gt;E49,"Not pre-registered before due",IF(OR(AND(G49&lt;&gt;"",OR(NOT(ISNUMBER(G49)),G49&lt;0,G49&gt;1)),AND(H49&lt;&gt;"",OR(NOT(ISNUMBER(H49)),H49&lt;0,H49&gt;1))),"Invalid probability",IF(AND(I49="Resolved",OR(NOT(ISNUMBER(J49)),AND(J49&lt;&gt;0,J49&lt;&gt;1),NOT(ISNUMBER(K49)),L49="")),"Resolution evidence missing",IF(AND(I49="Resolved",D49&gt;K49),"Retroactive: not scored","Valid input")))))))))</x:f>
      </x:c>
    </x:row>
    <x:row r="50" ht="25" customHeight="1">
      <x:c r="A50" s="3"/>
      <x:c r="B50" s="3"/>
      <x:c r="C50" s="3"/>
      <x:c r="D50" s="25"/>
      <x:c r="E50" s="25"/>
      <x:c r="F50" s="3"/>
      <x:c r="G50" s="26"/>
      <x:c r="H50" s="26"/>
      <x:c r="I50" s="3"/>
      <x:c r="J50" s="22"/>
      <x:c r="K50" s="25"/>
      <x:c r="L50" s="3"/>
      <x:c r="M50" s="3"/>
      <x:c r="N50" s="24" t="str">
        <x:f>IF(AND(R50="Valid input",I50="Resolved",M50="Yes",ISNUMBER(G50)),(G50-J50)^2,"")</x:f>
      </x:c>
      <x:c r="O50" s="24" t="str">
        <x:f>IF(AND(ISNUMBER(N50),ISNUMBER(H50)),(H50-J50)^2,"")</x:f>
      </x:c>
      <x:c r="P50" s="24" t="str">
        <x:f>IF(AND(ISNUMBER(N50),ISNUMBER(O50)),O50-N50,"")</x:f>
      </x:c>
      <x:c r="Q50" s="3"/>
      <x:c r="R50" s="19" t="str">
        <x:f>IF(A50="","",IF(COUNTIFS('Predictions'!$A$7:$A$306,A50)&lt;&gt;1,"Duplicate ID",IF(COUNTIFS('Cases overview'!$A$7:$A$306,B50)&lt;&gt;1,"Invalid case ref",IF(COUNTIFS('Plan versions'!$A$7:$A$306,C50,'Plan versions'!$B$7:$B$306,B50,'Plan versions'!$L$7:$L$306,"Frozen")&lt;&gt;1,"Invalid plan ref",IF(OR(NOT(ISNUMBER(D50)),NOT(ISNUMBER(E50)),F50="",I50="",M50="",Q50=""),"Prediction info missing",IF(D50&gt;E50,"Not pre-registered before due",IF(OR(AND(G50&lt;&gt;"",OR(NOT(ISNUMBER(G50)),G50&lt;0,G50&gt;1)),AND(H50&lt;&gt;"",OR(NOT(ISNUMBER(H50)),H50&lt;0,H50&gt;1))),"Invalid probability",IF(AND(I50="Resolved",OR(NOT(ISNUMBER(J50)),AND(J50&lt;&gt;0,J50&lt;&gt;1),NOT(ISNUMBER(K50)),L50="")),"Resolution evidence missing",IF(AND(I50="Resolved",D50&gt;K50),"Retroactive: not scored","Valid input")))))))))</x:f>
      </x:c>
    </x:row>
    <x:row r="51" ht="25" customHeight="1">
      <x:c r="A51" s="3"/>
      <x:c r="B51" s="3"/>
      <x:c r="C51" s="3"/>
      <x:c r="D51" s="25"/>
      <x:c r="E51" s="25"/>
      <x:c r="F51" s="3"/>
      <x:c r="G51" s="26"/>
      <x:c r="H51" s="26"/>
      <x:c r="I51" s="3"/>
      <x:c r="J51" s="22"/>
      <x:c r="K51" s="25"/>
      <x:c r="L51" s="3"/>
      <x:c r="M51" s="3"/>
      <x:c r="N51" s="24" t="str">
        <x:f>IF(AND(R51="Valid input",I51="Resolved",M51="Yes",ISNUMBER(G51)),(G51-J51)^2,"")</x:f>
      </x:c>
      <x:c r="O51" s="24" t="str">
        <x:f>IF(AND(ISNUMBER(N51),ISNUMBER(H51)),(H51-J51)^2,"")</x:f>
      </x:c>
      <x:c r="P51" s="24" t="str">
        <x:f>IF(AND(ISNUMBER(N51),ISNUMBER(O51)),O51-N51,"")</x:f>
      </x:c>
      <x:c r="Q51" s="3"/>
      <x:c r="R51" s="19" t="str">
        <x:f>IF(A51="","",IF(COUNTIFS('Predictions'!$A$7:$A$306,A51)&lt;&gt;1,"Duplicate ID",IF(COUNTIFS('Cases overview'!$A$7:$A$306,B51)&lt;&gt;1,"Invalid case ref",IF(COUNTIFS('Plan versions'!$A$7:$A$306,C51,'Plan versions'!$B$7:$B$306,B51,'Plan versions'!$L$7:$L$306,"Frozen")&lt;&gt;1,"Invalid plan ref",IF(OR(NOT(ISNUMBER(D51)),NOT(ISNUMBER(E51)),F51="",I51="",M51="",Q51=""),"Prediction info missing",IF(D51&gt;E51,"Not pre-registered before due",IF(OR(AND(G51&lt;&gt;"",OR(NOT(ISNUMBER(G51)),G51&lt;0,G51&gt;1)),AND(H51&lt;&gt;"",OR(NOT(ISNUMBER(H51)),H51&lt;0,H51&gt;1))),"Invalid probability",IF(AND(I51="Resolved",OR(NOT(ISNUMBER(J51)),AND(J51&lt;&gt;0,J51&lt;&gt;1),NOT(ISNUMBER(K51)),L51="")),"Resolution evidence missing",IF(AND(I51="Resolved",D51&gt;K51),"Retroactive: not scored","Valid input")))))))))</x:f>
      </x:c>
    </x:row>
    <x:row r="52" ht="25" customHeight="1">
      <x:c r="A52" s="3"/>
      <x:c r="B52" s="3"/>
      <x:c r="C52" s="3"/>
      <x:c r="D52" s="25"/>
      <x:c r="E52" s="25"/>
      <x:c r="F52" s="3"/>
      <x:c r="G52" s="26"/>
      <x:c r="H52" s="26"/>
      <x:c r="I52" s="3"/>
      <x:c r="J52" s="22"/>
      <x:c r="K52" s="25"/>
      <x:c r="L52" s="3"/>
      <x:c r="M52" s="3"/>
      <x:c r="N52" s="24" t="str">
        <x:f>IF(AND(R52="Valid input",I52="Resolved",M52="Yes",ISNUMBER(G52)),(G52-J52)^2,"")</x:f>
      </x:c>
      <x:c r="O52" s="24" t="str">
        <x:f>IF(AND(ISNUMBER(N52),ISNUMBER(H52)),(H52-J52)^2,"")</x:f>
      </x:c>
      <x:c r="P52" s="24" t="str">
        <x:f>IF(AND(ISNUMBER(N52),ISNUMBER(O52)),O52-N52,"")</x:f>
      </x:c>
      <x:c r="Q52" s="3"/>
      <x:c r="R52" s="19" t="str">
        <x:f>IF(A52="","",IF(COUNTIFS('Predictions'!$A$7:$A$306,A52)&lt;&gt;1,"Duplicate ID",IF(COUNTIFS('Cases overview'!$A$7:$A$306,B52)&lt;&gt;1,"Invalid case ref",IF(COUNTIFS('Plan versions'!$A$7:$A$306,C52,'Plan versions'!$B$7:$B$306,B52,'Plan versions'!$L$7:$L$306,"Frozen")&lt;&gt;1,"Invalid plan ref",IF(OR(NOT(ISNUMBER(D52)),NOT(ISNUMBER(E52)),F52="",I52="",M52="",Q52=""),"Prediction info missing",IF(D52&gt;E52,"Not pre-registered before due",IF(OR(AND(G52&lt;&gt;"",OR(NOT(ISNUMBER(G52)),G52&lt;0,G52&gt;1)),AND(H52&lt;&gt;"",OR(NOT(ISNUMBER(H52)),H52&lt;0,H52&gt;1))),"Invalid probability",IF(AND(I52="Resolved",OR(NOT(ISNUMBER(J52)),AND(J52&lt;&gt;0,J52&lt;&gt;1),NOT(ISNUMBER(K52)),L52="")),"Resolution evidence missing",IF(AND(I52="Resolved",D52&gt;K52),"Retroactive: not scored","Valid input")))))))))</x:f>
      </x:c>
    </x:row>
    <x:row r="53" ht="25" customHeight="1">
      <x:c r="A53" s="3"/>
      <x:c r="B53" s="3"/>
      <x:c r="C53" s="3"/>
      <x:c r="D53" s="25"/>
      <x:c r="E53" s="25"/>
      <x:c r="F53" s="3"/>
      <x:c r="G53" s="26"/>
      <x:c r="H53" s="26"/>
      <x:c r="I53" s="3"/>
      <x:c r="J53" s="22"/>
      <x:c r="K53" s="25"/>
      <x:c r="L53" s="3"/>
      <x:c r="M53" s="3"/>
      <x:c r="N53" s="24" t="str">
        <x:f>IF(AND(R53="Valid input",I53="Resolved",M53="Yes",ISNUMBER(G53)),(G53-J53)^2,"")</x:f>
      </x:c>
      <x:c r="O53" s="24" t="str">
        <x:f>IF(AND(ISNUMBER(N53),ISNUMBER(H53)),(H53-J53)^2,"")</x:f>
      </x:c>
      <x:c r="P53" s="24" t="str">
        <x:f>IF(AND(ISNUMBER(N53),ISNUMBER(O53)),O53-N53,"")</x:f>
      </x:c>
      <x:c r="Q53" s="3"/>
      <x:c r="R53" s="19" t="str">
        <x:f>IF(A53="","",IF(COUNTIFS('Predictions'!$A$7:$A$306,A53)&lt;&gt;1,"Duplicate ID",IF(COUNTIFS('Cases overview'!$A$7:$A$306,B53)&lt;&gt;1,"Invalid case ref",IF(COUNTIFS('Plan versions'!$A$7:$A$306,C53,'Plan versions'!$B$7:$B$306,B53,'Plan versions'!$L$7:$L$306,"Frozen")&lt;&gt;1,"Invalid plan ref",IF(OR(NOT(ISNUMBER(D53)),NOT(ISNUMBER(E53)),F53="",I53="",M53="",Q53=""),"Prediction info missing",IF(D53&gt;E53,"Not pre-registered before due",IF(OR(AND(G53&lt;&gt;"",OR(NOT(ISNUMBER(G53)),G53&lt;0,G53&gt;1)),AND(H53&lt;&gt;"",OR(NOT(ISNUMBER(H53)),H53&lt;0,H53&gt;1))),"Invalid probability",IF(AND(I53="Resolved",OR(NOT(ISNUMBER(J53)),AND(J53&lt;&gt;0,J53&lt;&gt;1),NOT(ISNUMBER(K53)),L53="")),"Resolution evidence missing",IF(AND(I53="Resolved",D53&gt;K53),"Retroactive: not scored","Valid input")))))))))</x:f>
      </x:c>
    </x:row>
    <x:row r="54" ht="25" customHeight="1">
      <x:c r="A54" s="3"/>
      <x:c r="B54" s="3"/>
      <x:c r="C54" s="3"/>
      <x:c r="D54" s="25"/>
      <x:c r="E54" s="25"/>
      <x:c r="F54" s="3"/>
      <x:c r="G54" s="26"/>
      <x:c r="H54" s="26"/>
      <x:c r="I54" s="3"/>
      <x:c r="J54" s="22"/>
      <x:c r="K54" s="25"/>
      <x:c r="L54" s="3"/>
      <x:c r="M54" s="3"/>
      <x:c r="N54" s="24" t="str">
        <x:f>IF(AND(R54="Valid input",I54="Resolved",M54="Yes",ISNUMBER(G54)),(G54-J54)^2,"")</x:f>
      </x:c>
      <x:c r="O54" s="24" t="str">
        <x:f>IF(AND(ISNUMBER(N54),ISNUMBER(H54)),(H54-J54)^2,"")</x:f>
      </x:c>
      <x:c r="P54" s="24" t="str">
        <x:f>IF(AND(ISNUMBER(N54),ISNUMBER(O54)),O54-N54,"")</x:f>
      </x:c>
      <x:c r="Q54" s="3"/>
      <x:c r="R54" s="19" t="str">
        <x:f>IF(A54="","",IF(COUNTIFS('Predictions'!$A$7:$A$306,A54)&lt;&gt;1,"Duplicate ID",IF(COUNTIFS('Cases overview'!$A$7:$A$306,B54)&lt;&gt;1,"Invalid case ref",IF(COUNTIFS('Plan versions'!$A$7:$A$306,C54,'Plan versions'!$B$7:$B$306,B54,'Plan versions'!$L$7:$L$306,"Frozen")&lt;&gt;1,"Invalid plan ref",IF(OR(NOT(ISNUMBER(D54)),NOT(ISNUMBER(E54)),F54="",I54="",M54="",Q54=""),"Prediction info missing",IF(D54&gt;E54,"Not pre-registered before due",IF(OR(AND(G54&lt;&gt;"",OR(NOT(ISNUMBER(G54)),G54&lt;0,G54&gt;1)),AND(H54&lt;&gt;"",OR(NOT(ISNUMBER(H54)),H54&lt;0,H54&gt;1))),"Invalid probability",IF(AND(I54="Resolved",OR(NOT(ISNUMBER(J54)),AND(J54&lt;&gt;0,J54&lt;&gt;1),NOT(ISNUMBER(K54)),L54="")),"Resolution evidence missing",IF(AND(I54="Resolved",D54&gt;K54),"Retroactive: not scored","Valid input")))))))))</x:f>
      </x:c>
    </x:row>
    <x:row r="55" ht="25" customHeight="1">
      <x:c r="A55" s="3"/>
      <x:c r="B55" s="3"/>
      <x:c r="C55" s="3"/>
      <x:c r="D55" s="25"/>
      <x:c r="E55" s="25"/>
      <x:c r="F55" s="3"/>
      <x:c r="G55" s="26"/>
      <x:c r="H55" s="26"/>
      <x:c r="I55" s="3"/>
      <x:c r="J55" s="22"/>
      <x:c r="K55" s="25"/>
      <x:c r="L55" s="3"/>
      <x:c r="M55" s="3"/>
      <x:c r="N55" s="24" t="str">
        <x:f>IF(AND(R55="Valid input",I55="Resolved",M55="Yes",ISNUMBER(G55)),(G55-J55)^2,"")</x:f>
      </x:c>
      <x:c r="O55" s="24" t="str">
        <x:f>IF(AND(ISNUMBER(N55),ISNUMBER(H55)),(H55-J55)^2,"")</x:f>
      </x:c>
      <x:c r="P55" s="24" t="str">
        <x:f>IF(AND(ISNUMBER(N55),ISNUMBER(O55)),O55-N55,"")</x:f>
      </x:c>
      <x:c r="Q55" s="3"/>
      <x:c r="R55" s="19" t="str">
        <x:f>IF(A55="","",IF(COUNTIFS('Predictions'!$A$7:$A$306,A55)&lt;&gt;1,"Duplicate ID",IF(COUNTIFS('Cases overview'!$A$7:$A$306,B55)&lt;&gt;1,"Invalid case ref",IF(COUNTIFS('Plan versions'!$A$7:$A$306,C55,'Plan versions'!$B$7:$B$306,B55,'Plan versions'!$L$7:$L$306,"Frozen")&lt;&gt;1,"Invalid plan ref",IF(OR(NOT(ISNUMBER(D55)),NOT(ISNUMBER(E55)),F55="",I55="",M55="",Q55=""),"Prediction info missing",IF(D55&gt;E55,"Not pre-registered before due",IF(OR(AND(G55&lt;&gt;"",OR(NOT(ISNUMBER(G55)),G55&lt;0,G55&gt;1)),AND(H55&lt;&gt;"",OR(NOT(ISNUMBER(H55)),H55&lt;0,H55&gt;1))),"Invalid probability",IF(AND(I55="Resolved",OR(NOT(ISNUMBER(J55)),AND(J55&lt;&gt;0,J55&lt;&gt;1),NOT(ISNUMBER(K55)),L55="")),"Resolution evidence missing",IF(AND(I55="Resolved",D55&gt;K55),"Retroactive: not scored","Valid input")))))))))</x:f>
      </x:c>
    </x:row>
    <x:row r="56" ht="25" customHeight="1">
      <x:c r="A56" s="3"/>
      <x:c r="B56" s="3"/>
      <x:c r="C56" s="3"/>
      <x:c r="D56" s="25"/>
      <x:c r="E56" s="25"/>
      <x:c r="F56" s="3"/>
      <x:c r="G56" s="26"/>
      <x:c r="H56" s="26"/>
      <x:c r="I56" s="3"/>
      <x:c r="J56" s="22"/>
      <x:c r="K56" s="25"/>
      <x:c r="L56" s="3"/>
      <x:c r="M56" s="3"/>
      <x:c r="N56" s="24" t="str">
        <x:f>IF(AND(R56="Valid input",I56="Resolved",M56="Yes",ISNUMBER(G56)),(G56-J56)^2,"")</x:f>
      </x:c>
      <x:c r="O56" s="24" t="str">
        <x:f>IF(AND(ISNUMBER(N56),ISNUMBER(H56)),(H56-J56)^2,"")</x:f>
      </x:c>
      <x:c r="P56" s="24" t="str">
        <x:f>IF(AND(ISNUMBER(N56),ISNUMBER(O56)),O56-N56,"")</x:f>
      </x:c>
      <x:c r="Q56" s="3"/>
      <x:c r="R56" s="19" t="str">
        <x:f>IF(A56="","",IF(COUNTIFS('Predictions'!$A$7:$A$306,A56)&lt;&gt;1,"Duplicate ID",IF(COUNTIFS('Cases overview'!$A$7:$A$306,B56)&lt;&gt;1,"Invalid case ref",IF(COUNTIFS('Plan versions'!$A$7:$A$306,C56,'Plan versions'!$B$7:$B$306,B56,'Plan versions'!$L$7:$L$306,"Frozen")&lt;&gt;1,"Invalid plan ref",IF(OR(NOT(ISNUMBER(D56)),NOT(ISNUMBER(E56)),F56="",I56="",M56="",Q56=""),"Prediction info missing",IF(D56&gt;E56,"Not pre-registered before due",IF(OR(AND(G56&lt;&gt;"",OR(NOT(ISNUMBER(G56)),G56&lt;0,G56&gt;1)),AND(H56&lt;&gt;"",OR(NOT(ISNUMBER(H56)),H56&lt;0,H56&gt;1))),"Invalid probability",IF(AND(I56="Resolved",OR(NOT(ISNUMBER(J56)),AND(J56&lt;&gt;0,J56&lt;&gt;1),NOT(ISNUMBER(K56)),L56="")),"Resolution evidence missing",IF(AND(I56="Resolved",D56&gt;K56),"Retroactive: not scored","Valid input")))))))))</x:f>
      </x:c>
    </x:row>
    <x:row r="57" ht="25" customHeight="1">
      <x:c r="A57" s="3"/>
      <x:c r="B57" s="3"/>
      <x:c r="C57" s="3"/>
      <x:c r="D57" s="25"/>
      <x:c r="E57" s="25"/>
      <x:c r="F57" s="3"/>
      <x:c r="G57" s="26"/>
      <x:c r="H57" s="26"/>
      <x:c r="I57" s="3"/>
      <x:c r="J57" s="22"/>
      <x:c r="K57" s="25"/>
      <x:c r="L57" s="3"/>
      <x:c r="M57" s="3"/>
      <x:c r="N57" s="24" t="str">
        <x:f>IF(AND(R57="Valid input",I57="Resolved",M57="Yes",ISNUMBER(G57)),(G57-J57)^2,"")</x:f>
      </x:c>
      <x:c r="O57" s="24" t="str">
        <x:f>IF(AND(ISNUMBER(N57),ISNUMBER(H57)),(H57-J57)^2,"")</x:f>
      </x:c>
      <x:c r="P57" s="24" t="str">
        <x:f>IF(AND(ISNUMBER(N57),ISNUMBER(O57)),O57-N57,"")</x:f>
      </x:c>
      <x:c r="Q57" s="3"/>
      <x:c r="R57" s="19" t="str">
        <x:f>IF(A57="","",IF(COUNTIFS('Predictions'!$A$7:$A$306,A57)&lt;&gt;1,"Duplicate ID",IF(COUNTIFS('Cases overview'!$A$7:$A$306,B57)&lt;&gt;1,"Invalid case ref",IF(COUNTIFS('Plan versions'!$A$7:$A$306,C57,'Plan versions'!$B$7:$B$306,B57,'Plan versions'!$L$7:$L$306,"Frozen")&lt;&gt;1,"Invalid plan ref",IF(OR(NOT(ISNUMBER(D57)),NOT(ISNUMBER(E57)),F57="",I57="",M57="",Q57=""),"Prediction info missing",IF(D57&gt;E57,"Not pre-registered before due",IF(OR(AND(G57&lt;&gt;"",OR(NOT(ISNUMBER(G57)),G57&lt;0,G57&gt;1)),AND(H57&lt;&gt;"",OR(NOT(ISNUMBER(H57)),H57&lt;0,H57&gt;1))),"Invalid probability",IF(AND(I57="Resolved",OR(NOT(ISNUMBER(J57)),AND(J57&lt;&gt;0,J57&lt;&gt;1),NOT(ISNUMBER(K57)),L57="")),"Resolution evidence missing",IF(AND(I57="Resolved",D57&gt;K57),"Retroactive: not scored","Valid input")))))))))</x:f>
      </x:c>
    </x:row>
    <x:row r="58" ht="25" customHeight="1">
      <x:c r="A58" s="3"/>
      <x:c r="B58" s="3"/>
      <x:c r="C58" s="3"/>
      <x:c r="D58" s="25"/>
      <x:c r="E58" s="25"/>
      <x:c r="F58" s="3"/>
      <x:c r="G58" s="26"/>
      <x:c r="H58" s="26"/>
      <x:c r="I58" s="3"/>
      <x:c r="J58" s="22"/>
      <x:c r="K58" s="25"/>
      <x:c r="L58" s="3"/>
      <x:c r="M58" s="3"/>
      <x:c r="N58" s="24" t="str">
        <x:f>IF(AND(R58="Valid input",I58="Resolved",M58="Yes",ISNUMBER(G58)),(G58-J58)^2,"")</x:f>
      </x:c>
      <x:c r="O58" s="24" t="str">
        <x:f>IF(AND(ISNUMBER(N58),ISNUMBER(H58)),(H58-J58)^2,"")</x:f>
      </x:c>
      <x:c r="P58" s="24" t="str">
        <x:f>IF(AND(ISNUMBER(N58),ISNUMBER(O58)),O58-N58,"")</x:f>
      </x:c>
      <x:c r="Q58" s="3"/>
      <x:c r="R58" s="19" t="str">
        <x:f>IF(A58="","",IF(COUNTIFS('Predictions'!$A$7:$A$306,A58)&lt;&gt;1,"Duplicate ID",IF(COUNTIFS('Cases overview'!$A$7:$A$306,B58)&lt;&gt;1,"Invalid case ref",IF(COUNTIFS('Plan versions'!$A$7:$A$306,C58,'Plan versions'!$B$7:$B$306,B58,'Plan versions'!$L$7:$L$306,"Frozen")&lt;&gt;1,"Invalid plan ref",IF(OR(NOT(ISNUMBER(D58)),NOT(ISNUMBER(E58)),F58="",I58="",M58="",Q58=""),"Prediction info missing",IF(D58&gt;E58,"Not pre-registered before due",IF(OR(AND(G58&lt;&gt;"",OR(NOT(ISNUMBER(G58)),G58&lt;0,G58&gt;1)),AND(H58&lt;&gt;"",OR(NOT(ISNUMBER(H58)),H58&lt;0,H58&gt;1))),"Invalid probability",IF(AND(I58="Resolved",OR(NOT(ISNUMBER(J58)),AND(J58&lt;&gt;0,J58&lt;&gt;1),NOT(ISNUMBER(K58)),L58="")),"Resolution evidence missing",IF(AND(I58="Resolved",D58&gt;K58),"Retroactive: not scored","Valid input")))))))))</x:f>
      </x:c>
    </x:row>
    <x:row r="59" ht="25" customHeight="1">
      <x:c r="A59" s="3"/>
      <x:c r="B59" s="3"/>
      <x:c r="C59" s="3"/>
      <x:c r="D59" s="25"/>
      <x:c r="E59" s="25"/>
      <x:c r="F59" s="3"/>
      <x:c r="G59" s="26"/>
      <x:c r="H59" s="26"/>
      <x:c r="I59" s="3"/>
      <x:c r="J59" s="22"/>
      <x:c r="K59" s="25"/>
      <x:c r="L59" s="3"/>
      <x:c r="M59" s="3"/>
      <x:c r="N59" s="24" t="str">
        <x:f>IF(AND(R59="Valid input",I59="Resolved",M59="Yes",ISNUMBER(G59)),(G59-J59)^2,"")</x:f>
      </x:c>
      <x:c r="O59" s="24" t="str">
        <x:f>IF(AND(ISNUMBER(N59),ISNUMBER(H59)),(H59-J59)^2,"")</x:f>
      </x:c>
      <x:c r="P59" s="24" t="str">
        <x:f>IF(AND(ISNUMBER(N59),ISNUMBER(O59)),O59-N59,"")</x:f>
      </x:c>
      <x:c r="Q59" s="3"/>
      <x:c r="R59" s="19" t="str">
        <x:f>IF(A59="","",IF(COUNTIFS('Predictions'!$A$7:$A$306,A59)&lt;&gt;1,"Duplicate ID",IF(COUNTIFS('Cases overview'!$A$7:$A$306,B59)&lt;&gt;1,"Invalid case ref",IF(COUNTIFS('Plan versions'!$A$7:$A$306,C59,'Plan versions'!$B$7:$B$306,B59,'Plan versions'!$L$7:$L$306,"Frozen")&lt;&gt;1,"Invalid plan ref",IF(OR(NOT(ISNUMBER(D59)),NOT(ISNUMBER(E59)),F59="",I59="",M59="",Q59=""),"Prediction info missing",IF(D59&gt;E59,"Not pre-registered before due",IF(OR(AND(G59&lt;&gt;"",OR(NOT(ISNUMBER(G59)),G59&lt;0,G59&gt;1)),AND(H59&lt;&gt;"",OR(NOT(ISNUMBER(H59)),H59&lt;0,H59&gt;1))),"Invalid probability",IF(AND(I59="Resolved",OR(NOT(ISNUMBER(J59)),AND(J59&lt;&gt;0,J59&lt;&gt;1),NOT(ISNUMBER(K59)),L59="")),"Resolution evidence missing",IF(AND(I59="Resolved",D59&gt;K59),"Retroactive: not scored","Valid input")))))))))</x:f>
      </x:c>
    </x:row>
    <x:row r="60" ht="25" customHeight="1">
      <x:c r="A60" s="3"/>
      <x:c r="B60" s="3"/>
      <x:c r="C60" s="3"/>
      <x:c r="D60" s="25"/>
      <x:c r="E60" s="25"/>
      <x:c r="F60" s="3"/>
      <x:c r="G60" s="26"/>
      <x:c r="H60" s="26"/>
      <x:c r="I60" s="3"/>
      <x:c r="J60" s="22"/>
      <x:c r="K60" s="25"/>
      <x:c r="L60" s="3"/>
      <x:c r="M60" s="3"/>
      <x:c r="N60" s="24" t="str">
        <x:f>IF(AND(R60="Valid input",I60="Resolved",M60="Yes",ISNUMBER(G60)),(G60-J60)^2,"")</x:f>
      </x:c>
      <x:c r="O60" s="24" t="str">
        <x:f>IF(AND(ISNUMBER(N60),ISNUMBER(H60)),(H60-J60)^2,"")</x:f>
      </x:c>
      <x:c r="P60" s="24" t="str">
        <x:f>IF(AND(ISNUMBER(N60),ISNUMBER(O60)),O60-N60,"")</x:f>
      </x:c>
      <x:c r="Q60" s="3"/>
      <x:c r="R60" s="19" t="str">
        <x:f>IF(A60="","",IF(COUNTIFS('Predictions'!$A$7:$A$306,A60)&lt;&gt;1,"Duplicate ID",IF(COUNTIFS('Cases overview'!$A$7:$A$306,B60)&lt;&gt;1,"Invalid case ref",IF(COUNTIFS('Plan versions'!$A$7:$A$306,C60,'Plan versions'!$B$7:$B$306,B60,'Plan versions'!$L$7:$L$306,"Frozen")&lt;&gt;1,"Invalid plan ref",IF(OR(NOT(ISNUMBER(D60)),NOT(ISNUMBER(E60)),F60="",I60="",M60="",Q60=""),"Prediction info missing",IF(D60&gt;E60,"Not pre-registered before due",IF(OR(AND(G60&lt;&gt;"",OR(NOT(ISNUMBER(G60)),G60&lt;0,G60&gt;1)),AND(H60&lt;&gt;"",OR(NOT(ISNUMBER(H60)),H60&lt;0,H60&gt;1))),"Invalid probability",IF(AND(I60="Resolved",OR(NOT(ISNUMBER(J60)),AND(J60&lt;&gt;0,J60&lt;&gt;1),NOT(ISNUMBER(K60)),L60="")),"Resolution evidence missing",IF(AND(I60="Resolved",D60&gt;K60),"Retroactive: not scored","Valid input")))))))))</x:f>
      </x:c>
    </x:row>
    <x:row r="61" ht="25" customHeight="1">
      <x:c r="A61" s="3"/>
      <x:c r="B61" s="3"/>
      <x:c r="C61" s="3"/>
      <x:c r="D61" s="25"/>
      <x:c r="E61" s="25"/>
      <x:c r="F61" s="3"/>
      <x:c r="G61" s="26"/>
      <x:c r="H61" s="26"/>
      <x:c r="I61" s="3"/>
      <x:c r="J61" s="22"/>
      <x:c r="K61" s="25"/>
      <x:c r="L61" s="3"/>
      <x:c r="M61" s="3"/>
      <x:c r="N61" s="24" t="str">
        <x:f>IF(AND(R61="Valid input",I61="Resolved",M61="Yes",ISNUMBER(G61)),(G61-J61)^2,"")</x:f>
      </x:c>
      <x:c r="O61" s="24" t="str">
        <x:f>IF(AND(ISNUMBER(N61),ISNUMBER(H61)),(H61-J61)^2,"")</x:f>
      </x:c>
      <x:c r="P61" s="24" t="str">
        <x:f>IF(AND(ISNUMBER(N61),ISNUMBER(O61)),O61-N61,"")</x:f>
      </x:c>
      <x:c r="Q61" s="3"/>
      <x:c r="R61" s="19" t="str">
        <x:f>IF(A61="","",IF(COUNTIFS('Predictions'!$A$7:$A$306,A61)&lt;&gt;1,"Duplicate ID",IF(COUNTIFS('Cases overview'!$A$7:$A$306,B61)&lt;&gt;1,"Invalid case ref",IF(COUNTIFS('Plan versions'!$A$7:$A$306,C61,'Plan versions'!$B$7:$B$306,B61,'Plan versions'!$L$7:$L$306,"Frozen")&lt;&gt;1,"Invalid plan ref",IF(OR(NOT(ISNUMBER(D61)),NOT(ISNUMBER(E61)),F61="",I61="",M61="",Q61=""),"Prediction info missing",IF(D61&gt;E61,"Not pre-registered before due",IF(OR(AND(G61&lt;&gt;"",OR(NOT(ISNUMBER(G61)),G61&lt;0,G61&gt;1)),AND(H61&lt;&gt;"",OR(NOT(ISNUMBER(H61)),H61&lt;0,H61&gt;1))),"Invalid probability",IF(AND(I61="Resolved",OR(NOT(ISNUMBER(J61)),AND(J61&lt;&gt;0,J61&lt;&gt;1),NOT(ISNUMBER(K61)),L61="")),"Resolution evidence missing",IF(AND(I61="Resolved",D61&gt;K61),"Retroactive: not scored","Valid input")))))))))</x:f>
      </x:c>
    </x:row>
    <x:row r="62" ht="25" customHeight="1">
      <x:c r="A62" s="3"/>
      <x:c r="B62" s="3"/>
      <x:c r="C62" s="3"/>
      <x:c r="D62" s="25"/>
      <x:c r="E62" s="25"/>
      <x:c r="F62" s="3"/>
      <x:c r="G62" s="26"/>
      <x:c r="H62" s="26"/>
      <x:c r="I62" s="3"/>
      <x:c r="J62" s="22"/>
      <x:c r="K62" s="25"/>
      <x:c r="L62" s="3"/>
      <x:c r="M62" s="3"/>
      <x:c r="N62" s="24" t="str">
        <x:f>IF(AND(R62="Valid input",I62="Resolved",M62="Yes",ISNUMBER(G62)),(G62-J62)^2,"")</x:f>
      </x:c>
      <x:c r="O62" s="24" t="str">
        <x:f>IF(AND(ISNUMBER(N62),ISNUMBER(H62)),(H62-J62)^2,"")</x:f>
      </x:c>
      <x:c r="P62" s="24" t="str">
        <x:f>IF(AND(ISNUMBER(N62),ISNUMBER(O62)),O62-N62,"")</x:f>
      </x:c>
      <x:c r="Q62" s="3"/>
      <x:c r="R62" s="19" t="str">
        <x:f>IF(A62="","",IF(COUNTIFS('Predictions'!$A$7:$A$306,A62)&lt;&gt;1,"Duplicate ID",IF(COUNTIFS('Cases overview'!$A$7:$A$306,B62)&lt;&gt;1,"Invalid case ref",IF(COUNTIFS('Plan versions'!$A$7:$A$306,C62,'Plan versions'!$B$7:$B$306,B62,'Plan versions'!$L$7:$L$306,"Frozen")&lt;&gt;1,"Invalid plan ref",IF(OR(NOT(ISNUMBER(D62)),NOT(ISNUMBER(E62)),F62="",I62="",M62="",Q62=""),"Prediction info missing",IF(D62&gt;E62,"Not pre-registered before due",IF(OR(AND(G62&lt;&gt;"",OR(NOT(ISNUMBER(G62)),G62&lt;0,G62&gt;1)),AND(H62&lt;&gt;"",OR(NOT(ISNUMBER(H62)),H62&lt;0,H62&gt;1))),"Invalid probability",IF(AND(I62="Resolved",OR(NOT(ISNUMBER(J62)),AND(J62&lt;&gt;0,J62&lt;&gt;1),NOT(ISNUMBER(K62)),L62="")),"Resolution evidence missing",IF(AND(I62="Resolved",D62&gt;K62),"Retroactive: not scored","Valid input")))))))))</x:f>
      </x:c>
    </x:row>
    <x:row r="63" ht="25" customHeight="1">
      <x:c r="A63" s="3"/>
      <x:c r="B63" s="3"/>
      <x:c r="C63" s="3"/>
      <x:c r="D63" s="25"/>
      <x:c r="E63" s="25"/>
      <x:c r="F63" s="3"/>
      <x:c r="G63" s="26"/>
      <x:c r="H63" s="26"/>
      <x:c r="I63" s="3"/>
      <x:c r="J63" s="22"/>
      <x:c r="K63" s="25"/>
      <x:c r="L63" s="3"/>
      <x:c r="M63" s="3"/>
      <x:c r="N63" s="24" t="str">
        <x:f>IF(AND(R63="Valid input",I63="Resolved",M63="Yes",ISNUMBER(G63)),(G63-J63)^2,"")</x:f>
      </x:c>
      <x:c r="O63" s="24" t="str">
        <x:f>IF(AND(ISNUMBER(N63),ISNUMBER(H63)),(H63-J63)^2,"")</x:f>
      </x:c>
      <x:c r="P63" s="24" t="str">
        <x:f>IF(AND(ISNUMBER(N63),ISNUMBER(O63)),O63-N63,"")</x:f>
      </x:c>
      <x:c r="Q63" s="3"/>
      <x:c r="R63" s="19" t="str">
        <x:f>IF(A63="","",IF(COUNTIFS('Predictions'!$A$7:$A$306,A63)&lt;&gt;1,"Duplicate ID",IF(COUNTIFS('Cases overview'!$A$7:$A$306,B63)&lt;&gt;1,"Invalid case ref",IF(COUNTIFS('Plan versions'!$A$7:$A$306,C63,'Plan versions'!$B$7:$B$306,B63,'Plan versions'!$L$7:$L$306,"Frozen")&lt;&gt;1,"Invalid plan ref",IF(OR(NOT(ISNUMBER(D63)),NOT(ISNUMBER(E63)),F63="",I63="",M63="",Q63=""),"Prediction info missing",IF(D63&gt;E63,"Not pre-registered before due",IF(OR(AND(G63&lt;&gt;"",OR(NOT(ISNUMBER(G63)),G63&lt;0,G63&gt;1)),AND(H63&lt;&gt;"",OR(NOT(ISNUMBER(H63)),H63&lt;0,H63&gt;1))),"Invalid probability",IF(AND(I63="Resolved",OR(NOT(ISNUMBER(J63)),AND(J63&lt;&gt;0,J63&lt;&gt;1),NOT(ISNUMBER(K63)),L63="")),"Resolution evidence missing",IF(AND(I63="Resolved",D63&gt;K63),"Retroactive: not scored","Valid input")))))))))</x:f>
      </x:c>
    </x:row>
    <x:row r="64" ht="25" customHeight="1">
      <x:c r="A64" s="3"/>
      <x:c r="B64" s="3"/>
      <x:c r="C64" s="3"/>
      <x:c r="D64" s="25"/>
      <x:c r="E64" s="25"/>
      <x:c r="F64" s="3"/>
      <x:c r="G64" s="26"/>
      <x:c r="H64" s="26"/>
      <x:c r="I64" s="3"/>
      <x:c r="J64" s="22"/>
      <x:c r="K64" s="25"/>
      <x:c r="L64" s="3"/>
      <x:c r="M64" s="3"/>
      <x:c r="N64" s="24" t="str">
        <x:f>IF(AND(R64="Valid input",I64="Resolved",M64="Yes",ISNUMBER(G64)),(G64-J64)^2,"")</x:f>
      </x:c>
      <x:c r="O64" s="24" t="str">
        <x:f>IF(AND(ISNUMBER(N64),ISNUMBER(H64)),(H64-J64)^2,"")</x:f>
      </x:c>
      <x:c r="P64" s="24" t="str">
        <x:f>IF(AND(ISNUMBER(N64),ISNUMBER(O64)),O64-N64,"")</x:f>
      </x:c>
      <x:c r="Q64" s="3"/>
      <x:c r="R64" s="19" t="str">
        <x:f>IF(A64="","",IF(COUNTIFS('Predictions'!$A$7:$A$306,A64)&lt;&gt;1,"Duplicate ID",IF(COUNTIFS('Cases overview'!$A$7:$A$306,B64)&lt;&gt;1,"Invalid case ref",IF(COUNTIFS('Plan versions'!$A$7:$A$306,C64,'Plan versions'!$B$7:$B$306,B64,'Plan versions'!$L$7:$L$306,"Frozen")&lt;&gt;1,"Invalid plan ref",IF(OR(NOT(ISNUMBER(D64)),NOT(ISNUMBER(E64)),F64="",I64="",M64="",Q64=""),"Prediction info missing",IF(D64&gt;E64,"Not pre-registered before due",IF(OR(AND(G64&lt;&gt;"",OR(NOT(ISNUMBER(G64)),G64&lt;0,G64&gt;1)),AND(H64&lt;&gt;"",OR(NOT(ISNUMBER(H64)),H64&lt;0,H64&gt;1))),"Invalid probability",IF(AND(I64="Resolved",OR(NOT(ISNUMBER(J64)),AND(J64&lt;&gt;0,J64&lt;&gt;1),NOT(ISNUMBER(K64)),L64="")),"Resolution evidence missing",IF(AND(I64="Resolved",D64&gt;K64),"Retroactive: not scored","Valid input")))))))))</x:f>
      </x:c>
    </x:row>
    <x:row r="65" ht="25" customHeight="1">
      <x:c r="A65" s="3"/>
      <x:c r="B65" s="3"/>
      <x:c r="C65" s="3"/>
      <x:c r="D65" s="25"/>
      <x:c r="E65" s="25"/>
      <x:c r="F65" s="3"/>
      <x:c r="G65" s="26"/>
      <x:c r="H65" s="26"/>
      <x:c r="I65" s="3"/>
      <x:c r="J65" s="22"/>
      <x:c r="K65" s="25"/>
      <x:c r="L65" s="3"/>
      <x:c r="M65" s="3"/>
      <x:c r="N65" s="24" t="str">
        <x:f>IF(AND(R65="Valid input",I65="Resolved",M65="Yes",ISNUMBER(G65)),(G65-J65)^2,"")</x:f>
      </x:c>
      <x:c r="O65" s="24" t="str">
        <x:f>IF(AND(ISNUMBER(N65),ISNUMBER(H65)),(H65-J65)^2,"")</x:f>
      </x:c>
      <x:c r="P65" s="24" t="str">
        <x:f>IF(AND(ISNUMBER(N65),ISNUMBER(O65)),O65-N65,"")</x:f>
      </x:c>
      <x:c r="Q65" s="3"/>
      <x:c r="R65" s="19" t="str">
        <x:f>IF(A65="","",IF(COUNTIFS('Predictions'!$A$7:$A$306,A65)&lt;&gt;1,"Duplicate ID",IF(COUNTIFS('Cases overview'!$A$7:$A$306,B65)&lt;&gt;1,"Invalid case ref",IF(COUNTIFS('Plan versions'!$A$7:$A$306,C65,'Plan versions'!$B$7:$B$306,B65,'Plan versions'!$L$7:$L$306,"Frozen")&lt;&gt;1,"Invalid plan ref",IF(OR(NOT(ISNUMBER(D65)),NOT(ISNUMBER(E65)),F65="",I65="",M65="",Q65=""),"Prediction info missing",IF(D65&gt;E65,"Not pre-registered before due",IF(OR(AND(G65&lt;&gt;"",OR(NOT(ISNUMBER(G65)),G65&lt;0,G65&gt;1)),AND(H65&lt;&gt;"",OR(NOT(ISNUMBER(H65)),H65&lt;0,H65&gt;1))),"Invalid probability",IF(AND(I65="Resolved",OR(NOT(ISNUMBER(J65)),AND(J65&lt;&gt;0,J65&lt;&gt;1),NOT(ISNUMBER(K65)),L65="")),"Resolution evidence missing",IF(AND(I65="Resolved",D65&gt;K65),"Retroactive: not scored","Valid input")))))))))</x:f>
      </x:c>
    </x:row>
    <x:row r="66" ht="25" customHeight="1">
      <x:c r="A66" s="3"/>
      <x:c r="B66" s="3"/>
      <x:c r="C66" s="3"/>
      <x:c r="D66" s="25"/>
      <x:c r="E66" s="25"/>
      <x:c r="F66" s="3"/>
      <x:c r="G66" s="26"/>
      <x:c r="H66" s="26"/>
      <x:c r="I66" s="3"/>
      <x:c r="J66" s="22"/>
      <x:c r="K66" s="25"/>
      <x:c r="L66" s="3"/>
      <x:c r="M66" s="3"/>
      <x:c r="N66" s="24" t="str">
        <x:f>IF(AND(R66="Valid input",I66="Resolved",M66="Yes",ISNUMBER(G66)),(G66-J66)^2,"")</x:f>
      </x:c>
      <x:c r="O66" s="24" t="str">
        <x:f>IF(AND(ISNUMBER(N66),ISNUMBER(H66)),(H66-J66)^2,"")</x:f>
      </x:c>
      <x:c r="P66" s="24" t="str">
        <x:f>IF(AND(ISNUMBER(N66),ISNUMBER(O66)),O66-N66,"")</x:f>
      </x:c>
      <x:c r="Q66" s="3"/>
      <x:c r="R66" s="19" t="str">
        <x:f>IF(A66="","",IF(COUNTIFS('Predictions'!$A$7:$A$306,A66)&lt;&gt;1,"Duplicate ID",IF(COUNTIFS('Cases overview'!$A$7:$A$306,B66)&lt;&gt;1,"Invalid case ref",IF(COUNTIFS('Plan versions'!$A$7:$A$306,C66,'Plan versions'!$B$7:$B$306,B66,'Plan versions'!$L$7:$L$306,"Frozen")&lt;&gt;1,"Invalid plan ref",IF(OR(NOT(ISNUMBER(D66)),NOT(ISNUMBER(E66)),F66="",I66="",M66="",Q66=""),"Prediction info missing",IF(D66&gt;E66,"Not pre-registered before due",IF(OR(AND(G66&lt;&gt;"",OR(NOT(ISNUMBER(G66)),G66&lt;0,G66&gt;1)),AND(H66&lt;&gt;"",OR(NOT(ISNUMBER(H66)),H66&lt;0,H66&gt;1))),"Invalid probability",IF(AND(I66="Resolved",OR(NOT(ISNUMBER(J66)),AND(J66&lt;&gt;0,J66&lt;&gt;1),NOT(ISNUMBER(K66)),L66="")),"Resolution evidence missing",IF(AND(I66="Resolved",D66&gt;K66),"Retroactive: not scored","Valid input")))))))))</x:f>
      </x:c>
    </x:row>
    <x:row r="67" ht="25" customHeight="1">
      <x:c r="A67" s="3"/>
      <x:c r="B67" s="3"/>
      <x:c r="C67" s="3"/>
      <x:c r="D67" s="25"/>
      <x:c r="E67" s="25"/>
      <x:c r="F67" s="3"/>
      <x:c r="G67" s="26"/>
      <x:c r="H67" s="26"/>
      <x:c r="I67" s="3"/>
      <x:c r="J67" s="22"/>
      <x:c r="K67" s="25"/>
      <x:c r="L67" s="3"/>
      <x:c r="M67" s="3"/>
      <x:c r="N67" s="24" t="str">
        <x:f>IF(AND(R67="Valid input",I67="Resolved",M67="Yes",ISNUMBER(G67)),(G67-J67)^2,"")</x:f>
      </x:c>
      <x:c r="O67" s="24" t="str">
        <x:f>IF(AND(ISNUMBER(N67),ISNUMBER(H67)),(H67-J67)^2,"")</x:f>
      </x:c>
      <x:c r="P67" s="24" t="str">
        <x:f>IF(AND(ISNUMBER(N67),ISNUMBER(O67)),O67-N67,"")</x:f>
      </x:c>
      <x:c r="Q67" s="3"/>
      <x:c r="R67" s="19" t="str">
        <x:f>IF(A67="","",IF(COUNTIFS('Predictions'!$A$7:$A$306,A67)&lt;&gt;1,"Duplicate ID",IF(COUNTIFS('Cases overview'!$A$7:$A$306,B67)&lt;&gt;1,"Invalid case ref",IF(COUNTIFS('Plan versions'!$A$7:$A$306,C67,'Plan versions'!$B$7:$B$306,B67,'Plan versions'!$L$7:$L$306,"Frozen")&lt;&gt;1,"Invalid plan ref",IF(OR(NOT(ISNUMBER(D67)),NOT(ISNUMBER(E67)),F67="",I67="",M67="",Q67=""),"Prediction info missing",IF(D67&gt;E67,"Not pre-registered before due",IF(OR(AND(G67&lt;&gt;"",OR(NOT(ISNUMBER(G67)),G67&lt;0,G67&gt;1)),AND(H67&lt;&gt;"",OR(NOT(ISNUMBER(H67)),H67&lt;0,H67&gt;1))),"Invalid probability",IF(AND(I67="Resolved",OR(NOT(ISNUMBER(J67)),AND(J67&lt;&gt;0,J67&lt;&gt;1),NOT(ISNUMBER(K67)),L67="")),"Resolution evidence missing",IF(AND(I67="Resolved",D67&gt;K67),"Retroactive: not scored","Valid input")))))))))</x:f>
      </x:c>
    </x:row>
    <x:row r="68" ht="25" customHeight="1">
      <x:c r="A68" s="3"/>
      <x:c r="B68" s="3"/>
      <x:c r="C68" s="3"/>
      <x:c r="D68" s="25"/>
      <x:c r="E68" s="25"/>
      <x:c r="F68" s="3"/>
      <x:c r="G68" s="26"/>
      <x:c r="H68" s="26"/>
      <x:c r="I68" s="3"/>
      <x:c r="J68" s="22"/>
      <x:c r="K68" s="25"/>
      <x:c r="L68" s="3"/>
      <x:c r="M68" s="3"/>
      <x:c r="N68" s="24" t="str">
        <x:f>IF(AND(R68="Valid input",I68="Resolved",M68="Yes",ISNUMBER(G68)),(G68-J68)^2,"")</x:f>
      </x:c>
      <x:c r="O68" s="24" t="str">
        <x:f>IF(AND(ISNUMBER(N68),ISNUMBER(H68)),(H68-J68)^2,"")</x:f>
      </x:c>
      <x:c r="P68" s="24" t="str">
        <x:f>IF(AND(ISNUMBER(N68),ISNUMBER(O68)),O68-N68,"")</x:f>
      </x:c>
      <x:c r="Q68" s="3"/>
      <x:c r="R68" s="19" t="str">
        <x:f>IF(A68="","",IF(COUNTIFS('Predictions'!$A$7:$A$306,A68)&lt;&gt;1,"Duplicate ID",IF(COUNTIFS('Cases overview'!$A$7:$A$306,B68)&lt;&gt;1,"Invalid case ref",IF(COUNTIFS('Plan versions'!$A$7:$A$306,C68,'Plan versions'!$B$7:$B$306,B68,'Plan versions'!$L$7:$L$306,"Frozen")&lt;&gt;1,"Invalid plan ref",IF(OR(NOT(ISNUMBER(D68)),NOT(ISNUMBER(E68)),F68="",I68="",M68="",Q68=""),"Prediction info missing",IF(D68&gt;E68,"Not pre-registered before due",IF(OR(AND(G68&lt;&gt;"",OR(NOT(ISNUMBER(G68)),G68&lt;0,G68&gt;1)),AND(H68&lt;&gt;"",OR(NOT(ISNUMBER(H68)),H68&lt;0,H68&gt;1))),"Invalid probability",IF(AND(I68="Resolved",OR(NOT(ISNUMBER(J68)),AND(J68&lt;&gt;0,J68&lt;&gt;1),NOT(ISNUMBER(K68)),L68="")),"Resolution evidence missing",IF(AND(I68="Resolved",D68&gt;K68),"Retroactive: not scored","Valid input")))))))))</x:f>
      </x:c>
    </x:row>
    <x:row r="69" ht="25" customHeight="1">
      <x:c r="A69" s="3"/>
      <x:c r="B69" s="3"/>
      <x:c r="C69" s="3"/>
      <x:c r="D69" s="25"/>
      <x:c r="E69" s="25"/>
      <x:c r="F69" s="3"/>
      <x:c r="G69" s="26"/>
      <x:c r="H69" s="26"/>
      <x:c r="I69" s="3"/>
      <x:c r="J69" s="22"/>
      <x:c r="K69" s="25"/>
      <x:c r="L69" s="3"/>
      <x:c r="M69" s="3"/>
      <x:c r="N69" s="24" t="str">
        <x:f>IF(AND(R69="Valid input",I69="Resolved",M69="Yes",ISNUMBER(G69)),(G69-J69)^2,"")</x:f>
      </x:c>
      <x:c r="O69" s="24" t="str">
        <x:f>IF(AND(ISNUMBER(N69),ISNUMBER(H69)),(H69-J69)^2,"")</x:f>
      </x:c>
      <x:c r="P69" s="24" t="str">
        <x:f>IF(AND(ISNUMBER(N69),ISNUMBER(O69)),O69-N69,"")</x:f>
      </x:c>
      <x:c r="Q69" s="3"/>
      <x:c r="R69" s="19" t="str">
        <x:f>IF(A69="","",IF(COUNTIFS('Predictions'!$A$7:$A$306,A69)&lt;&gt;1,"Duplicate ID",IF(COUNTIFS('Cases overview'!$A$7:$A$306,B69)&lt;&gt;1,"Invalid case ref",IF(COUNTIFS('Plan versions'!$A$7:$A$306,C69,'Plan versions'!$B$7:$B$306,B69,'Plan versions'!$L$7:$L$306,"Frozen")&lt;&gt;1,"Invalid plan ref",IF(OR(NOT(ISNUMBER(D69)),NOT(ISNUMBER(E69)),F69="",I69="",M69="",Q69=""),"Prediction info missing",IF(D69&gt;E69,"Not pre-registered before due",IF(OR(AND(G69&lt;&gt;"",OR(NOT(ISNUMBER(G69)),G69&lt;0,G69&gt;1)),AND(H69&lt;&gt;"",OR(NOT(ISNUMBER(H69)),H69&lt;0,H69&gt;1))),"Invalid probability",IF(AND(I69="Resolved",OR(NOT(ISNUMBER(J69)),AND(J69&lt;&gt;0,J69&lt;&gt;1),NOT(ISNUMBER(K69)),L69="")),"Resolution evidence missing",IF(AND(I69="Resolved",D69&gt;K69),"Retroactive: not scored","Valid input")))))))))</x:f>
      </x:c>
    </x:row>
    <x:row r="70" ht="25" customHeight="1">
      <x:c r="A70" s="3"/>
      <x:c r="B70" s="3"/>
      <x:c r="C70" s="3"/>
      <x:c r="D70" s="25"/>
      <x:c r="E70" s="25"/>
      <x:c r="F70" s="3"/>
      <x:c r="G70" s="26"/>
      <x:c r="H70" s="26"/>
      <x:c r="I70" s="3"/>
      <x:c r="J70" s="22"/>
      <x:c r="K70" s="25"/>
      <x:c r="L70" s="3"/>
      <x:c r="M70" s="3"/>
      <x:c r="N70" s="24" t="str">
        <x:f>IF(AND(R70="Valid input",I70="Resolved",M70="Yes",ISNUMBER(G70)),(G70-J70)^2,"")</x:f>
      </x:c>
      <x:c r="O70" s="24" t="str">
        <x:f>IF(AND(ISNUMBER(N70),ISNUMBER(H70)),(H70-J70)^2,"")</x:f>
      </x:c>
      <x:c r="P70" s="24" t="str">
        <x:f>IF(AND(ISNUMBER(N70),ISNUMBER(O70)),O70-N70,"")</x:f>
      </x:c>
      <x:c r="Q70" s="3"/>
      <x:c r="R70" s="19" t="str">
        <x:f>IF(A70="","",IF(COUNTIFS('Predictions'!$A$7:$A$306,A70)&lt;&gt;1,"Duplicate ID",IF(COUNTIFS('Cases overview'!$A$7:$A$306,B70)&lt;&gt;1,"Invalid case ref",IF(COUNTIFS('Plan versions'!$A$7:$A$306,C70,'Plan versions'!$B$7:$B$306,B70,'Plan versions'!$L$7:$L$306,"Frozen")&lt;&gt;1,"Invalid plan ref",IF(OR(NOT(ISNUMBER(D70)),NOT(ISNUMBER(E70)),F70="",I70="",M70="",Q70=""),"Prediction info missing",IF(D70&gt;E70,"Not pre-registered before due",IF(OR(AND(G70&lt;&gt;"",OR(NOT(ISNUMBER(G70)),G70&lt;0,G70&gt;1)),AND(H70&lt;&gt;"",OR(NOT(ISNUMBER(H70)),H70&lt;0,H70&gt;1))),"Invalid probability",IF(AND(I70="Resolved",OR(NOT(ISNUMBER(J70)),AND(J70&lt;&gt;0,J70&lt;&gt;1),NOT(ISNUMBER(K70)),L70="")),"Resolution evidence missing",IF(AND(I70="Resolved",D70&gt;K70),"Retroactive: not scored","Valid input")))))))))</x:f>
      </x:c>
    </x:row>
    <x:row r="71" ht="25" customHeight="1">
      <x:c r="A71" s="3"/>
      <x:c r="B71" s="3"/>
      <x:c r="C71" s="3"/>
      <x:c r="D71" s="25"/>
      <x:c r="E71" s="25"/>
      <x:c r="F71" s="3"/>
      <x:c r="G71" s="26"/>
      <x:c r="H71" s="26"/>
      <x:c r="I71" s="3"/>
      <x:c r="J71" s="22"/>
      <x:c r="K71" s="25"/>
      <x:c r="L71" s="3"/>
      <x:c r="M71" s="3"/>
      <x:c r="N71" s="24" t="str">
        <x:f>IF(AND(R71="Valid input",I71="Resolved",M71="Yes",ISNUMBER(G71)),(G71-J71)^2,"")</x:f>
      </x:c>
      <x:c r="O71" s="24" t="str">
        <x:f>IF(AND(ISNUMBER(N71),ISNUMBER(H71)),(H71-J71)^2,"")</x:f>
      </x:c>
      <x:c r="P71" s="24" t="str">
        <x:f>IF(AND(ISNUMBER(N71),ISNUMBER(O71)),O71-N71,"")</x:f>
      </x:c>
      <x:c r="Q71" s="3"/>
      <x:c r="R71" s="19" t="str">
        <x:f>IF(A71="","",IF(COUNTIFS('Predictions'!$A$7:$A$306,A71)&lt;&gt;1,"Duplicate ID",IF(COUNTIFS('Cases overview'!$A$7:$A$306,B71)&lt;&gt;1,"Invalid case ref",IF(COUNTIFS('Plan versions'!$A$7:$A$306,C71,'Plan versions'!$B$7:$B$306,B71,'Plan versions'!$L$7:$L$306,"Frozen")&lt;&gt;1,"Invalid plan ref",IF(OR(NOT(ISNUMBER(D71)),NOT(ISNUMBER(E71)),F71="",I71="",M71="",Q71=""),"Prediction info missing",IF(D71&gt;E71,"Not pre-registered before due",IF(OR(AND(G71&lt;&gt;"",OR(NOT(ISNUMBER(G71)),G71&lt;0,G71&gt;1)),AND(H71&lt;&gt;"",OR(NOT(ISNUMBER(H71)),H71&lt;0,H71&gt;1))),"Invalid probability",IF(AND(I71="Resolved",OR(NOT(ISNUMBER(J71)),AND(J71&lt;&gt;0,J71&lt;&gt;1),NOT(ISNUMBER(K71)),L71="")),"Resolution evidence missing",IF(AND(I71="Resolved",D71&gt;K71),"Retroactive: not scored","Valid input")))))))))</x:f>
      </x:c>
    </x:row>
    <x:row r="72" ht="25" customHeight="1">
      <x:c r="A72" s="3"/>
      <x:c r="B72" s="3"/>
      <x:c r="C72" s="3"/>
      <x:c r="D72" s="25"/>
      <x:c r="E72" s="25"/>
      <x:c r="F72" s="3"/>
      <x:c r="G72" s="26"/>
      <x:c r="H72" s="26"/>
      <x:c r="I72" s="3"/>
      <x:c r="J72" s="22"/>
      <x:c r="K72" s="25"/>
      <x:c r="L72" s="3"/>
      <x:c r="M72" s="3"/>
      <x:c r="N72" s="24" t="str">
        <x:f>IF(AND(R72="Valid input",I72="Resolved",M72="Yes",ISNUMBER(G72)),(G72-J72)^2,"")</x:f>
      </x:c>
      <x:c r="O72" s="24" t="str">
        <x:f>IF(AND(ISNUMBER(N72),ISNUMBER(H72)),(H72-J72)^2,"")</x:f>
      </x:c>
      <x:c r="P72" s="24" t="str">
        <x:f>IF(AND(ISNUMBER(N72),ISNUMBER(O72)),O72-N72,"")</x:f>
      </x:c>
      <x:c r="Q72" s="3"/>
      <x:c r="R72" s="19" t="str">
        <x:f>IF(A72="","",IF(COUNTIFS('Predictions'!$A$7:$A$306,A72)&lt;&gt;1,"Duplicate ID",IF(COUNTIFS('Cases overview'!$A$7:$A$306,B72)&lt;&gt;1,"Invalid case ref",IF(COUNTIFS('Plan versions'!$A$7:$A$306,C72,'Plan versions'!$B$7:$B$306,B72,'Plan versions'!$L$7:$L$306,"Frozen")&lt;&gt;1,"Invalid plan ref",IF(OR(NOT(ISNUMBER(D72)),NOT(ISNUMBER(E72)),F72="",I72="",M72="",Q72=""),"Prediction info missing",IF(D72&gt;E72,"Not pre-registered before due",IF(OR(AND(G72&lt;&gt;"",OR(NOT(ISNUMBER(G72)),G72&lt;0,G72&gt;1)),AND(H72&lt;&gt;"",OR(NOT(ISNUMBER(H72)),H72&lt;0,H72&gt;1))),"Invalid probability",IF(AND(I72="Resolved",OR(NOT(ISNUMBER(J72)),AND(J72&lt;&gt;0,J72&lt;&gt;1),NOT(ISNUMBER(K72)),L72="")),"Resolution evidence missing",IF(AND(I72="Resolved",D72&gt;K72),"Retroactive: not scored","Valid input")))))))))</x:f>
      </x:c>
    </x:row>
    <x:row r="73" ht="25" customHeight="1">
      <x:c r="A73" s="3"/>
      <x:c r="B73" s="3"/>
      <x:c r="C73" s="3"/>
      <x:c r="D73" s="25"/>
      <x:c r="E73" s="25"/>
      <x:c r="F73" s="3"/>
      <x:c r="G73" s="26"/>
      <x:c r="H73" s="26"/>
      <x:c r="I73" s="3"/>
      <x:c r="J73" s="22"/>
      <x:c r="K73" s="25"/>
      <x:c r="L73" s="3"/>
      <x:c r="M73" s="3"/>
      <x:c r="N73" s="24" t="str">
        <x:f>IF(AND(R73="Valid input",I73="Resolved",M73="Yes",ISNUMBER(G73)),(G73-J73)^2,"")</x:f>
      </x:c>
      <x:c r="O73" s="24" t="str">
        <x:f>IF(AND(ISNUMBER(N73),ISNUMBER(H73)),(H73-J73)^2,"")</x:f>
      </x:c>
      <x:c r="P73" s="24" t="str">
        <x:f>IF(AND(ISNUMBER(N73),ISNUMBER(O73)),O73-N73,"")</x:f>
      </x:c>
      <x:c r="Q73" s="3"/>
      <x:c r="R73" s="19" t="str">
        <x:f>IF(A73="","",IF(COUNTIFS('Predictions'!$A$7:$A$306,A73)&lt;&gt;1,"Duplicate ID",IF(COUNTIFS('Cases overview'!$A$7:$A$306,B73)&lt;&gt;1,"Invalid case ref",IF(COUNTIFS('Plan versions'!$A$7:$A$306,C73,'Plan versions'!$B$7:$B$306,B73,'Plan versions'!$L$7:$L$306,"Frozen")&lt;&gt;1,"Invalid plan ref",IF(OR(NOT(ISNUMBER(D73)),NOT(ISNUMBER(E73)),F73="",I73="",M73="",Q73=""),"Prediction info missing",IF(D73&gt;E73,"Not pre-registered before due",IF(OR(AND(G73&lt;&gt;"",OR(NOT(ISNUMBER(G73)),G73&lt;0,G73&gt;1)),AND(H73&lt;&gt;"",OR(NOT(ISNUMBER(H73)),H73&lt;0,H73&gt;1))),"Invalid probability",IF(AND(I73="Resolved",OR(NOT(ISNUMBER(J73)),AND(J73&lt;&gt;0,J73&lt;&gt;1),NOT(ISNUMBER(K73)),L73="")),"Resolution evidence missing",IF(AND(I73="Resolved",D73&gt;K73),"Retroactive: not scored","Valid input")))))))))</x:f>
      </x:c>
    </x:row>
    <x:row r="74" ht="25" customHeight="1">
      <x:c r="A74" s="3"/>
      <x:c r="B74" s="3"/>
      <x:c r="C74" s="3"/>
      <x:c r="D74" s="25"/>
      <x:c r="E74" s="25"/>
      <x:c r="F74" s="3"/>
      <x:c r="G74" s="26"/>
      <x:c r="H74" s="26"/>
      <x:c r="I74" s="3"/>
      <x:c r="J74" s="22"/>
      <x:c r="K74" s="25"/>
      <x:c r="L74" s="3"/>
      <x:c r="M74" s="3"/>
      <x:c r="N74" s="24" t="str">
        <x:f>IF(AND(R74="Valid input",I74="Resolved",M74="Yes",ISNUMBER(G74)),(G74-J74)^2,"")</x:f>
      </x:c>
      <x:c r="O74" s="24" t="str">
        <x:f>IF(AND(ISNUMBER(N74),ISNUMBER(H74)),(H74-J74)^2,"")</x:f>
      </x:c>
      <x:c r="P74" s="24" t="str">
        <x:f>IF(AND(ISNUMBER(N74),ISNUMBER(O74)),O74-N74,"")</x:f>
      </x:c>
      <x:c r="Q74" s="3"/>
      <x:c r="R74" s="19" t="str">
        <x:f>IF(A74="","",IF(COUNTIFS('Predictions'!$A$7:$A$306,A74)&lt;&gt;1,"Duplicate ID",IF(COUNTIFS('Cases overview'!$A$7:$A$306,B74)&lt;&gt;1,"Invalid case ref",IF(COUNTIFS('Plan versions'!$A$7:$A$306,C74,'Plan versions'!$B$7:$B$306,B74,'Plan versions'!$L$7:$L$306,"Frozen")&lt;&gt;1,"Invalid plan ref",IF(OR(NOT(ISNUMBER(D74)),NOT(ISNUMBER(E74)),F74="",I74="",M74="",Q74=""),"Prediction info missing",IF(D74&gt;E74,"Not pre-registered before due",IF(OR(AND(G74&lt;&gt;"",OR(NOT(ISNUMBER(G74)),G74&lt;0,G74&gt;1)),AND(H74&lt;&gt;"",OR(NOT(ISNUMBER(H74)),H74&lt;0,H74&gt;1))),"Invalid probability",IF(AND(I74="Resolved",OR(NOT(ISNUMBER(J74)),AND(J74&lt;&gt;0,J74&lt;&gt;1),NOT(ISNUMBER(K74)),L74="")),"Resolution evidence missing",IF(AND(I74="Resolved",D74&gt;K74),"Retroactive: not scored","Valid input")))))))))</x:f>
      </x:c>
    </x:row>
    <x:row r="75" ht="25" customHeight="1">
      <x:c r="A75" s="3"/>
      <x:c r="B75" s="3"/>
      <x:c r="C75" s="3"/>
      <x:c r="D75" s="25"/>
      <x:c r="E75" s="25"/>
      <x:c r="F75" s="3"/>
      <x:c r="G75" s="26"/>
      <x:c r="H75" s="26"/>
      <x:c r="I75" s="3"/>
      <x:c r="J75" s="22"/>
      <x:c r="K75" s="25"/>
      <x:c r="L75" s="3"/>
      <x:c r="M75" s="3"/>
      <x:c r="N75" s="24" t="str">
        <x:f>IF(AND(R75="Valid input",I75="Resolved",M75="Yes",ISNUMBER(G75)),(G75-J75)^2,"")</x:f>
      </x:c>
      <x:c r="O75" s="24" t="str">
        <x:f>IF(AND(ISNUMBER(N75),ISNUMBER(H75)),(H75-J75)^2,"")</x:f>
      </x:c>
      <x:c r="P75" s="24" t="str">
        <x:f>IF(AND(ISNUMBER(N75),ISNUMBER(O75)),O75-N75,"")</x:f>
      </x:c>
      <x:c r="Q75" s="3"/>
      <x:c r="R75" s="19" t="str">
        <x:f>IF(A75="","",IF(COUNTIFS('Predictions'!$A$7:$A$306,A75)&lt;&gt;1,"Duplicate ID",IF(COUNTIFS('Cases overview'!$A$7:$A$306,B75)&lt;&gt;1,"Invalid case ref",IF(COUNTIFS('Plan versions'!$A$7:$A$306,C75,'Plan versions'!$B$7:$B$306,B75,'Plan versions'!$L$7:$L$306,"Frozen")&lt;&gt;1,"Invalid plan ref",IF(OR(NOT(ISNUMBER(D75)),NOT(ISNUMBER(E75)),F75="",I75="",M75="",Q75=""),"Prediction info missing",IF(D75&gt;E75,"Not pre-registered before due",IF(OR(AND(G75&lt;&gt;"",OR(NOT(ISNUMBER(G75)),G75&lt;0,G75&gt;1)),AND(H75&lt;&gt;"",OR(NOT(ISNUMBER(H75)),H75&lt;0,H75&gt;1))),"Invalid probability",IF(AND(I75="Resolved",OR(NOT(ISNUMBER(J75)),AND(J75&lt;&gt;0,J75&lt;&gt;1),NOT(ISNUMBER(K75)),L75="")),"Resolution evidence missing",IF(AND(I75="Resolved",D75&gt;K75),"Retroactive: not scored","Valid input")))))))))</x:f>
      </x:c>
    </x:row>
    <x:row r="76" ht="25" customHeight="1">
      <x:c r="A76" s="3"/>
      <x:c r="B76" s="3"/>
      <x:c r="C76" s="3"/>
      <x:c r="D76" s="25"/>
      <x:c r="E76" s="25"/>
      <x:c r="F76" s="3"/>
      <x:c r="G76" s="26"/>
      <x:c r="H76" s="26"/>
      <x:c r="I76" s="3"/>
      <x:c r="J76" s="22"/>
      <x:c r="K76" s="25"/>
      <x:c r="L76" s="3"/>
      <x:c r="M76" s="3"/>
      <x:c r="N76" s="24" t="str">
        <x:f>IF(AND(R76="Valid input",I76="Resolved",M76="Yes",ISNUMBER(G76)),(G76-J76)^2,"")</x:f>
      </x:c>
      <x:c r="O76" s="24" t="str">
        <x:f>IF(AND(ISNUMBER(N76),ISNUMBER(H76)),(H76-J76)^2,"")</x:f>
      </x:c>
      <x:c r="P76" s="24" t="str">
        <x:f>IF(AND(ISNUMBER(N76),ISNUMBER(O76)),O76-N76,"")</x:f>
      </x:c>
      <x:c r="Q76" s="3"/>
      <x:c r="R76" s="19" t="str">
        <x:f>IF(A76="","",IF(COUNTIFS('Predictions'!$A$7:$A$306,A76)&lt;&gt;1,"Duplicate ID",IF(COUNTIFS('Cases overview'!$A$7:$A$306,B76)&lt;&gt;1,"Invalid case ref",IF(COUNTIFS('Plan versions'!$A$7:$A$306,C76,'Plan versions'!$B$7:$B$306,B76,'Plan versions'!$L$7:$L$306,"Frozen")&lt;&gt;1,"Invalid plan ref",IF(OR(NOT(ISNUMBER(D76)),NOT(ISNUMBER(E76)),F76="",I76="",M76="",Q76=""),"Prediction info missing",IF(D76&gt;E76,"Not pre-registered before due",IF(OR(AND(G76&lt;&gt;"",OR(NOT(ISNUMBER(G76)),G76&lt;0,G76&gt;1)),AND(H76&lt;&gt;"",OR(NOT(ISNUMBER(H76)),H76&lt;0,H76&gt;1))),"Invalid probability",IF(AND(I76="Resolved",OR(NOT(ISNUMBER(J76)),AND(J76&lt;&gt;0,J76&lt;&gt;1),NOT(ISNUMBER(K76)),L76="")),"Resolution evidence missing",IF(AND(I76="Resolved",D76&gt;K76),"Retroactive: not scored","Valid input")))))))))</x:f>
      </x:c>
    </x:row>
    <x:row r="77" ht="25" customHeight="1">
      <x:c r="A77" s="3"/>
      <x:c r="B77" s="3"/>
      <x:c r="C77" s="3"/>
      <x:c r="D77" s="25"/>
      <x:c r="E77" s="25"/>
      <x:c r="F77" s="3"/>
      <x:c r="G77" s="26"/>
      <x:c r="H77" s="26"/>
      <x:c r="I77" s="3"/>
      <x:c r="J77" s="22"/>
      <x:c r="K77" s="25"/>
      <x:c r="L77" s="3"/>
      <x:c r="M77" s="3"/>
      <x:c r="N77" s="24" t="str">
        <x:f>IF(AND(R77="Valid input",I77="Resolved",M77="Yes",ISNUMBER(G77)),(G77-J77)^2,"")</x:f>
      </x:c>
      <x:c r="O77" s="24" t="str">
        <x:f>IF(AND(ISNUMBER(N77),ISNUMBER(H77)),(H77-J77)^2,"")</x:f>
      </x:c>
      <x:c r="P77" s="24" t="str">
        <x:f>IF(AND(ISNUMBER(N77),ISNUMBER(O77)),O77-N77,"")</x:f>
      </x:c>
      <x:c r="Q77" s="3"/>
      <x:c r="R77" s="19" t="str">
        <x:f>IF(A77="","",IF(COUNTIFS('Predictions'!$A$7:$A$306,A77)&lt;&gt;1,"Duplicate ID",IF(COUNTIFS('Cases overview'!$A$7:$A$306,B77)&lt;&gt;1,"Invalid case ref",IF(COUNTIFS('Plan versions'!$A$7:$A$306,C77,'Plan versions'!$B$7:$B$306,B77,'Plan versions'!$L$7:$L$306,"Frozen")&lt;&gt;1,"Invalid plan ref",IF(OR(NOT(ISNUMBER(D77)),NOT(ISNUMBER(E77)),F77="",I77="",M77="",Q77=""),"Prediction info missing",IF(D77&gt;E77,"Not pre-registered before due",IF(OR(AND(G77&lt;&gt;"",OR(NOT(ISNUMBER(G77)),G77&lt;0,G77&gt;1)),AND(H77&lt;&gt;"",OR(NOT(ISNUMBER(H77)),H77&lt;0,H77&gt;1))),"Invalid probability",IF(AND(I77="Resolved",OR(NOT(ISNUMBER(J77)),AND(J77&lt;&gt;0,J77&lt;&gt;1),NOT(ISNUMBER(K77)),L77="")),"Resolution evidence missing",IF(AND(I77="Resolved",D77&gt;K77),"Retroactive: not scored","Valid input")))))))))</x:f>
      </x:c>
    </x:row>
    <x:row r="78" ht="25" customHeight="1">
      <x:c r="A78" s="3"/>
      <x:c r="B78" s="3"/>
      <x:c r="C78" s="3"/>
      <x:c r="D78" s="25"/>
      <x:c r="E78" s="25"/>
      <x:c r="F78" s="3"/>
      <x:c r="G78" s="26"/>
      <x:c r="H78" s="26"/>
      <x:c r="I78" s="3"/>
      <x:c r="J78" s="22"/>
      <x:c r="K78" s="25"/>
      <x:c r="L78" s="3"/>
      <x:c r="M78" s="3"/>
      <x:c r="N78" s="24" t="str">
        <x:f>IF(AND(R78="Valid input",I78="Resolved",M78="Yes",ISNUMBER(G78)),(G78-J78)^2,"")</x:f>
      </x:c>
      <x:c r="O78" s="24" t="str">
        <x:f>IF(AND(ISNUMBER(N78),ISNUMBER(H78)),(H78-J78)^2,"")</x:f>
      </x:c>
      <x:c r="P78" s="24" t="str">
        <x:f>IF(AND(ISNUMBER(N78),ISNUMBER(O78)),O78-N78,"")</x:f>
      </x:c>
      <x:c r="Q78" s="3"/>
      <x:c r="R78" s="19" t="str">
        <x:f>IF(A78="","",IF(COUNTIFS('Predictions'!$A$7:$A$306,A78)&lt;&gt;1,"Duplicate ID",IF(COUNTIFS('Cases overview'!$A$7:$A$306,B78)&lt;&gt;1,"Invalid case ref",IF(COUNTIFS('Plan versions'!$A$7:$A$306,C78,'Plan versions'!$B$7:$B$306,B78,'Plan versions'!$L$7:$L$306,"Frozen")&lt;&gt;1,"Invalid plan ref",IF(OR(NOT(ISNUMBER(D78)),NOT(ISNUMBER(E78)),F78="",I78="",M78="",Q78=""),"Prediction info missing",IF(D78&gt;E78,"Not pre-registered before due",IF(OR(AND(G78&lt;&gt;"",OR(NOT(ISNUMBER(G78)),G78&lt;0,G78&gt;1)),AND(H78&lt;&gt;"",OR(NOT(ISNUMBER(H78)),H78&lt;0,H78&gt;1))),"Invalid probability",IF(AND(I78="Resolved",OR(NOT(ISNUMBER(J78)),AND(J78&lt;&gt;0,J78&lt;&gt;1),NOT(ISNUMBER(K78)),L78="")),"Resolution evidence missing",IF(AND(I78="Resolved",D78&gt;K78),"Retroactive: not scored","Valid input")))))))))</x:f>
      </x:c>
    </x:row>
    <x:row r="79" ht="25" customHeight="1">
      <x:c r="A79" s="3"/>
      <x:c r="B79" s="3"/>
      <x:c r="C79" s="3"/>
      <x:c r="D79" s="25"/>
      <x:c r="E79" s="25"/>
      <x:c r="F79" s="3"/>
      <x:c r="G79" s="26"/>
      <x:c r="H79" s="26"/>
      <x:c r="I79" s="3"/>
      <x:c r="J79" s="22"/>
      <x:c r="K79" s="25"/>
      <x:c r="L79" s="3"/>
      <x:c r="M79" s="3"/>
      <x:c r="N79" s="24" t="str">
        <x:f>IF(AND(R79="Valid input",I79="Resolved",M79="Yes",ISNUMBER(G79)),(G79-J79)^2,"")</x:f>
      </x:c>
      <x:c r="O79" s="24" t="str">
        <x:f>IF(AND(ISNUMBER(N79),ISNUMBER(H79)),(H79-J79)^2,"")</x:f>
      </x:c>
      <x:c r="P79" s="24" t="str">
        <x:f>IF(AND(ISNUMBER(N79),ISNUMBER(O79)),O79-N79,"")</x:f>
      </x:c>
      <x:c r="Q79" s="3"/>
      <x:c r="R79" s="19" t="str">
        <x:f>IF(A79="","",IF(COUNTIFS('Predictions'!$A$7:$A$306,A79)&lt;&gt;1,"Duplicate ID",IF(COUNTIFS('Cases overview'!$A$7:$A$306,B79)&lt;&gt;1,"Invalid case ref",IF(COUNTIFS('Plan versions'!$A$7:$A$306,C79,'Plan versions'!$B$7:$B$306,B79,'Plan versions'!$L$7:$L$306,"Frozen")&lt;&gt;1,"Invalid plan ref",IF(OR(NOT(ISNUMBER(D79)),NOT(ISNUMBER(E79)),F79="",I79="",M79="",Q79=""),"Prediction info missing",IF(D79&gt;E79,"Not pre-registered before due",IF(OR(AND(G79&lt;&gt;"",OR(NOT(ISNUMBER(G79)),G79&lt;0,G79&gt;1)),AND(H79&lt;&gt;"",OR(NOT(ISNUMBER(H79)),H79&lt;0,H79&gt;1))),"Invalid probability",IF(AND(I79="Resolved",OR(NOT(ISNUMBER(J79)),AND(J79&lt;&gt;0,J79&lt;&gt;1),NOT(ISNUMBER(K79)),L79="")),"Resolution evidence missing",IF(AND(I79="Resolved",D79&gt;K79),"Retroactive: not scored","Valid input")))))))))</x:f>
      </x:c>
    </x:row>
    <x:row r="80" ht="25" customHeight="1">
      <x:c r="A80" s="3"/>
      <x:c r="B80" s="3"/>
      <x:c r="C80" s="3"/>
      <x:c r="D80" s="25"/>
      <x:c r="E80" s="25"/>
      <x:c r="F80" s="3"/>
      <x:c r="G80" s="26"/>
      <x:c r="H80" s="26"/>
      <x:c r="I80" s="3"/>
      <x:c r="J80" s="22"/>
      <x:c r="K80" s="25"/>
      <x:c r="L80" s="3"/>
      <x:c r="M80" s="3"/>
      <x:c r="N80" s="24" t="str">
        <x:f>IF(AND(R80="Valid input",I80="Resolved",M80="Yes",ISNUMBER(G80)),(G80-J80)^2,"")</x:f>
      </x:c>
      <x:c r="O80" s="24" t="str">
        <x:f>IF(AND(ISNUMBER(N80),ISNUMBER(H80)),(H80-J80)^2,"")</x:f>
      </x:c>
      <x:c r="P80" s="24" t="str">
        <x:f>IF(AND(ISNUMBER(N80),ISNUMBER(O80)),O80-N80,"")</x:f>
      </x:c>
      <x:c r="Q80" s="3"/>
      <x:c r="R80" s="19" t="str">
        <x:f>IF(A80="","",IF(COUNTIFS('Predictions'!$A$7:$A$306,A80)&lt;&gt;1,"Duplicate ID",IF(COUNTIFS('Cases overview'!$A$7:$A$306,B80)&lt;&gt;1,"Invalid case ref",IF(COUNTIFS('Plan versions'!$A$7:$A$306,C80,'Plan versions'!$B$7:$B$306,B80,'Plan versions'!$L$7:$L$306,"Frozen")&lt;&gt;1,"Invalid plan ref",IF(OR(NOT(ISNUMBER(D80)),NOT(ISNUMBER(E80)),F80="",I80="",M80="",Q80=""),"Prediction info missing",IF(D80&gt;E80,"Not pre-registered before due",IF(OR(AND(G80&lt;&gt;"",OR(NOT(ISNUMBER(G80)),G80&lt;0,G80&gt;1)),AND(H80&lt;&gt;"",OR(NOT(ISNUMBER(H80)),H80&lt;0,H80&gt;1))),"Invalid probability",IF(AND(I80="Resolved",OR(NOT(ISNUMBER(J80)),AND(J80&lt;&gt;0,J80&lt;&gt;1),NOT(ISNUMBER(K80)),L80="")),"Resolution evidence missing",IF(AND(I80="Resolved",D80&gt;K80),"Retroactive: not scored","Valid input")))))))))</x:f>
      </x:c>
    </x:row>
    <x:row r="81" ht="25" customHeight="1">
      <x:c r="A81" s="3"/>
      <x:c r="B81" s="3"/>
      <x:c r="C81" s="3"/>
      <x:c r="D81" s="25"/>
      <x:c r="E81" s="25"/>
      <x:c r="F81" s="3"/>
      <x:c r="G81" s="26"/>
      <x:c r="H81" s="26"/>
      <x:c r="I81" s="3"/>
      <x:c r="J81" s="22"/>
      <x:c r="K81" s="25"/>
      <x:c r="L81" s="3"/>
      <x:c r="M81" s="3"/>
      <x:c r="N81" s="24" t="str">
        <x:f>IF(AND(R81="Valid input",I81="Resolved",M81="Yes",ISNUMBER(G81)),(G81-J81)^2,"")</x:f>
      </x:c>
      <x:c r="O81" s="24" t="str">
        <x:f>IF(AND(ISNUMBER(N81),ISNUMBER(H81)),(H81-J81)^2,"")</x:f>
      </x:c>
      <x:c r="P81" s="24" t="str">
        <x:f>IF(AND(ISNUMBER(N81),ISNUMBER(O81)),O81-N81,"")</x:f>
      </x:c>
      <x:c r="Q81" s="3"/>
      <x:c r="R81" s="19" t="str">
        <x:f>IF(A81="","",IF(COUNTIFS('Predictions'!$A$7:$A$306,A81)&lt;&gt;1,"Duplicate ID",IF(COUNTIFS('Cases overview'!$A$7:$A$306,B81)&lt;&gt;1,"Invalid case ref",IF(COUNTIFS('Plan versions'!$A$7:$A$306,C81,'Plan versions'!$B$7:$B$306,B81,'Plan versions'!$L$7:$L$306,"Frozen")&lt;&gt;1,"Invalid plan ref",IF(OR(NOT(ISNUMBER(D81)),NOT(ISNUMBER(E81)),F81="",I81="",M81="",Q81=""),"Prediction info missing",IF(D81&gt;E81,"Not pre-registered before due",IF(OR(AND(G81&lt;&gt;"",OR(NOT(ISNUMBER(G81)),G81&lt;0,G81&gt;1)),AND(H81&lt;&gt;"",OR(NOT(ISNUMBER(H81)),H81&lt;0,H81&gt;1))),"Invalid probability",IF(AND(I81="Resolved",OR(NOT(ISNUMBER(J81)),AND(J81&lt;&gt;0,J81&lt;&gt;1),NOT(ISNUMBER(K81)),L81="")),"Resolution evidence missing",IF(AND(I81="Resolved",D81&gt;K81),"Retroactive: not scored","Valid input")))))))))</x:f>
      </x:c>
    </x:row>
    <x:row r="82" ht="25" customHeight="1">
      <x:c r="A82" s="3"/>
      <x:c r="B82" s="3"/>
      <x:c r="C82" s="3"/>
      <x:c r="D82" s="25"/>
      <x:c r="E82" s="25"/>
      <x:c r="F82" s="3"/>
      <x:c r="G82" s="26"/>
      <x:c r="H82" s="26"/>
      <x:c r="I82" s="3"/>
      <x:c r="J82" s="22"/>
      <x:c r="K82" s="25"/>
      <x:c r="L82" s="3"/>
      <x:c r="M82" s="3"/>
      <x:c r="N82" s="24" t="str">
        <x:f>IF(AND(R82="Valid input",I82="Resolved",M82="Yes",ISNUMBER(G82)),(G82-J82)^2,"")</x:f>
      </x:c>
      <x:c r="O82" s="24" t="str">
        <x:f>IF(AND(ISNUMBER(N82),ISNUMBER(H82)),(H82-J82)^2,"")</x:f>
      </x:c>
      <x:c r="P82" s="24" t="str">
        <x:f>IF(AND(ISNUMBER(N82),ISNUMBER(O82)),O82-N82,"")</x:f>
      </x:c>
      <x:c r="Q82" s="3"/>
      <x:c r="R82" s="19" t="str">
        <x:f>IF(A82="","",IF(COUNTIFS('Predictions'!$A$7:$A$306,A82)&lt;&gt;1,"Duplicate ID",IF(COUNTIFS('Cases overview'!$A$7:$A$306,B82)&lt;&gt;1,"Invalid case ref",IF(COUNTIFS('Plan versions'!$A$7:$A$306,C82,'Plan versions'!$B$7:$B$306,B82,'Plan versions'!$L$7:$L$306,"Frozen")&lt;&gt;1,"Invalid plan ref",IF(OR(NOT(ISNUMBER(D82)),NOT(ISNUMBER(E82)),F82="",I82="",M82="",Q82=""),"Prediction info missing",IF(D82&gt;E82,"Not pre-registered before due",IF(OR(AND(G82&lt;&gt;"",OR(NOT(ISNUMBER(G82)),G82&lt;0,G82&gt;1)),AND(H82&lt;&gt;"",OR(NOT(ISNUMBER(H82)),H82&lt;0,H82&gt;1))),"Invalid probability",IF(AND(I82="Resolved",OR(NOT(ISNUMBER(J82)),AND(J82&lt;&gt;0,J82&lt;&gt;1),NOT(ISNUMBER(K82)),L82="")),"Resolution evidence missing",IF(AND(I82="Resolved",D82&gt;K82),"Retroactive: not scored","Valid input")))))))))</x:f>
      </x:c>
    </x:row>
    <x:row r="83" ht="25" customHeight="1">
      <x:c r="A83" s="3"/>
      <x:c r="B83" s="3"/>
      <x:c r="C83" s="3"/>
      <x:c r="D83" s="25"/>
      <x:c r="E83" s="25"/>
      <x:c r="F83" s="3"/>
      <x:c r="G83" s="26"/>
      <x:c r="H83" s="26"/>
      <x:c r="I83" s="3"/>
      <x:c r="J83" s="22"/>
      <x:c r="K83" s="25"/>
      <x:c r="L83" s="3"/>
      <x:c r="M83" s="3"/>
      <x:c r="N83" s="24" t="str">
        <x:f>IF(AND(R83="Valid input",I83="Resolved",M83="Yes",ISNUMBER(G83)),(G83-J83)^2,"")</x:f>
      </x:c>
      <x:c r="O83" s="24" t="str">
        <x:f>IF(AND(ISNUMBER(N83),ISNUMBER(H83)),(H83-J83)^2,"")</x:f>
      </x:c>
      <x:c r="P83" s="24" t="str">
        <x:f>IF(AND(ISNUMBER(N83),ISNUMBER(O83)),O83-N83,"")</x:f>
      </x:c>
      <x:c r="Q83" s="3"/>
      <x:c r="R83" s="19" t="str">
        <x:f>IF(A83="","",IF(COUNTIFS('Predictions'!$A$7:$A$306,A83)&lt;&gt;1,"Duplicate ID",IF(COUNTIFS('Cases overview'!$A$7:$A$306,B83)&lt;&gt;1,"Invalid case ref",IF(COUNTIFS('Plan versions'!$A$7:$A$306,C83,'Plan versions'!$B$7:$B$306,B83,'Plan versions'!$L$7:$L$306,"Frozen")&lt;&gt;1,"Invalid plan ref",IF(OR(NOT(ISNUMBER(D83)),NOT(ISNUMBER(E83)),F83="",I83="",M83="",Q83=""),"Prediction info missing",IF(D83&gt;E83,"Not pre-registered before due",IF(OR(AND(G83&lt;&gt;"",OR(NOT(ISNUMBER(G83)),G83&lt;0,G83&gt;1)),AND(H83&lt;&gt;"",OR(NOT(ISNUMBER(H83)),H83&lt;0,H83&gt;1))),"Invalid probability",IF(AND(I83="Resolved",OR(NOT(ISNUMBER(J83)),AND(J83&lt;&gt;0,J83&lt;&gt;1),NOT(ISNUMBER(K83)),L83="")),"Resolution evidence missing",IF(AND(I83="Resolved",D83&gt;K83),"Retroactive: not scored","Valid input")))))))))</x:f>
      </x:c>
    </x:row>
    <x:row r="84" ht="25" customHeight="1">
      <x:c r="A84" s="3"/>
      <x:c r="B84" s="3"/>
      <x:c r="C84" s="3"/>
      <x:c r="D84" s="25"/>
      <x:c r="E84" s="25"/>
      <x:c r="F84" s="3"/>
      <x:c r="G84" s="26"/>
      <x:c r="H84" s="26"/>
      <x:c r="I84" s="3"/>
      <x:c r="J84" s="22"/>
      <x:c r="K84" s="25"/>
      <x:c r="L84" s="3"/>
      <x:c r="M84" s="3"/>
      <x:c r="N84" s="24" t="str">
        <x:f>IF(AND(R84="Valid input",I84="Resolved",M84="Yes",ISNUMBER(G84)),(G84-J84)^2,"")</x:f>
      </x:c>
      <x:c r="O84" s="24" t="str">
        <x:f>IF(AND(ISNUMBER(N84),ISNUMBER(H84)),(H84-J84)^2,"")</x:f>
      </x:c>
      <x:c r="P84" s="24" t="str">
        <x:f>IF(AND(ISNUMBER(N84),ISNUMBER(O84)),O84-N84,"")</x:f>
      </x:c>
      <x:c r="Q84" s="3"/>
      <x:c r="R84" s="19" t="str">
        <x:f>IF(A84="","",IF(COUNTIFS('Predictions'!$A$7:$A$306,A84)&lt;&gt;1,"Duplicate ID",IF(COUNTIFS('Cases overview'!$A$7:$A$306,B84)&lt;&gt;1,"Invalid case ref",IF(COUNTIFS('Plan versions'!$A$7:$A$306,C84,'Plan versions'!$B$7:$B$306,B84,'Plan versions'!$L$7:$L$306,"Frozen")&lt;&gt;1,"Invalid plan ref",IF(OR(NOT(ISNUMBER(D84)),NOT(ISNUMBER(E84)),F84="",I84="",M84="",Q84=""),"Prediction info missing",IF(D84&gt;E84,"Not pre-registered before due",IF(OR(AND(G84&lt;&gt;"",OR(NOT(ISNUMBER(G84)),G84&lt;0,G84&gt;1)),AND(H84&lt;&gt;"",OR(NOT(ISNUMBER(H84)),H84&lt;0,H84&gt;1))),"Invalid probability",IF(AND(I84="Resolved",OR(NOT(ISNUMBER(J84)),AND(J84&lt;&gt;0,J84&lt;&gt;1),NOT(ISNUMBER(K84)),L84="")),"Resolution evidence missing",IF(AND(I84="Resolved",D84&gt;K84),"Retroactive: not scored","Valid input")))))))))</x:f>
      </x:c>
    </x:row>
    <x:row r="85" ht="25" customHeight="1">
      <x:c r="A85" s="3"/>
      <x:c r="B85" s="3"/>
      <x:c r="C85" s="3"/>
      <x:c r="D85" s="25"/>
      <x:c r="E85" s="25"/>
      <x:c r="F85" s="3"/>
      <x:c r="G85" s="26"/>
      <x:c r="H85" s="26"/>
      <x:c r="I85" s="3"/>
      <x:c r="J85" s="22"/>
      <x:c r="K85" s="25"/>
      <x:c r="L85" s="3"/>
      <x:c r="M85" s="3"/>
      <x:c r="N85" s="24" t="str">
        <x:f>IF(AND(R85="Valid input",I85="Resolved",M85="Yes",ISNUMBER(G85)),(G85-J85)^2,"")</x:f>
      </x:c>
      <x:c r="O85" s="24" t="str">
        <x:f>IF(AND(ISNUMBER(N85),ISNUMBER(H85)),(H85-J85)^2,"")</x:f>
      </x:c>
      <x:c r="P85" s="24" t="str">
        <x:f>IF(AND(ISNUMBER(N85),ISNUMBER(O85)),O85-N85,"")</x:f>
      </x:c>
      <x:c r="Q85" s="3"/>
      <x:c r="R85" s="19" t="str">
        <x:f>IF(A85="","",IF(COUNTIFS('Predictions'!$A$7:$A$306,A85)&lt;&gt;1,"Duplicate ID",IF(COUNTIFS('Cases overview'!$A$7:$A$306,B85)&lt;&gt;1,"Invalid case ref",IF(COUNTIFS('Plan versions'!$A$7:$A$306,C85,'Plan versions'!$B$7:$B$306,B85,'Plan versions'!$L$7:$L$306,"Frozen")&lt;&gt;1,"Invalid plan ref",IF(OR(NOT(ISNUMBER(D85)),NOT(ISNUMBER(E85)),F85="",I85="",M85="",Q85=""),"Prediction info missing",IF(D85&gt;E85,"Not pre-registered before due",IF(OR(AND(G85&lt;&gt;"",OR(NOT(ISNUMBER(G85)),G85&lt;0,G85&gt;1)),AND(H85&lt;&gt;"",OR(NOT(ISNUMBER(H85)),H85&lt;0,H85&gt;1))),"Invalid probability",IF(AND(I85="Resolved",OR(NOT(ISNUMBER(J85)),AND(J85&lt;&gt;0,J85&lt;&gt;1),NOT(ISNUMBER(K85)),L85="")),"Resolution evidence missing",IF(AND(I85="Resolved",D85&gt;K85),"Retroactive: not scored","Valid input")))))))))</x:f>
      </x:c>
    </x:row>
    <x:row r="86" ht="25" customHeight="1">
      <x:c r="A86" s="3"/>
      <x:c r="B86" s="3"/>
      <x:c r="C86" s="3"/>
      <x:c r="D86" s="25"/>
      <x:c r="E86" s="25"/>
      <x:c r="F86" s="3"/>
      <x:c r="G86" s="26"/>
      <x:c r="H86" s="26"/>
      <x:c r="I86" s="3"/>
      <x:c r="J86" s="22"/>
      <x:c r="K86" s="25"/>
      <x:c r="L86" s="3"/>
      <x:c r="M86" s="3"/>
      <x:c r="N86" s="24" t="str">
        <x:f>IF(AND(R86="Valid input",I86="Resolved",M86="Yes",ISNUMBER(G86)),(G86-J86)^2,"")</x:f>
      </x:c>
      <x:c r="O86" s="24" t="str">
        <x:f>IF(AND(ISNUMBER(N86),ISNUMBER(H86)),(H86-J86)^2,"")</x:f>
      </x:c>
      <x:c r="P86" s="24" t="str">
        <x:f>IF(AND(ISNUMBER(N86),ISNUMBER(O86)),O86-N86,"")</x:f>
      </x:c>
      <x:c r="Q86" s="3"/>
      <x:c r="R86" s="19" t="str">
        <x:f>IF(A86="","",IF(COUNTIFS('Predictions'!$A$7:$A$306,A86)&lt;&gt;1,"Duplicate ID",IF(COUNTIFS('Cases overview'!$A$7:$A$306,B86)&lt;&gt;1,"Invalid case ref",IF(COUNTIFS('Plan versions'!$A$7:$A$306,C86,'Plan versions'!$B$7:$B$306,B86,'Plan versions'!$L$7:$L$306,"Frozen")&lt;&gt;1,"Invalid plan ref",IF(OR(NOT(ISNUMBER(D86)),NOT(ISNUMBER(E86)),F86="",I86="",M86="",Q86=""),"Prediction info missing",IF(D86&gt;E86,"Not pre-registered before due",IF(OR(AND(G86&lt;&gt;"",OR(NOT(ISNUMBER(G86)),G86&lt;0,G86&gt;1)),AND(H86&lt;&gt;"",OR(NOT(ISNUMBER(H86)),H86&lt;0,H86&gt;1))),"Invalid probability",IF(AND(I86="Resolved",OR(NOT(ISNUMBER(J86)),AND(J86&lt;&gt;0,J86&lt;&gt;1),NOT(ISNUMBER(K86)),L86="")),"Resolution evidence missing",IF(AND(I86="Resolved",D86&gt;K86),"Retroactive: not scored","Valid input")))))))))</x:f>
      </x:c>
    </x:row>
    <x:row r="87" ht="25" customHeight="1">
      <x:c r="A87" s="3"/>
      <x:c r="B87" s="3"/>
      <x:c r="C87" s="3"/>
      <x:c r="D87" s="25"/>
      <x:c r="E87" s="25"/>
      <x:c r="F87" s="3"/>
      <x:c r="G87" s="26"/>
      <x:c r="H87" s="26"/>
      <x:c r="I87" s="3"/>
      <x:c r="J87" s="22"/>
      <x:c r="K87" s="25"/>
      <x:c r="L87" s="3"/>
      <x:c r="M87" s="3"/>
      <x:c r="N87" s="24" t="str">
        <x:f>IF(AND(R87="Valid input",I87="Resolved",M87="Yes",ISNUMBER(G87)),(G87-J87)^2,"")</x:f>
      </x:c>
      <x:c r="O87" s="24" t="str">
        <x:f>IF(AND(ISNUMBER(N87),ISNUMBER(H87)),(H87-J87)^2,"")</x:f>
      </x:c>
      <x:c r="P87" s="24" t="str">
        <x:f>IF(AND(ISNUMBER(N87),ISNUMBER(O87)),O87-N87,"")</x:f>
      </x:c>
      <x:c r="Q87" s="3"/>
      <x:c r="R87" s="19" t="str">
        <x:f>IF(A87="","",IF(COUNTIFS('Predictions'!$A$7:$A$306,A87)&lt;&gt;1,"Duplicate ID",IF(COUNTIFS('Cases overview'!$A$7:$A$306,B87)&lt;&gt;1,"Invalid case ref",IF(COUNTIFS('Plan versions'!$A$7:$A$306,C87,'Plan versions'!$B$7:$B$306,B87,'Plan versions'!$L$7:$L$306,"Frozen")&lt;&gt;1,"Invalid plan ref",IF(OR(NOT(ISNUMBER(D87)),NOT(ISNUMBER(E87)),F87="",I87="",M87="",Q87=""),"Prediction info missing",IF(D87&gt;E87,"Not pre-registered before due",IF(OR(AND(G87&lt;&gt;"",OR(NOT(ISNUMBER(G87)),G87&lt;0,G87&gt;1)),AND(H87&lt;&gt;"",OR(NOT(ISNUMBER(H87)),H87&lt;0,H87&gt;1))),"Invalid probability",IF(AND(I87="Resolved",OR(NOT(ISNUMBER(J87)),AND(J87&lt;&gt;0,J87&lt;&gt;1),NOT(ISNUMBER(K87)),L87="")),"Resolution evidence missing",IF(AND(I87="Resolved",D87&gt;K87),"Retroactive: not scored","Valid input")))))))))</x:f>
      </x:c>
    </x:row>
    <x:row r="88" ht="25" customHeight="1">
      <x:c r="A88" s="3"/>
      <x:c r="B88" s="3"/>
      <x:c r="C88" s="3"/>
      <x:c r="D88" s="25"/>
      <x:c r="E88" s="25"/>
      <x:c r="F88" s="3"/>
      <x:c r="G88" s="26"/>
      <x:c r="H88" s="26"/>
      <x:c r="I88" s="3"/>
      <x:c r="J88" s="22"/>
      <x:c r="K88" s="25"/>
      <x:c r="L88" s="3"/>
      <x:c r="M88" s="3"/>
      <x:c r="N88" s="24" t="str">
        <x:f>IF(AND(R88="Valid input",I88="Resolved",M88="Yes",ISNUMBER(G88)),(G88-J88)^2,"")</x:f>
      </x:c>
      <x:c r="O88" s="24" t="str">
        <x:f>IF(AND(ISNUMBER(N88),ISNUMBER(H88)),(H88-J88)^2,"")</x:f>
      </x:c>
      <x:c r="P88" s="24" t="str">
        <x:f>IF(AND(ISNUMBER(N88),ISNUMBER(O88)),O88-N88,"")</x:f>
      </x:c>
      <x:c r="Q88" s="3"/>
      <x:c r="R88" s="19" t="str">
        <x:f>IF(A88="","",IF(COUNTIFS('Predictions'!$A$7:$A$306,A88)&lt;&gt;1,"Duplicate ID",IF(COUNTIFS('Cases overview'!$A$7:$A$306,B88)&lt;&gt;1,"Invalid case ref",IF(COUNTIFS('Plan versions'!$A$7:$A$306,C88,'Plan versions'!$B$7:$B$306,B88,'Plan versions'!$L$7:$L$306,"Frozen")&lt;&gt;1,"Invalid plan ref",IF(OR(NOT(ISNUMBER(D88)),NOT(ISNUMBER(E88)),F88="",I88="",M88="",Q88=""),"Prediction info missing",IF(D88&gt;E88,"Not pre-registered before due",IF(OR(AND(G88&lt;&gt;"",OR(NOT(ISNUMBER(G88)),G88&lt;0,G88&gt;1)),AND(H88&lt;&gt;"",OR(NOT(ISNUMBER(H88)),H88&lt;0,H88&gt;1))),"Invalid probability",IF(AND(I88="Resolved",OR(NOT(ISNUMBER(J88)),AND(J88&lt;&gt;0,J88&lt;&gt;1),NOT(ISNUMBER(K88)),L88="")),"Resolution evidence missing",IF(AND(I88="Resolved",D88&gt;K88),"Retroactive: not scored","Valid input")))))))))</x:f>
      </x:c>
    </x:row>
    <x:row r="89" ht="25" customHeight="1">
      <x:c r="A89" s="3"/>
      <x:c r="B89" s="3"/>
      <x:c r="C89" s="3"/>
      <x:c r="D89" s="25"/>
      <x:c r="E89" s="25"/>
      <x:c r="F89" s="3"/>
      <x:c r="G89" s="26"/>
      <x:c r="H89" s="26"/>
      <x:c r="I89" s="3"/>
      <x:c r="J89" s="22"/>
      <x:c r="K89" s="25"/>
      <x:c r="L89" s="3"/>
      <x:c r="M89" s="3"/>
      <x:c r="N89" s="24" t="str">
        <x:f>IF(AND(R89="Valid input",I89="Resolved",M89="Yes",ISNUMBER(G89)),(G89-J89)^2,"")</x:f>
      </x:c>
      <x:c r="O89" s="24" t="str">
        <x:f>IF(AND(ISNUMBER(N89),ISNUMBER(H89)),(H89-J89)^2,"")</x:f>
      </x:c>
      <x:c r="P89" s="24" t="str">
        <x:f>IF(AND(ISNUMBER(N89),ISNUMBER(O89)),O89-N89,"")</x:f>
      </x:c>
      <x:c r="Q89" s="3"/>
      <x:c r="R89" s="19" t="str">
        <x:f>IF(A89="","",IF(COUNTIFS('Predictions'!$A$7:$A$306,A89)&lt;&gt;1,"Duplicate ID",IF(COUNTIFS('Cases overview'!$A$7:$A$306,B89)&lt;&gt;1,"Invalid case ref",IF(COUNTIFS('Plan versions'!$A$7:$A$306,C89,'Plan versions'!$B$7:$B$306,B89,'Plan versions'!$L$7:$L$306,"Frozen")&lt;&gt;1,"Invalid plan ref",IF(OR(NOT(ISNUMBER(D89)),NOT(ISNUMBER(E89)),F89="",I89="",M89="",Q89=""),"Prediction info missing",IF(D89&gt;E89,"Not pre-registered before due",IF(OR(AND(G89&lt;&gt;"",OR(NOT(ISNUMBER(G89)),G89&lt;0,G89&gt;1)),AND(H89&lt;&gt;"",OR(NOT(ISNUMBER(H89)),H89&lt;0,H89&gt;1))),"Invalid probability",IF(AND(I89="Resolved",OR(NOT(ISNUMBER(J89)),AND(J89&lt;&gt;0,J89&lt;&gt;1),NOT(ISNUMBER(K89)),L89="")),"Resolution evidence missing",IF(AND(I89="Resolved",D89&gt;K89),"Retroactive: not scored","Valid input")))))))))</x:f>
      </x:c>
    </x:row>
    <x:row r="90" ht="25" customHeight="1">
      <x:c r="A90" s="3"/>
      <x:c r="B90" s="3"/>
      <x:c r="C90" s="3"/>
      <x:c r="D90" s="25"/>
      <x:c r="E90" s="25"/>
      <x:c r="F90" s="3"/>
      <x:c r="G90" s="26"/>
      <x:c r="H90" s="26"/>
      <x:c r="I90" s="3"/>
      <x:c r="J90" s="22"/>
      <x:c r="K90" s="25"/>
      <x:c r="L90" s="3"/>
      <x:c r="M90" s="3"/>
      <x:c r="N90" s="24" t="str">
        <x:f>IF(AND(R90="Valid input",I90="Resolved",M90="Yes",ISNUMBER(G90)),(G90-J90)^2,"")</x:f>
      </x:c>
      <x:c r="O90" s="24" t="str">
        <x:f>IF(AND(ISNUMBER(N90),ISNUMBER(H90)),(H90-J90)^2,"")</x:f>
      </x:c>
      <x:c r="P90" s="24" t="str">
        <x:f>IF(AND(ISNUMBER(N90),ISNUMBER(O90)),O90-N90,"")</x:f>
      </x:c>
      <x:c r="Q90" s="3"/>
      <x:c r="R90" s="19" t="str">
        <x:f>IF(A90="","",IF(COUNTIFS('Predictions'!$A$7:$A$306,A90)&lt;&gt;1,"Duplicate ID",IF(COUNTIFS('Cases overview'!$A$7:$A$306,B90)&lt;&gt;1,"Invalid case ref",IF(COUNTIFS('Plan versions'!$A$7:$A$306,C90,'Plan versions'!$B$7:$B$306,B90,'Plan versions'!$L$7:$L$306,"Frozen")&lt;&gt;1,"Invalid plan ref",IF(OR(NOT(ISNUMBER(D90)),NOT(ISNUMBER(E90)),F90="",I90="",M90="",Q90=""),"Prediction info missing",IF(D90&gt;E90,"Not pre-registered before due",IF(OR(AND(G90&lt;&gt;"",OR(NOT(ISNUMBER(G90)),G90&lt;0,G90&gt;1)),AND(H90&lt;&gt;"",OR(NOT(ISNUMBER(H90)),H90&lt;0,H90&gt;1))),"Invalid probability",IF(AND(I90="Resolved",OR(NOT(ISNUMBER(J90)),AND(J90&lt;&gt;0,J90&lt;&gt;1),NOT(ISNUMBER(K90)),L90="")),"Resolution evidence missing",IF(AND(I90="Resolved",D90&gt;K90),"Retroactive: not scored","Valid input")))))))))</x:f>
      </x:c>
    </x:row>
    <x:row r="91" ht="25" customHeight="1">
      <x:c r="A91" s="3"/>
      <x:c r="B91" s="3"/>
      <x:c r="C91" s="3"/>
      <x:c r="D91" s="25"/>
      <x:c r="E91" s="25"/>
      <x:c r="F91" s="3"/>
      <x:c r="G91" s="26"/>
      <x:c r="H91" s="26"/>
      <x:c r="I91" s="3"/>
      <x:c r="J91" s="22"/>
      <x:c r="K91" s="25"/>
      <x:c r="L91" s="3"/>
      <x:c r="M91" s="3"/>
      <x:c r="N91" s="24" t="str">
        <x:f>IF(AND(R91="Valid input",I91="Resolved",M91="Yes",ISNUMBER(G91)),(G91-J91)^2,"")</x:f>
      </x:c>
      <x:c r="O91" s="24" t="str">
        <x:f>IF(AND(ISNUMBER(N91),ISNUMBER(H91)),(H91-J91)^2,"")</x:f>
      </x:c>
      <x:c r="P91" s="24" t="str">
        <x:f>IF(AND(ISNUMBER(N91),ISNUMBER(O91)),O91-N91,"")</x:f>
      </x:c>
      <x:c r="Q91" s="3"/>
      <x:c r="R91" s="19" t="str">
        <x:f>IF(A91="","",IF(COUNTIFS('Predictions'!$A$7:$A$306,A91)&lt;&gt;1,"Duplicate ID",IF(COUNTIFS('Cases overview'!$A$7:$A$306,B91)&lt;&gt;1,"Invalid case ref",IF(COUNTIFS('Plan versions'!$A$7:$A$306,C91,'Plan versions'!$B$7:$B$306,B91,'Plan versions'!$L$7:$L$306,"Frozen")&lt;&gt;1,"Invalid plan ref",IF(OR(NOT(ISNUMBER(D91)),NOT(ISNUMBER(E91)),F91="",I91="",M91="",Q91=""),"Prediction info missing",IF(D91&gt;E91,"Not pre-registered before due",IF(OR(AND(G91&lt;&gt;"",OR(NOT(ISNUMBER(G91)),G91&lt;0,G91&gt;1)),AND(H91&lt;&gt;"",OR(NOT(ISNUMBER(H91)),H91&lt;0,H91&gt;1))),"Invalid probability",IF(AND(I91="Resolved",OR(NOT(ISNUMBER(J91)),AND(J91&lt;&gt;0,J91&lt;&gt;1),NOT(ISNUMBER(K91)),L91="")),"Resolution evidence missing",IF(AND(I91="Resolved",D91&gt;K91),"Retroactive: not scored","Valid input")))))))))</x:f>
      </x:c>
    </x:row>
    <x:row r="92" ht="25" customHeight="1">
      <x:c r="A92" s="3"/>
      <x:c r="B92" s="3"/>
      <x:c r="C92" s="3"/>
      <x:c r="D92" s="25"/>
      <x:c r="E92" s="25"/>
      <x:c r="F92" s="3"/>
      <x:c r="G92" s="26"/>
      <x:c r="H92" s="26"/>
      <x:c r="I92" s="3"/>
      <x:c r="J92" s="22"/>
      <x:c r="K92" s="25"/>
      <x:c r="L92" s="3"/>
      <x:c r="M92" s="3"/>
      <x:c r="N92" s="24" t="str">
        <x:f>IF(AND(R92="Valid input",I92="Resolved",M92="Yes",ISNUMBER(G92)),(G92-J92)^2,"")</x:f>
      </x:c>
      <x:c r="O92" s="24" t="str">
        <x:f>IF(AND(ISNUMBER(N92),ISNUMBER(H92)),(H92-J92)^2,"")</x:f>
      </x:c>
      <x:c r="P92" s="24" t="str">
        <x:f>IF(AND(ISNUMBER(N92),ISNUMBER(O92)),O92-N92,"")</x:f>
      </x:c>
      <x:c r="Q92" s="3"/>
      <x:c r="R92" s="19" t="str">
        <x:f>IF(A92="","",IF(COUNTIFS('Predictions'!$A$7:$A$306,A92)&lt;&gt;1,"Duplicate ID",IF(COUNTIFS('Cases overview'!$A$7:$A$306,B92)&lt;&gt;1,"Invalid case ref",IF(COUNTIFS('Plan versions'!$A$7:$A$306,C92,'Plan versions'!$B$7:$B$306,B92,'Plan versions'!$L$7:$L$306,"Frozen")&lt;&gt;1,"Invalid plan ref",IF(OR(NOT(ISNUMBER(D92)),NOT(ISNUMBER(E92)),F92="",I92="",M92="",Q92=""),"Prediction info missing",IF(D92&gt;E92,"Not pre-registered before due",IF(OR(AND(G92&lt;&gt;"",OR(NOT(ISNUMBER(G92)),G92&lt;0,G92&gt;1)),AND(H92&lt;&gt;"",OR(NOT(ISNUMBER(H92)),H92&lt;0,H92&gt;1))),"Invalid probability",IF(AND(I92="Resolved",OR(NOT(ISNUMBER(J92)),AND(J92&lt;&gt;0,J92&lt;&gt;1),NOT(ISNUMBER(K92)),L92="")),"Resolution evidence missing",IF(AND(I92="Resolved",D92&gt;K92),"Retroactive: not scored","Valid input")))))))))</x:f>
      </x:c>
    </x:row>
    <x:row r="93" ht="25" customHeight="1">
      <x:c r="A93" s="3"/>
      <x:c r="B93" s="3"/>
      <x:c r="C93" s="3"/>
      <x:c r="D93" s="25"/>
      <x:c r="E93" s="25"/>
      <x:c r="F93" s="3"/>
      <x:c r="G93" s="26"/>
      <x:c r="H93" s="26"/>
      <x:c r="I93" s="3"/>
      <x:c r="J93" s="22"/>
      <x:c r="K93" s="25"/>
      <x:c r="L93" s="3"/>
      <x:c r="M93" s="3"/>
      <x:c r="N93" s="24" t="str">
        <x:f>IF(AND(R93="Valid input",I93="Resolved",M93="Yes",ISNUMBER(G93)),(G93-J93)^2,"")</x:f>
      </x:c>
      <x:c r="O93" s="24" t="str">
        <x:f>IF(AND(ISNUMBER(N93),ISNUMBER(H93)),(H93-J93)^2,"")</x:f>
      </x:c>
      <x:c r="P93" s="24" t="str">
        <x:f>IF(AND(ISNUMBER(N93),ISNUMBER(O93)),O93-N93,"")</x:f>
      </x:c>
      <x:c r="Q93" s="3"/>
      <x:c r="R93" s="19" t="str">
        <x:f>IF(A93="","",IF(COUNTIFS('Predictions'!$A$7:$A$306,A93)&lt;&gt;1,"Duplicate ID",IF(COUNTIFS('Cases overview'!$A$7:$A$306,B93)&lt;&gt;1,"Invalid case ref",IF(COUNTIFS('Plan versions'!$A$7:$A$306,C93,'Plan versions'!$B$7:$B$306,B93,'Plan versions'!$L$7:$L$306,"Frozen")&lt;&gt;1,"Invalid plan ref",IF(OR(NOT(ISNUMBER(D93)),NOT(ISNUMBER(E93)),F93="",I93="",M93="",Q93=""),"Prediction info missing",IF(D93&gt;E93,"Not pre-registered before due",IF(OR(AND(G93&lt;&gt;"",OR(NOT(ISNUMBER(G93)),G93&lt;0,G93&gt;1)),AND(H93&lt;&gt;"",OR(NOT(ISNUMBER(H93)),H93&lt;0,H93&gt;1))),"Invalid probability",IF(AND(I93="Resolved",OR(NOT(ISNUMBER(J93)),AND(J93&lt;&gt;0,J93&lt;&gt;1),NOT(ISNUMBER(K93)),L93="")),"Resolution evidence missing",IF(AND(I93="Resolved",D93&gt;K93),"Retroactive: not scored","Valid input")))))))))</x:f>
      </x:c>
    </x:row>
    <x:row r="94" ht="25" customHeight="1">
      <x:c r="A94" s="3"/>
      <x:c r="B94" s="3"/>
      <x:c r="C94" s="3"/>
      <x:c r="D94" s="25"/>
      <x:c r="E94" s="25"/>
      <x:c r="F94" s="3"/>
      <x:c r="G94" s="26"/>
      <x:c r="H94" s="26"/>
      <x:c r="I94" s="3"/>
      <x:c r="J94" s="22"/>
      <x:c r="K94" s="25"/>
      <x:c r="L94" s="3"/>
      <x:c r="M94" s="3"/>
      <x:c r="N94" s="24" t="str">
        <x:f>IF(AND(R94="Valid input",I94="Resolved",M94="Yes",ISNUMBER(G94)),(G94-J94)^2,"")</x:f>
      </x:c>
      <x:c r="O94" s="24" t="str">
        <x:f>IF(AND(ISNUMBER(N94),ISNUMBER(H94)),(H94-J94)^2,"")</x:f>
      </x:c>
      <x:c r="P94" s="24" t="str">
        <x:f>IF(AND(ISNUMBER(N94),ISNUMBER(O94)),O94-N94,"")</x:f>
      </x:c>
      <x:c r="Q94" s="3"/>
      <x:c r="R94" s="19" t="str">
        <x:f>IF(A94="","",IF(COUNTIFS('Predictions'!$A$7:$A$306,A94)&lt;&gt;1,"Duplicate ID",IF(COUNTIFS('Cases overview'!$A$7:$A$306,B94)&lt;&gt;1,"Invalid case ref",IF(COUNTIFS('Plan versions'!$A$7:$A$306,C94,'Plan versions'!$B$7:$B$306,B94,'Plan versions'!$L$7:$L$306,"Frozen")&lt;&gt;1,"Invalid plan ref",IF(OR(NOT(ISNUMBER(D94)),NOT(ISNUMBER(E94)),F94="",I94="",M94="",Q94=""),"Prediction info missing",IF(D94&gt;E94,"Not pre-registered before due",IF(OR(AND(G94&lt;&gt;"",OR(NOT(ISNUMBER(G94)),G94&lt;0,G94&gt;1)),AND(H94&lt;&gt;"",OR(NOT(ISNUMBER(H94)),H94&lt;0,H94&gt;1))),"Invalid probability",IF(AND(I94="Resolved",OR(NOT(ISNUMBER(J94)),AND(J94&lt;&gt;0,J94&lt;&gt;1),NOT(ISNUMBER(K94)),L94="")),"Resolution evidence missing",IF(AND(I94="Resolved",D94&gt;K94),"Retroactive: not scored","Valid input")))))))))</x:f>
      </x:c>
    </x:row>
    <x:row r="95" ht="25" customHeight="1">
      <x:c r="A95" s="3"/>
      <x:c r="B95" s="3"/>
      <x:c r="C95" s="3"/>
      <x:c r="D95" s="25"/>
      <x:c r="E95" s="25"/>
      <x:c r="F95" s="3"/>
      <x:c r="G95" s="26"/>
      <x:c r="H95" s="26"/>
      <x:c r="I95" s="3"/>
      <x:c r="J95" s="22"/>
      <x:c r="K95" s="25"/>
      <x:c r="L95" s="3"/>
      <x:c r="M95" s="3"/>
      <x:c r="N95" s="24" t="str">
        <x:f>IF(AND(R95="Valid input",I95="Resolved",M95="Yes",ISNUMBER(G95)),(G95-J95)^2,"")</x:f>
      </x:c>
      <x:c r="O95" s="24" t="str">
        <x:f>IF(AND(ISNUMBER(N95),ISNUMBER(H95)),(H95-J95)^2,"")</x:f>
      </x:c>
      <x:c r="P95" s="24" t="str">
        <x:f>IF(AND(ISNUMBER(N95),ISNUMBER(O95)),O95-N95,"")</x:f>
      </x:c>
      <x:c r="Q95" s="3"/>
      <x:c r="R95" s="19" t="str">
        <x:f>IF(A95="","",IF(COUNTIFS('Predictions'!$A$7:$A$306,A95)&lt;&gt;1,"Duplicate ID",IF(COUNTIFS('Cases overview'!$A$7:$A$306,B95)&lt;&gt;1,"Invalid case ref",IF(COUNTIFS('Plan versions'!$A$7:$A$306,C95,'Plan versions'!$B$7:$B$306,B95,'Plan versions'!$L$7:$L$306,"Frozen")&lt;&gt;1,"Invalid plan ref",IF(OR(NOT(ISNUMBER(D95)),NOT(ISNUMBER(E95)),F95="",I95="",M95="",Q95=""),"Prediction info missing",IF(D95&gt;E95,"Not pre-registered before due",IF(OR(AND(G95&lt;&gt;"",OR(NOT(ISNUMBER(G95)),G95&lt;0,G95&gt;1)),AND(H95&lt;&gt;"",OR(NOT(ISNUMBER(H95)),H95&lt;0,H95&gt;1))),"Invalid probability",IF(AND(I95="Resolved",OR(NOT(ISNUMBER(J95)),AND(J95&lt;&gt;0,J95&lt;&gt;1),NOT(ISNUMBER(K95)),L95="")),"Resolution evidence missing",IF(AND(I95="Resolved",D95&gt;K95),"Retroactive: not scored","Valid input")))))))))</x:f>
      </x:c>
    </x:row>
    <x:row r="96" ht="25" customHeight="1">
      <x:c r="A96" s="3"/>
      <x:c r="B96" s="3"/>
      <x:c r="C96" s="3"/>
      <x:c r="D96" s="25"/>
      <x:c r="E96" s="25"/>
      <x:c r="F96" s="3"/>
      <x:c r="G96" s="26"/>
      <x:c r="H96" s="26"/>
      <x:c r="I96" s="3"/>
      <x:c r="J96" s="22"/>
      <x:c r="K96" s="25"/>
      <x:c r="L96" s="3"/>
      <x:c r="M96" s="3"/>
      <x:c r="N96" s="24" t="str">
        <x:f>IF(AND(R96="Valid input",I96="Resolved",M96="Yes",ISNUMBER(G96)),(G96-J96)^2,"")</x:f>
      </x:c>
      <x:c r="O96" s="24" t="str">
        <x:f>IF(AND(ISNUMBER(N96),ISNUMBER(H96)),(H96-J96)^2,"")</x:f>
      </x:c>
      <x:c r="P96" s="24" t="str">
        <x:f>IF(AND(ISNUMBER(N96),ISNUMBER(O96)),O96-N96,"")</x:f>
      </x:c>
      <x:c r="Q96" s="3"/>
      <x:c r="R96" s="19" t="str">
        <x:f>IF(A96="","",IF(COUNTIFS('Predictions'!$A$7:$A$306,A96)&lt;&gt;1,"Duplicate ID",IF(COUNTIFS('Cases overview'!$A$7:$A$306,B96)&lt;&gt;1,"Invalid case ref",IF(COUNTIFS('Plan versions'!$A$7:$A$306,C96,'Plan versions'!$B$7:$B$306,B96,'Plan versions'!$L$7:$L$306,"Frozen")&lt;&gt;1,"Invalid plan ref",IF(OR(NOT(ISNUMBER(D96)),NOT(ISNUMBER(E96)),F96="",I96="",M96="",Q96=""),"Prediction info missing",IF(D96&gt;E96,"Not pre-registered before due",IF(OR(AND(G96&lt;&gt;"",OR(NOT(ISNUMBER(G96)),G96&lt;0,G96&gt;1)),AND(H96&lt;&gt;"",OR(NOT(ISNUMBER(H96)),H96&lt;0,H96&gt;1))),"Invalid probability",IF(AND(I96="Resolved",OR(NOT(ISNUMBER(J96)),AND(J96&lt;&gt;0,J96&lt;&gt;1),NOT(ISNUMBER(K96)),L96="")),"Resolution evidence missing",IF(AND(I96="Resolved",D96&gt;K96),"Retroactive: not scored","Valid input")))))))))</x:f>
      </x:c>
    </x:row>
    <x:row r="97" ht="25" customHeight="1">
      <x:c r="A97" s="3"/>
      <x:c r="B97" s="3"/>
      <x:c r="C97" s="3"/>
      <x:c r="D97" s="25"/>
      <x:c r="E97" s="25"/>
      <x:c r="F97" s="3"/>
      <x:c r="G97" s="26"/>
      <x:c r="H97" s="26"/>
      <x:c r="I97" s="3"/>
      <x:c r="J97" s="22"/>
      <x:c r="K97" s="25"/>
      <x:c r="L97" s="3"/>
      <x:c r="M97" s="3"/>
      <x:c r="N97" s="24" t="str">
        <x:f>IF(AND(R97="Valid input",I97="Resolved",M97="Yes",ISNUMBER(G97)),(G97-J97)^2,"")</x:f>
      </x:c>
      <x:c r="O97" s="24" t="str">
        <x:f>IF(AND(ISNUMBER(N97),ISNUMBER(H97)),(H97-J97)^2,"")</x:f>
      </x:c>
      <x:c r="P97" s="24" t="str">
        <x:f>IF(AND(ISNUMBER(N97),ISNUMBER(O97)),O97-N97,"")</x:f>
      </x:c>
      <x:c r="Q97" s="3"/>
      <x:c r="R97" s="19" t="str">
        <x:f>IF(A97="","",IF(COUNTIFS('Predictions'!$A$7:$A$306,A97)&lt;&gt;1,"Duplicate ID",IF(COUNTIFS('Cases overview'!$A$7:$A$306,B97)&lt;&gt;1,"Invalid case ref",IF(COUNTIFS('Plan versions'!$A$7:$A$306,C97,'Plan versions'!$B$7:$B$306,B97,'Plan versions'!$L$7:$L$306,"Frozen")&lt;&gt;1,"Invalid plan ref",IF(OR(NOT(ISNUMBER(D97)),NOT(ISNUMBER(E97)),F97="",I97="",M97="",Q97=""),"Prediction info missing",IF(D97&gt;E97,"Not pre-registered before due",IF(OR(AND(G97&lt;&gt;"",OR(NOT(ISNUMBER(G97)),G97&lt;0,G97&gt;1)),AND(H97&lt;&gt;"",OR(NOT(ISNUMBER(H97)),H97&lt;0,H97&gt;1))),"Invalid probability",IF(AND(I97="Resolved",OR(NOT(ISNUMBER(J97)),AND(J97&lt;&gt;0,J97&lt;&gt;1),NOT(ISNUMBER(K97)),L97="")),"Resolution evidence missing",IF(AND(I97="Resolved",D97&gt;K97),"Retroactive: not scored","Valid input")))))))))</x:f>
      </x:c>
    </x:row>
    <x:row r="98" ht="25" customHeight="1">
      <x:c r="A98" s="3"/>
      <x:c r="B98" s="3"/>
      <x:c r="C98" s="3"/>
      <x:c r="D98" s="25"/>
      <x:c r="E98" s="25"/>
      <x:c r="F98" s="3"/>
      <x:c r="G98" s="26"/>
      <x:c r="H98" s="26"/>
      <x:c r="I98" s="3"/>
      <x:c r="J98" s="22"/>
      <x:c r="K98" s="25"/>
      <x:c r="L98" s="3"/>
      <x:c r="M98" s="3"/>
      <x:c r="N98" s="24" t="str">
        <x:f>IF(AND(R98="Valid input",I98="Resolved",M98="Yes",ISNUMBER(G98)),(G98-J98)^2,"")</x:f>
      </x:c>
      <x:c r="O98" s="24" t="str">
        <x:f>IF(AND(ISNUMBER(N98),ISNUMBER(H98)),(H98-J98)^2,"")</x:f>
      </x:c>
      <x:c r="P98" s="24" t="str">
        <x:f>IF(AND(ISNUMBER(N98),ISNUMBER(O98)),O98-N98,"")</x:f>
      </x:c>
      <x:c r="Q98" s="3"/>
      <x:c r="R98" s="19" t="str">
        <x:f>IF(A98="","",IF(COUNTIFS('Predictions'!$A$7:$A$306,A98)&lt;&gt;1,"Duplicate ID",IF(COUNTIFS('Cases overview'!$A$7:$A$306,B98)&lt;&gt;1,"Invalid case ref",IF(COUNTIFS('Plan versions'!$A$7:$A$306,C98,'Plan versions'!$B$7:$B$306,B98,'Plan versions'!$L$7:$L$306,"Frozen")&lt;&gt;1,"Invalid plan ref",IF(OR(NOT(ISNUMBER(D98)),NOT(ISNUMBER(E98)),F98="",I98="",M98="",Q98=""),"Prediction info missing",IF(D98&gt;E98,"Not pre-registered before due",IF(OR(AND(G98&lt;&gt;"",OR(NOT(ISNUMBER(G98)),G98&lt;0,G98&gt;1)),AND(H98&lt;&gt;"",OR(NOT(ISNUMBER(H98)),H98&lt;0,H98&gt;1))),"Invalid probability",IF(AND(I98="Resolved",OR(NOT(ISNUMBER(J98)),AND(J98&lt;&gt;0,J98&lt;&gt;1),NOT(ISNUMBER(K98)),L98="")),"Resolution evidence missing",IF(AND(I98="Resolved",D98&gt;K98),"Retroactive: not scored","Valid input")))))))))</x:f>
      </x:c>
    </x:row>
    <x:row r="99" ht="25" customHeight="1">
      <x:c r="A99" s="3"/>
      <x:c r="B99" s="3"/>
      <x:c r="C99" s="3"/>
      <x:c r="D99" s="25"/>
      <x:c r="E99" s="25"/>
      <x:c r="F99" s="3"/>
      <x:c r="G99" s="26"/>
      <x:c r="H99" s="26"/>
      <x:c r="I99" s="3"/>
      <x:c r="J99" s="22"/>
      <x:c r="K99" s="25"/>
      <x:c r="L99" s="3"/>
      <x:c r="M99" s="3"/>
      <x:c r="N99" s="24" t="str">
        <x:f>IF(AND(R99="Valid input",I99="Resolved",M99="Yes",ISNUMBER(G99)),(G99-J99)^2,"")</x:f>
      </x:c>
      <x:c r="O99" s="24" t="str">
        <x:f>IF(AND(ISNUMBER(N99),ISNUMBER(H99)),(H99-J99)^2,"")</x:f>
      </x:c>
      <x:c r="P99" s="24" t="str">
        <x:f>IF(AND(ISNUMBER(N99),ISNUMBER(O99)),O99-N99,"")</x:f>
      </x:c>
      <x:c r="Q99" s="3"/>
      <x:c r="R99" s="19" t="str">
        <x:f>IF(A99="","",IF(COUNTIFS('Predictions'!$A$7:$A$306,A99)&lt;&gt;1,"Duplicate ID",IF(COUNTIFS('Cases overview'!$A$7:$A$306,B99)&lt;&gt;1,"Invalid case ref",IF(COUNTIFS('Plan versions'!$A$7:$A$306,C99,'Plan versions'!$B$7:$B$306,B99,'Plan versions'!$L$7:$L$306,"Frozen")&lt;&gt;1,"Invalid plan ref",IF(OR(NOT(ISNUMBER(D99)),NOT(ISNUMBER(E99)),F99="",I99="",M99="",Q99=""),"Prediction info missing",IF(D99&gt;E99,"Not pre-registered before due",IF(OR(AND(G99&lt;&gt;"",OR(NOT(ISNUMBER(G99)),G99&lt;0,G99&gt;1)),AND(H99&lt;&gt;"",OR(NOT(ISNUMBER(H99)),H99&lt;0,H99&gt;1))),"Invalid probability",IF(AND(I99="Resolved",OR(NOT(ISNUMBER(J99)),AND(J99&lt;&gt;0,J99&lt;&gt;1),NOT(ISNUMBER(K99)),L99="")),"Resolution evidence missing",IF(AND(I99="Resolved",D99&gt;K99),"Retroactive: not scored","Valid input")))))))))</x:f>
      </x:c>
    </x:row>
    <x:row r="100" ht="25" customHeight="1">
      <x:c r="A100" s="3"/>
      <x:c r="B100" s="3"/>
      <x:c r="C100" s="3"/>
      <x:c r="D100" s="25"/>
      <x:c r="E100" s="25"/>
      <x:c r="F100" s="3"/>
      <x:c r="G100" s="26"/>
      <x:c r="H100" s="26"/>
      <x:c r="I100" s="3"/>
      <x:c r="J100" s="22"/>
      <x:c r="K100" s="25"/>
      <x:c r="L100" s="3"/>
      <x:c r="M100" s="3"/>
      <x:c r="N100" s="24" t="str">
        <x:f>IF(AND(R100="Valid input",I100="Resolved",M100="Yes",ISNUMBER(G100)),(G100-J100)^2,"")</x:f>
      </x:c>
      <x:c r="O100" s="24" t="str">
        <x:f>IF(AND(ISNUMBER(N100),ISNUMBER(H100)),(H100-J100)^2,"")</x:f>
      </x:c>
      <x:c r="P100" s="24" t="str">
        <x:f>IF(AND(ISNUMBER(N100),ISNUMBER(O100)),O100-N100,"")</x:f>
      </x:c>
      <x:c r="Q100" s="3"/>
      <x:c r="R100" s="19" t="str">
        <x:f>IF(A100="","",IF(COUNTIFS('Predictions'!$A$7:$A$306,A100)&lt;&gt;1,"Duplicate ID",IF(COUNTIFS('Cases overview'!$A$7:$A$306,B100)&lt;&gt;1,"Invalid case ref",IF(COUNTIFS('Plan versions'!$A$7:$A$306,C100,'Plan versions'!$B$7:$B$306,B100,'Plan versions'!$L$7:$L$306,"Frozen")&lt;&gt;1,"Invalid plan ref",IF(OR(NOT(ISNUMBER(D100)),NOT(ISNUMBER(E100)),F100="",I100="",M100="",Q100=""),"Prediction info missing",IF(D100&gt;E100,"Not pre-registered before due",IF(OR(AND(G100&lt;&gt;"",OR(NOT(ISNUMBER(G100)),G100&lt;0,G100&gt;1)),AND(H100&lt;&gt;"",OR(NOT(ISNUMBER(H100)),H100&lt;0,H100&gt;1))),"Invalid probability",IF(AND(I100="Resolved",OR(NOT(ISNUMBER(J100)),AND(J100&lt;&gt;0,J100&lt;&gt;1),NOT(ISNUMBER(K100)),L100="")),"Resolution evidence missing",IF(AND(I100="Resolved",D100&gt;K100),"Retroactive: not scored","Valid input")))))))))</x:f>
      </x:c>
    </x:row>
    <x:row r="101" ht="25" customHeight="1">
      <x:c r="A101" s="3"/>
      <x:c r="B101" s="3"/>
      <x:c r="C101" s="3"/>
      <x:c r="D101" s="25"/>
      <x:c r="E101" s="25"/>
      <x:c r="F101" s="3"/>
      <x:c r="G101" s="26"/>
      <x:c r="H101" s="26"/>
      <x:c r="I101" s="3"/>
      <x:c r="J101" s="22"/>
      <x:c r="K101" s="25"/>
      <x:c r="L101" s="3"/>
      <x:c r="M101" s="3"/>
      <x:c r="N101" s="24" t="str">
        <x:f>IF(AND(R101="Valid input",I101="Resolved",M101="Yes",ISNUMBER(G101)),(G101-J101)^2,"")</x:f>
      </x:c>
      <x:c r="O101" s="24" t="str">
        <x:f>IF(AND(ISNUMBER(N101),ISNUMBER(H101)),(H101-J101)^2,"")</x:f>
      </x:c>
      <x:c r="P101" s="24" t="str">
        <x:f>IF(AND(ISNUMBER(N101),ISNUMBER(O101)),O101-N101,"")</x:f>
      </x:c>
      <x:c r="Q101" s="3"/>
      <x:c r="R101" s="19" t="str">
        <x:f>IF(A101="","",IF(COUNTIFS('Predictions'!$A$7:$A$306,A101)&lt;&gt;1,"Duplicate ID",IF(COUNTIFS('Cases overview'!$A$7:$A$306,B101)&lt;&gt;1,"Invalid case ref",IF(COUNTIFS('Plan versions'!$A$7:$A$306,C101,'Plan versions'!$B$7:$B$306,B101,'Plan versions'!$L$7:$L$306,"Frozen")&lt;&gt;1,"Invalid plan ref",IF(OR(NOT(ISNUMBER(D101)),NOT(ISNUMBER(E101)),F101="",I101="",M101="",Q101=""),"Prediction info missing",IF(D101&gt;E101,"Not pre-registered before due",IF(OR(AND(G101&lt;&gt;"",OR(NOT(ISNUMBER(G101)),G101&lt;0,G101&gt;1)),AND(H101&lt;&gt;"",OR(NOT(ISNUMBER(H101)),H101&lt;0,H101&gt;1))),"Invalid probability",IF(AND(I101="Resolved",OR(NOT(ISNUMBER(J101)),AND(J101&lt;&gt;0,J101&lt;&gt;1),NOT(ISNUMBER(K101)),L101="")),"Resolution evidence missing",IF(AND(I101="Resolved",D101&gt;K101),"Retroactive: not scored","Valid input")))))))))</x:f>
      </x:c>
    </x:row>
    <x:row r="102" ht="25" customHeight="1">
      <x:c r="A102" s="3"/>
      <x:c r="B102" s="3"/>
      <x:c r="C102" s="3"/>
      <x:c r="D102" s="25"/>
      <x:c r="E102" s="25"/>
      <x:c r="F102" s="3"/>
      <x:c r="G102" s="26"/>
      <x:c r="H102" s="26"/>
      <x:c r="I102" s="3"/>
      <x:c r="J102" s="22"/>
      <x:c r="K102" s="25"/>
      <x:c r="L102" s="3"/>
      <x:c r="M102" s="3"/>
      <x:c r="N102" s="24" t="str">
        <x:f>IF(AND(R102="Valid input",I102="Resolved",M102="Yes",ISNUMBER(G102)),(G102-J102)^2,"")</x:f>
      </x:c>
      <x:c r="O102" s="24" t="str">
        <x:f>IF(AND(ISNUMBER(N102),ISNUMBER(H102)),(H102-J102)^2,"")</x:f>
      </x:c>
      <x:c r="P102" s="24" t="str">
        <x:f>IF(AND(ISNUMBER(N102),ISNUMBER(O102)),O102-N102,"")</x:f>
      </x:c>
      <x:c r="Q102" s="3"/>
      <x:c r="R102" s="19" t="str">
        <x:f>IF(A102="","",IF(COUNTIFS('Predictions'!$A$7:$A$306,A102)&lt;&gt;1,"Duplicate ID",IF(COUNTIFS('Cases overview'!$A$7:$A$306,B102)&lt;&gt;1,"Invalid case ref",IF(COUNTIFS('Plan versions'!$A$7:$A$306,C102,'Plan versions'!$B$7:$B$306,B102,'Plan versions'!$L$7:$L$306,"Frozen")&lt;&gt;1,"Invalid plan ref",IF(OR(NOT(ISNUMBER(D102)),NOT(ISNUMBER(E102)),F102="",I102="",M102="",Q102=""),"Prediction info missing",IF(D102&gt;E102,"Not pre-registered before due",IF(OR(AND(G102&lt;&gt;"",OR(NOT(ISNUMBER(G102)),G102&lt;0,G102&gt;1)),AND(H102&lt;&gt;"",OR(NOT(ISNUMBER(H102)),H102&lt;0,H102&gt;1))),"Invalid probability",IF(AND(I102="Resolved",OR(NOT(ISNUMBER(J102)),AND(J102&lt;&gt;0,J102&lt;&gt;1),NOT(ISNUMBER(K102)),L102="")),"Resolution evidence missing",IF(AND(I102="Resolved",D102&gt;K102),"Retroactive: not scored","Valid input")))))))))</x:f>
      </x:c>
    </x:row>
    <x:row r="103" ht="25" customHeight="1">
      <x:c r="A103" s="3"/>
      <x:c r="B103" s="3"/>
      <x:c r="C103" s="3"/>
      <x:c r="D103" s="25"/>
      <x:c r="E103" s="25"/>
      <x:c r="F103" s="3"/>
      <x:c r="G103" s="26"/>
      <x:c r="H103" s="26"/>
      <x:c r="I103" s="3"/>
      <x:c r="J103" s="22"/>
      <x:c r="K103" s="25"/>
      <x:c r="L103" s="3"/>
      <x:c r="M103" s="3"/>
      <x:c r="N103" s="24" t="str">
        <x:f>IF(AND(R103="Valid input",I103="Resolved",M103="Yes",ISNUMBER(G103)),(G103-J103)^2,"")</x:f>
      </x:c>
      <x:c r="O103" s="24" t="str">
        <x:f>IF(AND(ISNUMBER(N103),ISNUMBER(H103)),(H103-J103)^2,"")</x:f>
      </x:c>
      <x:c r="P103" s="24" t="str">
        <x:f>IF(AND(ISNUMBER(N103),ISNUMBER(O103)),O103-N103,"")</x:f>
      </x:c>
      <x:c r="Q103" s="3"/>
      <x:c r="R103" s="19" t="str">
        <x:f>IF(A103="","",IF(COUNTIFS('Predictions'!$A$7:$A$306,A103)&lt;&gt;1,"Duplicate ID",IF(COUNTIFS('Cases overview'!$A$7:$A$306,B103)&lt;&gt;1,"Invalid case ref",IF(COUNTIFS('Plan versions'!$A$7:$A$306,C103,'Plan versions'!$B$7:$B$306,B103,'Plan versions'!$L$7:$L$306,"Frozen")&lt;&gt;1,"Invalid plan ref",IF(OR(NOT(ISNUMBER(D103)),NOT(ISNUMBER(E103)),F103="",I103="",M103="",Q103=""),"Prediction info missing",IF(D103&gt;E103,"Not pre-registered before due",IF(OR(AND(G103&lt;&gt;"",OR(NOT(ISNUMBER(G103)),G103&lt;0,G103&gt;1)),AND(H103&lt;&gt;"",OR(NOT(ISNUMBER(H103)),H103&lt;0,H103&gt;1))),"Invalid probability",IF(AND(I103="Resolved",OR(NOT(ISNUMBER(J103)),AND(J103&lt;&gt;0,J103&lt;&gt;1),NOT(ISNUMBER(K103)),L103="")),"Resolution evidence missing",IF(AND(I103="Resolved",D103&gt;K103),"Retroactive: not scored","Valid input")))))))))</x:f>
      </x:c>
    </x:row>
    <x:row r="104" ht="25" customHeight="1">
      <x:c r="A104" s="3"/>
      <x:c r="B104" s="3"/>
      <x:c r="C104" s="3"/>
      <x:c r="D104" s="25"/>
      <x:c r="E104" s="25"/>
      <x:c r="F104" s="3"/>
      <x:c r="G104" s="26"/>
      <x:c r="H104" s="26"/>
      <x:c r="I104" s="3"/>
      <x:c r="J104" s="22"/>
      <x:c r="K104" s="25"/>
      <x:c r="L104" s="3"/>
      <x:c r="M104" s="3"/>
      <x:c r="N104" s="24" t="str">
        <x:f>IF(AND(R104="Valid input",I104="Resolved",M104="Yes",ISNUMBER(G104)),(G104-J104)^2,"")</x:f>
      </x:c>
      <x:c r="O104" s="24" t="str">
        <x:f>IF(AND(ISNUMBER(N104),ISNUMBER(H104)),(H104-J104)^2,"")</x:f>
      </x:c>
      <x:c r="P104" s="24" t="str">
        <x:f>IF(AND(ISNUMBER(N104),ISNUMBER(O104)),O104-N104,"")</x:f>
      </x:c>
      <x:c r="Q104" s="3"/>
      <x:c r="R104" s="19" t="str">
        <x:f>IF(A104="","",IF(COUNTIFS('Predictions'!$A$7:$A$306,A104)&lt;&gt;1,"Duplicate ID",IF(COUNTIFS('Cases overview'!$A$7:$A$306,B104)&lt;&gt;1,"Invalid case ref",IF(COUNTIFS('Plan versions'!$A$7:$A$306,C104,'Plan versions'!$B$7:$B$306,B104,'Plan versions'!$L$7:$L$306,"Frozen")&lt;&gt;1,"Invalid plan ref",IF(OR(NOT(ISNUMBER(D104)),NOT(ISNUMBER(E104)),F104="",I104="",M104="",Q104=""),"Prediction info missing",IF(D104&gt;E104,"Not pre-registered before due",IF(OR(AND(G104&lt;&gt;"",OR(NOT(ISNUMBER(G104)),G104&lt;0,G104&gt;1)),AND(H104&lt;&gt;"",OR(NOT(ISNUMBER(H104)),H104&lt;0,H104&gt;1))),"Invalid probability",IF(AND(I104="Resolved",OR(NOT(ISNUMBER(J104)),AND(J104&lt;&gt;0,J104&lt;&gt;1),NOT(ISNUMBER(K104)),L104="")),"Resolution evidence missing",IF(AND(I104="Resolved",D104&gt;K104),"Retroactive: not scored","Valid input")))))))))</x:f>
      </x:c>
    </x:row>
    <x:row r="105" ht="25" customHeight="1">
      <x:c r="A105" s="3"/>
      <x:c r="B105" s="3"/>
      <x:c r="C105" s="3"/>
      <x:c r="D105" s="25"/>
      <x:c r="E105" s="25"/>
      <x:c r="F105" s="3"/>
      <x:c r="G105" s="26"/>
      <x:c r="H105" s="26"/>
      <x:c r="I105" s="3"/>
      <x:c r="J105" s="22"/>
      <x:c r="K105" s="25"/>
      <x:c r="L105" s="3"/>
      <x:c r="M105" s="3"/>
      <x:c r="N105" s="24" t="str">
        <x:f>IF(AND(R105="Valid input",I105="Resolved",M105="Yes",ISNUMBER(G105)),(G105-J105)^2,"")</x:f>
      </x:c>
      <x:c r="O105" s="24" t="str">
        <x:f>IF(AND(ISNUMBER(N105),ISNUMBER(H105)),(H105-J105)^2,"")</x:f>
      </x:c>
      <x:c r="P105" s="24" t="str">
        <x:f>IF(AND(ISNUMBER(N105),ISNUMBER(O105)),O105-N105,"")</x:f>
      </x:c>
      <x:c r="Q105" s="3"/>
      <x:c r="R105" s="19" t="str">
        <x:f>IF(A105="","",IF(COUNTIFS('Predictions'!$A$7:$A$306,A105)&lt;&gt;1,"Duplicate ID",IF(COUNTIFS('Cases overview'!$A$7:$A$306,B105)&lt;&gt;1,"Invalid case ref",IF(COUNTIFS('Plan versions'!$A$7:$A$306,C105,'Plan versions'!$B$7:$B$306,B105,'Plan versions'!$L$7:$L$306,"Frozen")&lt;&gt;1,"Invalid plan ref",IF(OR(NOT(ISNUMBER(D105)),NOT(ISNUMBER(E105)),F105="",I105="",M105="",Q105=""),"Prediction info missing",IF(D105&gt;E105,"Not pre-registered before due",IF(OR(AND(G105&lt;&gt;"",OR(NOT(ISNUMBER(G105)),G105&lt;0,G105&gt;1)),AND(H105&lt;&gt;"",OR(NOT(ISNUMBER(H105)),H105&lt;0,H105&gt;1))),"Invalid probability",IF(AND(I105="Resolved",OR(NOT(ISNUMBER(J105)),AND(J105&lt;&gt;0,J105&lt;&gt;1),NOT(ISNUMBER(K105)),L105="")),"Resolution evidence missing",IF(AND(I105="Resolved",D105&gt;K105),"Retroactive: not scored","Valid input")))))))))</x:f>
      </x:c>
    </x:row>
    <x:row r="106" ht="25" customHeight="1">
      <x:c r="A106" s="3"/>
      <x:c r="B106" s="3"/>
      <x:c r="C106" s="3"/>
      <x:c r="D106" s="25"/>
      <x:c r="E106" s="25"/>
      <x:c r="F106" s="3"/>
      <x:c r="G106" s="26"/>
      <x:c r="H106" s="26"/>
      <x:c r="I106" s="3"/>
      <x:c r="J106" s="22"/>
      <x:c r="K106" s="25"/>
      <x:c r="L106" s="3"/>
      <x:c r="M106" s="3"/>
      <x:c r="N106" s="24" t="str">
        <x:f>IF(AND(R106="Valid input",I106="Resolved",M106="Yes",ISNUMBER(G106)),(G106-J106)^2,"")</x:f>
      </x:c>
      <x:c r="O106" s="24" t="str">
        <x:f>IF(AND(ISNUMBER(N106),ISNUMBER(H106)),(H106-J106)^2,"")</x:f>
      </x:c>
      <x:c r="P106" s="24" t="str">
        <x:f>IF(AND(ISNUMBER(N106),ISNUMBER(O106)),O106-N106,"")</x:f>
      </x:c>
      <x:c r="Q106" s="3"/>
      <x:c r="R106" s="19" t="str">
        <x:f>IF(A106="","",IF(COUNTIFS('Predictions'!$A$7:$A$306,A106)&lt;&gt;1,"Duplicate ID",IF(COUNTIFS('Cases overview'!$A$7:$A$306,B106)&lt;&gt;1,"Invalid case ref",IF(COUNTIFS('Plan versions'!$A$7:$A$306,C106,'Plan versions'!$B$7:$B$306,B106,'Plan versions'!$L$7:$L$306,"Frozen")&lt;&gt;1,"Invalid plan ref",IF(OR(NOT(ISNUMBER(D106)),NOT(ISNUMBER(E106)),F106="",I106="",M106="",Q106=""),"Prediction info missing",IF(D106&gt;E106,"Not pre-registered before due",IF(OR(AND(G106&lt;&gt;"",OR(NOT(ISNUMBER(G106)),G106&lt;0,G106&gt;1)),AND(H106&lt;&gt;"",OR(NOT(ISNUMBER(H106)),H106&lt;0,H106&gt;1))),"Invalid probability",IF(AND(I106="Resolved",OR(NOT(ISNUMBER(J106)),AND(J106&lt;&gt;0,J106&lt;&gt;1),NOT(ISNUMBER(K106)),L106="")),"Resolution evidence missing",IF(AND(I106="Resolved",D106&gt;K106),"Retroactive: not scored","Valid input")))))))))</x:f>
      </x:c>
    </x:row>
    <x:row r="107" ht="25" customHeight="1">
      <x:c r="A107" s="3"/>
      <x:c r="B107" s="3"/>
      <x:c r="C107" s="3"/>
      <x:c r="D107" s="25"/>
      <x:c r="E107" s="25"/>
      <x:c r="F107" s="3"/>
      <x:c r="G107" s="26"/>
      <x:c r="H107" s="26"/>
      <x:c r="I107" s="3"/>
      <x:c r="J107" s="22"/>
      <x:c r="K107" s="25"/>
      <x:c r="L107" s="3"/>
      <x:c r="M107" s="3"/>
      <x:c r="N107" s="24" t="str">
        <x:f>IF(AND(R107="Valid input",I107="Resolved",M107="Yes",ISNUMBER(G107)),(G107-J107)^2,"")</x:f>
      </x:c>
      <x:c r="O107" s="24" t="str">
        <x:f>IF(AND(ISNUMBER(N107),ISNUMBER(H107)),(H107-J107)^2,"")</x:f>
      </x:c>
      <x:c r="P107" s="24" t="str">
        <x:f>IF(AND(ISNUMBER(N107),ISNUMBER(O107)),O107-N107,"")</x:f>
      </x:c>
      <x:c r="Q107" s="3"/>
      <x:c r="R107" s="19" t="str">
        <x:f>IF(A107="","",IF(COUNTIFS('Predictions'!$A$7:$A$306,A107)&lt;&gt;1,"Duplicate ID",IF(COUNTIFS('Cases overview'!$A$7:$A$306,B107)&lt;&gt;1,"Invalid case ref",IF(COUNTIFS('Plan versions'!$A$7:$A$306,C107,'Plan versions'!$B$7:$B$306,B107,'Plan versions'!$L$7:$L$306,"Frozen")&lt;&gt;1,"Invalid plan ref",IF(OR(NOT(ISNUMBER(D107)),NOT(ISNUMBER(E107)),F107="",I107="",M107="",Q107=""),"Prediction info missing",IF(D107&gt;E107,"Not pre-registered before due",IF(OR(AND(G107&lt;&gt;"",OR(NOT(ISNUMBER(G107)),G107&lt;0,G107&gt;1)),AND(H107&lt;&gt;"",OR(NOT(ISNUMBER(H107)),H107&lt;0,H107&gt;1))),"Invalid probability",IF(AND(I107="Resolved",OR(NOT(ISNUMBER(J107)),AND(J107&lt;&gt;0,J107&lt;&gt;1),NOT(ISNUMBER(K107)),L107="")),"Resolution evidence missing",IF(AND(I107="Resolved",D107&gt;K107),"Retroactive: not scored","Valid input")))))))))</x:f>
      </x:c>
    </x:row>
    <x:row r="108" ht="25" customHeight="1">
      <x:c r="A108" s="3"/>
      <x:c r="B108" s="3"/>
      <x:c r="C108" s="3"/>
      <x:c r="D108" s="25"/>
      <x:c r="E108" s="25"/>
      <x:c r="F108" s="3"/>
      <x:c r="G108" s="26"/>
      <x:c r="H108" s="26"/>
      <x:c r="I108" s="3"/>
      <x:c r="J108" s="22"/>
      <x:c r="K108" s="25"/>
      <x:c r="L108" s="3"/>
      <x:c r="M108" s="3"/>
      <x:c r="N108" s="24" t="str">
        <x:f>IF(AND(R108="Valid input",I108="Resolved",M108="Yes",ISNUMBER(G108)),(G108-J108)^2,"")</x:f>
      </x:c>
      <x:c r="O108" s="24" t="str">
        <x:f>IF(AND(ISNUMBER(N108),ISNUMBER(H108)),(H108-J108)^2,"")</x:f>
      </x:c>
      <x:c r="P108" s="24" t="str">
        <x:f>IF(AND(ISNUMBER(N108),ISNUMBER(O108)),O108-N108,"")</x:f>
      </x:c>
      <x:c r="Q108" s="3"/>
      <x:c r="R108" s="19" t="str">
        <x:f>IF(A108="","",IF(COUNTIFS('Predictions'!$A$7:$A$306,A108)&lt;&gt;1,"Duplicate ID",IF(COUNTIFS('Cases overview'!$A$7:$A$306,B108)&lt;&gt;1,"Invalid case ref",IF(COUNTIFS('Plan versions'!$A$7:$A$306,C108,'Plan versions'!$B$7:$B$306,B108,'Plan versions'!$L$7:$L$306,"Frozen")&lt;&gt;1,"Invalid plan ref",IF(OR(NOT(ISNUMBER(D108)),NOT(ISNUMBER(E108)),F108="",I108="",M108="",Q108=""),"Prediction info missing",IF(D108&gt;E108,"Not pre-registered before due",IF(OR(AND(G108&lt;&gt;"",OR(NOT(ISNUMBER(G108)),G108&lt;0,G108&gt;1)),AND(H108&lt;&gt;"",OR(NOT(ISNUMBER(H108)),H108&lt;0,H108&gt;1))),"Invalid probability",IF(AND(I108="Resolved",OR(NOT(ISNUMBER(J108)),AND(J108&lt;&gt;0,J108&lt;&gt;1),NOT(ISNUMBER(K108)),L108="")),"Resolution evidence missing",IF(AND(I108="Resolved",D108&gt;K108),"Retroactive: not scored","Valid input")))))))))</x:f>
      </x:c>
    </x:row>
    <x:row r="109" ht="25" customHeight="1">
      <x:c r="A109" s="3"/>
      <x:c r="B109" s="3"/>
      <x:c r="C109" s="3"/>
      <x:c r="D109" s="25"/>
      <x:c r="E109" s="25"/>
      <x:c r="F109" s="3"/>
      <x:c r="G109" s="26"/>
      <x:c r="H109" s="26"/>
      <x:c r="I109" s="3"/>
      <x:c r="J109" s="22"/>
      <x:c r="K109" s="25"/>
      <x:c r="L109" s="3"/>
      <x:c r="M109" s="3"/>
      <x:c r="N109" s="24" t="str">
        <x:f>IF(AND(R109="Valid input",I109="Resolved",M109="Yes",ISNUMBER(G109)),(G109-J109)^2,"")</x:f>
      </x:c>
      <x:c r="O109" s="24" t="str">
        <x:f>IF(AND(ISNUMBER(N109),ISNUMBER(H109)),(H109-J109)^2,"")</x:f>
      </x:c>
      <x:c r="P109" s="24" t="str">
        <x:f>IF(AND(ISNUMBER(N109),ISNUMBER(O109)),O109-N109,"")</x:f>
      </x:c>
      <x:c r="Q109" s="3"/>
      <x:c r="R109" s="19" t="str">
        <x:f>IF(A109="","",IF(COUNTIFS('Predictions'!$A$7:$A$306,A109)&lt;&gt;1,"Duplicate ID",IF(COUNTIFS('Cases overview'!$A$7:$A$306,B109)&lt;&gt;1,"Invalid case ref",IF(COUNTIFS('Plan versions'!$A$7:$A$306,C109,'Plan versions'!$B$7:$B$306,B109,'Plan versions'!$L$7:$L$306,"Frozen")&lt;&gt;1,"Invalid plan ref",IF(OR(NOT(ISNUMBER(D109)),NOT(ISNUMBER(E109)),F109="",I109="",M109="",Q109=""),"Prediction info missing",IF(D109&gt;E109,"Not pre-registered before due",IF(OR(AND(G109&lt;&gt;"",OR(NOT(ISNUMBER(G109)),G109&lt;0,G109&gt;1)),AND(H109&lt;&gt;"",OR(NOT(ISNUMBER(H109)),H109&lt;0,H109&gt;1))),"Invalid probability",IF(AND(I109="Resolved",OR(NOT(ISNUMBER(J109)),AND(J109&lt;&gt;0,J109&lt;&gt;1),NOT(ISNUMBER(K109)),L109="")),"Resolution evidence missing",IF(AND(I109="Resolved",D109&gt;K109),"Retroactive: not scored","Valid input")))))))))</x:f>
      </x:c>
    </x:row>
    <x:row r="110" ht="25" customHeight="1">
      <x:c r="A110" s="3"/>
      <x:c r="B110" s="3"/>
      <x:c r="C110" s="3"/>
      <x:c r="D110" s="25"/>
      <x:c r="E110" s="25"/>
      <x:c r="F110" s="3"/>
      <x:c r="G110" s="26"/>
      <x:c r="H110" s="26"/>
      <x:c r="I110" s="3"/>
      <x:c r="J110" s="22"/>
      <x:c r="K110" s="25"/>
      <x:c r="L110" s="3"/>
      <x:c r="M110" s="3"/>
      <x:c r="N110" s="24" t="str">
        <x:f>IF(AND(R110="Valid input",I110="Resolved",M110="Yes",ISNUMBER(G110)),(G110-J110)^2,"")</x:f>
      </x:c>
      <x:c r="O110" s="24" t="str">
        <x:f>IF(AND(ISNUMBER(N110),ISNUMBER(H110)),(H110-J110)^2,"")</x:f>
      </x:c>
      <x:c r="P110" s="24" t="str">
        <x:f>IF(AND(ISNUMBER(N110),ISNUMBER(O110)),O110-N110,"")</x:f>
      </x:c>
      <x:c r="Q110" s="3"/>
      <x:c r="R110" s="19" t="str">
        <x:f>IF(A110="","",IF(COUNTIFS('Predictions'!$A$7:$A$306,A110)&lt;&gt;1,"Duplicate ID",IF(COUNTIFS('Cases overview'!$A$7:$A$306,B110)&lt;&gt;1,"Invalid case ref",IF(COUNTIFS('Plan versions'!$A$7:$A$306,C110,'Plan versions'!$B$7:$B$306,B110,'Plan versions'!$L$7:$L$306,"Frozen")&lt;&gt;1,"Invalid plan ref",IF(OR(NOT(ISNUMBER(D110)),NOT(ISNUMBER(E110)),F110="",I110="",M110="",Q110=""),"Prediction info missing",IF(D110&gt;E110,"Not pre-registered before due",IF(OR(AND(G110&lt;&gt;"",OR(NOT(ISNUMBER(G110)),G110&lt;0,G110&gt;1)),AND(H110&lt;&gt;"",OR(NOT(ISNUMBER(H110)),H110&lt;0,H110&gt;1))),"Invalid probability",IF(AND(I110="Resolved",OR(NOT(ISNUMBER(J110)),AND(J110&lt;&gt;0,J110&lt;&gt;1),NOT(ISNUMBER(K110)),L110="")),"Resolution evidence missing",IF(AND(I110="Resolved",D110&gt;K110),"Retroactive: not scored","Valid input")))))))))</x:f>
      </x:c>
    </x:row>
    <x:row r="111" ht="25" customHeight="1">
      <x:c r="A111" s="3"/>
      <x:c r="B111" s="3"/>
      <x:c r="C111" s="3"/>
      <x:c r="D111" s="25"/>
      <x:c r="E111" s="25"/>
      <x:c r="F111" s="3"/>
      <x:c r="G111" s="26"/>
      <x:c r="H111" s="26"/>
      <x:c r="I111" s="3"/>
      <x:c r="J111" s="22"/>
      <x:c r="K111" s="25"/>
      <x:c r="L111" s="3"/>
      <x:c r="M111" s="3"/>
      <x:c r="N111" s="24" t="str">
        <x:f>IF(AND(R111="Valid input",I111="Resolved",M111="Yes",ISNUMBER(G111)),(G111-J111)^2,"")</x:f>
      </x:c>
      <x:c r="O111" s="24" t="str">
        <x:f>IF(AND(ISNUMBER(N111),ISNUMBER(H111)),(H111-J111)^2,"")</x:f>
      </x:c>
      <x:c r="P111" s="24" t="str">
        <x:f>IF(AND(ISNUMBER(N111),ISNUMBER(O111)),O111-N111,"")</x:f>
      </x:c>
      <x:c r="Q111" s="3"/>
      <x:c r="R111" s="19" t="str">
        <x:f>IF(A111="","",IF(COUNTIFS('Predictions'!$A$7:$A$306,A111)&lt;&gt;1,"Duplicate ID",IF(COUNTIFS('Cases overview'!$A$7:$A$306,B111)&lt;&gt;1,"Invalid case ref",IF(COUNTIFS('Plan versions'!$A$7:$A$306,C111,'Plan versions'!$B$7:$B$306,B111,'Plan versions'!$L$7:$L$306,"Frozen")&lt;&gt;1,"Invalid plan ref",IF(OR(NOT(ISNUMBER(D111)),NOT(ISNUMBER(E111)),F111="",I111="",M111="",Q111=""),"Prediction info missing",IF(D111&gt;E111,"Not pre-registered before due",IF(OR(AND(G111&lt;&gt;"",OR(NOT(ISNUMBER(G111)),G111&lt;0,G111&gt;1)),AND(H111&lt;&gt;"",OR(NOT(ISNUMBER(H111)),H111&lt;0,H111&gt;1))),"Invalid probability",IF(AND(I111="Resolved",OR(NOT(ISNUMBER(J111)),AND(J111&lt;&gt;0,J111&lt;&gt;1),NOT(ISNUMBER(K111)),L111="")),"Resolution evidence missing",IF(AND(I111="Resolved",D111&gt;K111),"Retroactive: not scored","Valid input")))))))))</x:f>
      </x:c>
    </x:row>
    <x:row r="112" ht="25" customHeight="1">
      <x:c r="A112" s="3"/>
      <x:c r="B112" s="3"/>
      <x:c r="C112" s="3"/>
      <x:c r="D112" s="25"/>
      <x:c r="E112" s="25"/>
      <x:c r="F112" s="3"/>
      <x:c r="G112" s="26"/>
      <x:c r="H112" s="26"/>
      <x:c r="I112" s="3"/>
      <x:c r="J112" s="22"/>
      <x:c r="K112" s="25"/>
      <x:c r="L112" s="3"/>
      <x:c r="M112" s="3"/>
      <x:c r="N112" s="24" t="str">
        <x:f>IF(AND(R112="Valid input",I112="Resolved",M112="Yes",ISNUMBER(G112)),(G112-J112)^2,"")</x:f>
      </x:c>
      <x:c r="O112" s="24" t="str">
        <x:f>IF(AND(ISNUMBER(N112),ISNUMBER(H112)),(H112-J112)^2,"")</x:f>
      </x:c>
      <x:c r="P112" s="24" t="str">
        <x:f>IF(AND(ISNUMBER(N112),ISNUMBER(O112)),O112-N112,"")</x:f>
      </x:c>
      <x:c r="Q112" s="3"/>
      <x:c r="R112" s="19" t="str">
        <x:f>IF(A112="","",IF(COUNTIFS('Predictions'!$A$7:$A$306,A112)&lt;&gt;1,"Duplicate ID",IF(COUNTIFS('Cases overview'!$A$7:$A$306,B112)&lt;&gt;1,"Invalid case ref",IF(COUNTIFS('Plan versions'!$A$7:$A$306,C112,'Plan versions'!$B$7:$B$306,B112,'Plan versions'!$L$7:$L$306,"Frozen")&lt;&gt;1,"Invalid plan ref",IF(OR(NOT(ISNUMBER(D112)),NOT(ISNUMBER(E112)),F112="",I112="",M112="",Q112=""),"Prediction info missing",IF(D112&gt;E112,"Not pre-registered before due",IF(OR(AND(G112&lt;&gt;"",OR(NOT(ISNUMBER(G112)),G112&lt;0,G112&gt;1)),AND(H112&lt;&gt;"",OR(NOT(ISNUMBER(H112)),H112&lt;0,H112&gt;1))),"Invalid probability",IF(AND(I112="Resolved",OR(NOT(ISNUMBER(J112)),AND(J112&lt;&gt;0,J112&lt;&gt;1),NOT(ISNUMBER(K112)),L112="")),"Resolution evidence missing",IF(AND(I112="Resolved",D112&gt;K112),"Retroactive: not scored","Valid input")))))))))</x:f>
      </x:c>
    </x:row>
    <x:row r="113" ht="25" customHeight="1">
      <x:c r="A113" s="3"/>
      <x:c r="B113" s="3"/>
      <x:c r="C113" s="3"/>
      <x:c r="D113" s="25"/>
      <x:c r="E113" s="25"/>
      <x:c r="F113" s="3"/>
      <x:c r="G113" s="26"/>
      <x:c r="H113" s="26"/>
      <x:c r="I113" s="3"/>
      <x:c r="J113" s="22"/>
      <x:c r="K113" s="25"/>
      <x:c r="L113" s="3"/>
      <x:c r="M113" s="3"/>
      <x:c r="N113" s="24" t="str">
        <x:f>IF(AND(R113="Valid input",I113="Resolved",M113="Yes",ISNUMBER(G113)),(G113-J113)^2,"")</x:f>
      </x:c>
      <x:c r="O113" s="24" t="str">
        <x:f>IF(AND(ISNUMBER(N113),ISNUMBER(H113)),(H113-J113)^2,"")</x:f>
      </x:c>
      <x:c r="P113" s="24" t="str">
        <x:f>IF(AND(ISNUMBER(N113),ISNUMBER(O113)),O113-N113,"")</x:f>
      </x:c>
      <x:c r="Q113" s="3"/>
      <x:c r="R113" s="19" t="str">
        <x:f>IF(A113="","",IF(COUNTIFS('Predictions'!$A$7:$A$306,A113)&lt;&gt;1,"Duplicate ID",IF(COUNTIFS('Cases overview'!$A$7:$A$306,B113)&lt;&gt;1,"Invalid case ref",IF(COUNTIFS('Plan versions'!$A$7:$A$306,C113,'Plan versions'!$B$7:$B$306,B113,'Plan versions'!$L$7:$L$306,"Frozen")&lt;&gt;1,"Invalid plan ref",IF(OR(NOT(ISNUMBER(D113)),NOT(ISNUMBER(E113)),F113="",I113="",M113="",Q113=""),"Prediction info missing",IF(D113&gt;E113,"Not pre-registered before due",IF(OR(AND(G113&lt;&gt;"",OR(NOT(ISNUMBER(G113)),G113&lt;0,G113&gt;1)),AND(H113&lt;&gt;"",OR(NOT(ISNUMBER(H113)),H113&lt;0,H113&gt;1))),"Invalid probability",IF(AND(I113="Resolved",OR(NOT(ISNUMBER(J113)),AND(J113&lt;&gt;0,J113&lt;&gt;1),NOT(ISNUMBER(K113)),L113="")),"Resolution evidence missing",IF(AND(I113="Resolved",D113&gt;K113),"Retroactive: not scored","Valid input")))))))))</x:f>
      </x:c>
    </x:row>
    <x:row r="114" ht="25" customHeight="1">
      <x:c r="A114" s="3"/>
      <x:c r="B114" s="3"/>
      <x:c r="C114" s="3"/>
      <x:c r="D114" s="25"/>
      <x:c r="E114" s="25"/>
      <x:c r="F114" s="3"/>
      <x:c r="G114" s="26"/>
      <x:c r="H114" s="26"/>
      <x:c r="I114" s="3"/>
      <x:c r="J114" s="22"/>
      <x:c r="K114" s="25"/>
      <x:c r="L114" s="3"/>
      <x:c r="M114" s="3"/>
      <x:c r="N114" s="24" t="str">
        <x:f>IF(AND(R114="Valid input",I114="Resolved",M114="Yes",ISNUMBER(G114)),(G114-J114)^2,"")</x:f>
      </x:c>
      <x:c r="O114" s="24" t="str">
        <x:f>IF(AND(ISNUMBER(N114),ISNUMBER(H114)),(H114-J114)^2,"")</x:f>
      </x:c>
      <x:c r="P114" s="24" t="str">
        <x:f>IF(AND(ISNUMBER(N114),ISNUMBER(O114)),O114-N114,"")</x:f>
      </x:c>
      <x:c r="Q114" s="3"/>
      <x:c r="R114" s="19" t="str">
        <x:f>IF(A114="","",IF(COUNTIFS('Predictions'!$A$7:$A$306,A114)&lt;&gt;1,"Duplicate ID",IF(COUNTIFS('Cases overview'!$A$7:$A$306,B114)&lt;&gt;1,"Invalid case ref",IF(COUNTIFS('Plan versions'!$A$7:$A$306,C114,'Plan versions'!$B$7:$B$306,B114,'Plan versions'!$L$7:$L$306,"Frozen")&lt;&gt;1,"Invalid plan ref",IF(OR(NOT(ISNUMBER(D114)),NOT(ISNUMBER(E114)),F114="",I114="",M114="",Q114=""),"Prediction info missing",IF(D114&gt;E114,"Not pre-registered before due",IF(OR(AND(G114&lt;&gt;"",OR(NOT(ISNUMBER(G114)),G114&lt;0,G114&gt;1)),AND(H114&lt;&gt;"",OR(NOT(ISNUMBER(H114)),H114&lt;0,H114&gt;1))),"Invalid probability",IF(AND(I114="Resolved",OR(NOT(ISNUMBER(J114)),AND(J114&lt;&gt;0,J114&lt;&gt;1),NOT(ISNUMBER(K114)),L114="")),"Resolution evidence missing",IF(AND(I114="Resolved",D114&gt;K114),"Retroactive: not scored","Valid input")))))))))</x:f>
      </x:c>
    </x:row>
    <x:row r="115" ht="25" customHeight="1">
      <x:c r="A115" s="3"/>
      <x:c r="B115" s="3"/>
      <x:c r="C115" s="3"/>
      <x:c r="D115" s="25"/>
      <x:c r="E115" s="25"/>
      <x:c r="F115" s="3"/>
      <x:c r="G115" s="26"/>
      <x:c r="H115" s="26"/>
      <x:c r="I115" s="3"/>
      <x:c r="J115" s="22"/>
      <x:c r="K115" s="25"/>
      <x:c r="L115" s="3"/>
      <x:c r="M115" s="3"/>
      <x:c r="N115" s="24" t="str">
        <x:f>IF(AND(R115="Valid input",I115="Resolved",M115="Yes",ISNUMBER(G115)),(G115-J115)^2,"")</x:f>
      </x:c>
      <x:c r="O115" s="24" t="str">
        <x:f>IF(AND(ISNUMBER(N115),ISNUMBER(H115)),(H115-J115)^2,"")</x:f>
      </x:c>
      <x:c r="P115" s="24" t="str">
        <x:f>IF(AND(ISNUMBER(N115),ISNUMBER(O115)),O115-N115,"")</x:f>
      </x:c>
      <x:c r="Q115" s="3"/>
      <x:c r="R115" s="19" t="str">
        <x:f>IF(A115="","",IF(COUNTIFS('Predictions'!$A$7:$A$306,A115)&lt;&gt;1,"Duplicate ID",IF(COUNTIFS('Cases overview'!$A$7:$A$306,B115)&lt;&gt;1,"Invalid case ref",IF(COUNTIFS('Plan versions'!$A$7:$A$306,C115,'Plan versions'!$B$7:$B$306,B115,'Plan versions'!$L$7:$L$306,"Frozen")&lt;&gt;1,"Invalid plan ref",IF(OR(NOT(ISNUMBER(D115)),NOT(ISNUMBER(E115)),F115="",I115="",M115="",Q115=""),"Prediction info missing",IF(D115&gt;E115,"Not pre-registered before due",IF(OR(AND(G115&lt;&gt;"",OR(NOT(ISNUMBER(G115)),G115&lt;0,G115&gt;1)),AND(H115&lt;&gt;"",OR(NOT(ISNUMBER(H115)),H115&lt;0,H115&gt;1))),"Invalid probability",IF(AND(I115="Resolved",OR(NOT(ISNUMBER(J115)),AND(J115&lt;&gt;0,J115&lt;&gt;1),NOT(ISNUMBER(K115)),L115="")),"Resolution evidence missing",IF(AND(I115="Resolved",D115&gt;K115),"Retroactive: not scored","Valid input")))))))))</x:f>
      </x:c>
    </x:row>
    <x:row r="116" ht="25" customHeight="1">
      <x:c r="A116" s="3"/>
      <x:c r="B116" s="3"/>
      <x:c r="C116" s="3"/>
      <x:c r="D116" s="25"/>
      <x:c r="E116" s="25"/>
      <x:c r="F116" s="3"/>
      <x:c r="G116" s="26"/>
      <x:c r="H116" s="26"/>
      <x:c r="I116" s="3"/>
      <x:c r="J116" s="22"/>
      <x:c r="K116" s="25"/>
      <x:c r="L116" s="3"/>
      <x:c r="M116" s="3"/>
      <x:c r="N116" s="24" t="str">
        <x:f>IF(AND(R116="Valid input",I116="Resolved",M116="Yes",ISNUMBER(G116)),(G116-J116)^2,"")</x:f>
      </x:c>
      <x:c r="O116" s="24" t="str">
        <x:f>IF(AND(ISNUMBER(N116),ISNUMBER(H116)),(H116-J116)^2,"")</x:f>
      </x:c>
      <x:c r="P116" s="24" t="str">
        <x:f>IF(AND(ISNUMBER(N116),ISNUMBER(O116)),O116-N116,"")</x:f>
      </x:c>
      <x:c r="Q116" s="3"/>
      <x:c r="R116" s="19" t="str">
        <x:f>IF(A116="","",IF(COUNTIFS('Predictions'!$A$7:$A$306,A116)&lt;&gt;1,"Duplicate ID",IF(COUNTIFS('Cases overview'!$A$7:$A$306,B116)&lt;&gt;1,"Invalid case ref",IF(COUNTIFS('Plan versions'!$A$7:$A$306,C116,'Plan versions'!$B$7:$B$306,B116,'Plan versions'!$L$7:$L$306,"Frozen")&lt;&gt;1,"Invalid plan ref",IF(OR(NOT(ISNUMBER(D116)),NOT(ISNUMBER(E116)),F116="",I116="",M116="",Q116=""),"Prediction info missing",IF(D116&gt;E116,"Not pre-registered before due",IF(OR(AND(G116&lt;&gt;"",OR(NOT(ISNUMBER(G116)),G116&lt;0,G116&gt;1)),AND(H116&lt;&gt;"",OR(NOT(ISNUMBER(H116)),H116&lt;0,H116&gt;1))),"Invalid probability",IF(AND(I116="Resolved",OR(NOT(ISNUMBER(J116)),AND(J116&lt;&gt;0,J116&lt;&gt;1),NOT(ISNUMBER(K116)),L116="")),"Resolution evidence missing",IF(AND(I116="Resolved",D116&gt;K116),"Retroactive: not scored","Valid input")))))))))</x:f>
      </x:c>
    </x:row>
    <x:row r="117" ht="25" customHeight="1">
      <x:c r="A117" s="3"/>
      <x:c r="B117" s="3"/>
      <x:c r="C117" s="3"/>
      <x:c r="D117" s="25"/>
      <x:c r="E117" s="25"/>
      <x:c r="F117" s="3"/>
      <x:c r="G117" s="26"/>
      <x:c r="H117" s="26"/>
      <x:c r="I117" s="3"/>
      <x:c r="J117" s="22"/>
      <x:c r="K117" s="25"/>
      <x:c r="L117" s="3"/>
      <x:c r="M117" s="3"/>
      <x:c r="N117" s="24" t="str">
        <x:f>IF(AND(R117="Valid input",I117="Resolved",M117="Yes",ISNUMBER(G117)),(G117-J117)^2,"")</x:f>
      </x:c>
      <x:c r="O117" s="24" t="str">
        <x:f>IF(AND(ISNUMBER(N117),ISNUMBER(H117)),(H117-J117)^2,"")</x:f>
      </x:c>
      <x:c r="P117" s="24" t="str">
        <x:f>IF(AND(ISNUMBER(N117),ISNUMBER(O117)),O117-N117,"")</x:f>
      </x:c>
      <x:c r="Q117" s="3"/>
      <x:c r="R117" s="19" t="str">
        <x:f>IF(A117="","",IF(COUNTIFS('Predictions'!$A$7:$A$306,A117)&lt;&gt;1,"Duplicate ID",IF(COUNTIFS('Cases overview'!$A$7:$A$306,B117)&lt;&gt;1,"Invalid case ref",IF(COUNTIFS('Plan versions'!$A$7:$A$306,C117,'Plan versions'!$B$7:$B$306,B117,'Plan versions'!$L$7:$L$306,"Frozen")&lt;&gt;1,"Invalid plan ref",IF(OR(NOT(ISNUMBER(D117)),NOT(ISNUMBER(E117)),F117="",I117="",M117="",Q117=""),"Prediction info missing",IF(D117&gt;E117,"Not pre-registered before due",IF(OR(AND(G117&lt;&gt;"",OR(NOT(ISNUMBER(G117)),G117&lt;0,G117&gt;1)),AND(H117&lt;&gt;"",OR(NOT(ISNUMBER(H117)),H117&lt;0,H117&gt;1))),"Invalid probability",IF(AND(I117="Resolved",OR(NOT(ISNUMBER(J117)),AND(J117&lt;&gt;0,J117&lt;&gt;1),NOT(ISNUMBER(K117)),L117="")),"Resolution evidence missing",IF(AND(I117="Resolved",D117&gt;K117),"Retroactive: not scored","Valid input")))))))))</x:f>
      </x:c>
    </x:row>
    <x:row r="118" ht="25" customHeight="1">
      <x:c r="A118" s="3"/>
      <x:c r="B118" s="3"/>
      <x:c r="C118" s="3"/>
      <x:c r="D118" s="25"/>
      <x:c r="E118" s="25"/>
      <x:c r="F118" s="3"/>
      <x:c r="G118" s="26"/>
      <x:c r="H118" s="26"/>
      <x:c r="I118" s="3"/>
      <x:c r="J118" s="22"/>
      <x:c r="K118" s="25"/>
      <x:c r="L118" s="3"/>
      <x:c r="M118" s="3"/>
      <x:c r="N118" s="24" t="str">
        <x:f>IF(AND(R118="Valid input",I118="Resolved",M118="Yes",ISNUMBER(G118)),(G118-J118)^2,"")</x:f>
      </x:c>
      <x:c r="O118" s="24" t="str">
        <x:f>IF(AND(ISNUMBER(N118),ISNUMBER(H118)),(H118-J118)^2,"")</x:f>
      </x:c>
      <x:c r="P118" s="24" t="str">
        <x:f>IF(AND(ISNUMBER(N118),ISNUMBER(O118)),O118-N118,"")</x:f>
      </x:c>
      <x:c r="Q118" s="3"/>
      <x:c r="R118" s="19" t="str">
        <x:f>IF(A118="","",IF(COUNTIFS('Predictions'!$A$7:$A$306,A118)&lt;&gt;1,"Duplicate ID",IF(COUNTIFS('Cases overview'!$A$7:$A$306,B118)&lt;&gt;1,"Invalid case ref",IF(COUNTIFS('Plan versions'!$A$7:$A$306,C118,'Plan versions'!$B$7:$B$306,B118,'Plan versions'!$L$7:$L$306,"Frozen")&lt;&gt;1,"Invalid plan ref",IF(OR(NOT(ISNUMBER(D118)),NOT(ISNUMBER(E118)),F118="",I118="",M118="",Q118=""),"Prediction info missing",IF(D118&gt;E118,"Not pre-registered before due",IF(OR(AND(G118&lt;&gt;"",OR(NOT(ISNUMBER(G118)),G118&lt;0,G118&gt;1)),AND(H118&lt;&gt;"",OR(NOT(ISNUMBER(H118)),H118&lt;0,H118&gt;1))),"Invalid probability",IF(AND(I118="Resolved",OR(NOT(ISNUMBER(J118)),AND(J118&lt;&gt;0,J118&lt;&gt;1),NOT(ISNUMBER(K118)),L118="")),"Resolution evidence missing",IF(AND(I118="Resolved",D118&gt;K118),"Retroactive: not scored","Valid input")))))))))</x:f>
      </x:c>
    </x:row>
    <x:row r="119" ht="25" customHeight="1">
      <x:c r="A119" s="3"/>
      <x:c r="B119" s="3"/>
      <x:c r="C119" s="3"/>
      <x:c r="D119" s="25"/>
      <x:c r="E119" s="25"/>
      <x:c r="F119" s="3"/>
      <x:c r="G119" s="26"/>
      <x:c r="H119" s="26"/>
      <x:c r="I119" s="3"/>
      <x:c r="J119" s="22"/>
      <x:c r="K119" s="25"/>
      <x:c r="L119" s="3"/>
      <x:c r="M119" s="3"/>
      <x:c r="N119" s="24" t="str">
        <x:f>IF(AND(R119="Valid input",I119="Resolved",M119="Yes",ISNUMBER(G119)),(G119-J119)^2,"")</x:f>
      </x:c>
      <x:c r="O119" s="24" t="str">
        <x:f>IF(AND(ISNUMBER(N119),ISNUMBER(H119)),(H119-J119)^2,"")</x:f>
      </x:c>
      <x:c r="P119" s="24" t="str">
        <x:f>IF(AND(ISNUMBER(N119),ISNUMBER(O119)),O119-N119,"")</x:f>
      </x:c>
      <x:c r="Q119" s="3"/>
      <x:c r="R119" s="19" t="str">
        <x:f>IF(A119="","",IF(COUNTIFS('Predictions'!$A$7:$A$306,A119)&lt;&gt;1,"Duplicate ID",IF(COUNTIFS('Cases overview'!$A$7:$A$306,B119)&lt;&gt;1,"Invalid case ref",IF(COUNTIFS('Plan versions'!$A$7:$A$306,C119,'Plan versions'!$B$7:$B$306,B119,'Plan versions'!$L$7:$L$306,"Frozen")&lt;&gt;1,"Invalid plan ref",IF(OR(NOT(ISNUMBER(D119)),NOT(ISNUMBER(E119)),F119="",I119="",M119="",Q119=""),"Prediction info missing",IF(D119&gt;E119,"Not pre-registered before due",IF(OR(AND(G119&lt;&gt;"",OR(NOT(ISNUMBER(G119)),G119&lt;0,G119&gt;1)),AND(H119&lt;&gt;"",OR(NOT(ISNUMBER(H119)),H119&lt;0,H119&gt;1))),"Invalid probability",IF(AND(I119="Resolved",OR(NOT(ISNUMBER(J119)),AND(J119&lt;&gt;0,J119&lt;&gt;1),NOT(ISNUMBER(K119)),L119="")),"Resolution evidence missing",IF(AND(I119="Resolved",D119&gt;K119),"Retroactive: not scored","Valid input")))))))))</x:f>
      </x:c>
    </x:row>
    <x:row r="120" ht="25" customHeight="1">
      <x:c r="A120" s="3"/>
      <x:c r="B120" s="3"/>
      <x:c r="C120" s="3"/>
      <x:c r="D120" s="25"/>
      <x:c r="E120" s="25"/>
      <x:c r="F120" s="3"/>
      <x:c r="G120" s="26"/>
      <x:c r="H120" s="26"/>
      <x:c r="I120" s="3"/>
      <x:c r="J120" s="22"/>
      <x:c r="K120" s="25"/>
      <x:c r="L120" s="3"/>
      <x:c r="M120" s="3"/>
      <x:c r="N120" s="24" t="str">
        <x:f>IF(AND(R120="Valid input",I120="Resolved",M120="Yes",ISNUMBER(G120)),(G120-J120)^2,"")</x:f>
      </x:c>
      <x:c r="O120" s="24" t="str">
        <x:f>IF(AND(ISNUMBER(N120),ISNUMBER(H120)),(H120-J120)^2,"")</x:f>
      </x:c>
      <x:c r="P120" s="24" t="str">
        <x:f>IF(AND(ISNUMBER(N120),ISNUMBER(O120)),O120-N120,"")</x:f>
      </x:c>
      <x:c r="Q120" s="3"/>
      <x:c r="R120" s="19" t="str">
        <x:f>IF(A120="","",IF(COUNTIFS('Predictions'!$A$7:$A$306,A120)&lt;&gt;1,"Duplicate ID",IF(COUNTIFS('Cases overview'!$A$7:$A$306,B120)&lt;&gt;1,"Invalid case ref",IF(COUNTIFS('Plan versions'!$A$7:$A$306,C120,'Plan versions'!$B$7:$B$306,B120,'Plan versions'!$L$7:$L$306,"Frozen")&lt;&gt;1,"Invalid plan ref",IF(OR(NOT(ISNUMBER(D120)),NOT(ISNUMBER(E120)),F120="",I120="",M120="",Q120=""),"Prediction info missing",IF(D120&gt;E120,"Not pre-registered before due",IF(OR(AND(G120&lt;&gt;"",OR(NOT(ISNUMBER(G120)),G120&lt;0,G120&gt;1)),AND(H120&lt;&gt;"",OR(NOT(ISNUMBER(H120)),H120&lt;0,H120&gt;1))),"Invalid probability",IF(AND(I120="Resolved",OR(NOT(ISNUMBER(J120)),AND(J120&lt;&gt;0,J120&lt;&gt;1),NOT(ISNUMBER(K120)),L120="")),"Resolution evidence missing",IF(AND(I120="Resolved",D120&gt;K120),"Retroactive: not scored","Valid input")))))))))</x:f>
      </x:c>
    </x:row>
    <x:row r="121" ht="25" customHeight="1">
      <x:c r="A121" s="3"/>
      <x:c r="B121" s="3"/>
      <x:c r="C121" s="3"/>
      <x:c r="D121" s="25"/>
      <x:c r="E121" s="25"/>
      <x:c r="F121" s="3"/>
      <x:c r="G121" s="26"/>
      <x:c r="H121" s="26"/>
      <x:c r="I121" s="3"/>
      <x:c r="J121" s="22"/>
      <x:c r="K121" s="25"/>
      <x:c r="L121" s="3"/>
      <x:c r="M121" s="3"/>
      <x:c r="N121" s="24" t="str">
        <x:f>IF(AND(R121="Valid input",I121="Resolved",M121="Yes",ISNUMBER(G121)),(G121-J121)^2,"")</x:f>
      </x:c>
      <x:c r="O121" s="24" t="str">
        <x:f>IF(AND(ISNUMBER(N121),ISNUMBER(H121)),(H121-J121)^2,"")</x:f>
      </x:c>
      <x:c r="P121" s="24" t="str">
        <x:f>IF(AND(ISNUMBER(N121),ISNUMBER(O121)),O121-N121,"")</x:f>
      </x:c>
      <x:c r="Q121" s="3"/>
      <x:c r="R121" s="19" t="str">
        <x:f>IF(A121="","",IF(COUNTIFS('Predictions'!$A$7:$A$306,A121)&lt;&gt;1,"Duplicate ID",IF(COUNTIFS('Cases overview'!$A$7:$A$306,B121)&lt;&gt;1,"Invalid case ref",IF(COUNTIFS('Plan versions'!$A$7:$A$306,C121,'Plan versions'!$B$7:$B$306,B121,'Plan versions'!$L$7:$L$306,"Frozen")&lt;&gt;1,"Invalid plan ref",IF(OR(NOT(ISNUMBER(D121)),NOT(ISNUMBER(E121)),F121="",I121="",M121="",Q121=""),"Prediction info missing",IF(D121&gt;E121,"Not pre-registered before due",IF(OR(AND(G121&lt;&gt;"",OR(NOT(ISNUMBER(G121)),G121&lt;0,G121&gt;1)),AND(H121&lt;&gt;"",OR(NOT(ISNUMBER(H121)),H121&lt;0,H121&gt;1))),"Invalid probability",IF(AND(I121="Resolved",OR(NOT(ISNUMBER(J121)),AND(J121&lt;&gt;0,J121&lt;&gt;1),NOT(ISNUMBER(K121)),L121="")),"Resolution evidence missing",IF(AND(I121="Resolved",D121&gt;K121),"Retroactive: not scored","Valid input")))))))))</x:f>
      </x:c>
    </x:row>
    <x:row r="122" ht="25" customHeight="1">
      <x:c r="A122" s="3"/>
      <x:c r="B122" s="3"/>
      <x:c r="C122" s="3"/>
      <x:c r="D122" s="25"/>
      <x:c r="E122" s="25"/>
      <x:c r="F122" s="3"/>
      <x:c r="G122" s="26"/>
      <x:c r="H122" s="26"/>
      <x:c r="I122" s="3"/>
      <x:c r="J122" s="22"/>
      <x:c r="K122" s="25"/>
      <x:c r="L122" s="3"/>
      <x:c r="M122" s="3"/>
      <x:c r="N122" s="24" t="str">
        <x:f>IF(AND(R122="Valid input",I122="Resolved",M122="Yes",ISNUMBER(G122)),(G122-J122)^2,"")</x:f>
      </x:c>
      <x:c r="O122" s="24" t="str">
        <x:f>IF(AND(ISNUMBER(N122),ISNUMBER(H122)),(H122-J122)^2,"")</x:f>
      </x:c>
      <x:c r="P122" s="24" t="str">
        <x:f>IF(AND(ISNUMBER(N122),ISNUMBER(O122)),O122-N122,"")</x:f>
      </x:c>
      <x:c r="Q122" s="3"/>
      <x:c r="R122" s="19" t="str">
        <x:f>IF(A122="","",IF(COUNTIFS('Predictions'!$A$7:$A$306,A122)&lt;&gt;1,"Duplicate ID",IF(COUNTIFS('Cases overview'!$A$7:$A$306,B122)&lt;&gt;1,"Invalid case ref",IF(COUNTIFS('Plan versions'!$A$7:$A$306,C122,'Plan versions'!$B$7:$B$306,B122,'Plan versions'!$L$7:$L$306,"Frozen")&lt;&gt;1,"Invalid plan ref",IF(OR(NOT(ISNUMBER(D122)),NOT(ISNUMBER(E122)),F122="",I122="",M122="",Q122=""),"Prediction info missing",IF(D122&gt;E122,"Not pre-registered before due",IF(OR(AND(G122&lt;&gt;"",OR(NOT(ISNUMBER(G122)),G122&lt;0,G122&gt;1)),AND(H122&lt;&gt;"",OR(NOT(ISNUMBER(H122)),H122&lt;0,H122&gt;1))),"Invalid probability",IF(AND(I122="Resolved",OR(NOT(ISNUMBER(J122)),AND(J122&lt;&gt;0,J122&lt;&gt;1),NOT(ISNUMBER(K122)),L122="")),"Resolution evidence missing",IF(AND(I122="Resolved",D122&gt;K122),"Retroactive: not scored","Valid input")))))))))</x:f>
      </x:c>
    </x:row>
    <x:row r="123" ht="25" customHeight="1">
      <x:c r="A123" s="3"/>
      <x:c r="B123" s="3"/>
      <x:c r="C123" s="3"/>
      <x:c r="D123" s="25"/>
      <x:c r="E123" s="25"/>
      <x:c r="F123" s="3"/>
      <x:c r="G123" s="26"/>
      <x:c r="H123" s="26"/>
      <x:c r="I123" s="3"/>
      <x:c r="J123" s="22"/>
      <x:c r="K123" s="25"/>
      <x:c r="L123" s="3"/>
      <x:c r="M123" s="3"/>
      <x:c r="N123" s="24" t="str">
        <x:f>IF(AND(R123="Valid input",I123="Resolved",M123="Yes",ISNUMBER(G123)),(G123-J123)^2,"")</x:f>
      </x:c>
      <x:c r="O123" s="24" t="str">
        <x:f>IF(AND(ISNUMBER(N123),ISNUMBER(H123)),(H123-J123)^2,"")</x:f>
      </x:c>
      <x:c r="P123" s="24" t="str">
        <x:f>IF(AND(ISNUMBER(N123),ISNUMBER(O123)),O123-N123,"")</x:f>
      </x:c>
      <x:c r="Q123" s="3"/>
      <x:c r="R123" s="19" t="str">
        <x:f>IF(A123="","",IF(COUNTIFS('Predictions'!$A$7:$A$306,A123)&lt;&gt;1,"Duplicate ID",IF(COUNTIFS('Cases overview'!$A$7:$A$306,B123)&lt;&gt;1,"Invalid case ref",IF(COUNTIFS('Plan versions'!$A$7:$A$306,C123,'Plan versions'!$B$7:$B$306,B123,'Plan versions'!$L$7:$L$306,"Frozen")&lt;&gt;1,"Invalid plan ref",IF(OR(NOT(ISNUMBER(D123)),NOT(ISNUMBER(E123)),F123="",I123="",M123="",Q123=""),"Prediction info missing",IF(D123&gt;E123,"Not pre-registered before due",IF(OR(AND(G123&lt;&gt;"",OR(NOT(ISNUMBER(G123)),G123&lt;0,G123&gt;1)),AND(H123&lt;&gt;"",OR(NOT(ISNUMBER(H123)),H123&lt;0,H123&gt;1))),"Invalid probability",IF(AND(I123="Resolved",OR(NOT(ISNUMBER(J123)),AND(J123&lt;&gt;0,J123&lt;&gt;1),NOT(ISNUMBER(K123)),L123="")),"Resolution evidence missing",IF(AND(I123="Resolved",D123&gt;K123),"Retroactive: not scored","Valid input")))))))))</x:f>
      </x:c>
    </x:row>
    <x:row r="124" ht="25" customHeight="1">
      <x:c r="A124" s="3"/>
      <x:c r="B124" s="3"/>
      <x:c r="C124" s="3"/>
      <x:c r="D124" s="25"/>
      <x:c r="E124" s="25"/>
      <x:c r="F124" s="3"/>
      <x:c r="G124" s="26"/>
      <x:c r="H124" s="26"/>
      <x:c r="I124" s="3"/>
      <x:c r="J124" s="22"/>
      <x:c r="K124" s="25"/>
      <x:c r="L124" s="3"/>
      <x:c r="M124" s="3"/>
      <x:c r="N124" s="24" t="str">
        <x:f>IF(AND(R124="Valid input",I124="Resolved",M124="Yes",ISNUMBER(G124)),(G124-J124)^2,"")</x:f>
      </x:c>
      <x:c r="O124" s="24" t="str">
        <x:f>IF(AND(ISNUMBER(N124),ISNUMBER(H124)),(H124-J124)^2,"")</x:f>
      </x:c>
      <x:c r="P124" s="24" t="str">
        <x:f>IF(AND(ISNUMBER(N124),ISNUMBER(O124)),O124-N124,"")</x:f>
      </x:c>
      <x:c r="Q124" s="3"/>
      <x:c r="R124" s="19" t="str">
        <x:f>IF(A124="","",IF(COUNTIFS('Predictions'!$A$7:$A$306,A124)&lt;&gt;1,"Duplicate ID",IF(COUNTIFS('Cases overview'!$A$7:$A$306,B124)&lt;&gt;1,"Invalid case ref",IF(COUNTIFS('Plan versions'!$A$7:$A$306,C124,'Plan versions'!$B$7:$B$306,B124,'Plan versions'!$L$7:$L$306,"Frozen")&lt;&gt;1,"Invalid plan ref",IF(OR(NOT(ISNUMBER(D124)),NOT(ISNUMBER(E124)),F124="",I124="",M124="",Q124=""),"Prediction info missing",IF(D124&gt;E124,"Not pre-registered before due",IF(OR(AND(G124&lt;&gt;"",OR(NOT(ISNUMBER(G124)),G124&lt;0,G124&gt;1)),AND(H124&lt;&gt;"",OR(NOT(ISNUMBER(H124)),H124&lt;0,H124&gt;1))),"Invalid probability",IF(AND(I124="Resolved",OR(NOT(ISNUMBER(J124)),AND(J124&lt;&gt;0,J124&lt;&gt;1),NOT(ISNUMBER(K124)),L124="")),"Resolution evidence missing",IF(AND(I124="Resolved",D124&gt;K124),"Retroactive: not scored","Valid input")))))))))</x:f>
      </x:c>
    </x:row>
    <x:row r="125" ht="25" customHeight="1">
      <x:c r="A125" s="3"/>
      <x:c r="B125" s="3"/>
      <x:c r="C125" s="3"/>
      <x:c r="D125" s="25"/>
      <x:c r="E125" s="25"/>
      <x:c r="F125" s="3"/>
      <x:c r="G125" s="26"/>
      <x:c r="H125" s="26"/>
      <x:c r="I125" s="3"/>
      <x:c r="J125" s="22"/>
      <x:c r="K125" s="25"/>
      <x:c r="L125" s="3"/>
      <x:c r="M125" s="3"/>
      <x:c r="N125" s="24" t="str">
        <x:f>IF(AND(R125="Valid input",I125="Resolved",M125="Yes",ISNUMBER(G125)),(G125-J125)^2,"")</x:f>
      </x:c>
      <x:c r="O125" s="24" t="str">
        <x:f>IF(AND(ISNUMBER(N125),ISNUMBER(H125)),(H125-J125)^2,"")</x:f>
      </x:c>
      <x:c r="P125" s="24" t="str">
        <x:f>IF(AND(ISNUMBER(N125),ISNUMBER(O125)),O125-N125,"")</x:f>
      </x:c>
      <x:c r="Q125" s="3"/>
      <x:c r="R125" s="19" t="str">
        <x:f>IF(A125="","",IF(COUNTIFS('Predictions'!$A$7:$A$306,A125)&lt;&gt;1,"Duplicate ID",IF(COUNTIFS('Cases overview'!$A$7:$A$306,B125)&lt;&gt;1,"Invalid case ref",IF(COUNTIFS('Plan versions'!$A$7:$A$306,C125,'Plan versions'!$B$7:$B$306,B125,'Plan versions'!$L$7:$L$306,"Frozen")&lt;&gt;1,"Invalid plan ref",IF(OR(NOT(ISNUMBER(D125)),NOT(ISNUMBER(E125)),F125="",I125="",M125="",Q125=""),"Prediction info missing",IF(D125&gt;E125,"Not pre-registered before due",IF(OR(AND(G125&lt;&gt;"",OR(NOT(ISNUMBER(G125)),G125&lt;0,G125&gt;1)),AND(H125&lt;&gt;"",OR(NOT(ISNUMBER(H125)),H125&lt;0,H125&gt;1))),"Invalid probability",IF(AND(I125="Resolved",OR(NOT(ISNUMBER(J125)),AND(J125&lt;&gt;0,J125&lt;&gt;1),NOT(ISNUMBER(K125)),L125="")),"Resolution evidence missing",IF(AND(I125="Resolved",D125&gt;K125),"Retroactive: not scored","Valid input")))))))))</x:f>
      </x:c>
    </x:row>
    <x:row r="126" ht="25" customHeight="1">
      <x:c r="A126" s="3"/>
      <x:c r="B126" s="3"/>
      <x:c r="C126" s="3"/>
      <x:c r="D126" s="25"/>
      <x:c r="E126" s="25"/>
      <x:c r="F126" s="3"/>
      <x:c r="G126" s="26"/>
      <x:c r="H126" s="26"/>
      <x:c r="I126" s="3"/>
      <x:c r="J126" s="22"/>
      <x:c r="K126" s="25"/>
      <x:c r="L126" s="3"/>
      <x:c r="M126" s="3"/>
      <x:c r="N126" s="24" t="str">
        <x:f>IF(AND(R126="Valid input",I126="Resolved",M126="Yes",ISNUMBER(G126)),(G126-J126)^2,"")</x:f>
      </x:c>
      <x:c r="O126" s="24" t="str">
        <x:f>IF(AND(ISNUMBER(N126),ISNUMBER(H126)),(H126-J126)^2,"")</x:f>
      </x:c>
      <x:c r="P126" s="24" t="str">
        <x:f>IF(AND(ISNUMBER(N126),ISNUMBER(O126)),O126-N126,"")</x:f>
      </x:c>
      <x:c r="Q126" s="3"/>
      <x:c r="R126" s="19" t="str">
        <x:f>IF(A126="","",IF(COUNTIFS('Predictions'!$A$7:$A$306,A126)&lt;&gt;1,"Duplicate ID",IF(COUNTIFS('Cases overview'!$A$7:$A$306,B126)&lt;&gt;1,"Invalid case ref",IF(COUNTIFS('Plan versions'!$A$7:$A$306,C126,'Plan versions'!$B$7:$B$306,B126,'Plan versions'!$L$7:$L$306,"Frozen")&lt;&gt;1,"Invalid plan ref",IF(OR(NOT(ISNUMBER(D126)),NOT(ISNUMBER(E126)),F126="",I126="",M126="",Q126=""),"Prediction info missing",IF(D126&gt;E126,"Not pre-registered before due",IF(OR(AND(G126&lt;&gt;"",OR(NOT(ISNUMBER(G126)),G126&lt;0,G126&gt;1)),AND(H126&lt;&gt;"",OR(NOT(ISNUMBER(H126)),H126&lt;0,H126&gt;1))),"Invalid probability",IF(AND(I126="Resolved",OR(NOT(ISNUMBER(J126)),AND(J126&lt;&gt;0,J126&lt;&gt;1),NOT(ISNUMBER(K126)),L126="")),"Resolution evidence missing",IF(AND(I126="Resolved",D126&gt;K126),"Retroactive: not scored","Valid input")))))))))</x:f>
      </x:c>
    </x:row>
    <x:row r="127" ht="25" customHeight="1">
      <x:c r="A127" s="3"/>
      <x:c r="B127" s="3"/>
      <x:c r="C127" s="3"/>
      <x:c r="D127" s="25"/>
      <x:c r="E127" s="25"/>
      <x:c r="F127" s="3"/>
      <x:c r="G127" s="26"/>
      <x:c r="H127" s="26"/>
      <x:c r="I127" s="3"/>
      <x:c r="J127" s="22"/>
      <x:c r="K127" s="25"/>
      <x:c r="L127" s="3"/>
      <x:c r="M127" s="3"/>
      <x:c r="N127" s="24" t="str">
        <x:f>IF(AND(R127="Valid input",I127="Resolved",M127="Yes",ISNUMBER(G127)),(G127-J127)^2,"")</x:f>
      </x:c>
      <x:c r="O127" s="24" t="str">
        <x:f>IF(AND(ISNUMBER(N127),ISNUMBER(H127)),(H127-J127)^2,"")</x:f>
      </x:c>
      <x:c r="P127" s="24" t="str">
        <x:f>IF(AND(ISNUMBER(N127),ISNUMBER(O127)),O127-N127,"")</x:f>
      </x:c>
      <x:c r="Q127" s="3"/>
      <x:c r="R127" s="19" t="str">
        <x:f>IF(A127="","",IF(COUNTIFS('Predictions'!$A$7:$A$306,A127)&lt;&gt;1,"Duplicate ID",IF(COUNTIFS('Cases overview'!$A$7:$A$306,B127)&lt;&gt;1,"Invalid case ref",IF(COUNTIFS('Plan versions'!$A$7:$A$306,C127,'Plan versions'!$B$7:$B$306,B127,'Plan versions'!$L$7:$L$306,"Frozen")&lt;&gt;1,"Invalid plan ref",IF(OR(NOT(ISNUMBER(D127)),NOT(ISNUMBER(E127)),F127="",I127="",M127="",Q127=""),"Prediction info missing",IF(D127&gt;E127,"Not pre-registered before due",IF(OR(AND(G127&lt;&gt;"",OR(NOT(ISNUMBER(G127)),G127&lt;0,G127&gt;1)),AND(H127&lt;&gt;"",OR(NOT(ISNUMBER(H127)),H127&lt;0,H127&gt;1))),"Invalid probability",IF(AND(I127="Resolved",OR(NOT(ISNUMBER(J127)),AND(J127&lt;&gt;0,J127&lt;&gt;1),NOT(ISNUMBER(K127)),L127="")),"Resolution evidence missing",IF(AND(I127="Resolved",D127&gt;K127),"Retroactive: not scored","Valid input")))))))))</x:f>
      </x:c>
    </x:row>
    <x:row r="128" ht="25" customHeight="1">
      <x:c r="A128" s="3"/>
      <x:c r="B128" s="3"/>
      <x:c r="C128" s="3"/>
      <x:c r="D128" s="25"/>
      <x:c r="E128" s="25"/>
      <x:c r="F128" s="3"/>
      <x:c r="G128" s="26"/>
      <x:c r="H128" s="26"/>
      <x:c r="I128" s="3"/>
      <x:c r="J128" s="22"/>
      <x:c r="K128" s="25"/>
      <x:c r="L128" s="3"/>
      <x:c r="M128" s="3"/>
      <x:c r="N128" s="24" t="str">
        <x:f>IF(AND(R128="Valid input",I128="Resolved",M128="Yes",ISNUMBER(G128)),(G128-J128)^2,"")</x:f>
      </x:c>
      <x:c r="O128" s="24" t="str">
        <x:f>IF(AND(ISNUMBER(N128),ISNUMBER(H128)),(H128-J128)^2,"")</x:f>
      </x:c>
      <x:c r="P128" s="24" t="str">
        <x:f>IF(AND(ISNUMBER(N128),ISNUMBER(O128)),O128-N128,"")</x:f>
      </x:c>
      <x:c r="Q128" s="3"/>
      <x:c r="R128" s="19" t="str">
        <x:f>IF(A128="","",IF(COUNTIFS('Predictions'!$A$7:$A$306,A128)&lt;&gt;1,"Duplicate ID",IF(COUNTIFS('Cases overview'!$A$7:$A$306,B128)&lt;&gt;1,"Invalid case ref",IF(COUNTIFS('Plan versions'!$A$7:$A$306,C128,'Plan versions'!$B$7:$B$306,B128,'Plan versions'!$L$7:$L$306,"Frozen")&lt;&gt;1,"Invalid plan ref",IF(OR(NOT(ISNUMBER(D128)),NOT(ISNUMBER(E128)),F128="",I128="",M128="",Q128=""),"Prediction info missing",IF(D128&gt;E128,"Not pre-registered before due",IF(OR(AND(G128&lt;&gt;"",OR(NOT(ISNUMBER(G128)),G128&lt;0,G128&gt;1)),AND(H128&lt;&gt;"",OR(NOT(ISNUMBER(H128)),H128&lt;0,H128&gt;1))),"Invalid probability",IF(AND(I128="Resolved",OR(NOT(ISNUMBER(J128)),AND(J128&lt;&gt;0,J128&lt;&gt;1),NOT(ISNUMBER(K128)),L128="")),"Resolution evidence missing",IF(AND(I128="Resolved",D128&gt;K128),"Retroactive: not scored","Valid input")))))))))</x:f>
      </x:c>
    </x:row>
    <x:row r="129" ht="25" customHeight="1">
      <x:c r="A129" s="3"/>
      <x:c r="B129" s="3"/>
      <x:c r="C129" s="3"/>
      <x:c r="D129" s="25"/>
      <x:c r="E129" s="25"/>
      <x:c r="F129" s="3"/>
      <x:c r="G129" s="26"/>
      <x:c r="H129" s="26"/>
      <x:c r="I129" s="3"/>
      <x:c r="J129" s="22"/>
      <x:c r="K129" s="25"/>
      <x:c r="L129" s="3"/>
      <x:c r="M129" s="3"/>
      <x:c r="N129" s="24" t="str">
        <x:f>IF(AND(R129="Valid input",I129="Resolved",M129="Yes",ISNUMBER(G129)),(G129-J129)^2,"")</x:f>
      </x:c>
      <x:c r="O129" s="24" t="str">
        <x:f>IF(AND(ISNUMBER(N129),ISNUMBER(H129)),(H129-J129)^2,"")</x:f>
      </x:c>
      <x:c r="P129" s="24" t="str">
        <x:f>IF(AND(ISNUMBER(N129),ISNUMBER(O129)),O129-N129,"")</x:f>
      </x:c>
      <x:c r="Q129" s="3"/>
      <x:c r="R129" s="19" t="str">
        <x:f>IF(A129="","",IF(COUNTIFS('Predictions'!$A$7:$A$306,A129)&lt;&gt;1,"Duplicate ID",IF(COUNTIFS('Cases overview'!$A$7:$A$306,B129)&lt;&gt;1,"Invalid case ref",IF(COUNTIFS('Plan versions'!$A$7:$A$306,C129,'Plan versions'!$B$7:$B$306,B129,'Plan versions'!$L$7:$L$306,"Frozen")&lt;&gt;1,"Invalid plan ref",IF(OR(NOT(ISNUMBER(D129)),NOT(ISNUMBER(E129)),F129="",I129="",M129="",Q129=""),"Prediction info missing",IF(D129&gt;E129,"Not pre-registered before due",IF(OR(AND(G129&lt;&gt;"",OR(NOT(ISNUMBER(G129)),G129&lt;0,G129&gt;1)),AND(H129&lt;&gt;"",OR(NOT(ISNUMBER(H129)),H129&lt;0,H129&gt;1))),"Invalid probability",IF(AND(I129="Resolved",OR(NOT(ISNUMBER(J129)),AND(J129&lt;&gt;0,J129&lt;&gt;1),NOT(ISNUMBER(K129)),L129="")),"Resolution evidence missing",IF(AND(I129="Resolved",D129&gt;K129),"Retroactive: not scored","Valid input")))))))))</x:f>
      </x:c>
    </x:row>
    <x:row r="130" ht="25" customHeight="1">
      <x:c r="A130" s="3"/>
      <x:c r="B130" s="3"/>
      <x:c r="C130" s="3"/>
      <x:c r="D130" s="25"/>
      <x:c r="E130" s="25"/>
      <x:c r="F130" s="3"/>
      <x:c r="G130" s="26"/>
      <x:c r="H130" s="26"/>
      <x:c r="I130" s="3"/>
      <x:c r="J130" s="22"/>
      <x:c r="K130" s="25"/>
      <x:c r="L130" s="3"/>
      <x:c r="M130" s="3"/>
      <x:c r="N130" s="24" t="str">
        <x:f>IF(AND(R130="Valid input",I130="Resolved",M130="Yes",ISNUMBER(G130)),(G130-J130)^2,"")</x:f>
      </x:c>
      <x:c r="O130" s="24" t="str">
        <x:f>IF(AND(ISNUMBER(N130),ISNUMBER(H130)),(H130-J130)^2,"")</x:f>
      </x:c>
      <x:c r="P130" s="24" t="str">
        <x:f>IF(AND(ISNUMBER(N130),ISNUMBER(O130)),O130-N130,"")</x:f>
      </x:c>
      <x:c r="Q130" s="3"/>
      <x:c r="R130" s="19" t="str">
        <x:f>IF(A130="","",IF(COUNTIFS('Predictions'!$A$7:$A$306,A130)&lt;&gt;1,"Duplicate ID",IF(COUNTIFS('Cases overview'!$A$7:$A$306,B130)&lt;&gt;1,"Invalid case ref",IF(COUNTIFS('Plan versions'!$A$7:$A$306,C130,'Plan versions'!$B$7:$B$306,B130,'Plan versions'!$L$7:$L$306,"Frozen")&lt;&gt;1,"Invalid plan ref",IF(OR(NOT(ISNUMBER(D130)),NOT(ISNUMBER(E130)),F130="",I130="",M130="",Q130=""),"Prediction info missing",IF(D130&gt;E130,"Not pre-registered before due",IF(OR(AND(G130&lt;&gt;"",OR(NOT(ISNUMBER(G130)),G130&lt;0,G130&gt;1)),AND(H130&lt;&gt;"",OR(NOT(ISNUMBER(H130)),H130&lt;0,H130&gt;1))),"Invalid probability",IF(AND(I130="Resolved",OR(NOT(ISNUMBER(J130)),AND(J130&lt;&gt;0,J130&lt;&gt;1),NOT(ISNUMBER(K130)),L130="")),"Resolution evidence missing",IF(AND(I130="Resolved",D130&gt;K130),"Retroactive: not scored","Valid input")))))))))</x:f>
      </x:c>
    </x:row>
    <x:row r="131" ht="25" customHeight="1">
      <x:c r="A131" s="3"/>
      <x:c r="B131" s="3"/>
      <x:c r="C131" s="3"/>
      <x:c r="D131" s="25"/>
      <x:c r="E131" s="25"/>
      <x:c r="F131" s="3"/>
      <x:c r="G131" s="26"/>
      <x:c r="H131" s="26"/>
      <x:c r="I131" s="3"/>
      <x:c r="J131" s="22"/>
      <x:c r="K131" s="25"/>
      <x:c r="L131" s="3"/>
      <x:c r="M131" s="3"/>
      <x:c r="N131" s="24" t="str">
        <x:f>IF(AND(R131="Valid input",I131="Resolved",M131="Yes",ISNUMBER(G131)),(G131-J131)^2,"")</x:f>
      </x:c>
      <x:c r="O131" s="24" t="str">
        <x:f>IF(AND(ISNUMBER(N131),ISNUMBER(H131)),(H131-J131)^2,"")</x:f>
      </x:c>
      <x:c r="P131" s="24" t="str">
        <x:f>IF(AND(ISNUMBER(N131),ISNUMBER(O131)),O131-N131,"")</x:f>
      </x:c>
      <x:c r="Q131" s="3"/>
      <x:c r="R131" s="19" t="str">
        <x:f>IF(A131="","",IF(COUNTIFS('Predictions'!$A$7:$A$306,A131)&lt;&gt;1,"Duplicate ID",IF(COUNTIFS('Cases overview'!$A$7:$A$306,B131)&lt;&gt;1,"Invalid case ref",IF(COUNTIFS('Plan versions'!$A$7:$A$306,C131,'Plan versions'!$B$7:$B$306,B131,'Plan versions'!$L$7:$L$306,"Frozen")&lt;&gt;1,"Invalid plan ref",IF(OR(NOT(ISNUMBER(D131)),NOT(ISNUMBER(E131)),F131="",I131="",M131="",Q131=""),"Prediction info missing",IF(D131&gt;E131,"Not pre-registered before due",IF(OR(AND(G131&lt;&gt;"",OR(NOT(ISNUMBER(G131)),G131&lt;0,G131&gt;1)),AND(H131&lt;&gt;"",OR(NOT(ISNUMBER(H131)),H131&lt;0,H131&gt;1))),"Invalid probability",IF(AND(I131="Resolved",OR(NOT(ISNUMBER(J131)),AND(J131&lt;&gt;0,J131&lt;&gt;1),NOT(ISNUMBER(K131)),L131="")),"Resolution evidence missing",IF(AND(I131="Resolved",D131&gt;K131),"Retroactive: not scored","Valid input")))))))))</x:f>
      </x:c>
    </x:row>
    <x:row r="132" ht="25" customHeight="1">
      <x:c r="A132" s="3"/>
      <x:c r="B132" s="3"/>
      <x:c r="C132" s="3"/>
      <x:c r="D132" s="25"/>
      <x:c r="E132" s="25"/>
      <x:c r="F132" s="3"/>
      <x:c r="G132" s="26"/>
      <x:c r="H132" s="26"/>
      <x:c r="I132" s="3"/>
      <x:c r="J132" s="22"/>
      <x:c r="K132" s="25"/>
      <x:c r="L132" s="3"/>
      <x:c r="M132" s="3"/>
      <x:c r="N132" s="24" t="str">
        <x:f>IF(AND(R132="Valid input",I132="Resolved",M132="Yes",ISNUMBER(G132)),(G132-J132)^2,"")</x:f>
      </x:c>
      <x:c r="O132" s="24" t="str">
        <x:f>IF(AND(ISNUMBER(N132),ISNUMBER(H132)),(H132-J132)^2,"")</x:f>
      </x:c>
      <x:c r="P132" s="24" t="str">
        <x:f>IF(AND(ISNUMBER(N132),ISNUMBER(O132)),O132-N132,"")</x:f>
      </x:c>
      <x:c r="Q132" s="3"/>
      <x:c r="R132" s="19" t="str">
        <x:f>IF(A132="","",IF(COUNTIFS('Predictions'!$A$7:$A$306,A132)&lt;&gt;1,"Duplicate ID",IF(COUNTIFS('Cases overview'!$A$7:$A$306,B132)&lt;&gt;1,"Invalid case ref",IF(COUNTIFS('Plan versions'!$A$7:$A$306,C132,'Plan versions'!$B$7:$B$306,B132,'Plan versions'!$L$7:$L$306,"Frozen")&lt;&gt;1,"Invalid plan ref",IF(OR(NOT(ISNUMBER(D132)),NOT(ISNUMBER(E132)),F132="",I132="",M132="",Q132=""),"Prediction info missing",IF(D132&gt;E132,"Not pre-registered before due",IF(OR(AND(G132&lt;&gt;"",OR(NOT(ISNUMBER(G132)),G132&lt;0,G132&gt;1)),AND(H132&lt;&gt;"",OR(NOT(ISNUMBER(H132)),H132&lt;0,H132&gt;1))),"Invalid probability",IF(AND(I132="Resolved",OR(NOT(ISNUMBER(J132)),AND(J132&lt;&gt;0,J132&lt;&gt;1),NOT(ISNUMBER(K132)),L132="")),"Resolution evidence missing",IF(AND(I132="Resolved",D132&gt;K132),"Retroactive: not scored","Valid input")))))))))</x:f>
      </x:c>
    </x:row>
    <x:row r="133" ht="25" customHeight="1">
      <x:c r="A133" s="3"/>
      <x:c r="B133" s="3"/>
      <x:c r="C133" s="3"/>
      <x:c r="D133" s="25"/>
      <x:c r="E133" s="25"/>
      <x:c r="F133" s="3"/>
      <x:c r="G133" s="26"/>
      <x:c r="H133" s="26"/>
      <x:c r="I133" s="3"/>
      <x:c r="J133" s="22"/>
      <x:c r="K133" s="25"/>
      <x:c r="L133" s="3"/>
      <x:c r="M133" s="3"/>
      <x:c r="N133" s="24" t="str">
        <x:f>IF(AND(R133="Valid input",I133="Resolved",M133="Yes",ISNUMBER(G133)),(G133-J133)^2,"")</x:f>
      </x:c>
      <x:c r="O133" s="24" t="str">
        <x:f>IF(AND(ISNUMBER(N133),ISNUMBER(H133)),(H133-J133)^2,"")</x:f>
      </x:c>
      <x:c r="P133" s="24" t="str">
        <x:f>IF(AND(ISNUMBER(N133),ISNUMBER(O133)),O133-N133,"")</x:f>
      </x:c>
      <x:c r="Q133" s="3"/>
      <x:c r="R133" s="19" t="str">
        <x:f>IF(A133="","",IF(COUNTIFS('Predictions'!$A$7:$A$306,A133)&lt;&gt;1,"Duplicate ID",IF(COUNTIFS('Cases overview'!$A$7:$A$306,B133)&lt;&gt;1,"Invalid case ref",IF(COUNTIFS('Plan versions'!$A$7:$A$306,C133,'Plan versions'!$B$7:$B$306,B133,'Plan versions'!$L$7:$L$306,"Frozen")&lt;&gt;1,"Invalid plan ref",IF(OR(NOT(ISNUMBER(D133)),NOT(ISNUMBER(E133)),F133="",I133="",M133="",Q133=""),"Prediction info missing",IF(D133&gt;E133,"Not pre-registered before due",IF(OR(AND(G133&lt;&gt;"",OR(NOT(ISNUMBER(G133)),G133&lt;0,G133&gt;1)),AND(H133&lt;&gt;"",OR(NOT(ISNUMBER(H133)),H133&lt;0,H133&gt;1))),"Invalid probability",IF(AND(I133="Resolved",OR(NOT(ISNUMBER(J133)),AND(J133&lt;&gt;0,J133&lt;&gt;1),NOT(ISNUMBER(K133)),L133="")),"Resolution evidence missing",IF(AND(I133="Resolved",D133&gt;K133),"Retroactive: not scored","Valid input")))))))))</x:f>
      </x:c>
    </x:row>
    <x:row r="134" ht="25" customHeight="1">
      <x:c r="A134" s="3"/>
      <x:c r="B134" s="3"/>
      <x:c r="C134" s="3"/>
      <x:c r="D134" s="25"/>
      <x:c r="E134" s="25"/>
      <x:c r="F134" s="3"/>
      <x:c r="G134" s="26"/>
      <x:c r="H134" s="26"/>
      <x:c r="I134" s="3"/>
      <x:c r="J134" s="22"/>
      <x:c r="K134" s="25"/>
      <x:c r="L134" s="3"/>
      <x:c r="M134" s="3"/>
      <x:c r="N134" s="24" t="str">
        <x:f>IF(AND(R134="Valid input",I134="Resolved",M134="Yes",ISNUMBER(G134)),(G134-J134)^2,"")</x:f>
      </x:c>
      <x:c r="O134" s="24" t="str">
        <x:f>IF(AND(ISNUMBER(N134),ISNUMBER(H134)),(H134-J134)^2,"")</x:f>
      </x:c>
      <x:c r="P134" s="24" t="str">
        <x:f>IF(AND(ISNUMBER(N134),ISNUMBER(O134)),O134-N134,"")</x:f>
      </x:c>
      <x:c r="Q134" s="3"/>
      <x:c r="R134" s="19" t="str">
        <x:f>IF(A134="","",IF(COUNTIFS('Predictions'!$A$7:$A$306,A134)&lt;&gt;1,"Duplicate ID",IF(COUNTIFS('Cases overview'!$A$7:$A$306,B134)&lt;&gt;1,"Invalid case ref",IF(COUNTIFS('Plan versions'!$A$7:$A$306,C134,'Plan versions'!$B$7:$B$306,B134,'Plan versions'!$L$7:$L$306,"Frozen")&lt;&gt;1,"Invalid plan ref",IF(OR(NOT(ISNUMBER(D134)),NOT(ISNUMBER(E134)),F134="",I134="",M134="",Q134=""),"Prediction info missing",IF(D134&gt;E134,"Not pre-registered before due",IF(OR(AND(G134&lt;&gt;"",OR(NOT(ISNUMBER(G134)),G134&lt;0,G134&gt;1)),AND(H134&lt;&gt;"",OR(NOT(ISNUMBER(H134)),H134&lt;0,H134&gt;1))),"Invalid probability",IF(AND(I134="Resolved",OR(NOT(ISNUMBER(J134)),AND(J134&lt;&gt;0,J134&lt;&gt;1),NOT(ISNUMBER(K134)),L134="")),"Resolution evidence missing",IF(AND(I134="Resolved",D134&gt;K134),"Retroactive: not scored","Valid input")))))))))</x:f>
      </x:c>
    </x:row>
    <x:row r="135" ht="25" customHeight="1">
      <x:c r="A135" s="3"/>
      <x:c r="B135" s="3"/>
      <x:c r="C135" s="3"/>
      <x:c r="D135" s="25"/>
      <x:c r="E135" s="25"/>
      <x:c r="F135" s="3"/>
      <x:c r="G135" s="26"/>
      <x:c r="H135" s="26"/>
      <x:c r="I135" s="3"/>
      <x:c r="J135" s="22"/>
      <x:c r="K135" s="25"/>
      <x:c r="L135" s="3"/>
      <x:c r="M135" s="3"/>
      <x:c r="N135" s="24" t="str">
        <x:f>IF(AND(R135="Valid input",I135="Resolved",M135="Yes",ISNUMBER(G135)),(G135-J135)^2,"")</x:f>
      </x:c>
      <x:c r="O135" s="24" t="str">
        <x:f>IF(AND(ISNUMBER(N135),ISNUMBER(H135)),(H135-J135)^2,"")</x:f>
      </x:c>
      <x:c r="P135" s="24" t="str">
        <x:f>IF(AND(ISNUMBER(N135),ISNUMBER(O135)),O135-N135,"")</x:f>
      </x:c>
      <x:c r="Q135" s="3"/>
      <x:c r="R135" s="19" t="str">
        <x:f>IF(A135="","",IF(COUNTIFS('Predictions'!$A$7:$A$306,A135)&lt;&gt;1,"Duplicate ID",IF(COUNTIFS('Cases overview'!$A$7:$A$306,B135)&lt;&gt;1,"Invalid case ref",IF(COUNTIFS('Plan versions'!$A$7:$A$306,C135,'Plan versions'!$B$7:$B$306,B135,'Plan versions'!$L$7:$L$306,"Frozen")&lt;&gt;1,"Invalid plan ref",IF(OR(NOT(ISNUMBER(D135)),NOT(ISNUMBER(E135)),F135="",I135="",M135="",Q135=""),"Prediction info missing",IF(D135&gt;E135,"Not pre-registered before due",IF(OR(AND(G135&lt;&gt;"",OR(NOT(ISNUMBER(G135)),G135&lt;0,G135&gt;1)),AND(H135&lt;&gt;"",OR(NOT(ISNUMBER(H135)),H135&lt;0,H135&gt;1))),"Invalid probability",IF(AND(I135="Resolved",OR(NOT(ISNUMBER(J135)),AND(J135&lt;&gt;0,J135&lt;&gt;1),NOT(ISNUMBER(K135)),L135="")),"Resolution evidence missing",IF(AND(I135="Resolved",D135&gt;K135),"Retroactive: not scored","Valid input")))))))))</x:f>
      </x:c>
    </x:row>
    <x:row r="136" ht="25" customHeight="1">
      <x:c r="A136" s="3"/>
      <x:c r="B136" s="3"/>
      <x:c r="C136" s="3"/>
      <x:c r="D136" s="25"/>
      <x:c r="E136" s="25"/>
      <x:c r="F136" s="3"/>
      <x:c r="G136" s="26"/>
      <x:c r="H136" s="26"/>
      <x:c r="I136" s="3"/>
      <x:c r="J136" s="22"/>
      <x:c r="K136" s="25"/>
      <x:c r="L136" s="3"/>
      <x:c r="M136" s="3"/>
      <x:c r="N136" s="24" t="str">
        <x:f>IF(AND(R136="Valid input",I136="Resolved",M136="Yes",ISNUMBER(G136)),(G136-J136)^2,"")</x:f>
      </x:c>
      <x:c r="O136" s="24" t="str">
        <x:f>IF(AND(ISNUMBER(N136),ISNUMBER(H136)),(H136-J136)^2,"")</x:f>
      </x:c>
      <x:c r="P136" s="24" t="str">
        <x:f>IF(AND(ISNUMBER(N136),ISNUMBER(O136)),O136-N136,"")</x:f>
      </x:c>
      <x:c r="Q136" s="3"/>
      <x:c r="R136" s="19" t="str">
        <x:f>IF(A136="","",IF(COUNTIFS('Predictions'!$A$7:$A$306,A136)&lt;&gt;1,"Duplicate ID",IF(COUNTIFS('Cases overview'!$A$7:$A$306,B136)&lt;&gt;1,"Invalid case ref",IF(COUNTIFS('Plan versions'!$A$7:$A$306,C136,'Plan versions'!$B$7:$B$306,B136,'Plan versions'!$L$7:$L$306,"Frozen")&lt;&gt;1,"Invalid plan ref",IF(OR(NOT(ISNUMBER(D136)),NOT(ISNUMBER(E136)),F136="",I136="",M136="",Q136=""),"Prediction info missing",IF(D136&gt;E136,"Not pre-registered before due",IF(OR(AND(G136&lt;&gt;"",OR(NOT(ISNUMBER(G136)),G136&lt;0,G136&gt;1)),AND(H136&lt;&gt;"",OR(NOT(ISNUMBER(H136)),H136&lt;0,H136&gt;1))),"Invalid probability",IF(AND(I136="Resolved",OR(NOT(ISNUMBER(J136)),AND(J136&lt;&gt;0,J136&lt;&gt;1),NOT(ISNUMBER(K136)),L136="")),"Resolution evidence missing",IF(AND(I136="Resolved",D136&gt;K136),"Retroactive: not scored","Valid input")))))))))</x:f>
      </x:c>
    </x:row>
    <x:row r="137" ht="25" customHeight="1">
      <x:c r="A137" s="3"/>
      <x:c r="B137" s="3"/>
      <x:c r="C137" s="3"/>
      <x:c r="D137" s="25"/>
      <x:c r="E137" s="25"/>
      <x:c r="F137" s="3"/>
      <x:c r="G137" s="26"/>
      <x:c r="H137" s="26"/>
      <x:c r="I137" s="3"/>
      <x:c r="J137" s="22"/>
      <x:c r="K137" s="25"/>
      <x:c r="L137" s="3"/>
      <x:c r="M137" s="3"/>
      <x:c r="N137" s="24" t="str">
        <x:f>IF(AND(R137="Valid input",I137="Resolved",M137="Yes",ISNUMBER(G137)),(G137-J137)^2,"")</x:f>
      </x:c>
      <x:c r="O137" s="24" t="str">
        <x:f>IF(AND(ISNUMBER(N137),ISNUMBER(H137)),(H137-J137)^2,"")</x:f>
      </x:c>
      <x:c r="P137" s="24" t="str">
        <x:f>IF(AND(ISNUMBER(N137),ISNUMBER(O137)),O137-N137,"")</x:f>
      </x:c>
      <x:c r="Q137" s="3"/>
      <x:c r="R137" s="19" t="str">
        <x:f>IF(A137="","",IF(COUNTIFS('Predictions'!$A$7:$A$306,A137)&lt;&gt;1,"Duplicate ID",IF(COUNTIFS('Cases overview'!$A$7:$A$306,B137)&lt;&gt;1,"Invalid case ref",IF(COUNTIFS('Plan versions'!$A$7:$A$306,C137,'Plan versions'!$B$7:$B$306,B137,'Plan versions'!$L$7:$L$306,"Frozen")&lt;&gt;1,"Invalid plan ref",IF(OR(NOT(ISNUMBER(D137)),NOT(ISNUMBER(E137)),F137="",I137="",M137="",Q137=""),"Prediction info missing",IF(D137&gt;E137,"Not pre-registered before due",IF(OR(AND(G137&lt;&gt;"",OR(NOT(ISNUMBER(G137)),G137&lt;0,G137&gt;1)),AND(H137&lt;&gt;"",OR(NOT(ISNUMBER(H137)),H137&lt;0,H137&gt;1))),"Invalid probability",IF(AND(I137="Resolved",OR(NOT(ISNUMBER(J137)),AND(J137&lt;&gt;0,J137&lt;&gt;1),NOT(ISNUMBER(K137)),L137="")),"Resolution evidence missing",IF(AND(I137="Resolved",D137&gt;K137),"Retroactive: not scored","Valid input")))))))))</x:f>
      </x:c>
    </x:row>
    <x:row r="138" ht="25" customHeight="1">
      <x:c r="A138" s="3"/>
      <x:c r="B138" s="3"/>
      <x:c r="C138" s="3"/>
      <x:c r="D138" s="25"/>
      <x:c r="E138" s="25"/>
      <x:c r="F138" s="3"/>
      <x:c r="G138" s="26"/>
      <x:c r="H138" s="26"/>
      <x:c r="I138" s="3"/>
      <x:c r="J138" s="22"/>
      <x:c r="K138" s="25"/>
      <x:c r="L138" s="3"/>
      <x:c r="M138" s="3"/>
      <x:c r="N138" s="24" t="str">
        <x:f>IF(AND(R138="Valid input",I138="Resolved",M138="Yes",ISNUMBER(G138)),(G138-J138)^2,"")</x:f>
      </x:c>
      <x:c r="O138" s="24" t="str">
        <x:f>IF(AND(ISNUMBER(N138),ISNUMBER(H138)),(H138-J138)^2,"")</x:f>
      </x:c>
      <x:c r="P138" s="24" t="str">
        <x:f>IF(AND(ISNUMBER(N138),ISNUMBER(O138)),O138-N138,"")</x:f>
      </x:c>
      <x:c r="Q138" s="3"/>
      <x:c r="R138" s="19" t="str">
        <x:f>IF(A138="","",IF(COUNTIFS('Predictions'!$A$7:$A$306,A138)&lt;&gt;1,"Duplicate ID",IF(COUNTIFS('Cases overview'!$A$7:$A$306,B138)&lt;&gt;1,"Invalid case ref",IF(COUNTIFS('Plan versions'!$A$7:$A$306,C138,'Plan versions'!$B$7:$B$306,B138,'Plan versions'!$L$7:$L$306,"Frozen")&lt;&gt;1,"Invalid plan ref",IF(OR(NOT(ISNUMBER(D138)),NOT(ISNUMBER(E138)),F138="",I138="",M138="",Q138=""),"Prediction info missing",IF(D138&gt;E138,"Not pre-registered before due",IF(OR(AND(G138&lt;&gt;"",OR(NOT(ISNUMBER(G138)),G138&lt;0,G138&gt;1)),AND(H138&lt;&gt;"",OR(NOT(ISNUMBER(H138)),H138&lt;0,H138&gt;1))),"Invalid probability",IF(AND(I138="Resolved",OR(NOT(ISNUMBER(J138)),AND(J138&lt;&gt;0,J138&lt;&gt;1),NOT(ISNUMBER(K138)),L138="")),"Resolution evidence missing",IF(AND(I138="Resolved",D138&gt;K138),"Retroactive: not scored","Valid input")))))))))</x:f>
      </x:c>
    </x:row>
    <x:row r="139" ht="25" customHeight="1">
      <x:c r="A139" s="3"/>
      <x:c r="B139" s="3"/>
      <x:c r="C139" s="3"/>
      <x:c r="D139" s="25"/>
      <x:c r="E139" s="25"/>
      <x:c r="F139" s="3"/>
      <x:c r="G139" s="26"/>
      <x:c r="H139" s="26"/>
      <x:c r="I139" s="3"/>
      <x:c r="J139" s="22"/>
      <x:c r="K139" s="25"/>
      <x:c r="L139" s="3"/>
      <x:c r="M139" s="3"/>
      <x:c r="N139" s="24" t="str">
        <x:f>IF(AND(R139="Valid input",I139="Resolved",M139="Yes",ISNUMBER(G139)),(G139-J139)^2,"")</x:f>
      </x:c>
      <x:c r="O139" s="24" t="str">
        <x:f>IF(AND(ISNUMBER(N139),ISNUMBER(H139)),(H139-J139)^2,"")</x:f>
      </x:c>
      <x:c r="P139" s="24" t="str">
        <x:f>IF(AND(ISNUMBER(N139),ISNUMBER(O139)),O139-N139,"")</x:f>
      </x:c>
      <x:c r="Q139" s="3"/>
      <x:c r="R139" s="19" t="str">
        <x:f>IF(A139="","",IF(COUNTIFS('Predictions'!$A$7:$A$306,A139)&lt;&gt;1,"Duplicate ID",IF(COUNTIFS('Cases overview'!$A$7:$A$306,B139)&lt;&gt;1,"Invalid case ref",IF(COUNTIFS('Plan versions'!$A$7:$A$306,C139,'Plan versions'!$B$7:$B$306,B139,'Plan versions'!$L$7:$L$306,"Frozen")&lt;&gt;1,"Invalid plan ref",IF(OR(NOT(ISNUMBER(D139)),NOT(ISNUMBER(E139)),F139="",I139="",M139="",Q139=""),"Prediction info missing",IF(D139&gt;E139,"Not pre-registered before due",IF(OR(AND(G139&lt;&gt;"",OR(NOT(ISNUMBER(G139)),G139&lt;0,G139&gt;1)),AND(H139&lt;&gt;"",OR(NOT(ISNUMBER(H139)),H139&lt;0,H139&gt;1))),"Invalid probability",IF(AND(I139="Resolved",OR(NOT(ISNUMBER(J139)),AND(J139&lt;&gt;0,J139&lt;&gt;1),NOT(ISNUMBER(K139)),L139="")),"Resolution evidence missing",IF(AND(I139="Resolved",D139&gt;K139),"Retroactive: not scored","Valid input")))))))))</x:f>
      </x:c>
    </x:row>
    <x:row r="140" ht="25" customHeight="1">
      <x:c r="A140" s="3"/>
      <x:c r="B140" s="3"/>
      <x:c r="C140" s="3"/>
      <x:c r="D140" s="25"/>
      <x:c r="E140" s="25"/>
      <x:c r="F140" s="3"/>
      <x:c r="G140" s="26"/>
      <x:c r="H140" s="26"/>
      <x:c r="I140" s="3"/>
      <x:c r="J140" s="22"/>
      <x:c r="K140" s="25"/>
      <x:c r="L140" s="3"/>
      <x:c r="M140" s="3"/>
      <x:c r="N140" s="24" t="str">
        <x:f>IF(AND(R140="Valid input",I140="Resolved",M140="Yes",ISNUMBER(G140)),(G140-J140)^2,"")</x:f>
      </x:c>
      <x:c r="O140" s="24" t="str">
        <x:f>IF(AND(ISNUMBER(N140),ISNUMBER(H140)),(H140-J140)^2,"")</x:f>
      </x:c>
      <x:c r="P140" s="24" t="str">
        <x:f>IF(AND(ISNUMBER(N140),ISNUMBER(O140)),O140-N140,"")</x:f>
      </x:c>
      <x:c r="Q140" s="3"/>
      <x:c r="R140" s="19" t="str">
        <x:f>IF(A140="","",IF(COUNTIFS('Predictions'!$A$7:$A$306,A140)&lt;&gt;1,"Duplicate ID",IF(COUNTIFS('Cases overview'!$A$7:$A$306,B140)&lt;&gt;1,"Invalid case ref",IF(COUNTIFS('Plan versions'!$A$7:$A$306,C140,'Plan versions'!$B$7:$B$306,B140,'Plan versions'!$L$7:$L$306,"Frozen")&lt;&gt;1,"Invalid plan ref",IF(OR(NOT(ISNUMBER(D140)),NOT(ISNUMBER(E140)),F140="",I140="",M140="",Q140=""),"Prediction info missing",IF(D140&gt;E140,"Not pre-registered before due",IF(OR(AND(G140&lt;&gt;"",OR(NOT(ISNUMBER(G140)),G140&lt;0,G140&gt;1)),AND(H140&lt;&gt;"",OR(NOT(ISNUMBER(H140)),H140&lt;0,H140&gt;1))),"Invalid probability",IF(AND(I140="Resolved",OR(NOT(ISNUMBER(J140)),AND(J140&lt;&gt;0,J140&lt;&gt;1),NOT(ISNUMBER(K140)),L140="")),"Resolution evidence missing",IF(AND(I140="Resolved",D140&gt;K140),"Retroactive: not scored","Valid input")))))))))</x:f>
      </x:c>
    </x:row>
    <x:row r="141" ht="25" customHeight="1">
      <x:c r="A141" s="3"/>
      <x:c r="B141" s="3"/>
      <x:c r="C141" s="3"/>
      <x:c r="D141" s="25"/>
      <x:c r="E141" s="25"/>
      <x:c r="F141" s="3"/>
      <x:c r="G141" s="26"/>
      <x:c r="H141" s="26"/>
      <x:c r="I141" s="3"/>
      <x:c r="J141" s="22"/>
      <x:c r="K141" s="25"/>
      <x:c r="L141" s="3"/>
      <x:c r="M141" s="3"/>
      <x:c r="N141" s="24" t="str">
        <x:f>IF(AND(R141="Valid input",I141="Resolved",M141="Yes",ISNUMBER(G141)),(G141-J141)^2,"")</x:f>
      </x:c>
      <x:c r="O141" s="24" t="str">
        <x:f>IF(AND(ISNUMBER(N141),ISNUMBER(H141)),(H141-J141)^2,"")</x:f>
      </x:c>
      <x:c r="P141" s="24" t="str">
        <x:f>IF(AND(ISNUMBER(N141),ISNUMBER(O141)),O141-N141,"")</x:f>
      </x:c>
      <x:c r="Q141" s="3"/>
      <x:c r="R141" s="19" t="str">
        <x:f>IF(A141="","",IF(COUNTIFS('Predictions'!$A$7:$A$306,A141)&lt;&gt;1,"Duplicate ID",IF(COUNTIFS('Cases overview'!$A$7:$A$306,B141)&lt;&gt;1,"Invalid case ref",IF(COUNTIFS('Plan versions'!$A$7:$A$306,C141,'Plan versions'!$B$7:$B$306,B141,'Plan versions'!$L$7:$L$306,"Frozen")&lt;&gt;1,"Invalid plan ref",IF(OR(NOT(ISNUMBER(D141)),NOT(ISNUMBER(E141)),F141="",I141="",M141="",Q141=""),"Prediction info missing",IF(D141&gt;E141,"Not pre-registered before due",IF(OR(AND(G141&lt;&gt;"",OR(NOT(ISNUMBER(G141)),G141&lt;0,G141&gt;1)),AND(H141&lt;&gt;"",OR(NOT(ISNUMBER(H141)),H141&lt;0,H141&gt;1))),"Invalid probability",IF(AND(I141="Resolved",OR(NOT(ISNUMBER(J141)),AND(J141&lt;&gt;0,J141&lt;&gt;1),NOT(ISNUMBER(K141)),L141="")),"Resolution evidence missing",IF(AND(I141="Resolved",D141&gt;K141),"Retroactive: not scored","Valid input")))))))))</x:f>
      </x:c>
    </x:row>
    <x:row r="142" ht="25" customHeight="1">
      <x:c r="A142" s="3"/>
      <x:c r="B142" s="3"/>
      <x:c r="C142" s="3"/>
      <x:c r="D142" s="25"/>
      <x:c r="E142" s="25"/>
      <x:c r="F142" s="3"/>
      <x:c r="G142" s="26"/>
      <x:c r="H142" s="26"/>
      <x:c r="I142" s="3"/>
      <x:c r="J142" s="22"/>
      <x:c r="K142" s="25"/>
      <x:c r="L142" s="3"/>
      <x:c r="M142" s="3"/>
      <x:c r="N142" s="24" t="str">
        <x:f>IF(AND(R142="Valid input",I142="Resolved",M142="Yes",ISNUMBER(G142)),(G142-J142)^2,"")</x:f>
      </x:c>
      <x:c r="O142" s="24" t="str">
        <x:f>IF(AND(ISNUMBER(N142),ISNUMBER(H142)),(H142-J142)^2,"")</x:f>
      </x:c>
      <x:c r="P142" s="24" t="str">
        <x:f>IF(AND(ISNUMBER(N142),ISNUMBER(O142)),O142-N142,"")</x:f>
      </x:c>
      <x:c r="Q142" s="3"/>
      <x:c r="R142" s="19" t="str">
        <x:f>IF(A142="","",IF(COUNTIFS('Predictions'!$A$7:$A$306,A142)&lt;&gt;1,"Duplicate ID",IF(COUNTIFS('Cases overview'!$A$7:$A$306,B142)&lt;&gt;1,"Invalid case ref",IF(COUNTIFS('Plan versions'!$A$7:$A$306,C142,'Plan versions'!$B$7:$B$306,B142,'Plan versions'!$L$7:$L$306,"Frozen")&lt;&gt;1,"Invalid plan ref",IF(OR(NOT(ISNUMBER(D142)),NOT(ISNUMBER(E142)),F142="",I142="",M142="",Q142=""),"Prediction info missing",IF(D142&gt;E142,"Not pre-registered before due",IF(OR(AND(G142&lt;&gt;"",OR(NOT(ISNUMBER(G142)),G142&lt;0,G142&gt;1)),AND(H142&lt;&gt;"",OR(NOT(ISNUMBER(H142)),H142&lt;0,H142&gt;1))),"Invalid probability",IF(AND(I142="Resolved",OR(NOT(ISNUMBER(J142)),AND(J142&lt;&gt;0,J142&lt;&gt;1),NOT(ISNUMBER(K142)),L142="")),"Resolution evidence missing",IF(AND(I142="Resolved",D142&gt;K142),"Retroactive: not scored","Valid input")))))))))</x:f>
      </x:c>
    </x:row>
    <x:row r="143" ht="25" customHeight="1">
      <x:c r="A143" s="3"/>
      <x:c r="B143" s="3"/>
      <x:c r="C143" s="3"/>
      <x:c r="D143" s="25"/>
      <x:c r="E143" s="25"/>
      <x:c r="F143" s="3"/>
      <x:c r="G143" s="26"/>
      <x:c r="H143" s="26"/>
      <x:c r="I143" s="3"/>
      <x:c r="J143" s="22"/>
      <x:c r="K143" s="25"/>
      <x:c r="L143" s="3"/>
      <x:c r="M143" s="3"/>
      <x:c r="N143" s="24" t="str">
        <x:f>IF(AND(R143="Valid input",I143="Resolved",M143="Yes",ISNUMBER(G143)),(G143-J143)^2,"")</x:f>
      </x:c>
      <x:c r="O143" s="24" t="str">
        <x:f>IF(AND(ISNUMBER(N143),ISNUMBER(H143)),(H143-J143)^2,"")</x:f>
      </x:c>
      <x:c r="P143" s="24" t="str">
        <x:f>IF(AND(ISNUMBER(N143),ISNUMBER(O143)),O143-N143,"")</x:f>
      </x:c>
      <x:c r="Q143" s="3"/>
      <x:c r="R143" s="19" t="str">
        <x:f>IF(A143="","",IF(COUNTIFS('Predictions'!$A$7:$A$306,A143)&lt;&gt;1,"Duplicate ID",IF(COUNTIFS('Cases overview'!$A$7:$A$306,B143)&lt;&gt;1,"Invalid case ref",IF(COUNTIFS('Plan versions'!$A$7:$A$306,C143,'Plan versions'!$B$7:$B$306,B143,'Plan versions'!$L$7:$L$306,"Frozen")&lt;&gt;1,"Invalid plan ref",IF(OR(NOT(ISNUMBER(D143)),NOT(ISNUMBER(E143)),F143="",I143="",M143="",Q143=""),"Prediction info missing",IF(D143&gt;E143,"Not pre-registered before due",IF(OR(AND(G143&lt;&gt;"",OR(NOT(ISNUMBER(G143)),G143&lt;0,G143&gt;1)),AND(H143&lt;&gt;"",OR(NOT(ISNUMBER(H143)),H143&lt;0,H143&gt;1))),"Invalid probability",IF(AND(I143="Resolved",OR(NOT(ISNUMBER(J143)),AND(J143&lt;&gt;0,J143&lt;&gt;1),NOT(ISNUMBER(K143)),L143="")),"Resolution evidence missing",IF(AND(I143="Resolved",D143&gt;K143),"Retroactive: not scored","Valid input")))))))))</x:f>
      </x:c>
    </x:row>
    <x:row r="144" ht="25" customHeight="1">
      <x:c r="A144" s="3"/>
      <x:c r="B144" s="3"/>
      <x:c r="C144" s="3"/>
      <x:c r="D144" s="25"/>
      <x:c r="E144" s="25"/>
      <x:c r="F144" s="3"/>
      <x:c r="G144" s="26"/>
      <x:c r="H144" s="26"/>
      <x:c r="I144" s="3"/>
      <x:c r="J144" s="22"/>
      <x:c r="K144" s="25"/>
      <x:c r="L144" s="3"/>
      <x:c r="M144" s="3"/>
      <x:c r="N144" s="24" t="str">
        <x:f>IF(AND(R144="Valid input",I144="Resolved",M144="Yes",ISNUMBER(G144)),(G144-J144)^2,"")</x:f>
      </x:c>
      <x:c r="O144" s="24" t="str">
        <x:f>IF(AND(ISNUMBER(N144),ISNUMBER(H144)),(H144-J144)^2,"")</x:f>
      </x:c>
      <x:c r="P144" s="24" t="str">
        <x:f>IF(AND(ISNUMBER(N144),ISNUMBER(O144)),O144-N144,"")</x:f>
      </x:c>
      <x:c r="Q144" s="3"/>
      <x:c r="R144" s="19" t="str">
        <x:f>IF(A144="","",IF(COUNTIFS('Predictions'!$A$7:$A$306,A144)&lt;&gt;1,"Duplicate ID",IF(COUNTIFS('Cases overview'!$A$7:$A$306,B144)&lt;&gt;1,"Invalid case ref",IF(COUNTIFS('Plan versions'!$A$7:$A$306,C144,'Plan versions'!$B$7:$B$306,B144,'Plan versions'!$L$7:$L$306,"Frozen")&lt;&gt;1,"Invalid plan ref",IF(OR(NOT(ISNUMBER(D144)),NOT(ISNUMBER(E144)),F144="",I144="",M144="",Q144=""),"Prediction info missing",IF(D144&gt;E144,"Not pre-registered before due",IF(OR(AND(G144&lt;&gt;"",OR(NOT(ISNUMBER(G144)),G144&lt;0,G144&gt;1)),AND(H144&lt;&gt;"",OR(NOT(ISNUMBER(H144)),H144&lt;0,H144&gt;1))),"Invalid probability",IF(AND(I144="Resolved",OR(NOT(ISNUMBER(J144)),AND(J144&lt;&gt;0,J144&lt;&gt;1),NOT(ISNUMBER(K144)),L144="")),"Resolution evidence missing",IF(AND(I144="Resolved",D144&gt;K144),"Retroactive: not scored","Valid input")))))))))</x:f>
      </x:c>
    </x:row>
    <x:row r="145" ht="25" customHeight="1">
      <x:c r="A145" s="3"/>
      <x:c r="B145" s="3"/>
      <x:c r="C145" s="3"/>
      <x:c r="D145" s="25"/>
      <x:c r="E145" s="25"/>
      <x:c r="F145" s="3"/>
      <x:c r="G145" s="26"/>
      <x:c r="H145" s="26"/>
      <x:c r="I145" s="3"/>
      <x:c r="J145" s="22"/>
      <x:c r="K145" s="25"/>
      <x:c r="L145" s="3"/>
      <x:c r="M145" s="3"/>
      <x:c r="N145" s="24" t="str">
        <x:f>IF(AND(R145="Valid input",I145="Resolved",M145="Yes",ISNUMBER(G145)),(G145-J145)^2,"")</x:f>
      </x:c>
      <x:c r="O145" s="24" t="str">
        <x:f>IF(AND(ISNUMBER(N145),ISNUMBER(H145)),(H145-J145)^2,"")</x:f>
      </x:c>
      <x:c r="P145" s="24" t="str">
        <x:f>IF(AND(ISNUMBER(N145),ISNUMBER(O145)),O145-N145,"")</x:f>
      </x:c>
      <x:c r="Q145" s="3"/>
      <x:c r="R145" s="19" t="str">
        <x:f>IF(A145="","",IF(COUNTIFS('Predictions'!$A$7:$A$306,A145)&lt;&gt;1,"Duplicate ID",IF(COUNTIFS('Cases overview'!$A$7:$A$306,B145)&lt;&gt;1,"Invalid case ref",IF(COUNTIFS('Plan versions'!$A$7:$A$306,C145,'Plan versions'!$B$7:$B$306,B145,'Plan versions'!$L$7:$L$306,"Frozen")&lt;&gt;1,"Invalid plan ref",IF(OR(NOT(ISNUMBER(D145)),NOT(ISNUMBER(E145)),F145="",I145="",M145="",Q145=""),"Prediction info missing",IF(D145&gt;E145,"Not pre-registered before due",IF(OR(AND(G145&lt;&gt;"",OR(NOT(ISNUMBER(G145)),G145&lt;0,G145&gt;1)),AND(H145&lt;&gt;"",OR(NOT(ISNUMBER(H145)),H145&lt;0,H145&gt;1))),"Invalid probability",IF(AND(I145="Resolved",OR(NOT(ISNUMBER(J145)),AND(J145&lt;&gt;0,J145&lt;&gt;1),NOT(ISNUMBER(K145)),L145="")),"Resolution evidence missing",IF(AND(I145="Resolved",D145&gt;K145),"Retroactive: not scored","Valid input")))))))))</x:f>
      </x:c>
    </x:row>
    <x:row r="146" ht="25" customHeight="1">
      <x:c r="A146" s="3"/>
      <x:c r="B146" s="3"/>
      <x:c r="C146" s="3"/>
      <x:c r="D146" s="25"/>
      <x:c r="E146" s="25"/>
      <x:c r="F146" s="3"/>
      <x:c r="G146" s="26"/>
      <x:c r="H146" s="26"/>
      <x:c r="I146" s="3"/>
      <x:c r="J146" s="22"/>
      <x:c r="K146" s="25"/>
      <x:c r="L146" s="3"/>
      <x:c r="M146" s="3"/>
      <x:c r="N146" s="24" t="str">
        <x:f>IF(AND(R146="Valid input",I146="Resolved",M146="Yes",ISNUMBER(G146)),(G146-J146)^2,"")</x:f>
      </x:c>
      <x:c r="O146" s="24" t="str">
        <x:f>IF(AND(ISNUMBER(N146),ISNUMBER(H146)),(H146-J146)^2,"")</x:f>
      </x:c>
      <x:c r="P146" s="24" t="str">
        <x:f>IF(AND(ISNUMBER(N146),ISNUMBER(O146)),O146-N146,"")</x:f>
      </x:c>
      <x:c r="Q146" s="3"/>
      <x:c r="R146" s="19" t="str">
        <x:f>IF(A146="","",IF(COUNTIFS('Predictions'!$A$7:$A$306,A146)&lt;&gt;1,"Duplicate ID",IF(COUNTIFS('Cases overview'!$A$7:$A$306,B146)&lt;&gt;1,"Invalid case ref",IF(COUNTIFS('Plan versions'!$A$7:$A$306,C146,'Plan versions'!$B$7:$B$306,B146,'Plan versions'!$L$7:$L$306,"Frozen")&lt;&gt;1,"Invalid plan ref",IF(OR(NOT(ISNUMBER(D146)),NOT(ISNUMBER(E146)),F146="",I146="",M146="",Q146=""),"Prediction info missing",IF(D146&gt;E146,"Not pre-registered before due",IF(OR(AND(G146&lt;&gt;"",OR(NOT(ISNUMBER(G146)),G146&lt;0,G146&gt;1)),AND(H146&lt;&gt;"",OR(NOT(ISNUMBER(H146)),H146&lt;0,H146&gt;1))),"Invalid probability",IF(AND(I146="Resolved",OR(NOT(ISNUMBER(J146)),AND(J146&lt;&gt;0,J146&lt;&gt;1),NOT(ISNUMBER(K146)),L146="")),"Resolution evidence missing",IF(AND(I146="Resolved",D146&gt;K146),"Retroactive: not scored","Valid input")))))))))</x:f>
      </x:c>
    </x:row>
    <x:row r="147" ht="25" customHeight="1">
      <x:c r="A147" s="3"/>
      <x:c r="B147" s="3"/>
      <x:c r="C147" s="3"/>
      <x:c r="D147" s="25"/>
      <x:c r="E147" s="25"/>
      <x:c r="F147" s="3"/>
      <x:c r="G147" s="26"/>
      <x:c r="H147" s="26"/>
      <x:c r="I147" s="3"/>
      <x:c r="J147" s="22"/>
      <x:c r="K147" s="25"/>
      <x:c r="L147" s="3"/>
      <x:c r="M147" s="3"/>
      <x:c r="N147" s="24" t="str">
        <x:f>IF(AND(R147="Valid input",I147="Resolved",M147="Yes",ISNUMBER(G147)),(G147-J147)^2,"")</x:f>
      </x:c>
      <x:c r="O147" s="24" t="str">
        <x:f>IF(AND(ISNUMBER(N147),ISNUMBER(H147)),(H147-J147)^2,"")</x:f>
      </x:c>
      <x:c r="P147" s="24" t="str">
        <x:f>IF(AND(ISNUMBER(N147),ISNUMBER(O147)),O147-N147,"")</x:f>
      </x:c>
      <x:c r="Q147" s="3"/>
      <x:c r="R147" s="19" t="str">
        <x:f>IF(A147="","",IF(COUNTIFS('Predictions'!$A$7:$A$306,A147)&lt;&gt;1,"Duplicate ID",IF(COUNTIFS('Cases overview'!$A$7:$A$306,B147)&lt;&gt;1,"Invalid case ref",IF(COUNTIFS('Plan versions'!$A$7:$A$306,C147,'Plan versions'!$B$7:$B$306,B147,'Plan versions'!$L$7:$L$306,"Frozen")&lt;&gt;1,"Invalid plan ref",IF(OR(NOT(ISNUMBER(D147)),NOT(ISNUMBER(E147)),F147="",I147="",M147="",Q147=""),"Prediction info missing",IF(D147&gt;E147,"Not pre-registered before due",IF(OR(AND(G147&lt;&gt;"",OR(NOT(ISNUMBER(G147)),G147&lt;0,G147&gt;1)),AND(H147&lt;&gt;"",OR(NOT(ISNUMBER(H147)),H147&lt;0,H147&gt;1))),"Invalid probability",IF(AND(I147="Resolved",OR(NOT(ISNUMBER(J147)),AND(J147&lt;&gt;0,J147&lt;&gt;1),NOT(ISNUMBER(K147)),L147="")),"Resolution evidence missing",IF(AND(I147="Resolved",D147&gt;K147),"Retroactive: not scored","Valid input")))))))))</x:f>
      </x:c>
    </x:row>
    <x:row r="148" ht="25" customHeight="1">
      <x:c r="A148" s="3"/>
      <x:c r="B148" s="3"/>
      <x:c r="C148" s="3"/>
      <x:c r="D148" s="25"/>
      <x:c r="E148" s="25"/>
      <x:c r="F148" s="3"/>
      <x:c r="G148" s="26"/>
      <x:c r="H148" s="26"/>
      <x:c r="I148" s="3"/>
      <x:c r="J148" s="22"/>
      <x:c r="K148" s="25"/>
      <x:c r="L148" s="3"/>
      <x:c r="M148" s="3"/>
      <x:c r="N148" s="24" t="str">
        <x:f>IF(AND(R148="Valid input",I148="Resolved",M148="Yes",ISNUMBER(G148)),(G148-J148)^2,"")</x:f>
      </x:c>
      <x:c r="O148" s="24" t="str">
        <x:f>IF(AND(ISNUMBER(N148),ISNUMBER(H148)),(H148-J148)^2,"")</x:f>
      </x:c>
      <x:c r="P148" s="24" t="str">
        <x:f>IF(AND(ISNUMBER(N148),ISNUMBER(O148)),O148-N148,"")</x:f>
      </x:c>
      <x:c r="Q148" s="3"/>
      <x:c r="R148" s="19" t="str">
        <x:f>IF(A148="","",IF(COUNTIFS('Predictions'!$A$7:$A$306,A148)&lt;&gt;1,"Duplicate ID",IF(COUNTIFS('Cases overview'!$A$7:$A$306,B148)&lt;&gt;1,"Invalid case ref",IF(COUNTIFS('Plan versions'!$A$7:$A$306,C148,'Plan versions'!$B$7:$B$306,B148,'Plan versions'!$L$7:$L$306,"Frozen")&lt;&gt;1,"Invalid plan ref",IF(OR(NOT(ISNUMBER(D148)),NOT(ISNUMBER(E148)),F148="",I148="",M148="",Q148=""),"Prediction info missing",IF(D148&gt;E148,"Not pre-registered before due",IF(OR(AND(G148&lt;&gt;"",OR(NOT(ISNUMBER(G148)),G148&lt;0,G148&gt;1)),AND(H148&lt;&gt;"",OR(NOT(ISNUMBER(H148)),H148&lt;0,H148&gt;1))),"Invalid probability",IF(AND(I148="Resolved",OR(NOT(ISNUMBER(J148)),AND(J148&lt;&gt;0,J148&lt;&gt;1),NOT(ISNUMBER(K148)),L148="")),"Resolution evidence missing",IF(AND(I148="Resolved",D148&gt;K148),"Retroactive: not scored","Valid input")))))))))</x:f>
      </x:c>
    </x:row>
    <x:row r="149" ht="25" customHeight="1">
      <x:c r="A149" s="3"/>
      <x:c r="B149" s="3"/>
      <x:c r="C149" s="3"/>
      <x:c r="D149" s="25"/>
      <x:c r="E149" s="25"/>
      <x:c r="F149" s="3"/>
      <x:c r="G149" s="26"/>
      <x:c r="H149" s="26"/>
      <x:c r="I149" s="3"/>
      <x:c r="J149" s="22"/>
      <x:c r="K149" s="25"/>
      <x:c r="L149" s="3"/>
      <x:c r="M149" s="3"/>
      <x:c r="N149" s="24" t="str">
        <x:f>IF(AND(R149="Valid input",I149="Resolved",M149="Yes",ISNUMBER(G149)),(G149-J149)^2,"")</x:f>
      </x:c>
      <x:c r="O149" s="24" t="str">
        <x:f>IF(AND(ISNUMBER(N149),ISNUMBER(H149)),(H149-J149)^2,"")</x:f>
      </x:c>
      <x:c r="P149" s="24" t="str">
        <x:f>IF(AND(ISNUMBER(N149),ISNUMBER(O149)),O149-N149,"")</x:f>
      </x:c>
      <x:c r="Q149" s="3"/>
      <x:c r="R149" s="19" t="str">
        <x:f>IF(A149="","",IF(COUNTIFS('Predictions'!$A$7:$A$306,A149)&lt;&gt;1,"Duplicate ID",IF(COUNTIFS('Cases overview'!$A$7:$A$306,B149)&lt;&gt;1,"Invalid case ref",IF(COUNTIFS('Plan versions'!$A$7:$A$306,C149,'Plan versions'!$B$7:$B$306,B149,'Plan versions'!$L$7:$L$306,"Frozen")&lt;&gt;1,"Invalid plan ref",IF(OR(NOT(ISNUMBER(D149)),NOT(ISNUMBER(E149)),F149="",I149="",M149="",Q149=""),"Prediction info missing",IF(D149&gt;E149,"Not pre-registered before due",IF(OR(AND(G149&lt;&gt;"",OR(NOT(ISNUMBER(G149)),G149&lt;0,G149&gt;1)),AND(H149&lt;&gt;"",OR(NOT(ISNUMBER(H149)),H149&lt;0,H149&gt;1))),"Invalid probability",IF(AND(I149="Resolved",OR(NOT(ISNUMBER(J149)),AND(J149&lt;&gt;0,J149&lt;&gt;1),NOT(ISNUMBER(K149)),L149="")),"Resolution evidence missing",IF(AND(I149="Resolved",D149&gt;K149),"Retroactive: not scored","Valid input")))))))))</x:f>
      </x:c>
    </x:row>
    <x:row r="150" ht="25" customHeight="1">
      <x:c r="A150" s="3"/>
      <x:c r="B150" s="3"/>
      <x:c r="C150" s="3"/>
      <x:c r="D150" s="25"/>
      <x:c r="E150" s="25"/>
      <x:c r="F150" s="3"/>
      <x:c r="G150" s="26"/>
      <x:c r="H150" s="26"/>
      <x:c r="I150" s="3"/>
      <x:c r="J150" s="22"/>
      <x:c r="K150" s="25"/>
      <x:c r="L150" s="3"/>
      <x:c r="M150" s="3"/>
      <x:c r="N150" s="24" t="str">
        <x:f>IF(AND(R150="Valid input",I150="Resolved",M150="Yes",ISNUMBER(G150)),(G150-J150)^2,"")</x:f>
      </x:c>
      <x:c r="O150" s="24" t="str">
        <x:f>IF(AND(ISNUMBER(N150),ISNUMBER(H150)),(H150-J150)^2,"")</x:f>
      </x:c>
      <x:c r="P150" s="24" t="str">
        <x:f>IF(AND(ISNUMBER(N150),ISNUMBER(O150)),O150-N150,"")</x:f>
      </x:c>
      <x:c r="Q150" s="3"/>
      <x:c r="R150" s="19" t="str">
        <x:f>IF(A150="","",IF(COUNTIFS('Predictions'!$A$7:$A$306,A150)&lt;&gt;1,"Duplicate ID",IF(COUNTIFS('Cases overview'!$A$7:$A$306,B150)&lt;&gt;1,"Invalid case ref",IF(COUNTIFS('Plan versions'!$A$7:$A$306,C150,'Plan versions'!$B$7:$B$306,B150,'Plan versions'!$L$7:$L$306,"Frozen")&lt;&gt;1,"Invalid plan ref",IF(OR(NOT(ISNUMBER(D150)),NOT(ISNUMBER(E150)),F150="",I150="",M150="",Q150=""),"Prediction info missing",IF(D150&gt;E150,"Not pre-registered before due",IF(OR(AND(G150&lt;&gt;"",OR(NOT(ISNUMBER(G150)),G150&lt;0,G150&gt;1)),AND(H150&lt;&gt;"",OR(NOT(ISNUMBER(H150)),H150&lt;0,H150&gt;1))),"Invalid probability",IF(AND(I150="Resolved",OR(NOT(ISNUMBER(J150)),AND(J150&lt;&gt;0,J150&lt;&gt;1),NOT(ISNUMBER(K150)),L150="")),"Resolution evidence missing",IF(AND(I150="Resolved",D150&gt;K150),"Retroactive: not scored","Valid input")))))))))</x:f>
      </x:c>
    </x:row>
    <x:row r="151" ht="25" customHeight="1">
      <x:c r="A151" s="3"/>
      <x:c r="B151" s="3"/>
      <x:c r="C151" s="3"/>
      <x:c r="D151" s="25"/>
      <x:c r="E151" s="25"/>
      <x:c r="F151" s="3"/>
      <x:c r="G151" s="26"/>
      <x:c r="H151" s="26"/>
      <x:c r="I151" s="3"/>
      <x:c r="J151" s="22"/>
      <x:c r="K151" s="25"/>
      <x:c r="L151" s="3"/>
      <x:c r="M151" s="3"/>
      <x:c r="N151" s="24" t="str">
        <x:f>IF(AND(R151="Valid input",I151="Resolved",M151="Yes",ISNUMBER(G151)),(G151-J151)^2,"")</x:f>
      </x:c>
      <x:c r="O151" s="24" t="str">
        <x:f>IF(AND(ISNUMBER(N151),ISNUMBER(H151)),(H151-J151)^2,"")</x:f>
      </x:c>
      <x:c r="P151" s="24" t="str">
        <x:f>IF(AND(ISNUMBER(N151),ISNUMBER(O151)),O151-N151,"")</x:f>
      </x:c>
      <x:c r="Q151" s="3"/>
      <x:c r="R151" s="19" t="str">
        <x:f>IF(A151="","",IF(COUNTIFS('Predictions'!$A$7:$A$306,A151)&lt;&gt;1,"Duplicate ID",IF(COUNTIFS('Cases overview'!$A$7:$A$306,B151)&lt;&gt;1,"Invalid case ref",IF(COUNTIFS('Plan versions'!$A$7:$A$306,C151,'Plan versions'!$B$7:$B$306,B151,'Plan versions'!$L$7:$L$306,"Frozen")&lt;&gt;1,"Invalid plan ref",IF(OR(NOT(ISNUMBER(D151)),NOT(ISNUMBER(E151)),F151="",I151="",M151="",Q151=""),"Prediction info missing",IF(D151&gt;E151,"Not pre-registered before due",IF(OR(AND(G151&lt;&gt;"",OR(NOT(ISNUMBER(G151)),G151&lt;0,G151&gt;1)),AND(H151&lt;&gt;"",OR(NOT(ISNUMBER(H151)),H151&lt;0,H151&gt;1))),"Invalid probability",IF(AND(I151="Resolved",OR(NOT(ISNUMBER(J151)),AND(J151&lt;&gt;0,J151&lt;&gt;1),NOT(ISNUMBER(K151)),L151="")),"Resolution evidence missing",IF(AND(I151="Resolved",D151&gt;K151),"Retroactive: not scored","Valid input")))))))))</x:f>
      </x:c>
    </x:row>
    <x:row r="152" ht="25" customHeight="1">
      <x:c r="A152" s="3"/>
      <x:c r="B152" s="3"/>
      <x:c r="C152" s="3"/>
      <x:c r="D152" s="25"/>
      <x:c r="E152" s="25"/>
      <x:c r="F152" s="3"/>
      <x:c r="G152" s="26"/>
      <x:c r="H152" s="26"/>
      <x:c r="I152" s="3"/>
      <x:c r="J152" s="22"/>
      <x:c r="K152" s="25"/>
      <x:c r="L152" s="3"/>
      <x:c r="M152" s="3"/>
      <x:c r="N152" s="24" t="str">
        <x:f>IF(AND(R152="Valid input",I152="Resolved",M152="Yes",ISNUMBER(G152)),(G152-J152)^2,"")</x:f>
      </x:c>
      <x:c r="O152" s="24" t="str">
        <x:f>IF(AND(ISNUMBER(N152),ISNUMBER(H152)),(H152-J152)^2,"")</x:f>
      </x:c>
      <x:c r="P152" s="24" t="str">
        <x:f>IF(AND(ISNUMBER(N152),ISNUMBER(O152)),O152-N152,"")</x:f>
      </x:c>
      <x:c r="Q152" s="3"/>
      <x:c r="R152" s="19" t="str">
        <x:f>IF(A152="","",IF(COUNTIFS('Predictions'!$A$7:$A$306,A152)&lt;&gt;1,"Duplicate ID",IF(COUNTIFS('Cases overview'!$A$7:$A$306,B152)&lt;&gt;1,"Invalid case ref",IF(COUNTIFS('Plan versions'!$A$7:$A$306,C152,'Plan versions'!$B$7:$B$306,B152,'Plan versions'!$L$7:$L$306,"Frozen")&lt;&gt;1,"Invalid plan ref",IF(OR(NOT(ISNUMBER(D152)),NOT(ISNUMBER(E152)),F152="",I152="",M152="",Q152=""),"Prediction info missing",IF(D152&gt;E152,"Not pre-registered before due",IF(OR(AND(G152&lt;&gt;"",OR(NOT(ISNUMBER(G152)),G152&lt;0,G152&gt;1)),AND(H152&lt;&gt;"",OR(NOT(ISNUMBER(H152)),H152&lt;0,H152&gt;1))),"Invalid probability",IF(AND(I152="Resolved",OR(NOT(ISNUMBER(J152)),AND(J152&lt;&gt;0,J152&lt;&gt;1),NOT(ISNUMBER(K152)),L152="")),"Resolution evidence missing",IF(AND(I152="Resolved",D152&gt;K152),"Retroactive: not scored","Valid input")))))))))</x:f>
      </x:c>
    </x:row>
    <x:row r="153" ht="25" customHeight="1">
      <x:c r="A153" s="3"/>
      <x:c r="B153" s="3"/>
      <x:c r="C153" s="3"/>
      <x:c r="D153" s="25"/>
      <x:c r="E153" s="25"/>
      <x:c r="F153" s="3"/>
      <x:c r="G153" s="26"/>
      <x:c r="H153" s="26"/>
      <x:c r="I153" s="3"/>
      <x:c r="J153" s="22"/>
      <x:c r="K153" s="25"/>
      <x:c r="L153" s="3"/>
      <x:c r="M153" s="3"/>
      <x:c r="N153" s="24" t="str">
        <x:f>IF(AND(R153="Valid input",I153="Resolved",M153="Yes",ISNUMBER(G153)),(G153-J153)^2,"")</x:f>
      </x:c>
      <x:c r="O153" s="24" t="str">
        <x:f>IF(AND(ISNUMBER(N153),ISNUMBER(H153)),(H153-J153)^2,"")</x:f>
      </x:c>
      <x:c r="P153" s="24" t="str">
        <x:f>IF(AND(ISNUMBER(N153),ISNUMBER(O153)),O153-N153,"")</x:f>
      </x:c>
      <x:c r="Q153" s="3"/>
      <x:c r="R153" s="19" t="str">
        <x:f>IF(A153="","",IF(COUNTIFS('Predictions'!$A$7:$A$306,A153)&lt;&gt;1,"Duplicate ID",IF(COUNTIFS('Cases overview'!$A$7:$A$306,B153)&lt;&gt;1,"Invalid case ref",IF(COUNTIFS('Plan versions'!$A$7:$A$306,C153,'Plan versions'!$B$7:$B$306,B153,'Plan versions'!$L$7:$L$306,"Frozen")&lt;&gt;1,"Invalid plan ref",IF(OR(NOT(ISNUMBER(D153)),NOT(ISNUMBER(E153)),F153="",I153="",M153="",Q153=""),"Prediction info missing",IF(D153&gt;E153,"Not pre-registered before due",IF(OR(AND(G153&lt;&gt;"",OR(NOT(ISNUMBER(G153)),G153&lt;0,G153&gt;1)),AND(H153&lt;&gt;"",OR(NOT(ISNUMBER(H153)),H153&lt;0,H153&gt;1))),"Invalid probability",IF(AND(I153="Resolved",OR(NOT(ISNUMBER(J153)),AND(J153&lt;&gt;0,J153&lt;&gt;1),NOT(ISNUMBER(K153)),L153="")),"Resolution evidence missing",IF(AND(I153="Resolved",D153&gt;K153),"Retroactive: not scored","Valid input")))))))))</x:f>
      </x:c>
    </x:row>
    <x:row r="154" ht="25" customHeight="1">
      <x:c r="A154" s="3"/>
      <x:c r="B154" s="3"/>
      <x:c r="C154" s="3"/>
      <x:c r="D154" s="25"/>
      <x:c r="E154" s="25"/>
      <x:c r="F154" s="3"/>
      <x:c r="G154" s="26"/>
      <x:c r="H154" s="26"/>
      <x:c r="I154" s="3"/>
      <x:c r="J154" s="22"/>
      <x:c r="K154" s="25"/>
      <x:c r="L154" s="3"/>
      <x:c r="M154" s="3"/>
      <x:c r="N154" s="24" t="str">
        <x:f>IF(AND(R154="Valid input",I154="Resolved",M154="Yes",ISNUMBER(G154)),(G154-J154)^2,"")</x:f>
      </x:c>
      <x:c r="O154" s="24" t="str">
        <x:f>IF(AND(ISNUMBER(N154),ISNUMBER(H154)),(H154-J154)^2,"")</x:f>
      </x:c>
      <x:c r="P154" s="24" t="str">
        <x:f>IF(AND(ISNUMBER(N154),ISNUMBER(O154)),O154-N154,"")</x:f>
      </x:c>
      <x:c r="Q154" s="3"/>
      <x:c r="R154" s="19" t="str">
        <x:f>IF(A154="","",IF(COUNTIFS('Predictions'!$A$7:$A$306,A154)&lt;&gt;1,"Duplicate ID",IF(COUNTIFS('Cases overview'!$A$7:$A$306,B154)&lt;&gt;1,"Invalid case ref",IF(COUNTIFS('Plan versions'!$A$7:$A$306,C154,'Plan versions'!$B$7:$B$306,B154,'Plan versions'!$L$7:$L$306,"Frozen")&lt;&gt;1,"Invalid plan ref",IF(OR(NOT(ISNUMBER(D154)),NOT(ISNUMBER(E154)),F154="",I154="",M154="",Q154=""),"Prediction info missing",IF(D154&gt;E154,"Not pre-registered before due",IF(OR(AND(G154&lt;&gt;"",OR(NOT(ISNUMBER(G154)),G154&lt;0,G154&gt;1)),AND(H154&lt;&gt;"",OR(NOT(ISNUMBER(H154)),H154&lt;0,H154&gt;1))),"Invalid probability",IF(AND(I154="Resolved",OR(NOT(ISNUMBER(J154)),AND(J154&lt;&gt;0,J154&lt;&gt;1),NOT(ISNUMBER(K154)),L154="")),"Resolution evidence missing",IF(AND(I154="Resolved",D154&gt;K154),"Retroactive: not scored","Valid input")))))))))</x:f>
      </x:c>
    </x:row>
    <x:row r="155" ht="25" customHeight="1">
      <x:c r="A155" s="3"/>
      <x:c r="B155" s="3"/>
      <x:c r="C155" s="3"/>
      <x:c r="D155" s="25"/>
      <x:c r="E155" s="25"/>
      <x:c r="F155" s="3"/>
      <x:c r="G155" s="26"/>
      <x:c r="H155" s="26"/>
      <x:c r="I155" s="3"/>
      <x:c r="J155" s="22"/>
      <x:c r="K155" s="25"/>
      <x:c r="L155" s="3"/>
      <x:c r="M155" s="3"/>
      <x:c r="N155" s="24" t="str">
        <x:f>IF(AND(R155="Valid input",I155="Resolved",M155="Yes",ISNUMBER(G155)),(G155-J155)^2,"")</x:f>
      </x:c>
      <x:c r="O155" s="24" t="str">
        <x:f>IF(AND(ISNUMBER(N155),ISNUMBER(H155)),(H155-J155)^2,"")</x:f>
      </x:c>
      <x:c r="P155" s="24" t="str">
        <x:f>IF(AND(ISNUMBER(N155),ISNUMBER(O155)),O155-N155,"")</x:f>
      </x:c>
      <x:c r="Q155" s="3"/>
      <x:c r="R155" s="19" t="str">
        <x:f>IF(A155="","",IF(COUNTIFS('Predictions'!$A$7:$A$306,A155)&lt;&gt;1,"Duplicate ID",IF(COUNTIFS('Cases overview'!$A$7:$A$306,B155)&lt;&gt;1,"Invalid case ref",IF(COUNTIFS('Plan versions'!$A$7:$A$306,C155,'Plan versions'!$B$7:$B$306,B155,'Plan versions'!$L$7:$L$306,"Frozen")&lt;&gt;1,"Invalid plan ref",IF(OR(NOT(ISNUMBER(D155)),NOT(ISNUMBER(E155)),F155="",I155="",M155="",Q155=""),"Prediction info missing",IF(D155&gt;E155,"Not pre-registered before due",IF(OR(AND(G155&lt;&gt;"",OR(NOT(ISNUMBER(G155)),G155&lt;0,G155&gt;1)),AND(H155&lt;&gt;"",OR(NOT(ISNUMBER(H155)),H155&lt;0,H155&gt;1))),"Invalid probability",IF(AND(I155="Resolved",OR(NOT(ISNUMBER(J155)),AND(J155&lt;&gt;0,J155&lt;&gt;1),NOT(ISNUMBER(K155)),L155="")),"Resolution evidence missing",IF(AND(I155="Resolved",D155&gt;K155),"Retroactive: not scored","Valid input")))))))))</x:f>
      </x:c>
    </x:row>
    <x:row r="156" ht="25" customHeight="1">
      <x:c r="A156" s="3"/>
      <x:c r="B156" s="3"/>
      <x:c r="C156" s="3"/>
      <x:c r="D156" s="25"/>
      <x:c r="E156" s="25"/>
      <x:c r="F156" s="3"/>
      <x:c r="G156" s="26"/>
      <x:c r="H156" s="26"/>
      <x:c r="I156" s="3"/>
      <x:c r="J156" s="22"/>
      <x:c r="K156" s="25"/>
      <x:c r="L156" s="3"/>
      <x:c r="M156" s="3"/>
      <x:c r="N156" s="24" t="str">
        <x:f>IF(AND(R156="Valid input",I156="Resolved",M156="Yes",ISNUMBER(G156)),(G156-J156)^2,"")</x:f>
      </x:c>
      <x:c r="O156" s="24" t="str">
        <x:f>IF(AND(ISNUMBER(N156),ISNUMBER(H156)),(H156-J156)^2,"")</x:f>
      </x:c>
      <x:c r="P156" s="24" t="str">
        <x:f>IF(AND(ISNUMBER(N156),ISNUMBER(O156)),O156-N156,"")</x:f>
      </x:c>
      <x:c r="Q156" s="3"/>
      <x:c r="R156" s="19" t="str">
        <x:f>IF(A156="","",IF(COUNTIFS('Predictions'!$A$7:$A$306,A156)&lt;&gt;1,"Duplicate ID",IF(COUNTIFS('Cases overview'!$A$7:$A$306,B156)&lt;&gt;1,"Invalid case ref",IF(COUNTIFS('Plan versions'!$A$7:$A$306,C156,'Plan versions'!$B$7:$B$306,B156,'Plan versions'!$L$7:$L$306,"Frozen")&lt;&gt;1,"Invalid plan ref",IF(OR(NOT(ISNUMBER(D156)),NOT(ISNUMBER(E156)),F156="",I156="",M156="",Q156=""),"Prediction info missing",IF(D156&gt;E156,"Not pre-registered before due",IF(OR(AND(G156&lt;&gt;"",OR(NOT(ISNUMBER(G156)),G156&lt;0,G156&gt;1)),AND(H156&lt;&gt;"",OR(NOT(ISNUMBER(H156)),H156&lt;0,H156&gt;1))),"Invalid probability",IF(AND(I156="Resolved",OR(NOT(ISNUMBER(J156)),AND(J156&lt;&gt;0,J156&lt;&gt;1),NOT(ISNUMBER(K156)),L156="")),"Resolution evidence missing",IF(AND(I156="Resolved",D156&gt;K156),"Retroactive: not scored","Valid input")))))))))</x:f>
      </x:c>
    </x:row>
    <x:row r="157" ht="25" customHeight="1">
      <x:c r="A157" s="3"/>
      <x:c r="B157" s="3"/>
      <x:c r="C157" s="3"/>
      <x:c r="D157" s="25"/>
      <x:c r="E157" s="25"/>
      <x:c r="F157" s="3"/>
      <x:c r="G157" s="26"/>
      <x:c r="H157" s="26"/>
      <x:c r="I157" s="3"/>
      <x:c r="J157" s="22"/>
      <x:c r="K157" s="25"/>
      <x:c r="L157" s="3"/>
      <x:c r="M157" s="3"/>
      <x:c r="N157" s="24" t="str">
        <x:f>IF(AND(R157="Valid input",I157="Resolved",M157="Yes",ISNUMBER(G157)),(G157-J157)^2,"")</x:f>
      </x:c>
      <x:c r="O157" s="24" t="str">
        <x:f>IF(AND(ISNUMBER(N157),ISNUMBER(H157)),(H157-J157)^2,"")</x:f>
      </x:c>
      <x:c r="P157" s="24" t="str">
        <x:f>IF(AND(ISNUMBER(N157),ISNUMBER(O157)),O157-N157,"")</x:f>
      </x:c>
      <x:c r="Q157" s="3"/>
      <x:c r="R157" s="19" t="str">
        <x:f>IF(A157="","",IF(COUNTIFS('Predictions'!$A$7:$A$306,A157)&lt;&gt;1,"Duplicate ID",IF(COUNTIFS('Cases overview'!$A$7:$A$306,B157)&lt;&gt;1,"Invalid case ref",IF(COUNTIFS('Plan versions'!$A$7:$A$306,C157,'Plan versions'!$B$7:$B$306,B157,'Plan versions'!$L$7:$L$306,"Frozen")&lt;&gt;1,"Invalid plan ref",IF(OR(NOT(ISNUMBER(D157)),NOT(ISNUMBER(E157)),F157="",I157="",M157="",Q157=""),"Prediction info missing",IF(D157&gt;E157,"Not pre-registered before due",IF(OR(AND(G157&lt;&gt;"",OR(NOT(ISNUMBER(G157)),G157&lt;0,G157&gt;1)),AND(H157&lt;&gt;"",OR(NOT(ISNUMBER(H157)),H157&lt;0,H157&gt;1))),"Invalid probability",IF(AND(I157="Resolved",OR(NOT(ISNUMBER(J157)),AND(J157&lt;&gt;0,J157&lt;&gt;1),NOT(ISNUMBER(K157)),L157="")),"Resolution evidence missing",IF(AND(I157="Resolved",D157&gt;K157),"Retroactive: not scored","Valid input")))))))))</x:f>
      </x:c>
    </x:row>
    <x:row r="158" ht="25" customHeight="1">
      <x:c r="A158" s="3"/>
      <x:c r="B158" s="3"/>
      <x:c r="C158" s="3"/>
      <x:c r="D158" s="25"/>
      <x:c r="E158" s="25"/>
      <x:c r="F158" s="3"/>
      <x:c r="G158" s="26"/>
      <x:c r="H158" s="26"/>
      <x:c r="I158" s="3"/>
      <x:c r="J158" s="22"/>
      <x:c r="K158" s="25"/>
      <x:c r="L158" s="3"/>
      <x:c r="M158" s="3"/>
      <x:c r="N158" s="24" t="str">
        <x:f>IF(AND(R158="Valid input",I158="Resolved",M158="Yes",ISNUMBER(G158)),(G158-J158)^2,"")</x:f>
      </x:c>
      <x:c r="O158" s="24" t="str">
        <x:f>IF(AND(ISNUMBER(N158),ISNUMBER(H158)),(H158-J158)^2,"")</x:f>
      </x:c>
      <x:c r="P158" s="24" t="str">
        <x:f>IF(AND(ISNUMBER(N158),ISNUMBER(O158)),O158-N158,"")</x:f>
      </x:c>
      <x:c r="Q158" s="3"/>
      <x:c r="R158" s="19" t="str">
        <x:f>IF(A158="","",IF(COUNTIFS('Predictions'!$A$7:$A$306,A158)&lt;&gt;1,"Duplicate ID",IF(COUNTIFS('Cases overview'!$A$7:$A$306,B158)&lt;&gt;1,"Invalid case ref",IF(COUNTIFS('Plan versions'!$A$7:$A$306,C158,'Plan versions'!$B$7:$B$306,B158,'Plan versions'!$L$7:$L$306,"Frozen")&lt;&gt;1,"Invalid plan ref",IF(OR(NOT(ISNUMBER(D158)),NOT(ISNUMBER(E158)),F158="",I158="",M158="",Q158=""),"Prediction info missing",IF(D158&gt;E158,"Not pre-registered before due",IF(OR(AND(G158&lt;&gt;"",OR(NOT(ISNUMBER(G158)),G158&lt;0,G158&gt;1)),AND(H158&lt;&gt;"",OR(NOT(ISNUMBER(H158)),H158&lt;0,H158&gt;1))),"Invalid probability",IF(AND(I158="Resolved",OR(NOT(ISNUMBER(J158)),AND(J158&lt;&gt;0,J158&lt;&gt;1),NOT(ISNUMBER(K158)),L158="")),"Resolution evidence missing",IF(AND(I158="Resolved",D158&gt;K158),"Retroactive: not scored","Valid input")))))))))</x:f>
      </x:c>
    </x:row>
    <x:row r="159" ht="25" customHeight="1">
      <x:c r="A159" s="3"/>
      <x:c r="B159" s="3"/>
      <x:c r="C159" s="3"/>
      <x:c r="D159" s="25"/>
      <x:c r="E159" s="25"/>
      <x:c r="F159" s="3"/>
      <x:c r="G159" s="26"/>
      <x:c r="H159" s="26"/>
      <x:c r="I159" s="3"/>
      <x:c r="J159" s="22"/>
      <x:c r="K159" s="25"/>
      <x:c r="L159" s="3"/>
      <x:c r="M159" s="3"/>
      <x:c r="N159" s="24" t="str">
        <x:f>IF(AND(R159="Valid input",I159="Resolved",M159="Yes",ISNUMBER(G159)),(G159-J159)^2,"")</x:f>
      </x:c>
      <x:c r="O159" s="24" t="str">
        <x:f>IF(AND(ISNUMBER(N159),ISNUMBER(H159)),(H159-J159)^2,"")</x:f>
      </x:c>
      <x:c r="P159" s="24" t="str">
        <x:f>IF(AND(ISNUMBER(N159),ISNUMBER(O159)),O159-N159,"")</x:f>
      </x:c>
      <x:c r="Q159" s="3"/>
      <x:c r="R159" s="19" t="str">
        <x:f>IF(A159="","",IF(COUNTIFS('Predictions'!$A$7:$A$306,A159)&lt;&gt;1,"Duplicate ID",IF(COUNTIFS('Cases overview'!$A$7:$A$306,B159)&lt;&gt;1,"Invalid case ref",IF(COUNTIFS('Plan versions'!$A$7:$A$306,C159,'Plan versions'!$B$7:$B$306,B159,'Plan versions'!$L$7:$L$306,"Frozen")&lt;&gt;1,"Invalid plan ref",IF(OR(NOT(ISNUMBER(D159)),NOT(ISNUMBER(E159)),F159="",I159="",M159="",Q159=""),"Prediction info missing",IF(D159&gt;E159,"Not pre-registered before due",IF(OR(AND(G159&lt;&gt;"",OR(NOT(ISNUMBER(G159)),G159&lt;0,G159&gt;1)),AND(H159&lt;&gt;"",OR(NOT(ISNUMBER(H159)),H159&lt;0,H159&gt;1))),"Invalid probability",IF(AND(I159="Resolved",OR(NOT(ISNUMBER(J159)),AND(J159&lt;&gt;0,J159&lt;&gt;1),NOT(ISNUMBER(K159)),L159="")),"Resolution evidence missing",IF(AND(I159="Resolved",D159&gt;K159),"Retroactive: not scored","Valid input")))))))))</x:f>
      </x:c>
    </x:row>
    <x:row r="160" ht="25" customHeight="1">
      <x:c r="A160" s="3"/>
      <x:c r="B160" s="3"/>
      <x:c r="C160" s="3"/>
      <x:c r="D160" s="25"/>
      <x:c r="E160" s="25"/>
      <x:c r="F160" s="3"/>
      <x:c r="G160" s="26"/>
      <x:c r="H160" s="26"/>
      <x:c r="I160" s="3"/>
      <x:c r="J160" s="22"/>
      <x:c r="K160" s="25"/>
      <x:c r="L160" s="3"/>
      <x:c r="M160" s="3"/>
      <x:c r="N160" s="24" t="str">
        <x:f>IF(AND(R160="Valid input",I160="Resolved",M160="Yes",ISNUMBER(G160)),(G160-J160)^2,"")</x:f>
      </x:c>
      <x:c r="O160" s="24" t="str">
        <x:f>IF(AND(ISNUMBER(N160),ISNUMBER(H160)),(H160-J160)^2,"")</x:f>
      </x:c>
      <x:c r="P160" s="24" t="str">
        <x:f>IF(AND(ISNUMBER(N160),ISNUMBER(O160)),O160-N160,"")</x:f>
      </x:c>
      <x:c r="Q160" s="3"/>
      <x:c r="R160" s="19" t="str">
        <x:f>IF(A160="","",IF(COUNTIFS('Predictions'!$A$7:$A$306,A160)&lt;&gt;1,"Duplicate ID",IF(COUNTIFS('Cases overview'!$A$7:$A$306,B160)&lt;&gt;1,"Invalid case ref",IF(COUNTIFS('Plan versions'!$A$7:$A$306,C160,'Plan versions'!$B$7:$B$306,B160,'Plan versions'!$L$7:$L$306,"Frozen")&lt;&gt;1,"Invalid plan ref",IF(OR(NOT(ISNUMBER(D160)),NOT(ISNUMBER(E160)),F160="",I160="",M160="",Q160=""),"Prediction info missing",IF(D160&gt;E160,"Not pre-registered before due",IF(OR(AND(G160&lt;&gt;"",OR(NOT(ISNUMBER(G160)),G160&lt;0,G160&gt;1)),AND(H160&lt;&gt;"",OR(NOT(ISNUMBER(H160)),H160&lt;0,H160&gt;1))),"Invalid probability",IF(AND(I160="Resolved",OR(NOT(ISNUMBER(J160)),AND(J160&lt;&gt;0,J160&lt;&gt;1),NOT(ISNUMBER(K160)),L160="")),"Resolution evidence missing",IF(AND(I160="Resolved",D160&gt;K160),"Retroactive: not scored","Valid input")))))))))</x:f>
      </x:c>
    </x:row>
    <x:row r="161" ht="25" customHeight="1">
      <x:c r="A161" s="3"/>
      <x:c r="B161" s="3"/>
      <x:c r="C161" s="3"/>
      <x:c r="D161" s="25"/>
      <x:c r="E161" s="25"/>
      <x:c r="F161" s="3"/>
      <x:c r="G161" s="26"/>
      <x:c r="H161" s="26"/>
      <x:c r="I161" s="3"/>
      <x:c r="J161" s="22"/>
      <x:c r="K161" s="25"/>
      <x:c r="L161" s="3"/>
      <x:c r="M161" s="3"/>
      <x:c r="N161" s="24" t="str">
        <x:f>IF(AND(R161="Valid input",I161="Resolved",M161="Yes",ISNUMBER(G161)),(G161-J161)^2,"")</x:f>
      </x:c>
      <x:c r="O161" s="24" t="str">
        <x:f>IF(AND(ISNUMBER(N161),ISNUMBER(H161)),(H161-J161)^2,"")</x:f>
      </x:c>
      <x:c r="P161" s="24" t="str">
        <x:f>IF(AND(ISNUMBER(N161),ISNUMBER(O161)),O161-N161,"")</x:f>
      </x:c>
      <x:c r="Q161" s="3"/>
      <x:c r="R161" s="19" t="str">
        <x:f>IF(A161="","",IF(COUNTIFS('Predictions'!$A$7:$A$306,A161)&lt;&gt;1,"Duplicate ID",IF(COUNTIFS('Cases overview'!$A$7:$A$306,B161)&lt;&gt;1,"Invalid case ref",IF(COUNTIFS('Plan versions'!$A$7:$A$306,C161,'Plan versions'!$B$7:$B$306,B161,'Plan versions'!$L$7:$L$306,"Frozen")&lt;&gt;1,"Invalid plan ref",IF(OR(NOT(ISNUMBER(D161)),NOT(ISNUMBER(E161)),F161="",I161="",M161="",Q161=""),"Prediction info missing",IF(D161&gt;E161,"Not pre-registered before due",IF(OR(AND(G161&lt;&gt;"",OR(NOT(ISNUMBER(G161)),G161&lt;0,G161&gt;1)),AND(H161&lt;&gt;"",OR(NOT(ISNUMBER(H161)),H161&lt;0,H161&gt;1))),"Invalid probability",IF(AND(I161="Resolved",OR(NOT(ISNUMBER(J161)),AND(J161&lt;&gt;0,J161&lt;&gt;1),NOT(ISNUMBER(K161)),L161="")),"Resolution evidence missing",IF(AND(I161="Resolved",D161&gt;K161),"Retroactive: not scored","Valid input")))))))))</x:f>
      </x:c>
    </x:row>
    <x:row r="162" ht="25" customHeight="1">
      <x:c r="A162" s="3"/>
      <x:c r="B162" s="3"/>
      <x:c r="C162" s="3"/>
      <x:c r="D162" s="25"/>
      <x:c r="E162" s="25"/>
      <x:c r="F162" s="3"/>
      <x:c r="G162" s="26"/>
      <x:c r="H162" s="26"/>
      <x:c r="I162" s="3"/>
      <x:c r="J162" s="22"/>
      <x:c r="K162" s="25"/>
      <x:c r="L162" s="3"/>
      <x:c r="M162" s="3"/>
      <x:c r="N162" s="24" t="str">
        <x:f>IF(AND(R162="Valid input",I162="Resolved",M162="Yes",ISNUMBER(G162)),(G162-J162)^2,"")</x:f>
      </x:c>
      <x:c r="O162" s="24" t="str">
        <x:f>IF(AND(ISNUMBER(N162),ISNUMBER(H162)),(H162-J162)^2,"")</x:f>
      </x:c>
      <x:c r="P162" s="24" t="str">
        <x:f>IF(AND(ISNUMBER(N162),ISNUMBER(O162)),O162-N162,"")</x:f>
      </x:c>
      <x:c r="Q162" s="3"/>
      <x:c r="R162" s="19" t="str">
        <x:f>IF(A162="","",IF(COUNTIFS('Predictions'!$A$7:$A$306,A162)&lt;&gt;1,"Duplicate ID",IF(COUNTIFS('Cases overview'!$A$7:$A$306,B162)&lt;&gt;1,"Invalid case ref",IF(COUNTIFS('Plan versions'!$A$7:$A$306,C162,'Plan versions'!$B$7:$B$306,B162,'Plan versions'!$L$7:$L$306,"Frozen")&lt;&gt;1,"Invalid plan ref",IF(OR(NOT(ISNUMBER(D162)),NOT(ISNUMBER(E162)),F162="",I162="",M162="",Q162=""),"Prediction info missing",IF(D162&gt;E162,"Not pre-registered before due",IF(OR(AND(G162&lt;&gt;"",OR(NOT(ISNUMBER(G162)),G162&lt;0,G162&gt;1)),AND(H162&lt;&gt;"",OR(NOT(ISNUMBER(H162)),H162&lt;0,H162&gt;1))),"Invalid probability",IF(AND(I162="Resolved",OR(NOT(ISNUMBER(J162)),AND(J162&lt;&gt;0,J162&lt;&gt;1),NOT(ISNUMBER(K162)),L162="")),"Resolution evidence missing",IF(AND(I162="Resolved",D162&gt;K162),"Retroactive: not scored","Valid input")))))))))</x:f>
      </x:c>
    </x:row>
    <x:row r="163" ht="25" customHeight="1">
      <x:c r="A163" s="3"/>
      <x:c r="B163" s="3"/>
      <x:c r="C163" s="3"/>
      <x:c r="D163" s="25"/>
      <x:c r="E163" s="25"/>
      <x:c r="F163" s="3"/>
      <x:c r="G163" s="26"/>
      <x:c r="H163" s="26"/>
      <x:c r="I163" s="3"/>
      <x:c r="J163" s="22"/>
      <x:c r="K163" s="25"/>
      <x:c r="L163" s="3"/>
      <x:c r="M163" s="3"/>
      <x:c r="N163" s="24" t="str">
        <x:f>IF(AND(R163="Valid input",I163="Resolved",M163="Yes",ISNUMBER(G163)),(G163-J163)^2,"")</x:f>
      </x:c>
      <x:c r="O163" s="24" t="str">
        <x:f>IF(AND(ISNUMBER(N163),ISNUMBER(H163)),(H163-J163)^2,"")</x:f>
      </x:c>
      <x:c r="P163" s="24" t="str">
        <x:f>IF(AND(ISNUMBER(N163),ISNUMBER(O163)),O163-N163,"")</x:f>
      </x:c>
      <x:c r="Q163" s="3"/>
      <x:c r="R163" s="19" t="str">
        <x:f>IF(A163="","",IF(COUNTIFS('Predictions'!$A$7:$A$306,A163)&lt;&gt;1,"Duplicate ID",IF(COUNTIFS('Cases overview'!$A$7:$A$306,B163)&lt;&gt;1,"Invalid case ref",IF(COUNTIFS('Plan versions'!$A$7:$A$306,C163,'Plan versions'!$B$7:$B$306,B163,'Plan versions'!$L$7:$L$306,"Frozen")&lt;&gt;1,"Invalid plan ref",IF(OR(NOT(ISNUMBER(D163)),NOT(ISNUMBER(E163)),F163="",I163="",M163="",Q163=""),"Prediction info missing",IF(D163&gt;E163,"Not pre-registered before due",IF(OR(AND(G163&lt;&gt;"",OR(NOT(ISNUMBER(G163)),G163&lt;0,G163&gt;1)),AND(H163&lt;&gt;"",OR(NOT(ISNUMBER(H163)),H163&lt;0,H163&gt;1))),"Invalid probability",IF(AND(I163="Resolved",OR(NOT(ISNUMBER(J163)),AND(J163&lt;&gt;0,J163&lt;&gt;1),NOT(ISNUMBER(K163)),L163="")),"Resolution evidence missing",IF(AND(I163="Resolved",D163&gt;K163),"Retroactive: not scored","Valid input")))))))))</x:f>
      </x:c>
    </x:row>
    <x:row r="164" ht="25" customHeight="1">
      <x:c r="A164" s="3"/>
      <x:c r="B164" s="3"/>
      <x:c r="C164" s="3"/>
      <x:c r="D164" s="25"/>
      <x:c r="E164" s="25"/>
      <x:c r="F164" s="3"/>
      <x:c r="G164" s="26"/>
      <x:c r="H164" s="26"/>
      <x:c r="I164" s="3"/>
      <x:c r="J164" s="22"/>
      <x:c r="K164" s="25"/>
      <x:c r="L164" s="3"/>
      <x:c r="M164" s="3"/>
      <x:c r="N164" s="24" t="str">
        <x:f>IF(AND(R164="Valid input",I164="Resolved",M164="Yes",ISNUMBER(G164)),(G164-J164)^2,"")</x:f>
      </x:c>
      <x:c r="O164" s="24" t="str">
        <x:f>IF(AND(ISNUMBER(N164),ISNUMBER(H164)),(H164-J164)^2,"")</x:f>
      </x:c>
      <x:c r="P164" s="24" t="str">
        <x:f>IF(AND(ISNUMBER(N164),ISNUMBER(O164)),O164-N164,"")</x:f>
      </x:c>
      <x:c r="Q164" s="3"/>
      <x:c r="R164" s="19" t="str">
        <x:f>IF(A164="","",IF(COUNTIFS('Predictions'!$A$7:$A$306,A164)&lt;&gt;1,"Duplicate ID",IF(COUNTIFS('Cases overview'!$A$7:$A$306,B164)&lt;&gt;1,"Invalid case ref",IF(COUNTIFS('Plan versions'!$A$7:$A$306,C164,'Plan versions'!$B$7:$B$306,B164,'Plan versions'!$L$7:$L$306,"Frozen")&lt;&gt;1,"Invalid plan ref",IF(OR(NOT(ISNUMBER(D164)),NOT(ISNUMBER(E164)),F164="",I164="",M164="",Q164=""),"Prediction info missing",IF(D164&gt;E164,"Not pre-registered before due",IF(OR(AND(G164&lt;&gt;"",OR(NOT(ISNUMBER(G164)),G164&lt;0,G164&gt;1)),AND(H164&lt;&gt;"",OR(NOT(ISNUMBER(H164)),H164&lt;0,H164&gt;1))),"Invalid probability",IF(AND(I164="Resolved",OR(NOT(ISNUMBER(J164)),AND(J164&lt;&gt;0,J164&lt;&gt;1),NOT(ISNUMBER(K164)),L164="")),"Resolution evidence missing",IF(AND(I164="Resolved",D164&gt;K164),"Retroactive: not scored","Valid input")))))))))</x:f>
      </x:c>
    </x:row>
    <x:row r="165" ht="25" customHeight="1">
      <x:c r="A165" s="3"/>
      <x:c r="B165" s="3"/>
      <x:c r="C165" s="3"/>
      <x:c r="D165" s="25"/>
      <x:c r="E165" s="25"/>
      <x:c r="F165" s="3"/>
      <x:c r="G165" s="26"/>
      <x:c r="H165" s="26"/>
      <x:c r="I165" s="3"/>
      <x:c r="J165" s="22"/>
      <x:c r="K165" s="25"/>
      <x:c r="L165" s="3"/>
      <x:c r="M165" s="3"/>
      <x:c r="N165" s="24" t="str">
        <x:f>IF(AND(R165="Valid input",I165="Resolved",M165="Yes",ISNUMBER(G165)),(G165-J165)^2,"")</x:f>
      </x:c>
      <x:c r="O165" s="24" t="str">
        <x:f>IF(AND(ISNUMBER(N165),ISNUMBER(H165)),(H165-J165)^2,"")</x:f>
      </x:c>
      <x:c r="P165" s="24" t="str">
        <x:f>IF(AND(ISNUMBER(N165),ISNUMBER(O165)),O165-N165,"")</x:f>
      </x:c>
      <x:c r="Q165" s="3"/>
      <x:c r="R165" s="19" t="str">
        <x:f>IF(A165="","",IF(COUNTIFS('Predictions'!$A$7:$A$306,A165)&lt;&gt;1,"Duplicate ID",IF(COUNTIFS('Cases overview'!$A$7:$A$306,B165)&lt;&gt;1,"Invalid case ref",IF(COUNTIFS('Plan versions'!$A$7:$A$306,C165,'Plan versions'!$B$7:$B$306,B165,'Plan versions'!$L$7:$L$306,"Frozen")&lt;&gt;1,"Invalid plan ref",IF(OR(NOT(ISNUMBER(D165)),NOT(ISNUMBER(E165)),F165="",I165="",M165="",Q165=""),"Prediction info missing",IF(D165&gt;E165,"Not pre-registered before due",IF(OR(AND(G165&lt;&gt;"",OR(NOT(ISNUMBER(G165)),G165&lt;0,G165&gt;1)),AND(H165&lt;&gt;"",OR(NOT(ISNUMBER(H165)),H165&lt;0,H165&gt;1))),"Invalid probability",IF(AND(I165="Resolved",OR(NOT(ISNUMBER(J165)),AND(J165&lt;&gt;0,J165&lt;&gt;1),NOT(ISNUMBER(K165)),L165="")),"Resolution evidence missing",IF(AND(I165="Resolved",D165&gt;K165),"Retroactive: not scored","Valid input")))))))))</x:f>
      </x:c>
    </x:row>
    <x:row r="166" ht="25" customHeight="1">
      <x:c r="A166" s="3"/>
      <x:c r="B166" s="3"/>
      <x:c r="C166" s="3"/>
      <x:c r="D166" s="25"/>
      <x:c r="E166" s="25"/>
      <x:c r="F166" s="3"/>
      <x:c r="G166" s="26"/>
      <x:c r="H166" s="26"/>
      <x:c r="I166" s="3"/>
      <x:c r="J166" s="22"/>
      <x:c r="K166" s="25"/>
      <x:c r="L166" s="3"/>
      <x:c r="M166" s="3"/>
      <x:c r="N166" s="24" t="str">
        <x:f>IF(AND(R166="Valid input",I166="Resolved",M166="Yes",ISNUMBER(G166)),(G166-J166)^2,"")</x:f>
      </x:c>
      <x:c r="O166" s="24" t="str">
        <x:f>IF(AND(ISNUMBER(N166),ISNUMBER(H166)),(H166-J166)^2,"")</x:f>
      </x:c>
      <x:c r="P166" s="24" t="str">
        <x:f>IF(AND(ISNUMBER(N166),ISNUMBER(O166)),O166-N166,"")</x:f>
      </x:c>
      <x:c r="Q166" s="3"/>
      <x:c r="R166" s="19" t="str">
        <x:f>IF(A166="","",IF(COUNTIFS('Predictions'!$A$7:$A$306,A166)&lt;&gt;1,"Duplicate ID",IF(COUNTIFS('Cases overview'!$A$7:$A$306,B166)&lt;&gt;1,"Invalid case ref",IF(COUNTIFS('Plan versions'!$A$7:$A$306,C166,'Plan versions'!$B$7:$B$306,B166,'Plan versions'!$L$7:$L$306,"Frozen")&lt;&gt;1,"Invalid plan ref",IF(OR(NOT(ISNUMBER(D166)),NOT(ISNUMBER(E166)),F166="",I166="",M166="",Q166=""),"Prediction info missing",IF(D166&gt;E166,"Not pre-registered before due",IF(OR(AND(G166&lt;&gt;"",OR(NOT(ISNUMBER(G166)),G166&lt;0,G166&gt;1)),AND(H166&lt;&gt;"",OR(NOT(ISNUMBER(H166)),H166&lt;0,H166&gt;1))),"Invalid probability",IF(AND(I166="Resolved",OR(NOT(ISNUMBER(J166)),AND(J166&lt;&gt;0,J166&lt;&gt;1),NOT(ISNUMBER(K166)),L166="")),"Resolution evidence missing",IF(AND(I166="Resolved",D166&gt;K166),"Retroactive: not scored","Valid input")))))))))</x:f>
      </x:c>
    </x:row>
    <x:row r="167" ht="25" customHeight="1">
      <x:c r="A167" s="3"/>
      <x:c r="B167" s="3"/>
      <x:c r="C167" s="3"/>
      <x:c r="D167" s="25"/>
      <x:c r="E167" s="25"/>
      <x:c r="F167" s="3"/>
      <x:c r="G167" s="26"/>
      <x:c r="H167" s="26"/>
      <x:c r="I167" s="3"/>
      <x:c r="J167" s="22"/>
      <x:c r="K167" s="25"/>
      <x:c r="L167" s="3"/>
      <x:c r="M167" s="3"/>
      <x:c r="N167" s="24" t="str">
        <x:f>IF(AND(R167="Valid input",I167="Resolved",M167="Yes",ISNUMBER(G167)),(G167-J167)^2,"")</x:f>
      </x:c>
      <x:c r="O167" s="24" t="str">
        <x:f>IF(AND(ISNUMBER(N167),ISNUMBER(H167)),(H167-J167)^2,"")</x:f>
      </x:c>
      <x:c r="P167" s="24" t="str">
        <x:f>IF(AND(ISNUMBER(N167),ISNUMBER(O167)),O167-N167,"")</x:f>
      </x:c>
      <x:c r="Q167" s="3"/>
      <x:c r="R167" s="19" t="str">
        <x:f>IF(A167="","",IF(COUNTIFS('Predictions'!$A$7:$A$306,A167)&lt;&gt;1,"Duplicate ID",IF(COUNTIFS('Cases overview'!$A$7:$A$306,B167)&lt;&gt;1,"Invalid case ref",IF(COUNTIFS('Plan versions'!$A$7:$A$306,C167,'Plan versions'!$B$7:$B$306,B167,'Plan versions'!$L$7:$L$306,"Frozen")&lt;&gt;1,"Invalid plan ref",IF(OR(NOT(ISNUMBER(D167)),NOT(ISNUMBER(E167)),F167="",I167="",M167="",Q167=""),"Prediction info missing",IF(D167&gt;E167,"Not pre-registered before due",IF(OR(AND(G167&lt;&gt;"",OR(NOT(ISNUMBER(G167)),G167&lt;0,G167&gt;1)),AND(H167&lt;&gt;"",OR(NOT(ISNUMBER(H167)),H167&lt;0,H167&gt;1))),"Invalid probability",IF(AND(I167="Resolved",OR(NOT(ISNUMBER(J167)),AND(J167&lt;&gt;0,J167&lt;&gt;1),NOT(ISNUMBER(K167)),L167="")),"Resolution evidence missing",IF(AND(I167="Resolved",D167&gt;K167),"Retroactive: not scored","Valid input")))))))))</x:f>
      </x:c>
    </x:row>
    <x:row r="168" ht="25" customHeight="1">
      <x:c r="A168" s="3"/>
      <x:c r="B168" s="3"/>
      <x:c r="C168" s="3"/>
      <x:c r="D168" s="25"/>
      <x:c r="E168" s="25"/>
      <x:c r="F168" s="3"/>
      <x:c r="G168" s="26"/>
      <x:c r="H168" s="26"/>
      <x:c r="I168" s="3"/>
      <x:c r="J168" s="22"/>
      <x:c r="K168" s="25"/>
      <x:c r="L168" s="3"/>
      <x:c r="M168" s="3"/>
      <x:c r="N168" s="24" t="str">
        <x:f>IF(AND(R168="Valid input",I168="Resolved",M168="Yes",ISNUMBER(G168)),(G168-J168)^2,"")</x:f>
      </x:c>
      <x:c r="O168" s="24" t="str">
        <x:f>IF(AND(ISNUMBER(N168),ISNUMBER(H168)),(H168-J168)^2,"")</x:f>
      </x:c>
      <x:c r="P168" s="24" t="str">
        <x:f>IF(AND(ISNUMBER(N168),ISNUMBER(O168)),O168-N168,"")</x:f>
      </x:c>
      <x:c r="Q168" s="3"/>
      <x:c r="R168" s="19" t="str">
        <x:f>IF(A168="","",IF(COUNTIFS('Predictions'!$A$7:$A$306,A168)&lt;&gt;1,"Duplicate ID",IF(COUNTIFS('Cases overview'!$A$7:$A$306,B168)&lt;&gt;1,"Invalid case ref",IF(COUNTIFS('Plan versions'!$A$7:$A$306,C168,'Plan versions'!$B$7:$B$306,B168,'Plan versions'!$L$7:$L$306,"Frozen")&lt;&gt;1,"Invalid plan ref",IF(OR(NOT(ISNUMBER(D168)),NOT(ISNUMBER(E168)),F168="",I168="",M168="",Q168=""),"Prediction info missing",IF(D168&gt;E168,"Not pre-registered before due",IF(OR(AND(G168&lt;&gt;"",OR(NOT(ISNUMBER(G168)),G168&lt;0,G168&gt;1)),AND(H168&lt;&gt;"",OR(NOT(ISNUMBER(H168)),H168&lt;0,H168&gt;1))),"Invalid probability",IF(AND(I168="Resolved",OR(NOT(ISNUMBER(J168)),AND(J168&lt;&gt;0,J168&lt;&gt;1),NOT(ISNUMBER(K168)),L168="")),"Resolution evidence missing",IF(AND(I168="Resolved",D168&gt;K168),"Retroactive: not scored","Valid input")))))))))</x:f>
      </x:c>
    </x:row>
    <x:row r="169" ht="25" customHeight="1">
      <x:c r="A169" s="3"/>
      <x:c r="B169" s="3"/>
      <x:c r="C169" s="3"/>
      <x:c r="D169" s="25"/>
      <x:c r="E169" s="25"/>
      <x:c r="F169" s="3"/>
      <x:c r="G169" s="26"/>
      <x:c r="H169" s="26"/>
      <x:c r="I169" s="3"/>
      <x:c r="J169" s="22"/>
      <x:c r="K169" s="25"/>
      <x:c r="L169" s="3"/>
      <x:c r="M169" s="3"/>
      <x:c r="N169" s="24" t="str">
        <x:f>IF(AND(R169="Valid input",I169="Resolved",M169="Yes",ISNUMBER(G169)),(G169-J169)^2,"")</x:f>
      </x:c>
      <x:c r="O169" s="24" t="str">
        <x:f>IF(AND(ISNUMBER(N169),ISNUMBER(H169)),(H169-J169)^2,"")</x:f>
      </x:c>
      <x:c r="P169" s="24" t="str">
        <x:f>IF(AND(ISNUMBER(N169),ISNUMBER(O169)),O169-N169,"")</x:f>
      </x:c>
      <x:c r="Q169" s="3"/>
      <x:c r="R169" s="19" t="str">
        <x:f>IF(A169="","",IF(COUNTIFS('Predictions'!$A$7:$A$306,A169)&lt;&gt;1,"Duplicate ID",IF(COUNTIFS('Cases overview'!$A$7:$A$306,B169)&lt;&gt;1,"Invalid case ref",IF(COUNTIFS('Plan versions'!$A$7:$A$306,C169,'Plan versions'!$B$7:$B$306,B169,'Plan versions'!$L$7:$L$306,"Frozen")&lt;&gt;1,"Invalid plan ref",IF(OR(NOT(ISNUMBER(D169)),NOT(ISNUMBER(E169)),F169="",I169="",M169="",Q169=""),"Prediction info missing",IF(D169&gt;E169,"Not pre-registered before due",IF(OR(AND(G169&lt;&gt;"",OR(NOT(ISNUMBER(G169)),G169&lt;0,G169&gt;1)),AND(H169&lt;&gt;"",OR(NOT(ISNUMBER(H169)),H169&lt;0,H169&gt;1))),"Invalid probability",IF(AND(I169="Resolved",OR(NOT(ISNUMBER(J169)),AND(J169&lt;&gt;0,J169&lt;&gt;1),NOT(ISNUMBER(K169)),L169="")),"Resolution evidence missing",IF(AND(I169="Resolved",D169&gt;K169),"Retroactive: not scored","Valid input")))))))))</x:f>
      </x:c>
    </x:row>
    <x:row r="170" ht="25" customHeight="1">
      <x:c r="A170" s="3"/>
      <x:c r="B170" s="3"/>
      <x:c r="C170" s="3"/>
      <x:c r="D170" s="25"/>
      <x:c r="E170" s="25"/>
      <x:c r="F170" s="3"/>
      <x:c r="G170" s="26"/>
      <x:c r="H170" s="26"/>
      <x:c r="I170" s="3"/>
      <x:c r="J170" s="22"/>
      <x:c r="K170" s="25"/>
      <x:c r="L170" s="3"/>
      <x:c r="M170" s="3"/>
      <x:c r="N170" s="24" t="str">
        <x:f>IF(AND(R170="Valid input",I170="Resolved",M170="Yes",ISNUMBER(G170)),(G170-J170)^2,"")</x:f>
      </x:c>
      <x:c r="O170" s="24" t="str">
        <x:f>IF(AND(ISNUMBER(N170),ISNUMBER(H170)),(H170-J170)^2,"")</x:f>
      </x:c>
      <x:c r="P170" s="24" t="str">
        <x:f>IF(AND(ISNUMBER(N170),ISNUMBER(O170)),O170-N170,"")</x:f>
      </x:c>
      <x:c r="Q170" s="3"/>
      <x:c r="R170" s="19" t="str">
        <x:f>IF(A170="","",IF(COUNTIFS('Predictions'!$A$7:$A$306,A170)&lt;&gt;1,"Duplicate ID",IF(COUNTIFS('Cases overview'!$A$7:$A$306,B170)&lt;&gt;1,"Invalid case ref",IF(COUNTIFS('Plan versions'!$A$7:$A$306,C170,'Plan versions'!$B$7:$B$306,B170,'Plan versions'!$L$7:$L$306,"Frozen")&lt;&gt;1,"Invalid plan ref",IF(OR(NOT(ISNUMBER(D170)),NOT(ISNUMBER(E170)),F170="",I170="",M170="",Q170=""),"Prediction info missing",IF(D170&gt;E170,"Not pre-registered before due",IF(OR(AND(G170&lt;&gt;"",OR(NOT(ISNUMBER(G170)),G170&lt;0,G170&gt;1)),AND(H170&lt;&gt;"",OR(NOT(ISNUMBER(H170)),H170&lt;0,H170&gt;1))),"Invalid probability",IF(AND(I170="Resolved",OR(NOT(ISNUMBER(J170)),AND(J170&lt;&gt;0,J170&lt;&gt;1),NOT(ISNUMBER(K170)),L170="")),"Resolution evidence missing",IF(AND(I170="Resolved",D170&gt;K170),"Retroactive: not scored","Valid input")))))))))</x:f>
      </x:c>
    </x:row>
    <x:row r="171" ht="25" customHeight="1">
      <x:c r="A171" s="3"/>
      <x:c r="B171" s="3"/>
      <x:c r="C171" s="3"/>
      <x:c r="D171" s="25"/>
      <x:c r="E171" s="25"/>
      <x:c r="F171" s="3"/>
      <x:c r="G171" s="26"/>
      <x:c r="H171" s="26"/>
      <x:c r="I171" s="3"/>
      <x:c r="J171" s="22"/>
      <x:c r="K171" s="25"/>
      <x:c r="L171" s="3"/>
      <x:c r="M171" s="3"/>
      <x:c r="N171" s="24" t="str">
        <x:f>IF(AND(R171="Valid input",I171="Resolved",M171="Yes",ISNUMBER(G171)),(G171-J171)^2,"")</x:f>
      </x:c>
      <x:c r="O171" s="24" t="str">
        <x:f>IF(AND(ISNUMBER(N171),ISNUMBER(H171)),(H171-J171)^2,"")</x:f>
      </x:c>
      <x:c r="P171" s="24" t="str">
        <x:f>IF(AND(ISNUMBER(N171),ISNUMBER(O171)),O171-N171,"")</x:f>
      </x:c>
      <x:c r="Q171" s="3"/>
      <x:c r="R171" s="19" t="str">
        <x:f>IF(A171="","",IF(COUNTIFS('Predictions'!$A$7:$A$306,A171)&lt;&gt;1,"Duplicate ID",IF(COUNTIFS('Cases overview'!$A$7:$A$306,B171)&lt;&gt;1,"Invalid case ref",IF(COUNTIFS('Plan versions'!$A$7:$A$306,C171,'Plan versions'!$B$7:$B$306,B171,'Plan versions'!$L$7:$L$306,"Frozen")&lt;&gt;1,"Invalid plan ref",IF(OR(NOT(ISNUMBER(D171)),NOT(ISNUMBER(E171)),F171="",I171="",M171="",Q171=""),"Prediction info missing",IF(D171&gt;E171,"Not pre-registered before due",IF(OR(AND(G171&lt;&gt;"",OR(NOT(ISNUMBER(G171)),G171&lt;0,G171&gt;1)),AND(H171&lt;&gt;"",OR(NOT(ISNUMBER(H171)),H171&lt;0,H171&gt;1))),"Invalid probability",IF(AND(I171="Resolved",OR(NOT(ISNUMBER(J171)),AND(J171&lt;&gt;0,J171&lt;&gt;1),NOT(ISNUMBER(K171)),L171="")),"Resolution evidence missing",IF(AND(I171="Resolved",D171&gt;K171),"Retroactive: not scored","Valid input")))))))))</x:f>
      </x:c>
    </x:row>
    <x:row r="172" ht="25" customHeight="1">
      <x:c r="A172" s="3"/>
      <x:c r="B172" s="3"/>
      <x:c r="C172" s="3"/>
      <x:c r="D172" s="25"/>
      <x:c r="E172" s="25"/>
      <x:c r="F172" s="3"/>
      <x:c r="G172" s="26"/>
      <x:c r="H172" s="26"/>
      <x:c r="I172" s="3"/>
      <x:c r="J172" s="22"/>
      <x:c r="K172" s="25"/>
      <x:c r="L172" s="3"/>
      <x:c r="M172" s="3"/>
      <x:c r="N172" s="24" t="str">
        <x:f>IF(AND(R172="Valid input",I172="Resolved",M172="Yes",ISNUMBER(G172)),(G172-J172)^2,"")</x:f>
      </x:c>
      <x:c r="O172" s="24" t="str">
        <x:f>IF(AND(ISNUMBER(N172),ISNUMBER(H172)),(H172-J172)^2,"")</x:f>
      </x:c>
      <x:c r="P172" s="24" t="str">
        <x:f>IF(AND(ISNUMBER(N172),ISNUMBER(O172)),O172-N172,"")</x:f>
      </x:c>
      <x:c r="Q172" s="3"/>
      <x:c r="R172" s="19" t="str">
        <x:f>IF(A172="","",IF(COUNTIFS('Predictions'!$A$7:$A$306,A172)&lt;&gt;1,"Duplicate ID",IF(COUNTIFS('Cases overview'!$A$7:$A$306,B172)&lt;&gt;1,"Invalid case ref",IF(COUNTIFS('Plan versions'!$A$7:$A$306,C172,'Plan versions'!$B$7:$B$306,B172,'Plan versions'!$L$7:$L$306,"Frozen")&lt;&gt;1,"Invalid plan ref",IF(OR(NOT(ISNUMBER(D172)),NOT(ISNUMBER(E172)),F172="",I172="",M172="",Q172=""),"Prediction info missing",IF(D172&gt;E172,"Not pre-registered before due",IF(OR(AND(G172&lt;&gt;"",OR(NOT(ISNUMBER(G172)),G172&lt;0,G172&gt;1)),AND(H172&lt;&gt;"",OR(NOT(ISNUMBER(H172)),H172&lt;0,H172&gt;1))),"Invalid probability",IF(AND(I172="Resolved",OR(NOT(ISNUMBER(J172)),AND(J172&lt;&gt;0,J172&lt;&gt;1),NOT(ISNUMBER(K172)),L172="")),"Resolution evidence missing",IF(AND(I172="Resolved",D172&gt;K172),"Retroactive: not scored","Valid input")))))))))</x:f>
      </x:c>
    </x:row>
    <x:row r="173" ht="25" customHeight="1">
      <x:c r="A173" s="3"/>
      <x:c r="B173" s="3"/>
      <x:c r="C173" s="3"/>
      <x:c r="D173" s="25"/>
      <x:c r="E173" s="25"/>
      <x:c r="F173" s="3"/>
      <x:c r="G173" s="26"/>
      <x:c r="H173" s="26"/>
      <x:c r="I173" s="3"/>
      <x:c r="J173" s="22"/>
      <x:c r="K173" s="25"/>
      <x:c r="L173" s="3"/>
      <x:c r="M173" s="3"/>
      <x:c r="N173" s="24" t="str">
        <x:f>IF(AND(R173="Valid input",I173="Resolved",M173="Yes",ISNUMBER(G173)),(G173-J173)^2,"")</x:f>
      </x:c>
      <x:c r="O173" s="24" t="str">
        <x:f>IF(AND(ISNUMBER(N173),ISNUMBER(H173)),(H173-J173)^2,"")</x:f>
      </x:c>
      <x:c r="P173" s="24" t="str">
        <x:f>IF(AND(ISNUMBER(N173),ISNUMBER(O173)),O173-N173,"")</x:f>
      </x:c>
      <x:c r="Q173" s="3"/>
      <x:c r="R173" s="19" t="str">
        <x:f>IF(A173="","",IF(COUNTIFS('Predictions'!$A$7:$A$306,A173)&lt;&gt;1,"Duplicate ID",IF(COUNTIFS('Cases overview'!$A$7:$A$306,B173)&lt;&gt;1,"Invalid case ref",IF(COUNTIFS('Plan versions'!$A$7:$A$306,C173,'Plan versions'!$B$7:$B$306,B173,'Plan versions'!$L$7:$L$306,"Frozen")&lt;&gt;1,"Invalid plan ref",IF(OR(NOT(ISNUMBER(D173)),NOT(ISNUMBER(E173)),F173="",I173="",M173="",Q173=""),"Prediction info missing",IF(D173&gt;E173,"Not pre-registered before due",IF(OR(AND(G173&lt;&gt;"",OR(NOT(ISNUMBER(G173)),G173&lt;0,G173&gt;1)),AND(H173&lt;&gt;"",OR(NOT(ISNUMBER(H173)),H173&lt;0,H173&gt;1))),"Invalid probability",IF(AND(I173="Resolved",OR(NOT(ISNUMBER(J173)),AND(J173&lt;&gt;0,J173&lt;&gt;1),NOT(ISNUMBER(K173)),L173="")),"Resolution evidence missing",IF(AND(I173="Resolved",D173&gt;K173),"Retroactive: not scored","Valid input")))))))))</x:f>
      </x:c>
    </x:row>
    <x:row r="174" ht="25" customHeight="1">
      <x:c r="A174" s="3"/>
      <x:c r="B174" s="3"/>
      <x:c r="C174" s="3"/>
      <x:c r="D174" s="25"/>
      <x:c r="E174" s="25"/>
      <x:c r="F174" s="3"/>
      <x:c r="G174" s="26"/>
      <x:c r="H174" s="26"/>
      <x:c r="I174" s="3"/>
      <x:c r="J174" s="22"/>
      <x:c r="K174" s="25"/>
      <x:c r="L174" s="3"/>
      <x:c r="M174" s="3"/>
      <x:c r="N174" s="24" t="str">
        <x:f>IF(AND(R174="Valid input",I174="Resolved",M174="Yes",ISNUMBER(G174)),(G174-J174)^2,"")</x:f>
      </x:c>
      <x:c r="O174" s="24" t="str">
        <x:f>IF(AND(ISNUMBER(N174),ISNUMBER(H174)),(H174-J174)^2,"")</x:f>
      </x:c>
      <x:c r="P174" s="24" t="str">
        <x:f>IF(AND(ISNUMBER(N174),ISNUMBER(O174)),O174-N174,"")</x:f>
      </x:c>
      <x:c r="Q174" s="3"/>
      <x:c r="R174" s="19" t="str">
        <x:f>IF(A174="","",IF(COUNTIFS('Predictions'!$A$7:$A$306,A174)&lt;&gt;1,"Duplicate ID",IF(COUNTIFS('Cases overview'!$A$7:$A$306,B174)&lt;&gt;1,"Invalid case ref",IF(COUNTIFS('Plan versions'!$A$7:$A$306,C174,'Plan versions'!$B$7:$B$306,B174,'Plan versions'!$L$7:$L$306,"Frozen")&lt;&gt;1,"Invalid plan ref",IF(OR(NOT(ISNUMBER(D174)),NOT(ISNUMBER(E174)),F174="",I174="",M174="",Q174=""),"Prediction info missing",IF(D174&gt;E174,"Not pre-registered before due",IF(OR(AND(G174&lt;&gt;"",OR(NOT(ISNUMBER(G174)),G174&lt;0,G174&gt;1)),AND(H174&lt;&gt;"",OR(NOT(ISNUMBER(H174)),H174&lt;0,H174&gt;1))),"Invalid probability",IF(AND(I174="Resolved",OR(NOT(ISNUMBER(J174)),AND(J174&lt;&gt;0,J174&lt;&gt;1),NOT(ISNUMBER(K174)),L174="")),"Resolution evidence missing",IF(AND(I174="Resolved",D174&gt;K174),"Retroactive: not scored","Valid input")))))))))</x:f>
      </x:c>
    </x:row>
    <x:row r="175" ht="25" customHeight="1">
      <x:c r="A175" s="3"/>
      <x:c r="B175" s="3"/>
      <x:c r="C175" s="3"/>
      <x:c r="D175" s="25"/>
      <x:c r="E175" s="25"/>
      <x:c r="F175" s="3"/>
      <x:c r="G175" s="26"/>
      <x:c r="H175" s="26"/>
      <x:c r="I175" s="3"/>
      <x:c r="J175" s="22"/>
      <x:c r="K175" s="25"/>
      <x:c r="L175" s="3"/>
      <x:c r="M175" s="3"/>
      <x:c r="N175" s="24" t="str">
        <x:f>IF(AND(R175="Valid input",I175="Resolved",M175="Yes",ISNUMBER(G175)),(G175-J175)^2,"")</x:f>
      </x:c>
      <x:c r="O175" s="24" t="str">
        <x:f>IF(AND(ISNUMBER(N175),ISNUMBER(H175)),(H175-J175)^2,"")</x:f>
      </x:c>
      <x:c r="P175" s="24" t="str">
        <x:f>IF(AND(ISNUMBER(N175),ISNUMBER(O175)),O175-N175,"")</x:f>
      </x:c>
      <x:c r="Q175" s="3"/>
      <x:c r="R175" s="19" t="str">
        <x:f>IF(A175="","",IF(COUNTIFS('Predictions'!$A$7:$A$306,A175)&lt;&gt;1,"Duplicate ID",IF(COUNTIFS('Cases overview'!$A$7:$A$306,B175)&lt;&gt;1,"Invalid case ref",IF(COUNTIFS('Plan versions'!$A$7:$A$306,C175,'Plan versions'!$B$7:$B$306,B175,'Plan versions'!$L$7:$L$306,"Frozen")&lt;&gt;1,"Invalid plan ref",IF(OR(NOT(ISNUMBER(D175)),NOT(ISNUMBER(E175)),F175="",I175="",M175="",Q175=""),"Prediction info missing",IF(D175&gt;E175,"Not pre-registered before due",IF(OR(AND(G175&lt;&gt;"",OR(NOT(ISNUMBER(G175)),G175&lt;0,G175&gt;1)),AND(H175&lt;&gt;"",OR(NOT(ISNUMBER(H175)),H175&lt;0,H175&gt;1))),"Invalid probability",IF(AND(I175="Resolved",OR(NOT(ISNUMBER(J175)),AND(J175&lt;&gt;0,J175&lt;&gt;1),NOT(ISNUMBER(K175)),L175="")),"Resolution evidence missing",IF(AND(I175="Resolved",D175&gt;K175),"Retroactive: not scored","Valid input")))))))))</x:f>
      </x:c>
    </x:row>
    <x:row r="176" ht="25" customHeight="1">
      <x:c r="A176" s="3"/>
      <x:c r="B176" s="3"/>
      <x:c r="C176" s="3"/>
      <x:c r="D176" s="25"/>
      <x:c r="E176" s="25"/>
      <x:c r="F176" s="3"/>
      <x:c r="G176" s="26"/>
      <x:c r="H176" s="26"/>
      <x:c r="I176" s="3"/>
      <x:c r="J176" s="22"/>
      <x:c r="K176" s="25"/>
      <x:c r="L176" s="3"/>
      <x:c r="M176" s="3"/>
      <x:c r="N176" s="24" t="str">
        <x:f>IF(AND(R176="Valid input",I176="Resolved",M176="Yes",ISNUMBER(G176)),(G176-J176)^2,"")</x:f>
      </x:c>
      <x:c r="O176" s="24" t="str">
        <x:f>IF(AND(ISNUMBER(N176),ISNUMBER(H176)),(H176-J176)^2,"")</x:f>
      </x:c>
      <x:c r="P176" s="24" t="str">
        <x:f>IF(AND(ISNUMBER(N176),ISNUMBER(O176)),O176-N176,"")</x:f>
      </x:c>
      <x:c r="Q176" s="3"/>
      <x:c r="R176" s="19" t="str">
        <x:f>IF(A176="","",IF(COUNTIFS('Predictions'!$A$7:$A$306,A176)&lt;&gt;1,"Duplicate ID",IF(COUNTIFS('Cases overview'!$A$7:$A$306,B176)&lt;&gt;1,"Invalid case ref",IF(COUNTIFS('Plan versions'!$A$7:$A$306,C176,'Plan versions'!$B$7:$B$306,B176,'Plan versions'!$L$7:$L$306,"Frozen")&lt;&gt;1,"Invalid plan ref",IF(OR(NOT(ISNUMBER(D176)),NOT(ISNUMBER(E176)),F176="",I176="",M176="",Q176=""),"Prediction info missing",IF(D176&gt;E176,"Not pre-registered before due",IF(OR(AND(G176&lt;&gt;"",OR(NOT(ISNUMBER(G176)),G176&lt;0,G176&gt;1)),AND(H176&lt;&gt;"",OR(NOT(ISNUMBER(H176)),H176&lt;0,H176&gt;1))),"Invalid probability",IF(AND(I176="Resolved",OR(NOT(ISNUMBER(J176)),AND(J176&lt;&gt;0,J176&lt;&gt;1),NOT(ISNUMBER(K176)),L176="")),"Resolution evidence missing",IF(AND(I176="Resolved",D176&gt;K176),"Retroactive: not scored","Valid input")))))))))</x:f>
      </x:c>
    </x:row>
    <x:row r="177" ht="25" customHeight="1">
      <x:c r="A177" s="3"/>
      <x:c r="B177" s="3"/>
      <x:c r="C177" s="3"/>
      <x:c r="D177" s="25"/>
      <x:c r="E177" s="25"/>
      <x:c r="F177" s="3"/>
      <x:c r="G177" s="26"/>
      <x:c r="H177" s="26"/>
      <x:c r="I177" s="3"/>
      <x:c r="J177" s="22"/>
      <x:c r="K177" s="25"/>
      <x:c r="L177" s="3"/>
      <x:c r="M177" s="3"/>
      <x:c r="N177" s="24" t="str">
        <x:f>IF(AND(R177="Valid input",I177="Resolved",M177="Yes",ISNUMBER(G177)),(G177-J177)^2,"")</x:f>
      </x:c>
      <x:c r="O177" s="24" t="str">
        <x:f>IF(AND(ISNUMBER(N177),ISNUMBER(H177)),(H177-J177)^2,"")</x:f>
      </x:c>
      <x:c r="P177" s="24" t="str">
        <x:f>IF(AND(ISNUMBER(N177),ISNUMBER(O177)),O177-N177,"")</x:f>
      </x:c>
      <x:c r="Q177" s="3"/>
      <x:c r="R177" s="19" t="str">
        <x:f>IF(A177="","",IF(COUNTIFS('Predictions'!$A$7:$A$306,A177)&lt;&gt;1,"Duplicate ID",IF(COUNTIFS('Cases overview'!$A$7:$A$306,B177)&lt;&gt;1,"Invalid case ref",IF(COUNTIFS('Plan versions'!$A$7:$A$306,C177,'Plan versions'!$B$7:$B$306,B177,'Plan versions'!$L$7:$L$306,"Frozen")&lt;&gt;1,"Invalid plan ref",IF(OR(NOT(ISNUMBER(D177)),NOT(ISNUMBER(E177)),F177="",I177="",M177="",Q177=""),"Prediction info missing",IF(D177&gt;E177,"Not pre-registered before due",IF(OR(AND(G177&lt;&gt;"",OR(NOT(ISNUMBER(G177)),G177&lt;0,G177&gt;1)),AND(H177&lt;&gt;"",OR(NOT(ISNUMBER(H177)),H177&lt;0,H177&gt;1))),"Invalid probability",IF(AND(I177="Resolved",OR(NOT(ISNUMBER(J177)),AND(J177&lt;&gt;0,J177&lt;&gt;1),NOT(ISNUMBER(K177)),L177="")),"Resolution evidence missing",IF(AND(I177="Resolved",D177&gt;K177),"Retroactive: not scored","Valid input")))))))))</x:f>
      </x:c>
    </x:row>
    <x:row r="178" ht="25" customHeight="1">
      <x:c r="A178" s="3"/>
      <x:c r="B178" s="3"/>
      <x:c r="C178" s="3"/>
      <x:c r="D178" s="25"/>
      <x:c r="E178" s="25"/>
      <x:c r="F178" s="3"/>
      <x:c r="G178" s="26"/>
      <x:c r="H178" s="26"/>
      <x:c r="I178" s="3"/>
      <x:c r="J178" s="22"/>
      <x:c r="K178" s="25"/>
      <x:c r="L178" s="3"/>
      <x:c r="M178" s="3"/>
      <x:c r="N178" s="24" t="str">
        <x:f>IF(AND(R178="Valid input",I178="Resolved",M178="Yes",ISNUMBER(G178)),(G178-J178)^2,"")</x:f>
      </x:c>
      <x:c r="O178" s="24" t="str">
        <x:f>IF(AND(ISNUMBER(N178),ISNUMBER(H178)),(H178-J178)^2,"")</x:f>
      </x:c>
      <x:c r="P178" s="24" t="str">
        <x:f>IF(AND(ISNUMBER(N178),ISNUMBER(O178)),O178-N178,"")</x:f>
      </x:c>
      <x:c r="Q178" s="3"/>
      <x:c r="R178" s="19" t="str">
        <x:f>IF(A178="","",IF(COUNTIFS('Predictions'!$A$7:$A$306,A178)&lt;&gt;1,"Duplicate ID",IF(COUNTIFS('Cases overview'!$A$7:$A$306,B178)&lt;&gt;1,"Invalid case ref",IF(COUNTIFS('Plan versions'!$A$7:$A$306,C178,'Plan versions'!$B$7:$B$306,B178,'Plan versions'!$L$7:$L$306,"Frozen")&lt;&gt;1,"Invalid plan ref",IF(OR(NOT(ISNUMBER(D178)),NOT(ISNUMBER(E178)),F178="",I178="",M178="",Q178=""),"Prediction info missing",IF(D178&gt;E178,"Not pre-registered before due",IF(OR(AND(G178&lt;&gt;"",OR(NOT(ISNUMBER(G178)),G178&lt;0,G178&gt;1)),AND(H178&lt;&gt;"",OR(NOT(ISNUMBER(H178)),H178&lt;0,H178&gt;1))),"Invalid probability",IF(AND(I178="Resolved",OR(NOT(ISNUMBER(J178)),AND(J178&lt;&gt;0,J178&lt;&gt;1),NOT(ISNUMBER(K178)),L178="")),"Resolution evidence missing",IF(AND(I178="Resolved",D178&gt;K178),"Retroactive: not scored","Valid input")))))))))</x:f>
      </x:c>
    </x:row>
    <x:row r="179" ht="25" customHeight="1">
      <x:c r="A179" s="3"/>
      <x:c r="B179" s="3"/>
      <x:c r="C179" s="3"/>
      <x:c r="D179" s="25"/>
      <x:c r="E179" s="25"/>
      <x:c r="F179" s="3"/>
      <x:c r="G179" s="26"/>
      <x:c r="H179" s="26"/>
      <x:c r="I179" s="3"/>
      <x:c r="J179" s="22"/>
      <x:c r="K179" s="25"/>
      <x:c r="L179" s="3"/>
      <x:c r="M179" s="3"/>
      <x:c r="N179" s="24" t="str">
        <x:f>IF(AND(R179="Valid input",I179="Resolved",M179="Yes",ISNUMBER(G179)),(G179-J179)^2,"")</x:f>
      </x:c>
      <x:c r="O179" s="24" t="str">
        <x:f>IF(AND(ISNUMBER(N179),ISNUMBER(H179)),(H179-J179)^2,"")</x:f>
      </x:c>
      <x:c r="P179" s="24" t="str">
        <x:f>IF(AND(ISNUMBER(N179),ISNUMBER(O179)),O179-N179,"")</x:f>
      </x:c>
      <x:c r="Q179" s="3"/>
      <x:c r="R179" s="19" t="str">
        <x:f>IF(A179="","",IF(COUNTIFS('Predictions'!$A$7:$A$306,A179)&lt;&gt;1,"Duplicate ID",IF(COUNTIFS('Cases overview'!$A$7:$A$306,B179)&lt;&gt;1,"Invalid case ref",IF(COUNTIFS('Plan versions'!$A$7:$A$306,C179,'Plan versions'!$B$7:$B$306,B179,'Plan versions'!$L$7:$L$306,"Frozen")&lt;&gt;1,"Invalid plan ref",IF(OR(NOT(ISNUMBER(D179)),NOT(ISNUMBER(E179)),F179="",I179="",M179="",Q179=""),"Prediction info missing",IF(D179&gt;E179,"Not pre-registered before due",IF(OR(AND(G179&lt;&gt;"",OR(NOT(ISNUMBER(G179)),G179&lt;0,G179&gt;1)),AND(H179&lt;&gt;"",OR(NOT(ISNUMBER(H179)),H179&lt;0,H179&gt;1))),"Invalid probability",IF(AND(I179="Resolved",OR(NOT(ISNUMBER(J179)),AND(J179&lt;&gt;0,J179&lt;&gt;1),NOT(ISNUMBER(K179)),L179="")),"Resolution evidence missing",IF(AND(I179="Resolved",D179&gt;K179),"Retroactive: not scored","Valid input")))))))))</x:f>
      </x:c>
    </x:row>
    <x:row r="180" ht="25" customHeight="1">
      <x:c r="A180" s="3"/>
      <x:c r="B180" s="3"/>
      <x:c r="C180" s="3"/>
      <x:c r="D180" s="25"/>
      <x:c r="E180" s="25"/>
      <x:c r="F180" s="3"/>
      <x:c r="G180" s="26"/>
      <x:c r="H180" s="26"/>
      <x:c r="I180" s="3"/>
      <x:c r="J180" s="22"/>
      <x:c r="K180" s="25"/>
      <x:c r="L180" s="3"/>
      <x:c r="M180" s="3"/>
      <x:c r="N180" s="24" t="str">
        <x:f>IF(AND(R180="Valid input",I180="Resolved",M180="Yes",ISNUMBER(G180)),(G180-J180)^2,"")</x:f>
      </x:c>
      <x:c r="O180" s="24" t="str">
        <x:f>IF(AND(ISNUMBER(N180),ISNUMBER(H180)),(H180-J180)^2,"")</x:f>
      </x:c>
      <x:c r="P180" s="24" t="str">
        <x:f>IF(AND(ISNUMBER(N180),ISNUMBER(O180)),O180-N180,"")</x:f>
      </x:c>
      <x:c r="Q180" s="3"/>
      <x:c r="R180" s="19" t="str">
        <x:f>IF(A180="","",IF(COUNTIFS('Predictions'!$A$7:$A$306,A180)&lt;&gt;1,"Duplicate ID",IF(COUNTIFS('Cases overview'!$A$7:$A$306,B180)&lt;&gt;1,"Invalid case ref",IF(COUNTIFS('Plan versions'!$A$7:$A$306,C180,'Plan versions'!$B$7:$B$306,B180,'Plan versions'!$L$7:$L$306,"Frozen")&lt;&gt;1,"Invalid plan ref",IF(OR(NOT(ISNUMBER(D180)),NOT(ISNUMBER(E180)),F180="",I180="",M180="",Q180=""),"Prediction info missing",IF(D180&gt;E180,"Not pre-registered before due",IF(OR(AND(G180&lt;&gt;"",OR(NOT(ISNUMBER(G180)),G180&lt;0,G180&gt;1)),AND(H180&lt;&gt;"",OR(NOT(ISNUMBER(H180)),H180&lt;0,H180&gt;1))),"Invalid probability",IF(AND(I180="Resolved",OR(NOT(ISNUMBER(J180)),AND(J180&lt;&gt;0,J180&lt;&gt;1),NOT(ISNUMBER(K180)),L180="")),"Resolution evidence missing",IF(AND(I180="Resolved",D180&gt;K180),"Retroactive: not scored","Valid input")))))))))</x:f>
      </x:c>
    </x:row>
    <x:row r="181" ht="25" customHeight="1">
      <x:c r="A181" s="3"/>
      <x:c r="B181" s="3"/>
      <x:c r="C181" s="3"/>
      <x:c r="D181" s="25"/>
      <x:c r="E181" s="25"/>
      <x:c r="F181" s="3"/>
      <x:c r="G181" s="26"/>
      <x:c r="H181" s="26"/>
      <x:c r="I181" s="3"/>
      <x:c r="J181" s="22"/>
      <x:c r="K181" s="25"/>
      <x:c r="L181" s="3"/>
      <x:c r="M181" s="3"/>
      <x:c r="N181" s="24" t="str">
        <x:f>IF(AND(R181="Valid input",I181="Resolved",M181="Yes",ISNUMBER(G181)),(G181-J181)^2,"")</x:f>
      </x:c>
      <x:c r="O181" s="24" t="str">
        <x:f>IF(AND(ISNUMBER(N181),ISNUMBER(H181)),(H181-J181)^2,"")</x:f>
      </x:c>
      <x:c r="P181" s="24" t="str">
        <x:f>IF(AND(ISNUMBER(N181),ISNUMBER(O181)),O181-N181,"")</x:f>
      </x:c>
      <x:c r="Q181" s="3"/>
      <x:c r="R181" s="19" t="str">
        <x:f>IF(A181="","",IF(COUNTIFS('Predictions'!$A$7:$A$306,A181)&lt;&gt;1,"Duplicate ID",IF(COUNTIFS('Cases overview'!$A$7:$A$306,B181)&lt;&gt;1,"Invalid case ref",IF(COUNTIFS('Plan versions'!$A$7:$A$306,C181,'Plan versions'!$B$7:$B$306,B181,'Plan versions'!$L$7:$L$306,"Frozen")&lt;&gt;1,"Invalid plan ref",IF(OR(NOT(ISNUMBER(D181)),NOT(ISNUMBER(E181)),F181="",I181="",M181="",Q181=""),"Prediction info missing",IF(D181&gt;E181,"Not pre-registered before due",IF(OR(AND(G181&lt;&gt;"",OR(NOT(ISNUMBER(G181)),G181&lt;0,G181&gt;1)),AND(H181&lt;&gt;"",OR(NOT(ISNUMBER(H181)),H181&lt;0,H181&gt;1))),"Invalid probability",IF(AND(I181="Resolved",OR(NOT(ISNUMBER(J181)),AND(J181&lt;&gt;0,J181&lt;&gt;1),NOT(ISNUMBER(K181)),L181="")),"Resolution evidence missing",IF(AND(I181="Resolved",D181&gt;K181),"Retroactive: not scored","Valid input")))))))))</x:f>
      </x:c>
    </x:row>
    <x:row r="182" ht="25" customHeight="1">
      <x:c r="A182" s="3"/>
      <x:c r="B182" s="3"/>
      <x:c r="C182" s="3"/>
      <x:c r="D182" s="25"/>
      <x:c r="E182" s="25"/>
      <x:c r="F182" s="3"/>
      <x:c r="G182" s="26"/>
      <x:c r="H182" s="26"/>
      <x:c r="I182" s="3"/>
      <x:c r="J182" s="22"/>
      <x:c r="K182" s="25"/>
      <x:c r="L182" s="3"/>
      <x:c r="M182" s="3"/>
      <x:c r="N182" s="24" t="str">
        <x:f>IF(AND(R182="Valid input",I182="Resolved",M182="Yes",ISNUMBER(G182)),(G182-J182)^2,"")</x:f>
      </x:c>
      <x:c r="O182" s="24" t="str">
        <x:f>IF(AND(ISNUMBER(N182),ISNUMBER(H182)),(H182-J182)^2,"")</x:f>
      </x:c>
      <x:c r="P182" s="24" t="str">
        <x:f>IF(AND(ISNUMBER(N182),ISNUMBER(O182)),O182-N182,"")</x:f>
      </x:c>
      <x:c r="Q182" s="3"/>
      <x:c r="R182" s="19" t="str">
        <x:f>IF(A182="","",IF(COUNTIFS('Predictions'!$A$7:$A$306,A182)&lt;&gt;1,"Duplicate ID",IF(COUNTIFS('Cases overview'!$A$7:$A$306,B182)&lt;&gt;1,"Invalid case ref",IF(COUNTIFS('Plan versions'!$A$7:$A$306,C182,'Plan versions'!$B$7:$B$306,B182,'Plan versions'!$L$7:$L$306,"Frozen")&lt;&gt;1,"Invalid plan ref",IF(OR(NOT(ISNUMBER(D182)),NOT(ISNUMBER(E182)),F182="",I182="",M182="",Q182=""),"Prediction info missing",IF(D182&gt;E182,"Not pre-registered before due",IF(OR(AND(G182&lt;&gt;"",OR(NOT(ISNUMBER(G182)),G182&lt;0,G182&gt;1)),AND(H182&lt;&gt;"",OR(NOT(ISNUMBER(H182)),H182&lt;0,H182&gt;1))),"Invalid probability",IF(AND(I182="Resolved",OR(NOT(ISNUMBER(J182)),AND(J182&lt;&gt;0,J182&lt;&gt;1),NOT(ISNUMBER(K182)),L182="")),"Resolution evidence missing",IF(AND(I182="Resolved",D182&gt;K182),"Retroactive: not scored","Valid input")))))))))</x:f>
      </x:c>
    </x:row>
    <x:row r="183" ht="25" customHeight="1">
      <x:c r="A183" s="3"/>
      <x:c r="B183" s="3"/>
      <x:c r="C183" s="3"/>
      <x:c r="D183" s="25"/>
      <x:c r="E183" s="25"/>
      <x:c r="F183" s="3"/>
      <x:c r="G183" s="26"/>
      <x:c r="H183" s="26"/>
      <x:c r="I183" s="3"/>
      <x:c r="J183" s="22"/>
      <x:c r="K183" s="25"/>
      <x:c r="L183" s="3"/>
      <x:c r="M183" s="3"/>
      <x:c r="N183" s="24" t="str">
        <x:f>IF(AND(R183="Valid input",I183="Resolved",M183="Yes",ISNUMBER(G183)),(G183-J183)^2,"")</x:f>
      </x:c>
      <x:c r="O183" s="24" t="str">
        <x:f>IF(AND(ISNUMBER(N183),ISNUMBER(H183)),(H183-J183)^2,"")</x:f>
      </x:c>
      <x:c r="P183" s="24" t="str">
        <x:f>IF(AND(ISNUMBER(N183),ISNUMBER(O183)),O183-N183,"")</x:f>
      </x:c>
      <x:c r="Q183" s="3"/>
      <x:c r="R183" s="19" t="str">
        <x:f>IF(A183="","",IF(COUNTIFS('Predictions'!$A$7:$A$306,A183)&lt;&gt;1,"Duplicate ID",IF(COUNTIFS('Cases overview'!$A$7:$A$306,B183)&lt;&gt;1,"Invalid case ref",IF(COUNTIFS('Plan versions'!$A$7:$A$306,C183,'Plan versions'!$B$7:$B$306,B183,'Plan versions'!$L$7:$L$306,"Frozen")&lt;&gt;1,"Invalid plan ref",IF(OR(NOT(ISNUMBER(D183)),NOT(ISNUMBER(E183)),F183="",I183="",M183="",Q183=""),"Prediction info missing",IF(D183&gt;E183,"Not pre-registered before due",IF(OR(AND(G183&lt;&gt;"",OR(NOT(ISNUMBER(G183)),G183&lt;0,G183&gt;1)),AND(H183&lt;&gt;"",OR(NOT(ISNUMBER(H183)),H183&lt;0,H183&gt;1))),"Invalid probability",IF(AND(I183="Resolved",OR(NOT(ISNUMBER(J183)),AND(J183&lt;&gt;0,J183&lt;&gt;1),NOT(ISNUMBER(K183)),L183="")),"Resolution evidence missing",IF(AND(I183="Resolved",D183&gt;K183),"Retroactive: not scored","Valid input")))))))))</x:f>
      </x:c>
    </x:row>
    <x:row r="184" ht="25" customHeight="1">
      <x:c r="A184" s="3"/>
      <x:c r="B184" s="3"/>
      <x:c r="C184" s="3"/>
      <x:c r="D184" s="25"/>
      <x:c r="E184" s="25"/>
      <x:c r="F184" s="3"/>
      <x:c r="G184" s="26"/>
      <x:c r="H184" s="26"/>
      <x:c r="I184" s="3"/>
      <x:c r="J184" s="22"/>
      <x:c r="K184" s="25"/>
      <x:c r="L184" s="3"/>
      <x:c r="M184" s="3"/>
      <x:c r="N184" s="24" t="str">
        <x:f>IF(AND(R184="Valid input",I184="Resolved",M184="Yes",ISNUMBER(G184)),(G184-J184)^2,"")</x:f>
      </x:c>
      <x:c r="O184" s="24" t="str">
        <x:f>IF(AND(ISNUMBER(N184),ISNUMBER(H184)),(H184-J184)^2,"")</x:f>
      </x:c>
      <x:c r="P184" s="24" t="str">
        <x:f>IF(AND(ISNUMBER(N184),ISNUMBER(O184)),O184-N184,"")</x:f>
      </x:c>
      <x:c r="Q184" s="3"/>
      <x:c r="R184" s="19" t="str">
        <x:f>IF(A184="","",IF(COUNTIFS('Predictions'!$A$7:$A$306,A184)&lt;&gt;1,"Duplicate ID",IF(COUNTIFS('Cases overview'!$A$7:$A$306,B184)&lt;&gt;1,"Invalid case ref",IF(COUNTIFS('Plan versions'!$A$7:$A$306,C184,'Plan versions'!$B$7:$B$306,B184,'Plan versions'!$L$7:$L$306,"Frozen")&lt;&gt;1,"Invalid plan ref",IF(OR(NOT(ISNUMBER(D184)),NOT(ISNUMBER(E184)),F184="",I184="",M184="",Q184=""),"Prediction info missing",IF(D184&gt;E184,"Not pre-registered before due",IF(OR(AND(G184&lt;&gt;"",OR(NOT(ISNUMBER(G184)),G184&lt;0,G184&gt;1)),AND(H184&lt;&gt;"",OR(NOT(ISNUMBER(H184)),H184&lt;0,H184&gt;1))),"Invalid probability",IF(AND(I184="Resolved",OR(NOT(ISNUMBER(J184)),AND(J184&lt;&gt;0,J184&lt;&gt;1),NOT(ISNUMBER(K184)),L184="")),"Resolution evidence missing",IF(AND(I184="Resolved",D184&gt;K184),"Retroactive: not scored","Valid input")))))))))</x:f>
      </x:c>
    </x:row>
    <x:row r="185" ht="25" customHeight="1">
      <x:c r="A185" s="3"/>
      <x:c r="B185" s="3"/>
      <x:c r="C185" s="3"/>
      <x:c r="D185" s="25"/>
      <x:c r="E185" s="25"/>
      <x:c r="F185" s="3"/>
      <x:c r="G185" s="26"/>
      <x:c r="H185" s="26"/>
      <x:c r="I185" s="3"/>
      <x:c r="J185" s="22"/>
      <x:c r="K185" s="25"/>
      <x:c r="L185" s="3"/>
      <x:c r="M185" s="3"/>
      <x:c r="N185" s="24" t="str">
        <x:f>IF(AND(R185="Valid input",I185="Resolved",M185="Yes",ISNUMBER(G185)),(G185-J185)^2,"")</x:f>
      </x:c>
      <x:c r="O185" s="24" t="str">
        <x:f>IF(AND(ISNUMBER(N185),ISNUMBER(H185)),(H185-J185)^2,"")</x:f>
      </x:c>
      <x:c r="P185" s="24" t="str">
        <x:f>IF(AND(ISNUMBER(N185),ISNUMBER(O185)),O185-N185,"")</x:f>
      </x:c>
      <x:c r="Q185" s="3"/>
      <x:c r="R185" s="19" t="str">
        <x:f>IF(A185="","",IF(COUNTIFS('Predictions'!$A$7:$A$306,A185)&lt;&gt;1,"Duplicate ID",IF(COUNTIFS('Cases overview'!$A$7:$A$306,B185)&lt;&gt;1,"Invalid case ref",IF(COUNTIFS('Plan versions'!$A$7:$A$306,C185,'Plan versions'!$B$7:$B$306,B185,'Plan versions'!$L$7:$L$306,"Frozen")&lt;&gt;1,"Invalid plan ref",IF(OR(NOT(ISNUMBER(D185)),NOT(ISNUMBER(E185)),F185="",I185="",M185="",Q185=""),"Prediction info missing",IF(D185&gt;E185,"Not pre-registered before due",IF(OR(AND(G185&lt;&gt;"",OR(NOT(ISNUMBER(G185)),G185&lt;0,G185&gt;1)),AND(H185&lt;&gt;"",OR(NOT(ISNUMBER(H185)),H185&lt;0,H185&gt;1))),"Invalid probability",IF(AND(I185="Resolved",OR(NOT(ISNUMBER(J185)),AND(J185&lt;&gt;0,J185&lt;&gt;1),NOT(ISNUMBER(K185)),L185="")),"Resolution evidence missing",IF(AND(I185="Resolved",D185&gt;K185),"Retroactive: not scored","Valid input")))))))))</x:f>
      </x:c>
    </x:row>
    <x:row r="186" ht="25" customHeight="1">
      <x:c r="A186" s="3"/>
      <x:c r="B186" s="3"/>
      <x:c r="C186" s="3"/>
      <x:c r="D186" s="25"/>
      <x:c r="E186" s="25"/>
      <x:c r="F186" s="3"/>
      <x:c r="G186" s="26"/>
      <x:c r="H186" s="26"/>
      <x:c r="I186" s="3"/>
      <x:c r="J186" s="22"/>
      <x:c r="K186" s="25"/>
      <x:c r="L186" s="3"/>
      <x:c r="M186" s="3"/>
      <x:c r="N186" s="24" t="str">
        <x:f>IF(AND(R186="Valid input",I186="Resolved",M186="Yes",ISNUMBER(G186)),(G186-J186)^2,"")</x:f>
      </x:c>
      <x:c r="O186" s="24" t="str">
        <x:f>IF(AND(ISNUMBER(N186),ISNUMBER(H186)),(H186-J186)^2,"")</x:f>
      </x:c>
      <x:c r="P186" s="24" t="str">
        <x:f>IF(AND(ISNUMBER(N186),ISNUMBER(O186)),O186-N186,"")</x:f>
      </x:c>
      <x:c r="Q186" s="3"/>
      <x:c r="R186" s="19" t="str">
        <x:f>IF(A186="","",IF(COUNTIFS('Predictions'!$A$7:$A$306,A186)&lt;&gt;1,"Duplicate ID",IF(COUNTIFS('Cases overview'!$A$7:$A$306,B186)&lt;&gt;1,"Invalid case ref",IF(COUNTIFS('Plan versions'!$A$7:$A$306,C186,'Plan versions'!$B$7:$B$306,B186,'Plan versions'!$L$7:$L$306,"Frozen")&lt;&gt;1,"Invalid plan ref",IF(OR(NOT(ISNUMBER(D186)),NOT(ISNUMBER(E186)),F186="",I186="",M186="",Q186=""),"Prediction info missing",IF(D186&gt;E186,"Not pre-registered before due",IF(OR(AND(G186&lt;&gt;"",OR(NOT(ISNUMBER(G186)),G186&lt;0,G186&gt;1)),AND(H186&lt;&gt;"",OR(NOT(ISNUMBER(H186)),H186&lt;0,H186&gt;1))),"Invalid probability",IF(AND(I186="Resolved",OR(NOT(ISNUMBER(J186)),AND(J186&lt;&gt;0,J186&lt;&gt;1),NOT(ISNUMBER(K186)),L186="")),"Resolution evidence missing",IF(AND(I186="Resolved",D186&gt;K186),"Retroactive: not scored","Valid input")))))))))</x:f>
      </x:c>
    </x:row>
    <x:row r="187" ht="25" customHeight="1">
      <x:c r="A187" s="3"/>
      <x:c r="B187" s="3"/>
      <x:c r="C187" s="3"/>
      <x:c r="D187" s="25"/>
      <x:c r="E187" s="25"/>
      <x:c r="F187" s="3"/>
      <x:c r="G187" s="26"/>
      <x:c r="H187" s="26"/>
      <x:c r="I187" s="3"/>
      <x:c r="J187" s="22"/>
      <x:c r="K187" s="25"/>
      <x:c r="L187" s="3"/>
      <x:c r="M187" s="3"/>
      <x:c r="N187" s="24" t="str">
        <x:f>IF(AND(R187="Valid input",I187="Resolved",M187="Yes",ISNUMBER(G187)),(G187-J187)^2,"")</x:f>
      </x:c>
      <x:c r="O187" s="24" t="str">
        <x:f>IF(AND(ISNUMBER(N187),ISNUMBER(H187)),(H187-J187)^2,"")</x:f>
      </x:c>
      <x:c r="P187" s="24" t="str">
        <x:f>IF(AND(ISNUMBER(N187),ISNUMBER(O187)),O187-N187,"")</x:f>
      </x:c>
      <x:c r="Q187" s="3"/>
      <x:c r="R187" s="19" t="str">
        <x:f>IF(A187="","",IF(COUNTIFS('Predictions'!$A$7:$A$306,A187)&lt;&gt;1,"Duplicate ID",IF(COUNTIFS('Cases overview'!$A$7:$A$306,B187)&lt;&gt;1,"Invalid case ref",IF(COUNTIFS('Plan versions'!$A$7:$A$306,C187,'Plan versions'!$B$7:$B$306,B187,'Plan versions'!$L$7:$L$306,"Frozen")&lt;&gt;1,"Invalid plan ref",IF(OR(NOT(ISNUMBER(D187)),NOT(ISNUMBER(E187)),F187="",I187="",M187="",Q187=""),"Prediction info missing",IF(D187&gt;E187,"Not pre-registered before due",IF(OR(AND(G187&lt;&gt;"",OR(NOT(ISNUMBER(G187)),G187&lt;0,G187&gt;1)),AND(H187&lt;&gt;"",OR(NOT(ISNUMBER(H187)),H187&lt;0,H187&gt;1))),"Invalid probability",IF(AND(I187="Resolved",OR(NOT(ISNUMBER(J187)),AND(J187&lt;&gt;0,J187&lt;&gt;1),NOT(ISNUMBER(K187)),L187="")),"Resolution evidence missing",IF(AND(I187="Resolved",D187&gt;K187),"Retroactive: not scored","Valid input")))))))))</x:f>
      </x:c>
    </x:row>
    <x:row r="188" ht="25" customHeight="1">
      <x:c r="A188" s="3"/>
      <x:c r="B188" s="3"/>
      <x:c r="C188" s="3"/>
      <x:c r="D188" s="25"/>
      <x:c r="E188" s="25"/>
      <x:c r="F188" s="3"/>
      <x:c r="G188" s="26"/>
      <x:c r="H188" s="26"/>
      <x:c r="I188" s="3"/>
      <x:c r="J188" s="22"/>
      <x:c r="K188" s="25"/>
      <x:c r="L188" s="3"/>
      <x:c r="M188" s="3"/>
      <x:c r="N188" s="24" t="str">
        <x:f>IF(AND(R188="Valid input",I188="Resolved",M188="Yes",ISNUMBER(G188)),(G188-J188)^2,"")</x:f>
      </x:c>
      <x:c r="O188" s="24" t="str">
        <x:f>IF(AND(ISNUMBER(N188),ISNUMBER(H188)),(H188-J188)^2,"")</x:f>
      </x:c>
      <x:c r="P188" s="24" t="str">
        <x:f>IF(AND(ISNUMBER(N188),ISNUMBER(O188)),O188-N188,"")</x:f>
      </x:c>
      <x:c r="Q188" s="3"/>
      <x:c r="R188" s="19" t="str">
        <x:f>IF(A188="","",IF(COUNTIFS('Predictions'!$A$7:$A$306,A188)&lt;&gt;1,"Duplicate ID",IF(COUNTIFS('Cases overview'!$A$7:$A$306,B188)&lt;&gt;1,"Invalid case ref",IF(COUNTIFS('Plan versions'!$A$7:$A$306,C188,'Plan versions'!$B$7:$B$306,B188,'Plan versions'!$L$7:$L$306,"Frozen")&lt;&gt;1,"Invalid plan ref",IF(OR(NOT(ISNUMBER(D188)),NOT(ISNUMBER(E188)),F188="",I188="",M188="",Q188=""),"Prediction info missing",IF(D188&gt;E188,"Not pre-registered before due",IF(OR(AND(G188&lt;&gt;"",OR(NOT(ISNUMBER(G188)),G188&lt;0,G188&gt;1)),AND(H188&lt;&gt;"",OR(NOT(ISNUMBER(H188)),H188&lt;0,H188&gt;1))),"Invalid probability",IF(AND(I188="Resolved",OR(NOT(ISNUMBER(J188)),AND(J188&lt;&gt;0,J188&lt;&gt;1),NOT(ISNUMBER(K188)),L188="")),"Resolution evidence missing",IF(AND(I188="Resolved",D188&gt;K188),"Retroactive: not scored","Valid input")))))))))</x:f>
      </x:c>
    </x:row>
    <x:row r="189" ht="25" customHeight="1">
      <x:c r="A189" s="3"/>
      <x:c r="B189" s="3"/>
      <x:c r="C189" s="3"/>
      <x:c r="D189" s="25"/>
      <x:c r="E189" s="25"/>
      <x:c r="F189" s="3"/>
      <x:c r="G189" s="26"/>
      <x:c r="H189" s="26"/>
      <x:c r="I189" s="3"/>
      <x:c r="J189" s="22"/>
      <x:c r="K189" s="25"/>
      <x:c r="L189" s="3"/>
      <x:c r="M189" s="3"/>
      <x:c r="N189" s="24" t="str">
        <x:f>IF(AND(R189="Valid input",I189="Resolved",M189="Yes",ISNUMBER(G189)),(G189-J189)^2,"")</x:f>
      </x:c>
      <x:c r="O189" s="24" t="str">
        <x:f>IF(AND(ISNUMBER(N189),ISNUMBER(H189)),(H189-J189)^2,"")</x:f>
      </x:c>
      <x:c r="P189" s="24" t="str">
        <x:f>IF(AND(ISNUMBER(N189),ISNUMBER(O189)),O189-N189,"")</x:f>
      </x:c>
      <x:c r="Q189" s="3"/>
      <x:c r="R189" s="19" t="str">
        <x:f>IF(A189="","",IF(COUNTIFS('Predictions'!$A$7:$A$306,A189)&lt;&gt;1,"Duplicate ID",IF(COUNTIFS('Cases overview'!$A$7:$A$306,B189)&lt;&gt;1,"Invalid case ref",IF(COUNTIFS('Plan versions'!$A$7:$A$306,C189,'Plan versions'!$B$7:$B$306,B189,'Plan versions'!$L$7:$L$306,"Frozen")&lt;&gt;1,"Invalid plan ref",IF(OR(NOT(ISNUMBER(D189)),NOT(ISNUMBER(E189)),F189="",I189="",M189="",Q189=""),"Prediction info missing",IF(D189&gt;E189,"Not pre-registered before due",IF(OR(AND(G189&lt;&gt;"",OR(NOT(ISNUMBER(G189)),G189&lt;0,G189&gt;1)),AND(H189&lt;&gt;"",OR(NOT(ISNUMBER(H189)),H189&lt;0,H189&gt;1))),"Invalid probability",IF(AND(I189="Resolved",OR(NOT(ISNUMBER(J189)),AND(J189&lt;&gt;0,J189&lt;&gt;1),NOT(ISNUMBER(K189)),L189="")),"Resolution evidence missing",IF(AND(I189="Resolved",D189&gt;K189),"Retroactive: not scored","Valid input")))))))))</x:f>
      </x:c>
    </x:row>
    <x:row r="190" ht="25" customHeight="1">
      <x:c r="A190" s="3"/>
      <x:c r="B190" s="3"/>
      <x:c r="C190" s="3"/>
      <x:c r="D190" s="25"/>
      <x:c r="E190" s="25"/>
      <x:c r="F190" s="3"/>
      <x:c r="G190" s="26"/>
      <x:c r="H190" s="26"/>
      <x:c r="I190" s="3"/>
      <x:c r="J190" s="22"/>
      <x:c r="K190" s="25"/>
      <x:c r="L190" s="3"/>
      <x:c r="M190" s="3"/>
      <x:c r="N190" s="24" t="str">
        <x:f>IF(AND(R190="Valid input",I190="Resolved",M190="Yes",ISNUMBER(G190)),(G190-J190)^2,"")</x:f>
      </x:c>
      <x:c r="O190" s="24" t="str">
        <x:f>IF(AND(ISNUMBER(N190),ISNUMBER(H190)),(H190-J190)^2,"")</x:f>
      </x:c>
      <x:c r="P190" s="24" t="str">
        <x:f>IF(AND(ISNUMBER(N190),ISNUMBER(O190)),O190-N190,"")</x:f>
      </x:c>
      <x:c r="Q190" s="3"/>
      <x:c r="R190" s="19" t="str">
        <x:f>IF(A190="","",IF(COUNTIFS('Predictions'!$A$7:$A$306,A190)&lt;&gt;1,"Duplicate ID",IF(COUNTIFS('Cases overview'!$A$7:$A$306,B190)&lt;&gt;1,"Invalid case ref",IF(COUNTIFS('Plan versions'!$A$7:$A$306,C190,'Plan versions'!$B$7:$B$306,B190,'Plan versions'!$L$7:$L$306,"Frozen")&lt;&gt;1,"Invalid plan ref",IF(OR(NOT(ISNUMBER(D190)),NOT(ISNUMBER(E190)),F190="",I190="",M190="",Q190=""),"Prediction info missing",IF(D190&gt;E190,"Not pre-registered before due",IF(OR(AND(G190&lt;&gt;"",OR(NOT(ISNUMBER(G190)),G190&lt;0,G190&gt;1)),AND(H190&lt;&gt;"",OR(NOT(ISNUMBER(H190)),H190&lt;0,H190&gt;1))),"Invalid probability",IF(AND(I190="Resolved",OR(NOT(ISNUMBER(J190)),AND(J190&lt;&gt;0,J190&lt;&gt;1),NOT(ISNUMBER(K190)),L190="")),"Resolution evidence missing",IF(AND(I190="Resolved",D190&gt;K190),"Retroactive: not scored","Valid input")))))))))</x:f>
      </x:c>
    </x:row>
    <x:row r="191" ht="25" customHeight="1">
      <x:c r="A191" s="3"/>
      <x:c r="B191" s="3"/>
      <x:c r="C191" s="3"/>
      <x:c r="D191" s="25"/>
      <x:c r="E191" s="25"/>
      <x:c r="F191" s="3"/>
      <x:c r="G191" s="26"/>
      <x:c r="H191" s="26"/>
      <x:c r="I191" s="3"/>
      <x:c r="J191" s="22"/>
      <x:c r="K191" s="25"/>
      <x:c r="L191" s="3"/>
      <x:c r="M191" s="3"/>
      <x:c r="N191" s="24" t="str">
        <x:f>IF(AND(R191="Valid input",I191="Resolved",M191="Yes",ISNUMBER(G191)),(G191-J191)^2,"")</x:f>
      </x:c>
      <x:c r="O191" s="24" t="str">
        <x:f>IF(AND(ISNUMBER(N191),ISNUMBER(H191)),(H191-J191)^2,"")</x:f>
      </x:c>
      <x:c r="P191" s="24" t="str">
        <x:f>IF(AND(ISNUMBER(N191),ISNUMBER(O191)),O191-N191,"")</x:f>
      </x:c>
      <x:c r="Q191" s="3"/>
      <x:c r="R191" s="19" t="str">
        <x:f>IF(A191="","",IF(COUNTIFS('Predictions'!$A$7:$A$306,A191)&lt;&gt;1,"Duplicate ID",IF(COUNTIFS('Cases overview'!$A$7:$A$306,B191)&lt;&gt;1,"Invalid case ref",IF(COUNTIFS('Plan versions'!$A$7:$A$306,C191,'Plan versions'!$B$7:$B$306,B191,'Plan versions'!$L$7:$L$306,"Frozen")&lt;&gt;1,"Invalid plan ref",IF(OR(NOT(ISNUMBER(D191)),NOT(ISNUMBER(E191)),F191="",I191="",M191="",Q191=""),"Prediction info missing",IF(D191&gt;E191,"Not pre-registered before due",IF(OR(AND(G191&lt;&gt;"",OR(NOT(ISNUMBER(G191)),G191&lt;0,G191&gt;1)),AND(H191&lt;&gt;"",OR(NOT(ISNUMBER(H191)),H191&lt;0,H191&gt;1))),"Invalid probability",IF(AND(I191="Resolved",OR(NOT(ISNUMBER(J191)),AND(J191&lt;&gt;0,J191&lt;&gt;1),NOT(ISNUMBER(K191)),L191="")),"Resolution evidence missing",IF(AND(I191="Resolved",D191&gt;K191),"Retroactive: not scored","Valid input")))))))))</x:f>
      </x:c>
    </x:row>
    <x:row r="192" ht="25" customHeight="1">
      <x:c r="A192" s="3"/>
      <x:c r="B192" s="3"/>
      <x:c r="C192" s="3"/>
      <x:c r="D192" s="25"/>
      <x:c r="E192" s="25"/>
      <x:c r="F192" s="3"/>
      <x:c r="G192" s="26"/>
      <x:c r="H192" s="26"/>
      <x:c r="I192" s="3"/>
      <x:c r="J192" s="22"/>
      <x:c r="K192" s="25"/>
      <x:c r="L192" s="3"/>
      <x:c r="M192" s="3"/>
      <x:c r="N192" s="24" t="str">
        <x:f>IF(AND(R192="Valid input",I192="Resolved",M192="Yes",ISNUMBER(G192)),(G192-J192)^2,"")</x:f>
      </x:c>
      <x:c r="O192" s="24" t="str">
        <x:f>IF(AND(ISNUMBER(N192),ISNUMBER(H192)),(H192-J192)^2,"")</x:f>
      </x:c>
      <x:c r="P192" s="24" t="str">
        <x:f>IF(AND(ISNUMBER(N192),ISNUMBER(O192)),O192-N192,"")</x:f>
      </x:c>
      <x:c r="Q192" s="3"/>
      <x:c r="R192" s="19" t="str">
        <x:f>IF(A192="","",IF(COUNTIFS('Predictions'!$A$7:$A$306,A192)&lt;&gt;1,"Duplicate ID",IF(COUNTIFS('Cases overview'!$A$7:$A$306,B192)&lt;&gt;1,"Invalid case ref",IF(COUNTIFS('Plan versions'!$A$7:$A$306,C192,'Plan versions'!$B$7:$B$306,B192,'Plan versions'!$L$7:$L$306,"Frozen")&lt;&gt;1,"Invalid plan ref",IF(OR(NOT(ISNUMBER(D192)),NOT(ISNUMBER(E192)),F192="",I192="",M192="",Q192=""),"Prediction info missing",IF(D192&gt;E192,"Not pre-registered before due",IF(OR(AND(G192&lt;&gt;"",OR(NOT(ISNUMBER(G192)),G192&lt;0,G192&gt;1)),AND(H192&lt;&gt;"",OR(NOT(ISNUMBER(H192)),H192&lt;0,H192&gt;1))),"Invalid probability",IF(AND(I192="Resolved",OR(NOT(ISNUMBER(J192)),AND(J192&lt;&gt;0,J192&lt;&gt;1),NOT(ISNUMBER(K192)),L192="")),"Resolution evidence missing",IF(AND(I192="Resolved",D192&gt;K192),"Retroactive: not scored","Valid input")))))))))</x:f>
      </x:c>
    </x:row>
    <x:row r="193" ht="25" customHeight="1">
      <x:c r="A193" s="3"/>
      <x:c r="B193" s="3"/>
      <x:c r="C193" s="3"/>
      <x:c r="D193" s="25"/>
      <x:c r="E193" s="25"/>
      <x:c r="F193" s="3"/>
      <x:c r="G193" s="26"/>
      <x:c r="H193" s="26"/>
      <x:c r="I193" s="3"/>
      <x:c r="J193" s="22"/>
      <x:c r="K193" s="25"/>
      <x:c r="L193" s="3"/>
      <x:c r="M193" s="3"/>
      <x:c r="N193" s="24" t="str">
        <x:f>IF(AND(R193="Valid input",I193="Resolved",M193="Yes",ISNUMBER(G193)),(G193-J193)^2,"")</x:f>
      </x:c>
      <x:c r="O193" s="24" t="str">
        <x:f>IF(AND(ISNUMBER(N193),ISNUMBER(H193)),(H193-J193)^2,"")</x:f>
      </x:c>
      <x:c r="P193" s="24" t="str">
        <x:f>IF(AND(ISNUMBER(N193),ISNUMBER(O193)),O193-N193,"")</x:f>
      </x:c>
      <x:c r="Q193" s="3"/>
      <x:c r="R193" s="19" t="str">
        <x:f>IF(A193="","",IF(COUNTIFS('Predictions'!$A$7:$A$306,A193)&lt;&gt;1,"Duplicate ID",IF(COUNTIFS('Cases overview'!$A$7:$A$306,B193)&lt;&gt;1,"Invalid case ref",IF(COUNTIFS('Plan versions'!$A$7:$A$306,C193,'Plan versions'!$B$7:$B$306,B193,'Plan versions'!$L$7:$L$306,"Frozen")&lt;&gt;1,"Invalid plan ref",IF(OR(NOT(ISNUMBER(D193)),NOT(ISNUMBER(E193)),F193="",I193="",M193="",Q193=""),"Prediction info missing",IF(D193&gt;E193,"Not pre-registered before due",IF(OR(AND(G193&lt;&gt;"",OR(NOT(ISNUMBER(G193)),G193&lt;0,G193&gt;1)),AND(H193&lt;&gt;"",OR(NOT(ISNUMBER(H193)),H193&lt;0,H193&gt;1))),"Invalid probability",IF(AND(I193="Resolved",OR(NOT(ISNUMBER(J193)),AND(J193&lt;&gt;0,J193&lt;&gt;1),NOT(ISNUMBER(K193)),L193="")),"Resolution evidence missing",IF(AND(I193="Resolved",D193&gt;K193),"Retroactive: not scored","Valid input")))))))))</x:f>
      </x:c>
    </x:row>
    <x:row r="194" ht="25" customHeight="1">
      <x:c r="A194" s="3"/>
      <x:c r="B194" s="3"/>
      <x:c r="C194" s="3"/>
      <x:c r="D194" s="25"/>
      <x:c r="E194" s="25"/>
      <x:c r="F194" s="3"/>
      <x:c r="G194" s="26"/>
      <x:c r="H194" s="26"/>
      <x:c r="I194" s="3"/>
      <x:c r="J194" s="22"/>
      <x:c r="K194" s="25"/>
      <x:c r="L194" s="3"/>
      <x:c r="M194" s="3"/>
      <x:c r="N194" s="24" t="str">
        <x:f>IF(AND(R194="Valid input",I194="Resolved",M194="Yes",ISNUMBER(G194)),(G194-J194)^2,"")</x:f>
      </x:c>
      <x:c r="O194" s="24" t="str">
        <x:f>IF(AND(ISNUMBER(N194),ISNUMBER(H194)),(H194-J194)^2,"")</x:f>
      </x:c>
      <x:c r="P194" s="24" t="str">
        <x:f>IF(AND(ISNUMBER(N194),ISNUMBER(O194)),O194-N194,"")</x:f>
      </x:c>
      <x:c r="Q194" s="3"/>
      <x:c r="R194" s="19" t="str">
        <x:f>IF(A194="","",IF(COUNTIFS('Predictions'!$A$7:$A$306,A194)&lt;&gt;1,"Duplicate ID",IF(COUNTIFS('Cases overview'!$A$7:$A$306,B194)&lt;&gt;1,"Invalid case ref",IF(COUNTIFS('Plan versions'!$A$7:$A$306,C194,'Plan versions'!$B$7:$B$306,B194,'Plan versions'!$L$7:$L$306,"Frozen")&lt;&gt;1,"Invalid plan ref",IF(OR(NOT(ISNUMBER(D194)),NOT(ISNUMBER(E194)),F194="",I194="",M194="",Q194=""),"Prediction info missing",IF(D194&gt;E194,"Not pre-registered before due",IF(OR(AND(G194&lt;&gt;"",OR(NOT(ISNUMBER(G194)),G194&lt;0,G194&gt;1)),AND(H194&lt;&gt;"",OR(NOT(ISNUMBER(H194)),H194&lt;0,H194&gt;1))),"Invalid probability",IF(AND(I194="Resolved",OR(NOT(ISNUMBER(J194)),AND(J194&lt;&gt;0,J194&lt;&gt;1),NOT(ISNUMBER(K194)),L194="")),"Resolution evidence missing",IF(AND(I194="Resolved",D194&gt;K194),"Retroactive: not scored","Valid input")))))))))</x:f>
      </x:c>
    </x:row>
    <x:row r="195" ht="25" customHeight="1">
      <x:c r="A195" s="3"/>
      <x:c r="B195" s="3"/>
      <x:c r="C195" s="3"/>
      <x:c r="D195" s="25"/>
      <x:c r="E195" s="25"/>
      <x:c r="F195" s="3"/>
      <x:c r="G195" s="26"/>
      <x:c r="H195" s="26"/>
      <x:c r="I195" s="3"/>
      <x:c r="J195" s="22"/>
      <x:c r="K195" s="25"/>
      <x:c r="L195" s="3"/>
      <x:c r="M195" s="3"/>
      <x:c r="N195" s="24" t="str">
        <x:f>IF(AND(R195="Valid input",I195="Resolved",M195="Yes",ISNUMBER(G195)),(G195-J195)^2,"")</x:f>
      </x:c>
      <x:c r="O195" s="24" t="str">
        <x:f>IF(AND(ISNUMBER(N195),ISNUMBER(H195)),(H195-J195)^2,"")</x:f>
      </x:c>
      <x:c r="P195" s="24" t="str">
        <x:f>IF(AND(ISNUMBER(N195),ISNUMBER(O195)),O195-N195,"")</x:f>
      </x:c>
      <x:c r="Q195" s="3"/>
      <x:c r="R195" s="19" t="str">
        <x:f>IF(A195="","",IF(COUNTIFS('Predictions'!$A$7:$A$306,A195)&lt;&gt;1,"Duplicate ID",IF(COUNTIFS('Cases overview'!$A$7:$A$306,B195)&lt;&gt;1,"Invalid case ref",IF(COUNTIFS('Plan versions'!$A$7:$A$306,C195,'Plan versions'!$B$7:$B$306,B195,'Plan versions'!$L$7:$L$306,"Frozen")&lt;&gt;1,"Invalid plan ref",IF(OR(NOT(ISNUMBER(D195)),NOT(ISNUMBER(E195)),F195="",I195="",M195="",Q195=""),"Prediction info missing",IF(D195&gt;E195,"Not pre-registered before due",IF(OR(AND(G195&lt;&gt;"",OR(NOT(ISNUMBER(G195)),G195&lt;0,G195&gt;1)),AND(H195&lt;&gt;"",OR(NOT(ISNUMBER(H195)),H195&lt;0,H195&gt;1))),"Invalid probability",IF(AND(I195="Resolved",OR(NOT(ISNUMBER(J195)),AND(J195&lt;&gt;0,J195&lt;&gt;1),NOT(ISNUMBER(K195)),L195="")),"Resolution evidence missing",IF(AND(I195="Resolved",D195&gt;K195),"Retroactive: not scored","Valid input")))))))))</x:f>
      </x:c>
    </x:row>
    <x:row r="196" ht="25" customHeight="1">
      <x:c r="A196" s="3"/>
      <x:c r="B196" s="3"/>
      <x:c r="C196" s="3"/>
      <x:c r="D196" s="25"/>
      <x:c r="E196" s="25"/>
      <x:c r="F196" s="3"/>
      <x:c r="G196" s="26"/>
      <x:c r="H196" s="26"/>
      <x:c r="I196" s="3"/>
      <x:c r="J196" s="22"/>
      <x:c r="K196" s="25"/>
      <x:c r="L196" s="3"/>
      <x:c r="M196" s="3"/>
      <x:c r="N196" s="24" t="str">
        <x:f>IF(AND(R196="Valid input",I196="Resolved",M196="Yes",ISNUMBER(G196)),(G196-J196)^2,"")</x:f>
      </x:c>
      <x:c r="O196" s="24" t="str">
        <x:f>IF(AND(ISNUMBER(N196),ISNUMBER(H196)),(H196-J196)^2,"")</x:f>
      </x:c>
      <x:c r="P196" s="24" t="str">
        <x:f>IF(AND(ISNUMBER(N196),ISNUMBER(O196)),O196-N196,"")</x:f>
      </x:c>
      <x:c r="Q196" s="3"/>
      <x:c r="R196" s="19" t="str">
        <x:f>IF(A196="","",IF(COUNTIFS('Predictions'!$A$7:$A$306,A196)&lt;&gt;1,"Duplicate ID",IF(COUNTIFS('Cases overview'!$A$7:$A$306,B196)&lt;&gt;1,"Invalid case ref",IF(COUNTIFS('Plan versions'!$A$7:$A$306,C196,'Plan versions'!$B$7:$B$306,B196,'Plan versions'!$L$7:$L$306,"Frozen")&lt;&gt;1,"Invalid plan ref",IF(OR(NOT(ISNUMBER(D196)),NOT(ISNUMBER(E196)),F196="",I196="",M196="",Q196=""),"Prediction info missing",IF(D196&gt;E196,"Not pre-registered before due",IF(OR(AND(G196&lt;&gt;"",OR(NOT(ISNUMBER(G196)),G196&lt;0,G196&gt;1)),AND(H196&lt;&gt;"",OR(NOT(ISNUMBER(H196)),H196&lt;0,H196&gt;1))),"Invalid probability",IF(AND(I196="Resolved",OR(NOT(ISNUMBER(J196)),AND(J196&lt;&gt;0,J196&lt;&gt;1),NOT(ISNUMBER(K196)),L196="")),"Resolution evidence missing",IF(AND(I196="Resolved",D196&gt;K196),"Retroactive: not scored","Valid input")))))))))</x:f>
      </x:c>
    </x:row>
    <x:row r="197" ht="25" customHeight="1">
      <x:c r="A197" s="3"/>
      <x:c r="B197" s="3"/>
      <x:c r="C197" s="3"/>
      <x:c r="D197" s="25"/>
      <x:c r="E197" s="25"/>
      <x:c r="F197" s="3"/>
      <x:c r="G197" s="26"/>
      <x:c r="H197" s="26"/>
      <x:c r="I197" s="3"/>
      <x:c r="J197" s="22"/>
      <x:c r="K197" s="25"/>
      <x:c r="L197" s="3"/>
      <x:c r="M197" s="3"/>
      <x:c r="N197" s="24" t="str">
        <x:f>IF(AND(R197="Valid input",I197="Resolved",M197="Yes",ISNUMBER(G197)),(G197-J197)^2,"")</x:f>
      </x:c>
      <x:c r="O197" s="24" t="str">
        <x:f>IF(AND(ISNUMBER(N197),ISNUMBER(H197)),(H197-J197)^2,"")</x:f>
      </x:c>
      <x:c r="P197" s="24" t="str">
        <x:f>IF(AND(ISNUMBER(N197),ISNUMBER(O197)),O197-N197,"")</x:f>
      </x:c>
      <x:c r="Q197" s="3"/>
      <x:c r="R197" s="19" t="str">
        <x:f>IF(A197="","",IF(COUNTIFS('Predictions'!$A$7:$A$306,A197)&lt;&gt;1,"Duplicate ID",IF(COUNTIFS('Cases overview'!$A$7:$A$306,B197)&lt;&gt;1,"Invalid case ref",IF(COUNTIFS('Plan versions'!$A$7:$A$306,C197,'Plan versions'!$B$7:$B$306,B197,'Plan versions'!$L$7:$L$306,"Frozen")&lt;&gt;1,"Invalid plan ref",IF(OR(NOT(ISNUMBER(D197)),NOT(ISNUMBER(E197)),F197="",I197="",M197="",Q197=""),"Prediction info missing",IF(D197&gt;E197,"Not pre-registered before due",IF(OR(AND(G197&lt;&gt;"",OR(NOT(ISNUMBER(G197)),G197&lt;0,G197&gt;1)),AND(H197&lt;&gt;"",OR(NOT(ISNUMBER(H197)),H197&lt;0,H197&gt;1))),"Invalid probability",IF(AND(I197="Resolved",OR(NOT(ISNUMBER(J197)),AND(J197&lt;&gt;0,J197&lt;&gt;1),NOT(ISNUMBER(K197)),L197="")),"Resolution evidence missing",IF(AND(I197="Resolved",D197&gt;K197),"Retroactive: not scored","Valid input")))))))))</x:f>
      </x:c>
    </x:row>
    <x:row r="198" ht="25" customHeight="1">
      <x:c r="A198" s="3"/>
      <x:c r="B198" s="3"/>
      <x:c r="C198" s="3"/>
      <x:c r="D198" s="25"/>
      <x:c r="E198" s="25"/>
      <x:c r="F198" s="3"/>
      <x:c r="G198" s="26"/>
      <x:c r="H198" s="26"/>
      <x:c r="I198" s="3"/>
      <x:c r="J198" s="22"/>
      <x:c r="K198" s="25"/>
      <x:c r="L198" s="3"/>
      <x:c r="M198" s="3"/>
      <x:c r="N198" s="24" t="str">
        <x:f>IF(AND(R198="Valid input",I198="Resolved",M198="Yes",ISNUMBER(G198)),(G198-J198)^2,"")</x:f>
      </x:c>
      <x:c r="O198" s="24" t="str">
        <x:f>IF(AND(ISNUMBER(N198),ISNUMBER(H198)),(H198-J198)^2,"")</x:f>
      </x:c>
      <x:c r="P198" s="24" t="str">
        <x:f>IF(AND(ISNUMBER(N198),ISNUMBER(O198)),O198-N198,"")</x:f>
      </x:c>
      <x:c r="Q198" s="3"/>
      <x:c r="R198" s="19" t="str">
        <x:f>IF(A198="","",IF(COUNTIFS('Predictions'!$A$7:$A$306,A198)&lt;&gt;1,"Duplicate ID",IF(COUNTIFS('Cases overview'!$A$7:$A$306,B198)&lt;&gt;1,"Invalid case ref",IF(COUNTIFS('Plan versions'!$A$7:$A$306,C198,'Plan versions'!$B$7:$B$306,B198,'Plan versions'!$L$7:$L$306,"Frozen")&lt;&gt;1,"Invalid plan ref",IF(OR(NOT(ISNUMBER(D198)),NOT(ISNUMBER(E198)),F198="",I198="",M198="",Q198=""),"Prediction info missing",IF(D198&gt;E198,"Not pre-registered before due",IF(OR(AND(G198&lt;&gt;"",OR(NOT(ISNUMBER(G198)),G198&lt;0,G198&gt;1)),AND(H198&lt;&gt;"",OR(NOT(ISNUMBER(H198)),H198&lt;0,H198&gt;1))),"Invalid probability",IF(AND(I198="Resolved",OR(NOT(ISNUMBER(J198)),AND(J198&lt;&gt;0,J198&lt;&gt;1),NOT(ISNUMBER(K198)),L198="")),"Resolution evidence missing",IF(AND(I198="Resolved",D198&gt;K198),"Retroactive: not scored","Valid input")))))))))</x:f>
      </x:c>
    </x:row>
    <x:row r="199" ht="25" customHeight="1">
      <x:c r="A199" s="3"/>
      <x:c r="B199" s="3"/>
      <x:c r="C199" s="3"/>
      <x:c r="D199" s="25"/>
      <x:c r="E199" s="25"/>
      <x:c r="F199" s="3"/>
      <x:c r="G199" s="26"/>
      <x:c r="H199" s="26"/>
      <x:c r="I199" s="3"/>
      <x:c r="J199" s="22"/>
      <x:c r="K199" s="25"/>
      <x:c r="L199" s="3"/>
      <x:c r="M199" s="3"/>
      <x:c r="N199" s="24" t="str">
        <x:f>IF(AND(R199="Valid input",I199="Resolved",M199="Yes",ISNUMBER(G199)),(G199-J199)^2,"")</x:f>
      </x:c>
      <x:c r="O199" s="24" t="str">
        <x:f>IF(AND(ISNUMBER(N199),ISNUMBER(H199)),(H199-J199)^2,"")</x:f>
      </x:c>
      <x:c r="P199" s="24" t="str">
        <x:f>IF(AND(ISNUMBER(N199),ISNUMBER(O199)),O199-N199,"")</x:f>
      </x:c>
      <x:c r="Q199" s="3"/>
      <x:c r="R199" s="19" t="str">
        <x:f>IF(A199="","",IF(COUNTIFS('Predictions'!$A$7:$A$306,A199)&lt;&gt;1,"Duplicate ID",IF(COUNTIFS('Cases overview'!$A$7:$A$306,B199)&lt;&gt;1,"Invalid case ref",IF(COUNTIFS('Plan versions'!$A$7:$A$306,C199,'Plan versions'!$B$7:$B$306,B199,'Plan versions'!$L$7:$L$306,"Frozen")&lt;&gt;1,"Invalid plan ref",IF(OR(NOT(ISNUMBER(D199)),NOT(ISNUMBER(E199)),F199="",I199="",M199="",Q199=""),"Prediction info missing",IF(D199&gt;E199,"Not pre-registered before due",IF(OR(AND(G199&lt;&gt;"",OR(NOT(ISNUMBER(G199)),G199&lt;0,G199&gt;1)),AND(H199&lt;&gt;"",OR(NOT(ISNUMBER(H199)),H199&lt;0,H199&gt;1))),"Invalid probability",IF(AND(I199="Resolved",OR(NOT(ISNUMBER(J199)),AND(J199&lt;&gt;0,J199&lt;&gt;1),NOT(ISNUMBER(K199)),L199="")),"Resolution evidence missing",IF(AND(I199="Resolved",D199&gt;K199),"Retroactive: not scored","Valid input")))))))))</x:f>
      </x:c>
    </x:row>
    <x:row r="200" ht="25" customHeight="1">
      <x:c r="A200" s="3"/>
      <x:c r="B200" s="3"/>
      <x:c r="C200" s="3"/>
      <x:c r="D200" s="25"/>
      <x:c r="E200" s="25"/>
      <x:c r="F200" s="3"/>
      <x:c r="G200" s="26"/>
      <x:c r="H200" s="26"/>
      <x:c r="I200" s="3"/>
      <x:c r="J200" s="22"/>
      <x:c r="K200" s="25"/>
      <x:c r="L200" s="3"/>
      <x:c r="M200" s="3"/>
      <x:c r="N200" s="24" t="str">
        <x:f>IF(AND(R200="Valid input",I200="Resolved",M200="Yes",ISNUMBER(G200)),(G200-J200)^2,"")</x:f>
      </x:c>
      <x:c r="O200" s="24" t="str">
        <x:f>IF(AND(ISNUMBER(N200),ISNUMBER(H200)),(H200-J200)^2,"")</x:f>
      </x:c>
      <x:c r="P200" s="24" t="str">
        <x:f>IF(AND(ISNUMBER(N200),ISNUMBER(O200)),O200-N200,"")</x:f>
      </x:c>
      <x:c r="Q200" s="3"/>
      <x:c r="R200" s="19" t="str">
        <x:f>IF(A200="","",IF(COUNTIFS('Predictions'!$A$7:$A$306,A200)&lt;&gt;1,"Duplicate ID",IF(COUNTIFS('Cases overview'!$A$7:$A$306,B200)&lt;&gt;1,"Invalid case ref",IF(COUNTIFS('Plan versions'!$A$7:$A$306,C200,'Plan versions'!$B$7:$B$306,B200,'Plan versions'!$L$7:$L$306,"Frozen")&lt;&gt;1,"Invalid plan ref",IF(OR(NOT(ISNUMBER(D200)),NOT(ISNUMBER(E200)),F200="",I200="",M200="",Q200=""),"Prediction info missing",IF(D200&gt;E200,"Not pre-registered before due",IF(OR(AND(G200&lt;&gt;"",OR(NOT(ISNUMBER(G200)),G200&lt;0,G200&gt;1)),AND(H200&lt;&gt;"",OR(NOT(ISNUMBER(H200)),H200&lt;0,H200&gt;1))),"Invalid probability",IF(AND(I200="Resolved",OR(NOT(ISNUMBER(J200)),AND(J200&lt;&gt;0,J200&lt;&gt;1),NOT(ISNUMBER(K200)),L200="")),"Resolution evidence missing",IF(AND(I200="Resolved",D200&gt;K200),"Retroactive: not scored","Valid input")))))))))</x:f>
      </x:c>
    </x:row>
    <x:row r="201" ht="25" customHeight="1">
      <x:c r="A201" s="3"/>
      <x:c r="B201" s="3"/>
      <x:c r="C201" s="3"/>
      <x:c r="D201" s="25"/>
      <x:c r="E201" s="25"/>
      <x:c r="F201" s="3"/>
      <x:c r="G201" s="26"/>
      <x:c r="H201" s="26"/>
      <x:c r="I201" s="3"/>
      <x:c r="J201" s="22"/>
      <x:c r="K201" s="25"/>
      <x:c r="L201" s="3"/>
      <x:c r="M201" s="3"/>
      <x:c r="N201" s="24" t="str">
        <x:f>IF(AND(R201="Valid input",I201="Resolved",M201="Yes",ISNUMBER(G201)),(G201-J201)^2,"")</x:f>
      </x:c>
      <x:c r="O201" s="24" t="str">
        <x:f>IF(AND(ISNUMBER(N201),ISNUMBER(H201)),(H201-J201)^2,"")</x:f>
      </x:c>
      <x:c r="P201" s="24" t="str">
        <x:f>IF(AND(ISNUMBER(N201),ISNUMBER(O201)),O201-N201,"")</x:f>
      </x:c>
      <x:c r="Q201" s="3"/>
      <x:c r="R201" s="19" t="str">
        <x:f>IF(A201="","",IF(COUNTIFS('Predictions'!$A$7:$A$306,A201)&lt;&gt;1,"Duplicate ID",IF(COUNTIFS('Cases overview'!$A$7:$A$306,B201)&lt;&gt;1,"Invalid case ref",IF(COUNTIFS('Plan versions'!$A$7:$A$306,C201,'Plan versions'!$B$7:$B$306,B201,'Plan versions'!$L$7:$L$306,"Frozen")&lt;&gt;1,"Invalid plan ref",IF(OR(NOT(ISNUMBER(D201)),NOT(ISNUMBER(E201)),F201="",I201="",M201="",Q201=""),"Prediction info missing",IF(D201&gt;E201,"Not pre-registered before due",IF(OR(AND(G201&lt;&gt;"",OR(NOT(ISNUMBER(G201)),G201&lt;0,G201&gt;1)),AND(H201&lt;&gt;"",OR(NOT(ISNUMBER(H201)),H201&lt;0,H201&gt;1))),"Invalid probability",IF(AND(I201="Resolved",OR(NOT(ISNUMBER(J201)),AND(J201&lt;&gt;0,J201&lt;&gt;1),NOT(ISNUMBER(K201)),L201="")),"Resolution evidence missing",IF(AND(I201="Resolved",D201&gt;K201),"Retroactive: not scored","Valid input")))))))))</x:f>
      </x:c>
    </x:row>
    <x:row r="202" ht="25" customHeight="1">
      <x:c r="A202" s="3"/>
      <x:c r="B202" s="3"/>
      <x:c r="C202" s="3"/>
      <x:c r="D202" s="25"/>
      <x:c r="E202" s="25"/>
      <x:c r="F202" s="3"/>
      <x:c r="G202" s="26"/>
      <x:c r="H202" s="26"/>
      <x:c r="I202" s="3"/>
      <x:c r="J202" s="22"/>
      <x:c r="K202" s="25"/>
      <x:c r="L202" s="3"/>
      <x:c r="M202" s="3"/>
      <x:c r="N202" s="24" t="str">
        <x:f>IF(AND(R202="Valid input",I202="Resolved",M202="Yes",ISNUMBER(G202)),(G202-J202)^2,"")</x:f>
      </x:c>
      <x:c r="O202" s="24" t="str">
        <x:f>IF(AND(ISNUMBER(N202),ISNUMBER(H202)),(H202-J202)^2,"")</x:f>
      </x:c>
      <x:c r="P202" s="24" t="str">
        <x:f>IF(AND(ISNUMBER(N202),ISNUMBER(O202)),O202-N202,"")</x:f>
      </x:c>
      <x:c r="Q202" s="3"/>
      <x:c r="R202" s="19" t="str">
        <x:f>IF(A202="","",IF(COUNTIFS('Predictions'!$A$7:$A$306,A202)&lt;&gt;1,"Duplicate ID",IF(COUNTIFS('Cases overview'!$A$7:$A$306,B202)&lt;&gt;1,"Invalid case ref",IF(COUNTIFS('Plan versions'!$A$7:$A$306,C202,'Plan versions'!$B$7:$B$306,B202,'Plan versions'!$L$7:$L$306,"Frozen")&lt;&gt;1,"Invalid plan ref",IF(OR(NOT(ISNUMBER(D202)),NOT(ISNUMBER(E202)),F202="",I202="",M202="",Q202=""),"Prediction info missing",IF(D202&gt;E202,"Not pre-registered before due",IF(OR(AND(G202&lt;&gt;"",OR(NOT(ISNUMBER(G202)),G202&lt;0,G202&gt;1)),AND(H202&lt;&gt;"",OR(NOT(ISNUMBER(H202)),H202&lt;0,H202&gt;1))),"Invalid probability",IF(AND(I202="Resolved",OR(NOT(ISNUMBER(J202)),AND(J202&lt;&gt;0,J202&lt;&gt;1),NOT(ISNUMBER(K202)),L202="")),"Resolution evidence missing",IF(AND(I202="Resolved",D202&gt;K202),"Retroactive: not scored","Valid input")))))))))</x:f>
      </x:c>
    </x:row>
    <x:row r="203" ht="25" customHeight="1">
      <x:c r="A203" s="3"/>
      <x:c r="B203" s="3"/>
      <x:c r="C203" s="3"/>
      <x:c r="D203" s="25"/>
      <x:c r="E203" s="25"/>
      <x:c r="F203" s="3"/>
      <x:c r="G203" s="26"/>
      <x:c r="H203" s="26"/>
      <x:c r="I203" s="3"/>
      <x:c r="J203" s="22"/>
      <x:c r="K203" s="25"/>
      <x:c r="L203" s="3"/>
      <x:c r="M203" s="3"/>
      <x:c r="N203" s="24" t="str">
        <x:f>IF(AND(R203="Valid input",I203="Resolved",M203="Yes",ISNUMBER(G203)),(G203-J203)^2,"")</x:f>
      </x:c>
      <x:c r="O203" s="24" t="str">
        <x:f>IF(AND(ISNUMBER(N203),ISNUMBER(H203)),(H203-J203)^2,"")</x:f>
      </x:c>
      <x:c r="P203" s="24" t="str">
        <x:f>IF(AND(ISNUMBER(N203),ISNUMBER(O203)),O203-N203,"")</x:f>
      </x:c>
      <x:c r="Q203" s="3"/>
      <x:c r="R203" s="19" t="str">
        <x:f>IF(A203="","",IF(COUNTIFS('Predictions'!$A$7:$A$306,A203)&lt;&gt;1,"Duplicate ID",IF(COUNTIFS('Cases overview'!$A$7:$A$306,B203)&lt;&gt;1,"Invalid case ref",IF(COUNTIFS('Plan versions'!$A$7:$A$306,C203,'Plan versions'!$B$7:$B$306,B203,'Plan versions'!$L$7:$L$306,"Frozen")&lt;&gt;1,"Invalid plan ref",IF(OR(NOT(ISNUMBER(D203)),NOT(ISNUMBER(E203)),F203="",I203="",M203="",Q203=""),"Prediction info missing",IF(D203&gt;E203,"Not pre-registered before due",IF(OR(AND(G203&lt;&gt;"",OR(NOT(ISNUMBER(G203)),G203&lt;0,G203&gt;1)),AND(H203&lt;&gt;"",OR(NOT(ISNUMBER(H203)),H203&lt;0,H203&gt;1))),"Invalid probability",IF(AND(I203="Resolved",OR(NOT(ISNUMBER(J203)),AND(J203&lt;&gt;0,J203&lt;&gt;1),NOT(ISNUMBER(K203)),L203="")),"Resolution evidence missing",IF(AND(I203="Resolved",D203&gt;K203),"Retroactive: not scored","Valid input")))))))))</x:f>
      </x:c>
    </x:row>
    <x:row r="204" ht="25" customHeight="1">
      <x:c r="A204" s="3"/>
      <x:c r="B204" s="3"/>
      <x:c r="C204" s="3"/>
      <x:c r="D204" s="25"/>
      <x:c r="E204" s="25"/>
      <x:c r="F204" s="3"/>
      <x:c r="G204" s="26"/>
      <x:c r="H204" s="26"/>
      <x:c r="I204" s="3"/>
      <x:c r="J204" s="22"/>
      <x:c r="K204" s="25"/>
      <x:c r="L204" s="3"/>
      <x:c r="M204" s="3"/>
      <x:c r="N204" s="24" t="str">
        <x:f>IF(AND(R204="Valid input",I204="Resolved",M204="Yes",ISNUMBER(G204)),(G204-J204)^2,"")</x:f>
      </x:c>
      <x:c r="O204" s="24" t="str">
        <x:f>IF(AND(ISNUMBER(N204),ISNUMBER(H204)),(H204-J204)^2,"")</x:f>
      </x:c>
      <x:c r="P204" s="24" t="str">
        <x:f>IF(AND(ISNUMBER(N204),ISNUMBER(O204)),O204-N204,"")</x:f>
      </x:c>
      <x:c r="Q204" s="3"/>
      <x:c r="R204" s="19" t="str">
        <x:f>IF(A204="","",IF(COUNTIFS('Predictions'!$A$7:$A$306,A204)&lt;&gt;1,"Duplicate ID",IF(COUNTIFS('Cases overview'!$A$7:$A$306,B204)&lt;&gt;1,"Invalid case ref",IF(COUNTIFS('Plan versions'!$A$7:$A$306,C204,'Plan versions'!$B$7:$B$306,B204,'Plan versions'!$L$7:$L$306,"Frozen")&lt;&gt;1,"Invalid plan ref",IF(OR(NOT(ISNUMBER(D204)),NOT(ISNUMBER(E204)),F204="",I204="",M204="",Q204=""),"Prediction info missing",IF(D204&gt;E204,"Not pre-registered before due",IF(OR(AND(G204&lt;&gt;"",OR(NOT(ISNUMBER(G204)),G204&lt;0,G204&gt;1)),AND(H204&lt;&gt;"",OR(NOT(ISNUMBER(H204)),H204&lt;0,H204&gt;1))),"Invalid probability",IF(AND(I204="Resolved",OR(NOT(ISNUMBER(J204)),AND(J204&lt;&gt;0,J204&lt;&gt;1),NOT(ISNUMBER(K204)),L204="")),"Resolution evidence missing",IF(AND(I204="Resolved",D204&gt;K204),"Retroactive: not scored","Valid input")))))))))</x:f>
      </x:c>
    </x:row>
    <x:row r="205" ht="25" customHeight="1">
      <x:c r="A205" s="3"/>
      <x:c r="B205" s="3"/>
      <x:c r="C205" s="3"/>
      <x:c r="D205" s="25"/>
      <x:c r="E205" s="25"/>
      <x:c r="F205" s="3"/>
      <x:c r="G205" s="26"/>
      <x:c r="H205" s="26"/>
      <x:c r="I205" s="3"/>
      <x:c r="J205" s="22"/>
      <x:c r="K205" s="25"/>
      <x:c r="L205" s="3"/>
      <x:c r="M205" s="3"/>
      <x:c r="N205" s="24" t="str">
        <x:f>IF(AND(R205="Valid input",I205="Resolved",M205="Yes",ISNUMBER(G205)),(G205-J205)^2,"")</x:f>
      </x:c>
      <x:c r="O205" s="24" t="str">
        <x:f>IF(AND(ISNUMBER(N205),ISNUMBER(H205)),(H205-J205)^2,"")</x:f>
      </x:c>
      <x:c r="P205" s="24" t="str">
        <x:f>IF(AND(ISNUMBER(N205),ISNUMBER(O205)),O205-N205,"")</x:f>
      </x:c>
      <x:c r="Q205" s="3"/>
      <x:c r="R205" s="19" t="str">
        <x:f>IF(A205="","",IF(COUNTIFS('Predictions'!$A$7:$A$306,A205)&lt;&gt;1,"Duplicate ID",IF(COUNTIFS('Cases overview'!$A$7:$A$306,B205)&lt;&gt;1,"Invalid case ref",IF(COUNTIFS('Plan versions'!$A$7:$A$306,C205,'Plan versions'!$B$7:$B$306,B205,'Plan versions'!$L$7:$L$306,"Frozen")&lt;&gt;1,"Invalid plan ref",IF(OR(NOT(ISNUMBER(D205)),NOT(ISNUMBER(E205)),F205="",I205="",M205="",Q205=""),"Prediction info missing",IF(D205&gt;E205,"Not pre-registered before due",IF(OR(AND(G205&lt;&gt;"",OR(NOT(ISNUMBER(G205)),G205&lt;0,G205&gt;1)),AND(H205&lt;&gt;"",OR(NOT(ISNUMBER(H205)),H205&lt;0,H205&gt;1))),"Invalid probability",IF(AND(I205="Resolved",OR(NOT(ISNUMBER(J205)),AND(J205&lt;&gt;0,J205&lt;&gt;1),NOT(ISNUMBER(K205)),L205="")),"Resolution evidence missing",IF(AND(I205="Resolved",D205&gt;K205),"Retroactive: not scored","Valid input")))))))))</x:f>
      </x:c>
    </x:row>
    <x:row r="206" ht="25" customHeight="1">
      <x:c r="A206" s="3"/>
      <x:c r="B206" s="3"/>
      <x:c r="C206" s="3"/>
      <x:c r="D206" s="25"/>
      <x:c r="E206" s="25"/>
      <x:c r="F206" s="3"/>
      <x:c r="G206" s="26"/>
      <x:c r="H206" s="26"/>
      <x:c r="I206" s="3"/>
      <x:c r="J206" s="22"/>
      <x:c r="K206" s="25"/>
      <x:c r="L206" s="3"/>
      <x:c r="M206" s="3"/>
      <x:c r="N206" s="24" t="str">
        <x:f>IF(AND(R206="Valid input",I206="Resolved",M206="Yes",ISNUMBER(G206)),(G206-J206)^2,"")</x:f>
      </x:c>
      <x:c r="O206" s="24" t="str">
        <x:f>IF(AND(ISNUMBER(N206),ISNUMBER(H206)),(H206-J206)^2,"")</x:f>
      </x:c>
      <x:c r="P206" s="24" t="str">
        <x:f>IF(AND(ISNUMBER(N206),ISNUMBER(O206)),O206-N206,"")</x:f>
      </x:c>
      <x:c r="Q206" s="3"/>
      <x:c r="R206" s="19" t="str">
        <x:f>IF(A206="","",IF(COUNTIFS('Predictions'!$A$7:$A$306,A206)&lt;&gt;1,"Duplicate ID",IF(COUNTIFS('Cases overview'!$A$7:$A$306,B206)&lt;&gt;1,"Invalid case ref",IF(COUNTIFS('Plan versions'!$A$7:$A$306,C206,'Plan versions'!$B$7:$B$306,B206,'Plan versions'!$L$7:$L$306,"Frozen")&lt;&gt;1,"Invalid plan ref",IF(OR(NOT(ISNUMBER(D206)),NOT(ISNUMBER(E206)),F206="",I206="",M206="",Q206=""),"Prediction info missing",IF(D206&gt;E206,"Not pre-registered before due",IF(OR(AND(G206&lt;&gt;"",OR(NOT(ISNUMBER(G206)),G206&lt;0,G206&gt;1)),AND(H206&lt;&gt;"",OR(NOT(ISNUMBER(H206)),H206&lt;0,H206&gt;1))),"Invalid probability",IF(AND(I206="Resolved",OR(NOT(ISNUMBER(J206)),AND(J206&lt;&gt;0,J206&lt;&gt;1),NOT(ISNUMBER(K206)),L206="")),"Resolution evidence missing",IF(AND(I206="Resolved",D206&gt;K206),"Retroactive: not scored","Valid input")))))))))</x:f>
      </x:c>
    </x:row>
    <x:row r="207" ht="25" customHeight="1">
      <x:c r="A207" s="3"/>
      <x:c r="B207" s="3"/>
      <x:c r="C207" s="3"/>
      <x:c r="D207" s="25"/>
      <x:c r="E207" s="25"/>
      <x:c r="F207" s="3"/>
      <x:c r="G207" s="26"/>
      <x:c r="H207" s="26"/>
      <x:c r="I207" s="3"/>
      <x:c r="J207" s="22"/>
      <x:c r="K207" s="25"/>
      <x:c r="L207" s="3"/>
      <x:c r="M207" s="3"/>
      <x:c r="N207" s="24" t="str">
        <x:f>IF(AND(R207="Valid input",I207="Resolved",M207="Yes",ISNUMBER(G207)),(G207-J207)^2,"")</x:f>
      </x:c>
      <x:c r="O207" s="24" t="str">
        <x:f>IF(AND(ISNUMBER(N207),ISNUMBER(H207)),(H207-J207)^2,"")</x:f>
      </x:c>
      <x:c r="P207" s="24" t="str">
        <x:f>IF(AND(ISNUMBER(N207),ISNUMBER(O207)),O207-N207,"")</x:f>
      </x:c>
      <x:c r="Q207" s="3"/>
      <x:c r="R207" s="19" t="str">
        <x:f>IF(A207="","",IF(COUNTIFS('Predictions'!$A$7:$A$306,A207)&lt;&gt;1,"Duplicate ID",IF(COUNTIFS('Cases overview'!$A$7:$A$306,B207)&lt;&gt;1,"Invalid case ref",IF(COUNTIFS('Plan versions'!$A$7:$A$306,C207,'Plan versions'!$B$7:$B$306,B207,'Plan versions'!$L$7:$L$306,"Frozen")&lt;&gt;1,"Invalid plan ref",IF(OR(NOT(ISNUMBER(D207)),NOT(ISNUMBER(E207)),F207="",I207="",M207="",Q207=""),"Prediction info missing",IF(D207&gt;E207,"Not pre-registered before due",IF(OR(AND(G207&lt;&gt;"",OR(NOT(ISNUMBER(G207)),G207&lt;0,G207&gt;1)),AND(H207&lt;&gt;"",OR(NOT(ISNUMBER(H207)),H207&lt;0,H207&gt;1))),"Invalid probability",IF(AND(I207="Resolved",OR(NOT(ISNUMBER(J207)),AND(J207&lt;&gt;0,J207&lt;&gt;1),NOT(ISNUMBER(K207)),L207="")),"Resolution evidence missing",IF(AND(I207="Resolved",D207&gt;K207),"Retroactive: not scored","Valid input")))))))))</x:f>
      </x:c>
    </x:row>
    <x:row r="208" ht="25" customHeight="1">
      <x:c r="A208" s="3"/>
      <x:c r="B208" s="3"/>
      <x:c r="C208" s="3"/>
      <x:c r="D208" s="25"/>
      <x:c r="E208" s="25"/>
      <x:c r="F208" s="3"/>
      <x:c r="G208" s="26"/>
      <x:c r="H208" s="26"/>
      <x:c r="I208" s="3"/>
      <x:c r="J208" s="22"/>
      <x:c r="K208" s="25"/>
      <x:c r="L208" s="3"/>
      <x:c r="M208" s="3"/>
      <x:c r="N208" s="24" t="str">
        <x:f>IF(AND(R208="Valid input",I208="Resolved",M208="Yes",ISNUMBER(G208)),(G208-J208)^2,"")</x:f>
      </x:c>
      <x:c r="O208" s="24" t="str">
        <x:f>IF(AND(ISNUMBER(N208),ISNUMBER(H208)),(H208-J208)^2,"")</x:f>
      </x:c>
      <x:c r="P208" s="24" t="str">
        <x:f>IF(AND(ISNUMBER(N208),ISNUMBER(O208)),O208-N208,"")</x:f>
      </x:c>
      <x:c r="Q208" s="3"/>
      <x:c r="R208" s="19" t="str">
        <x:f>IF(A208="","",IF(COUNTIFS('Predictions'!$A$7:$A$306,A208)&lt;&gt;1,"Duplicate ID",IF(COUNTIFS('Cases overview'!$A$7:$A$306,B208)&lt;&gt;1,"Invalid case ref",IF(COUNTIFS('Plan versions'!$A$7:$A$306,C208,'Plan versions'!$B$7:$B$306,B208,'Plan versions'!$L$7:$L$306,"Frozen")&lt;&gt;1,"Invalid plan ref",IF(OR(NOT(ISNUMBER(D208)),NOT(ISNUMBER(E208)),F208="",I208="",M208="",Q208=""),"Prediction info missing",IF(D208&gt;E208,"Not pre-registered before due",IF(OR(AND(G208&lt;&gt;"",OR(NOT(ISNUMBER(G208)),G208&lt;0,G208&gt;1)),AND(H208&lt;&gt;"",OR(NOT(ISNUMBER(H208)),H208&lt;0,H208&gt;1))),"Invalid probability",IF(AND(I208="Resolved",OR(NOT(ISNUMBER(J208)),AND(J208&lt;&gt;0,J208&lt;&gt;1),NOT(ISNUMBER(K208)),L208="")),"Resolution evidence missing",IF(AND(I208="Resolved",D208&gt;K208),"Retroactive: not scored","Valid input")))))))))</x:f>
      </x:c>
    </x:row>
    <x:row r="209" ht="25" customHeight="1">
      <x:c r="A209" s="3"/>
      <x:c r="B209" s="3"/>
      <x:c r="C209" s="3"/>
      <x:c r="D209" s="25"/>
      <x:c r="E209" s="25"/>
      <x:c r="F209" s="3"/>
      <x:c r="G209" s="26"/>
      <x:c r="H209" s="26"/>
      <x:c r="I209" s="3"/>
      <x:c r="J209" s="22"/>
      <x:c r="K209" s="25"/>
      <x:c r="L209" s="3"/>
      <x:c r="M209" s="3"/>
      <x:c r="N209" s="24" t="str">
        <x:f>IF(AND(R209="Valid input",I209="Resolved",M209="Yes",ISNUMBER(G209)),(G209-J209)^2,"")</x:f>
      </x:c>
      <x:c r="O209" s="24" t="str">
        <x:f>IF(AND(ISNUMBER(N209),ISNUMBER(H209)),(H209-J209)^2,"")</x:f>
      </x:c>
      <x:c r="P209" s="24" t="str">
        <x:f>IF(AND(ISNUMBER(N209),ISNUMBER(O209)),O209-N209,"")</x:f>
      </x:c>
      <x:c r="Q209" s="3"/>
      <x:c r="R209" s="19" t="str">
        <x:f>IF(A209="","",IF(COUNTIFS('Predictions'!$A$7:$A$306,A209)&lt;&gt;1,"Duplicate ID",IF(COUNTIFS('Cases overview'!$A$7:$A$306,B209)&lt;&gt;1,"Invalid case ref",IF(COUNTIFS('Plan versions'!$A$7:$A$306,C209,'Plan versions'!$B$7:$B$306,B209,'Plan versions'!$L$7:$L$306,"Frozen")&lt;&gt;1,"Invalid plan ref",IF(OR(NOT(ISNUMBER(D209)),NOT(ISNUMBER(E209)),F209="",I209="",M209="",Q209=""),"Prediction info missing",IF(D209&gt;E209,"Not pre-registered before due",IF(OR(AND(G209&lt;&gt;"",OR(NOT(ISNUMBER(G209)),G209&lt;0,G209&gt;1)),AND(H209&lt;&gt;"",OR(NOT(ISNUMBER(H209)),H209&lt;0,H209&gt;1))),"Invalid probability",IF(AND(I209="Resolved",OR(NOT(ISNUMBER(J209)),AND(J209&lt;&gt;0,J209&lt;&gt;1),NOT(ISNUMBER(K209)),L209="")),"Resolution evidence missing",IF(AND(I209="Resolved",D209&gt;K209),"Retroactive: not scored","Valid input")))))))))</x:f>
      </x:c>
    </x:row>
    <x:row r="210" ht="25" customHeight="1">
      <x:c r="A210" s="3"/>
      <x:c r="B210" s="3"/>
      <x:c r="C210" s="3"/>
      <x:c r="D210" s="25"/>
      <x:c r="E210" s="25"/>
      <x:c r="F210" s="3"/>
      <x:c r="G210" s="26"/>
      <x:c r="H210" s="26"/>
      <x:c r="I210" s="3"/>
      <x:c r="J210" s="22"/>
      <x:c r="K210" s="25"/>
      <x:c r="L210" s="3"/>
      <x:c r="M210" s="3"/>
      <x:c r="N210" s="24" t="str">
        <x:f>IF(AND(R210="Valid input",I210="Resolved",M210="Yes",ISNUMBER(G210)),(G210-J210)^2,"")</x:f>
      </x:c>
      <x:c r="O210" s="24" t="str">
        <x:f>IF(AND(ISNUMBER(N210),ISNUMBER(H210)),(H210-J210)^2,"")</x:f>
      </x:c>
      <x:c r="P210" s="24" t="str">
        <x:f>IF(AND(ISNUMBER(N210),ISNUMBER(O210)),O210-N210,"")</x:f>
      </x:c>
      <x:c r="Q210" s="3"/>
      <x:c r="R210" s="19" t="str">
        <x:f>IF(A210="","",IF(COUNTIFS('Predictions'!$A$7:$A$306,A210)&lt;&gt;1,"Duplicate ID",IF(COUNTIFS('Cases overview'!$A$7:$A$306,B210)&lt;&gt;1,"Invalid case ref",IF(COUNTIFS('Plan versions'!$A$7:$A$306,C210,'Plan versions'!$B$7:$B$306,B210,'Plan versions'!$L$7:$L$306,"Frozen")&lt;&gt;1,"Invalid plan ref",IF(OR(NOT(ISNUMBER(D210)),NOT(ISNUMBER(E210)),F210="",I210="",M210="",Q210=""),"Prediction info missing",IF(D210&gt;E210,"Not pre-registered before due",IF(OR(AND(G210&lt;&gt;"",OR(NOT(ISNUMBER(G210)),G210&lt;0,G210&gt;1)),AND(H210&lt;&gt;"",OR(NOT(ISNUMBER(H210)),H210&lt;0,H210&gt;1))),"Invalid probability",IF(AND(I210="Resolved",OR(NOT(ISNUMBER(J210)),AND(J210&lt;&gt;0,J210&lt;&gt;1),NOT(ISNUMBER(K210)),L210="")),"Resolution evidence missing",IF(AND(I210="Resolved",D210&gt;K210),"Retroactive: not scored","Valid input")))))))))</x:f>
      </x:c>
    </x:row>
    <x:row r="211" ht="25" customHeight="1">
      <x:c r="A211" s="3"/>
      <x:c r="B211" s="3"/>
      <x:c r="C211" s="3"/>
      <x:c r="D211" s="25"/>
      <x:c r="E211" s="25"/>
      <x:c r="F211" s="3"/>
      <x:c r="G211" s="26"/>
      <x:c r="H211" s="26"/>
      <x:c r="I211" s="3"/>
      <x:c r="J211" s="22"/>
      <x:c r="K211" s="25"/>
      <x:c r="L211" s="3"/>
      <x:c r="M211" s="3"/>
      <x:c r="N211" s="24" t="str">
        <x:f>IF(AND(R211="Valid input",I211="Resolved",M211="Yes",ISNUMBER(G211)),(G211-J211)^2,"")</x:f>
      </x:c>
      <x:c r="O211" s="24" t="str">
        <x:f>IF(AND(ISNUMBER(N211),ISNUMBER(H211)),(H211-J211)^2,"")</x:f>
      </x:c>
      <x:c r="P211" s="24" t="str">
        <x:f>IF(AND(ISNUMBER(N211),ISNUMBER(O211)),O211-N211,"")</x:f>
      </x:c>
      <x:c r="Q211" s="3"/>
      <x:c r="R211" s="19" t="str">
        <x:f>IF(A211="","",IF(COUNTIFS('Predictions'!$A$7:$A$306,A211)&lt;&gt;1,"Duplicate ID",IF(COUNTIFS('Cases overview'!$A$7:$A$306,B211)&lt;&gt;1,"Invalid case ref",IF(COUNTIFS('Plan versions'!$A$7:$A$306,C211,'Plan versions'!$B$7:$B$306,B211,'Plan versions'!$L$7:$L$306,"Frozen")&lt;&gt;1,"Invalid plan ref",IF(OR(NOT(ISNUMBER(D211)),NOT(ISNUMBER(E211)),F211="",I211="",M211="",Q211=""),"Prediction info missing",IF(D211&gt;E211,"Not pre-registered before due",IF(OR(AND(G211&lt;&gt;"",OR(NOT(ISNUMBER(G211)),G211&lt;0,G211&gt;1)),AND(H211&lt;&gt;"",OR(NOT(ISNUMBER(H211)),H211&lt;0,H211&gt;1))),"Invalid probability",IF(AND(I211="Resolved",OR(NOT(ISNUMBER(J211)),AND(J211&lt;&gt;0,J211&lt;&gt;1),NOT(ISNUMBER(K211)),L211="")),"Resolution evidence missing",IF(AND(I211="Resolved",D211&gt;K211),"Retroactive: not scored","Valid input")))))))))</x:f>
      </x:c>
    </x:row>
    <x:row r="212" ht="25" customHeight="1">
      <x:c r="A212" s="3"/>
      <x:c r="B212" s="3"/>
      <x:c r="C212" s="3"/>
      <x:c r="D212" s="25"/>
      <x:c r="E212" s="25"/>
      <x:c r="F212" s="3"/>
      <x:c r="G212" s="26"/>
      <x:c r="H212" s="26"/>
      <x:c r="I212" s="3"/>
      <x:c r="J212" s="22"/>
      <x:c r="K212" s="25"/>
      <x:c r="L212" s="3"/>
      <x:c r="M212" s="3"/>
      <x:c r="N212" s="24" t="str">
        <x:f>IF(AND(R212="Valid input",I212="Resolved",M212="Yes",ISNUMBER(G212)),(G212-J212)^2,"")</x:f>
      </x:c>
      <x:c r="O212" s="24" t="str">
        <x:f>IF(AND(ISNUMBER(N212),ISNUMBER(H212)),(H212-J212)^2,"")</x:f>
      </x:c>
      <x:c r="P212" s="24" t="str">
        <x:f>IF(AND(ISNUMBER(N212),ISNUMBER(O212)),O212-N212,"")</x:f>
      </x:c>
      <x:c r="Q212" s="3"/>
      <x:c r="R212" s="19" t="str">
        <x:f>IF(A212="","",IF(COUNTIFS('Predictions'!$A$7:$A$306,A212)&lt;&gt;1,"Duplicate ID",IF(COUNTIFS('Cases overview'!$A$7:$A$306,B212)&lt;&gt;1,"Invalid case ref",IF(COUNTIFS('Plan versions'!$A$7:$A$306,C212,'Plan versions'!$B$7:$B$306,B212,'Plan versions'!$L$7:$L$306,"Frozen")&lt;&gt;1,"Invalid plan ref",IF(OR(NOT(ISNUMBER(D212)),NOT(ISNUMBER(E212)),F212="",I212="",M212="",Q212=""),"Prediction info missing",IF(D212&gt;E212,"Not pre-registered before due",IF(OR(AND(G212&lt;&gt;"",OR(NOT(ISNUMBER(G212)),G212&lt;0,G212&gt;1)),AND(H212&lt;&gt;"",OR(NOT(ISNUMBER(H212)),H212&lt;0,H212&gt;1))),"Invalid probability",IF(AND(I212="Resolved",OR(NOT(ISNUMBER(J212)),AND(J212&lt;&gt;0,J212&lt;&gt;1),NOT(ISNUMBER(K212)),L212="")),"Resolution evidence missing",IF(AND(I212="Resolved",D212&gt;K212),"Retroactive: not scored","Valid input")))))))))</x:f>
      </x:c>
    </x:row>
    <x:row r="213" ht="25" customHeight="1">
      <x:c r="A213" s="3"/>
      <x:c r="B213" s="3"/>
      <x:c r="C213" s="3"/>
      <x:c r="D213" s="25"/>
      <x:c r="E213" s="25"/>
      <x:c r="F213" s="3"/>
      <x:c r="G213" s="26"/>
      <x:c r="H213" s="26"/>
      <x:c r="I213" s="3"/>
      <x:c r="J213" s="22"/>
      <x:c r="K213" s="25"/>
      <x:c r="L213" s="3"/>
      <x:c r="M213" s="3"/>
      <x:c r="N213" s="24" t="str">
        <x:f>IF(AND(R213="Valid input",I213="Resolved",M213="Yes",ISNUMBER(G213)),(G213-J213)^2,"")</x:f>
      </x:c>
      <x:c r="O213" s="24" t="str">
        <x:f>IF(AND(ISNUMBER(N213),ISNUMBER(H213)),(H213-J213)^2,"")</x:f>
      </x:c>
      <x:c r="P213" s="24" t="str">
        <x:f>IF(AND(ISNUMBER(N213),ISNUMBER(O213)),O213-N213,"")</x:f>
      </x:c>
      <x:c r="Q213" s="3"/>
      <x:c r="R213" s="19" t="str">
        <x:f>IF(A213="","",IF(COUNTIFS('Predictions'!$A$7:$A$306,A213)&lt;&gt;1,"Duplicate ID",IF(COUNTIFS('Cases overview'!$A$7:$A$306,B213)&lt;&gt;1,"Invalid case ref",IF(COUNTIFS('Plan versions'!$A$7:$A$306,C213,'Plan versions'!$B$7:$B$306,B213,'Plan versions'!$L$7:$L$306,"Frozen")&lt;&gt;1,"Invalid plan ref",IF(OR(NOT(ISNUMBER(D213)),NOT(ISNUMBER(E213)),F213="",I213="",M213="",Q213=""),"Prediction info missing",IF(D213&gt;E213,"Not pre-registered before due",IF(OR(AND(G213&lt;&gt;"",OR(NOT(ISNUMBER(G213)),G213&lt;0,G213&gt;1)),AND(H213&lt;&gt;"",OR(NOT(ISNUMBER(H213)),H213&lt;0,H213&gt;1))),"Invalid probability",IF(AND(I213="Resolved",OR(NOT(ISNUMBER(J213)),AND(J213&lt;&gt;0,J213&lt;&gt;1),NOT(ISNUMBER(K213)),L213="")),"Resolution evidence missing",IF(AND(I213="Resolved",D213&gt;K213),"Retroactive: not scored","Valid input")))))))))</x:f>
      </x:c>
    </x:row>
    <x:row r="214" ht="25" customHeight="1">
      <x:c r="A214" s="3"/>
      <x:c r="B214" s="3"/>
      <x:c r="C214" s="3"/>
      <x:c r="D214" s="25"/>
      <x:c r="E214" s="25"/>
      <x:c r="F214" s="3"/>
      <x:c r="G214" s="26"/>
      <x:c r="H214" s="26"/>
      <x:c r="I214" s="3"/>
      <x:c r="J214" s="22"/>
      <x:c r="K214" s="25"/>
      <x:c r="L214" s="3"/>
      <x:c r="M214" s="3"/>
      <x:c r="N214" s="24" t="str">
        <x:f>IF(AND(R214="Valid input",I214="Resolved",M214="Yes",ISNUMBER(G214)),(G214-J214)^2,"")</x:f>
      </x:c>
      <x:c r="O214" s="24" t="str">
        <x:f>IF(AND(ISNUMBER(N214),ISNUMBER(H214)),(H214-J214)^2,"")</x:f>
      </x:c>
      <x:c r="P214" s="24" t="str">
        <x:f>IF(AND(ISNUMBER(N214),ISNUMBER(O214)),O214-N214,"")</x:f>
      </x:c>
      <x:c r="Q214" s="3"/>
      <x:c r="R214" s="19" t="str">
        <x:f>IF(A214="","",IF(COUNTIFS('Predictions'!$A$7:$A$306,A214)&lt;&gt;1,"Duplicate ID",IF(COUNTIFS('Cases overview'!$A$7:$A$306,B214)&lt;&gt;1,"Invalid case ref",IF(COUNTIFS('Plan versions'!$A$7:$A$306,C214,'Plan versions'!$B$7:$B$306,B214,'Plan versions'!$L$7:$L$306,"Frozen")&lt;&gt;1,"Invalid plan ref",IF(OR(NOT(ISNUMBER(D214)),NOT(ISNUMBER(E214)),F214="",I214="",M214="",Q214=""),"Prediction info missing",IF(D214&gt;E214,"Not pre-registered before due",IF(OR(AND(G214&lt;&gt;"",OR(NOT(ISNUMBER(G214)),G214&lt;0,G214&gt;1)),AND(H214&lt;&gt;"",OR(NOT(ISNUMBER(H214)),H214&lt;0,H214&gt;1))),"Invalid probability",IF(AND(I214="Resolved",OR(NOT(ISNUMBER(J214)),AND(J214&lt;&gt;0,J214&lt;&gt;1),NOT(ISNUMBER(K214)),L214="")),"Resolution evidence missing",IF(AND(I214="Resolved",D214&gt;K214),"Retroactive: not scored","Valid input")))))))))</x:f>
      </x:c>
    </x:row>
    <x:row r="215" ht="25" customHeight="1">
      <x:c r="A215" s="3"/>
      <x:c r="B215" s="3"/>
      <x:c r="C215" s="3"/>
      <x:c r="D215" s="25"/>
      <x:c r="E215" s="25"/>
      <x:c r="F215" s="3"/>
      <x:c r="G215" s="26"/>
      <x:c r="H215" s="26"/>
      <x:c r="I215" s="3"/>
      <x:c r="J215" s="22"/>
      <x:c r="K215" s="25"/>
      <x:c r="L215" s="3"/>
      <x:c r="M215" s="3"/>
      <x:c r="N215" s="24" t="str">
        <x:f>IF(AND(R215="Valid input",I215="Resolved",M215="Yes",ISNUMBER(G215)),(G215-J215)^2,"")</x:f>
      </x:c>
      <x:c r="O215" s="24" t="str">
        <x:f>IF(AND(ISNUMBER(N215),ISNUMBER(H215)),(H215-J215)^2,"")</x:f>
      </x:c>
      <x:c r="P215" s="24" t="str">
        <x:f>IF(AND(ISNUMBER(N215),ISNUMBER(O215)),O215-N215,"")</x:f>
      </x:c>
      <x:c r="Q215" s="3"/>
      <x:c r="R215" s="19" t="str">
        <x:f>IF(A215="","",IF(COUNTIFS('Predictions'!$A$7:$A$306,A215)&lt;&gt;1,"Duplicate ID",IF(COUNTIFS('Cases overview'!$A$7:$A$306,B215)&lt;&gt;1,"Invalid case ref",IF(COUNTIFS('Plan versions'!$A$7:$A$306,C215,'Plan versions'!$B$7:$B$306,B215,'Plan versions'!$L$7:$L$306,"Frozen")&lt;&gt;1,"Invalid plan ref",IF(OR(NOT(ISNUMBER(D215)),NOT(ISNUMBER(E215)),F215="",I215="",M215="",Q215=""),"Prediction info missing",IF(D215&gt;E215,"Not pre-registered before due",IF(OR(AND(G215&lt;&gt;"",OR(NOT(ISNUMBER(G215)),G215&lt;0,G215&gt;1)),AND(H215&lt;&gt;"",OR(NOT(ISNUMBER(H215)),H215&lt;0,H215&gt;1))),"Invalid probability",IF(AND(I215="Resolved",OR(NOT(ISNUMBER(J215)),AND(J215&lt;&gt;0,J215&lt;&gt;1),NOT(ISNUMBER(K215)),L215="")),"Resolution evidence missing",IF(AND(I215="Resolved",D215&gt;K215),"Retroactive: not scored","Valid input")))))))))</x:f>
      </x:c>
    </x:row>
    <x:row r="216" ht="25" customHeight="1">
      <x:c r="A216" s="3"/>
      <x:c r="B216" s="3"/>
      <x:c r="C216" s="3"/>
      <x:c r="D216" s="25"/>
      <x:c r="E216" s="25"/>
      <x:c r="F216" s="3"/>
      <x:c r="G216" s="26"/>
      <x:c r="H216" s="26"/>
      <x:c r="I216" s="3"/>
      <x:c r="J216" s="22"/>
      <x:c r="K216" s="25"/>
      <x:c r="L216" s="3"/>
      <x:c r="M216" s="3"/>
      <x:c r="N216" s="24" t="str">
        <x:f>IF(AND(R216="Valid input",I216="Resolved",M216="Yes",ISNUMBER(G216)),(G216-J216)^2,"")</x:f>
      </x:c>
      <x:c r="O216" s="24" t="str">
        <x:f>IF(AND(ISNUMBER(N216),ISNUMBER(H216)),(H216-J216)^2,"")</x:f>
      </x:c>
      <x:c r="P216" s="24" t="str">
        <x:f>IF(AND(ISNUMBER(N216),ISNUMBER(O216)),O216-N216,"")</x:f>
      </x:c>
      <x:c r="Q216" s="3"/>
      <x:c r="R216" s="19" t="str">
        <x:f>IF(A216="","",IF(COUNTIFS('Predictions'!$A$7:$A$306,A216)&lt;&gt;1,"Duplicate ID",IF(COUNTIFS('Cases overview'!$A$7:$A$306,B216)&lt;&gt;1,"Invalid case ref",IF(COUNTIFS('Plan versions'!$A$7:$A$306,C216,'Plan versions'!$B$7:$B$306,B216,'Plan versions'!$L$7:$L$306,"Frozen")&lt;&gt;1,"Invalid plan ref",IF(OR(NOT(ISNUMBER(D216)),NOT(ISNUMBER(E216)),F216="",I216="",M216="",Q216=""),"Prediction info missing",IF(D216&gt;E216,"Not pre-registered before due",IF(OR(AND(G216&lt;&gt;"",OR(NOT(ISNUMBER(G216)),G216&lt;0,G216&gt;1)),AND(H216&lt;&gt;"",OR(NOT(ISNUMBER(H216)),H216&lt;0,H216&gt;1))),"Invalid probability",IF(AND(I216="Resolved",OR(NOT(ISNUMBER(J216)),AND(J216&lt;&gt;0,J216&lt;&gt;1),NOT(ISNUMBER(K216)),L216="")),"Resolution evidence missing",IF(AND(I216="Resolved",D216&gt;K216),"Retroactive: not scored","Valid input")))))))))</x:f>
      </x:c>
    </x:row>
    <x:row r="217" ht="25" customHeight="1">
      <x:c r="A217" s="3"/>
      <x:c r="B217" s="3"/>
      <x:c r="C217" s="3"/>
      <x:c r="D217" s="25"/>
      <x:c r="E217" s="25"/>
      <x:c r="F217" s="3"/>
      <x:c r="G217" s="26"/>
      <x:c r="H217" s="26"/>
      <x:c r="I217" s="3"/>
      <x:c r="J217" s="22"/>
      <x:c r="K217" s="25"/>
      <x:c r="L217" s="3"/>
      <x:c r="M217" s="3"/>
      <x:c r="N217" s="24" t="str">
        <x:f>IF(AND(R217="Valid input",I217="Resolved",M217="Yes",ISNUMBER(G217)),(G217-J217)^2,"")</x:f>
      </x:c>
      <x:c r="O217" s="24" t="str">
        <x:f>IF(AND(ISNUMBER(N217),ISNUMBER(H217)),(H217-J217)^2,"")</x:f>
      </x:c>
      <x:c r="P217" s="24" t="str">
        <x:f>IF(AND(ISNUMBER(N217),ISNUMBER(O217)),O217-N217,"")</x:f>
      </x:c>
      <x:c r="Q217" s="3"/>
      <x:c r="R217" s="19" t="str">
        <x:f>IF(A217="","",IF(COUNTIFS('Predictions'!$A$7:$A$306,A217)&lt;&gt;1,"Duplicate ID",IF(COUNTIFS('Cases overview'!$A$7:$A$306,B217)&lt;&gt;1,"Invalid case ref",IF(COUNTIFS('Plan versions'!$A$7:$A$306,C217,'Plan versions'!$B$7:$B$306,B217,'Plan versions'!$L$7:$L$306,"Frozen")&lt;&gt;1,"Invalid plan ref",IF(OR(NOT(ISNUMBER(D217)),NOT(ISNUMBER(E217)),F217="",I217="",M217="",Q217=""),"Prediction info missing",IF(D217&gt;E217,"Not pre-registered before due",IF(OR(AND(G217&lt;&gt;"",OR(NOT(ISNUMBER(G217)),G217&lt;0,G217&gt;1)),AND(H217&lt;&gt;"",OR(NOT(ISNUMBER(H217)),H217&lt;0,H217&gt;1))),"Invalid probability",IF(AND(I217="Resolved",OR(NOT(ISNUMBER(J217)),AND(J217&lt;&gt;0,J217&lt;&gt;1),NOT(ISNUMBER(K217)),L217="")),"Resolution evidence missing",IF(AND(I217="Resolved",D217&gt;K217),"Retroactive: not scored","Valid input")))))))))</x:f>
      </x:c>
    </x:row>
    <x:row r="218" ht="25" customHeight="1">
      <x:c r="A218" s="3"/>
      <x:c r="B218" s="3"/>
      <x:c r="C218" s="3"/>
      <x:c r="D218" s="25"/>
      <x:c r="E218" s="25"/>
      <x:c r="F218" s="3"/>
      <x:c r="G218" s="26"/>
      <x:c r="H218" s="26"/>
      <x:c r="I218" s="3"/>
      <x:c r="J218" s="22"/>
      <x:c r="K218" s="25"/>
      <x:c r="L218" s="3"/>
      <x:c r="M218" s="3"/>
      <x:c r="N218" s="24" t="str">
        <x:f>IF(AND(R218="Valid input",I218="Resolved",M218="Yes",ISNUMBER(G218)),(G218-J218)^2,"")</x:f>
      </x:c>
      <x:c r="O218" s="24" t="str">
        <x:f>IF(AND(ISNUMBER(N218),ISNUMBER(H218)),(H218-J218)^2,"")</x:f>
      </x:c>
      <x:c r="P218" s="24" t="str">
        <x:f>IF(AND(ISNUMBER(N218),ISNUMBER(O218)),O218-N218,"")</x:f>
      </x:c>
      <x:c r="Q218" s="3"/>
      <x:c r="R218" s="19" t="str">
        <x:f>IF(A218="","",IF(COUNTIFS('Predictions'!$A$7:$A$306,A218)&lt;&gt;1,"Duplicate ID",IF(COUNTIFS('Cases overview'!$A$7:$A$306,B218)&lt;&gt;1,"Invalid case ref",IF(COUNTIFS('Plan versions'!$A$7:$A$306,C218,'Plan versions'!$B$7:$B$306,B218,'Plan versions'!$L$7:$L$306,"Frozen")&lt;&gt;1,"Invalid plan ref",IF(OR(NOT(ISNUMBER(D218)),NOT(ISNUMBER(E218)),F218="",I218="",M218="",Q218=""),"Prediction info missing",IF(D218&gt;E218,"Not pre-registered before due",IF(OR(AND(G218&lt;&gt;"",OR(NOT(ISNUMBER(G218)),G218&lt;0,G218&gt;1)),AND(H218&lt;&gt;"",OR(NOT(ISNUMBER(H218)),H218&lt;0,H218&gt;1))),"Invalid probability",IF(AND(I218="Resolved",OR(NOT(ISNUMBER(J218)),AND(J218&lt;&gt;0,J218&lt;&gt;1),NOT(ISNUMBER(K218)),L218="")),"Resolution evidence missing",IF(AND(I218="Resolved",D218&gt;K218),"Retroactive: not scored","Valid input")))))))))</x:f>
      </x:c>
    </x:row>
    <x:row r="219" ht="25" customHeight="1">
      <x:c r="A219" s="3"/>
      <x:c r="B219" s="3"/>
      <x:c r="C219" s="3"/>
      <x:c r="D219" s="25"/>
      <x:c r="E219" s="25"/>
      <x:c r="F219" s="3"/>
      <x:c r="G219" s="26"/>
      <x:c r="H219" s="26"/>
      <x:c r="I219" s="3"/>
      <x:c r="J219" s="22"/>
      <x:c r="K219" s="25"/>
      <x:c r="L219" s="3"/>
      <x:c r="M219" s="3"/>
      <x:c r="N219" s="24" t="str">
        <x:f>IF(AND(R219="Valid input",I219="Resolved",M219="Yes",ISNUMBER(G219)),(G219-J219)^2,"")</x:f>
      </x:c>
      <x:c r="O219" s="24" t="str">
        <x:f>IF(AND(ISNUMBER(N219),ISNUMBER(H219)),(H219-J219)^2,"")</x:f>
      </x:c>
      <x:c r="P219" s="24" t="str">
        <x:f>IF(AND(ISNUMBER(N219),ISNUMBER(O219)),O219-N219,"")</x:f>
      </x:c>
      <x:c r="Q219" s="3"/>
      <x:c r="R219" s="19" t="str">
        <x:f>IF(A219="","",IF(COUNTIFS('Predictions'!$A$7:$A$306,A219)&lt;&gt;1,"Duplicate ID",IF(COUNTIFS('Cases overview'!$A$7:$A$306,B219)&lt;&gt;1,"Invalid case ref",IF(COUNTIFS('Plan versions'!$A$7:$A$306,C219,'Plan versions'!$B$7:$B$306,B219,'Plan versions'!$L$7:$L$306,"Frozen")&lt;&gt;1,"Invalid plan ref",IF(OR(NOT(ISNUMBER(D219)),NOT(ISNUMBER(E219)),F219="",I219="",M219="",Q219=""),"Prediction info missing",IF(D219&gt;E219,"Not pre-registered before due",IF(OR(AND(G219&lt;&gt;"",OR(NOT(ISNUMBER(G219)),G219&lt;0,G219&gt;1)),AND(H219&lt;&gt;"",OR(NOT(ISNUMBER(H219)),H219&lt;0,H219&gt;1))),"Invalid probability",IF(AND(I219="Resolved",OR(NOT(ISNUMBER(J219)),AND(J219&lt;&gt;0,J219&lt;&gt;1),NOT(ISNUMBER(K219)),L219="")),"Resolution evidence missing",IF(AND(I219="Resolved",D219&gt;K219),"Retroactive: not scored","Valid input")))))))))</x:f>
      </x:c>
    </x:row>
    <x:row r="220" ht="25" customHeight="1">
      <x:c r="A220" s="3"/>
      <x:c r="B220" s="3"/>
      <x:c r="C220" s="3"/>
      <x:c r="D220" s="25"/>
      <x:c r="E220" s="25"/>
      <x:c r="F220" s="3"/>
      <x:c r="G220" s="26"/>
      <x:c r="H220" s="26"/>
      <x:c r="I220" s="3"/>
      <x:c r="J220" s="22"/>
      <x:c r="K220" s="25"/>
      <x:c r="L220" s="3"/>
      <x:c r="M220" s="3"/>
      <x:c r="N220" s="24" t="str">
        <x:f>IF(AND(R220="Valid input",I220="Resolved",M220="Yes",ISNUMBER(G220)),(G220-J220)^2,"")</x:f>
      </x:c>
      <x:c r="O220" s="24" t="str">
        <x:f>IF(AND(ISNUMBER(N220),ISNUMBER(H220)),(H220-J220)^2,"")</x:f>
      </x:c>
      <x:c r="P220" s="24" t="str">
        <x:f>IF(AND(ISNUMBER(N220),ISNUMBER(O220)),O220-N220,"")</x:f>
      </x:c>
      <x:c r="Q220" s="3"/>
      <x:c r="R220" s="19" t="str">
        <x:f>IF(A220="","",IF(COUNTIFS('Predictions'!$A$7:$A$306,A220)&lt;&gt;1,"Duplicate ID",IF(COUNTIFS('Cases overview'!$A$7:$A$306,B220)&lt;&gt;1,"Invalid case ref",IF(COUNTIFS('Plan versions'!$A$7:$A$306,C220,'Plan versions'!$B$7:$B$306,B220,'Plan versions'!$L$7:$L$306,"Frozen")&lt;&gt;1,"Invalid plan ref",IF(OR(NOT(ISNUMBER(D220)),NOT(ISNUMBER(E220)),F220="",I220="",M220="",Q220=""),"Prediction info missing",IF(D220&gt;E220,"Not pre-registered before due",IF(OR(AND(G220&lt;&gt;"",OR(NOT(ISNUMBER(G220)),G220&lt;0,G220&gt;1)),AND(H220&lt;&gt;"",OR(NOT(ISNUMBER(H220)),H220&lt;0,H220&gt;1))),"Invalid probability",IF(AND(I220="Resolved",OR(NOT(ISNUMBER(J220)),AND(J220&lt;&gt;0,J220&lt;&gt;1),NOT(ISNUMBER(K220)),L220="")),"Resolution evidence missing",IF(AND(I220="Resolved",D220&gt;K220),"Retroactive: not scored","Valid input")))))))))</x:f>
      </x:c>
    </x:row>
    <x:row r="221" ht="25" customHeight="1">
      <x:c r="A221" s="3"/>
      <x:c r="B221" s="3"/>
      <x:c r="C221" s="3"/>
      <x:c r="D221" s="25"/>
      <x:c r="E221" s="25"/>
      <x:c r="F221" s="3"/>
      <x:c r="G221" s="26"/>
      <x:c r="H221" s="26"/>
      <x:c r="I221" s="3"/>
      <x:c r="J221" s="22"/>
      <x:c r="K221" s="25"/>
      <x:c r="L221" s="3"/>
      <x:c r="M221" s="3"/>
      <x:c r="N221" s="24" t="str">
        <x:f>IF(AND(R221="Valid input",I221="Resolved",M221="Yes",ISNUMBER(G221)),(G221-J221)^2,"")</x:f>
      </x:c>
      <x:c r="O221" s="24" t="str">
        <x:f>IF(AND(ISNUMBER(N221),ISNUMBER(H221)),(H221-J221)^2,"")</x:f>
      </x:c>
      <x:c r="P221" s="24" t="str">
        <x:f>IF(AND(ISNUMBER(N221),ISNUMBER(O221)),O221-N221,"")</x:f>
      </x:c>
      <x:c r="Q221" s="3"/>
      <x:c r="R221" s="19" t="str">
        <x:f>IF(A221="","",IF(COUNTIFS('Predictions'!$A$7:$A$306,A221)&lt;&gt;1,"Duplicate ID",IF(COUNTIFS('Cases overview'!$A$7:$A$306,B221)&lt;&gt;1,"Invalid case ref",IF(COUNTIFS('Plan versions'!$A$7:$A$306,C221,'Plan versions'!$B$7:$B$306,B221,'Plan versions'!$L$7:$L$306,"Frozen")&lt;&gt;1,"Invalid plan ref",IF(OR(NOT(ISNUMBER(D221)),NOT(ISNUMBER(E221)),F221="",I221="",M221="",Q221=""),"Prediction info missing",IF(D221&gt;E221,"Not pre-registered before due",IF(OR(AND(G221&lt;&gt;"",OR(NOT(ISNUMBER(G221)),G221&lt;0,G221&gt;1)),AND(H221&lt;&gt;"",OR(NOT(ISNUMBER(H221)),H221&lt;0,H221&gt;1))),"Invalid probability",IF(AND(I221="Resolved",OR(NOT(ISNUMBER(J221)),AND(J221&lt;&gt;0,J221&lt;&gt;1),NOT(ISNUMBER(K221)),L221="")),"Resolution evidence missing",IF(AND(I221="Resolved",D221&gt;K221),"Retroactive: not scored","Valid input")))))))))</x:f>
      </x:c>
    </x:row>
    <x:row r="222" ht="25" customHeight="1">
      <x:c r="A222" s="3"/>
      <x:c r="B222" s="3"/>
      <x:c r="C222" s="3"/>
      <x:c r="D222" s="25"/>
      <x:c r="E222" s="25"/>
      <x:c r="F222" s="3"/>
      <x:c r="G222" s="26"/>
      <x:c r="H222" s="26"/>
      <x:c r="I222" s="3"/>
      <x:c r="J222" s="22"/>
      <x:c r="K222" s="25"/>
      <x:c r="L222" s="3"/>
      <x:c r="M222" s="3"/>
      <x:c r="N222" s="24" t="str">
        <x:f>IF(AND(R222="Valid input",I222="Resolved",M222="Yes",ISNUMBER(G222)),(G222-J222)^2,"")</x:f>
      </x:c>
      <x:c r="O222" s="24" t="str">
        <x:f>IF(AND(ISNUMBER(N222),ISNUMBER(H222)),(H222-J222)^2,"")</x:f>
      </x:c>
      <x:c r="P222" s="24" t="str">
        <x:f>IF(AND(ISNUMBER(N222),ISNUMBER(O222)),O222-N222,"")</x:f>
      </x:c>
      <x:c r="Q222" s="3"/>
      <x:c r="R222" s="19" t="str">
        <x:f>IF(A222="","",IF(COUNTIFS('Predictions'!$A$7:$A$306,A222)&lt;&gt;1,"Duplicate ID",IF(COUNTIFS('Cases overview'!$A$7:$A$306,B222)&lt;&gt;1,"Invalid case ref",IF(COUNTIFS('Plan versions'!$A$7:$A$306,C222,'Plan versions'!$B$7:$B$306,B222,'Plan versions'!$L$7:$L$306,"Frozen")&lt;&gt;1,"Invalid plan ref",IF(OR(NOT(ISNUMBER(D222)),NOT(ISNUMBER(E222)),F222="",I222="",M222="",Q222=""),"Prediction info missing",IF(D222&gt;E222,"Not pre-registered before due",IF(OR(AND(G222&lt;&gt;"",OR(NOT(ISNUMBER(G222)),G222&lt;0,G222&gt;1)),AND(H222&lt;&gt;"",OR(NOT(ISNUMBER(H222)),H222&lt;0,H222&gt;1))),"Invalid probability",IF(AND(I222="Resolved",OR(NOT(ISNUMBER(J222)),AND(J222&lt;&gt;0,J222&lt;&gt;1),NOT(ISNUMBER(K222)),L222="")),"Resolution evidence missing",IF(AND(I222="Resolved",D222&gt;K222),"Retroactive: not scored","Valid input")))))))))</x:f>
      </x:c>
    </x:row>
    <x:row r="223" ht="25" customHeight="1">
      <x:c r="A223" s="3"/>
      <x:c r="B223" s="3"/>
      <x:c r="C223" s="3"/>
      <x:c r="D223" s="25"/>
      <x:c r="E223" s="25"/>
      <x:c r="F223" s="3"/>
      <x:c r="G223" s="26"/>
      <x:c r="H223" s="26"/>
      <x:c r="I223" s="3"/>
      <x:c r="J223" s="22"/>
      <x:c r="K223" s="25"/>
      <x:c r="L223" s="3"/>
      <x:c r="M223" s="3"/>
      <x:c r="N223" s="24" t="str">
        <x:f>IF(AND(R223="Valid input",I223="Resolved",M223="Yes",ISNUMBER(G223)),(G223-J223)^2,"")</x:f>
      </x:c>
      <x:c r="O223" s="24" t="str">
        <x:f>IF(AND(ISNUMBER(N223),ISNUMBER(H223)),(H223-J223)^2,"")</x:f>
      </x:c>
      <x:c r="P223" s="24" t="str">
        <x:f>IF(AND(ISNUMBER(N223),ISNUMBER(O223)),O223-N223,"")</x:f>
      </x:c>
      <x:c r="Q223" s="3"/>
      <x:c r="R223" s="19" t="str">
        <x:f>IF(A223="","",IF(COUNTIFS('Predictions'!$A$7:$A$306,A223)&lt;&gt;1,"Duplicate ID",IF(COUNTIFS('Cases overview'!$A$7:$A$306,B223)&lt;&gt;1,"Invalid case ref",IF(COUNTIFS('Plan versions'!$A$7:$A$306,C223,'Plan versions'!$B$7:$B$306,B223,'Plan versions'!$L$7:$L$306,"Frozen")&lt;&gt;1,"Invalid plan ref",IF(OR(NOT(ISNUMBER(D223)),NOT(ISNUMBER(E223)),F223="",I223="",M223="",Q223=""),"Prediction info missing",IF(D223&gt;E223,"Not pre-registered before due",IF(OR(AND(G223&lt;&gt;"",OR(NOT(ISNUMBER(G223)),G223&lt;0,G223&gt;1)),AND(H223&lt;&gt;"",OR(NOT(ISNUMBER(H223)),H223&lt;0,H223&gt;1))),"Invalid probability",IF(AND(I223="Resolved",OR(NOT(ISNUMBER(J223)),AND(J223&lt;&gt;0,J223&lt;&gt;1),NOT(ISNUMBER(K223)),L223="")),"Resolution evidence missing",IF(AND(I223="Resolved",D223&gt;K223),"Retroactive: not scored","Valid input")))))))))</x:f>
      </x:c>
    </x:row>
    <x:row r="224" ht="25" customHeight="1">
      <x:c r="A224" s="3"/>
      <x:c r="B224" s="3"/>
      <x:c r="C224" s="3"/>
      <x:c r="D224" s="25"/>
      <x:c r="E224" s="25"/>
      <x:c r="F224" s="3"/>
      <x:c r="G224" s="26"/>
      <x:c r="H224" s="26"/>
      <x:c r="I224" s="3"/>
      <x:c r="J224" s="22"/>
      <x:c r="K224" s="25"/>
      <x:c r="L224" s="3"/>
      <x:c r="M224" s="3"/>
      <x:c r="N224" s="24" t="str">
        <x:f>IF(AND(R224="Valid input",I224="Resolved",M224="Yes",ISNUMBER(G224)),(G224-J224)^2,"")</x:f>
      </x:c>
      <x:c r="O224" s="24" t="str">
        <x:f>IF(AND(ISNUMBER(N224),ISNUMBER(H224)),(H224-J224)^2,"")</x:f>
      </x:c>
      <x:c r="P224" s="24" t="str">
        <x:f>IF(AND(ISNUMBER(N224),ISNUMBER(O224)),O224-N224,"")</x:f>
      </x:c>
      <x:c r="Q224" s="3"/>
      <x:c r="R224" s="19" t="str">
        <x:f>IF(A224="","",IF(COUNTIFS('Predictions'!$A$7:$A$306,A224)&lt;&gt;1,"Duplicate ID",IF(COUNTIFS('Cases overview'!$A$7:$A$306,B224)&lt;&gt;1,"Invalid case ref",IF(COUNTIFS('Plan versions'!$A$7:$A$306,C224,'Plan versions'!$B$7:$B$306,B224,'Plan versions'!$L$7:$L$306,"Frozen")&lt;&gt;1,"Invalid plan ref",IF(OR(NOT(ISNUMBER(D224)),NOT(ISNUMBER(E224)),F224="",I224="",M224="",Q224=""),"Prediction info missing",IF(D224&gt;E224,"Not pre-registered before due",IF(OR(AND(G224&lt;&gt;"",OR(NOT(ISNUMBER(G224)),G224&lt;0,G224&gt;1)),AND(H224&lt;&gt;"",OR(NOT(ISNUMBER(H224)),H224&lt;0,H224&gt;1))),"Invalid probability",IF(AND(I224="Resolved",OR(NOT(ISNUMBER(J224)),AND(J224&lt;&gt;0,J224&lt;&gt;1),NOT(ISNUMBER(K224)),L224="")),"Resolution evidence missing",IF(AND(I224="Resolved",D224&gt;K224),"Retroactive: not scored","Valid input")))))))))</x:f>
      </x:c>
    </x:row>
    <x:row r="225" ht="25" customHeight="1">
      <x:c r="A225" s="3"/>
      <x:c r="B225" s="3"/>
      <x:c r="C225" s="3"/>
      <x:c r="D225" s="25"/>
      <x:c r="E225" s="25"/>
      <x:c r="F225" s="3"/>
      <x:c r="G225" s="26"/>
      <x:c r="H225" s="26"/>
      <x:c r="I225" s="3"/>
      <x:c r="J225" s="22"/>
      <x:c r="K225" s="25"/>
      <x:c r="L225" s="3"/>
      <x:c r="M225" s="3"/>
      <x:c r="N225" s="24" t="str">
        <x:f>IF(AND(R225="Valid input",I225="Resolved",M225="Yes",ISNUMBER(G225)),(G225-J225)^2,"")</x:f>
      </x:c>
      <x:c r="O225" s="24" t="str">
        <x:f>IF(AND(ISNUMBER(N225),ISNUMBER(H225)),(H225-J225)^2,"")</x:f>
      </x:c>
      <x:c r="P225" s="24" t="str">
        <x:f>IF(AND(ISNUMBER(N225),ISNUMBER(O225)),O225-N225,"")</x:f>
      </x:c>
      <x:c r="Q225" s="3"/>
      <x:c r="R225" s="19" t="str">
        <x:f>IF(A225="","",IF(COUNTIFS('Predictions'!$A$7:$A$306,A225)&lt;&gt;1,"Duplicate ID",IF(COUNTIFS('Cases overview'!$A$7:$A$306,B225)&lt;&gt;1,"Invalid case ref",IF(COUNTIFS('Plan versions'!$A$7:$A$306,C225,'Plan versions'!$B$7:$B$306,B225,'Plan versions'!$L$7:$L$306,"Frozen")&lt;&gt;1,"Invalid plan ref",IF(OR(NOT(ISNUMBER(D225)),NOT(ISNUMBER(E225)),F225="",I225="",M225="",Q225=""),"Prediction info missing",IF(D225&gt;E225,"Not pre-registered before due",IF(OR(AND(G225&lt;&gt;"",OR(NOT(ISNUMBER(G225)),G225&lt;0,G225&gt;1)),AND(H225&lt;&gt;"",OR(NOT(ISNUMBER(H225)),H225&lt;0,H225&gt;1))),"Invalid probability",IF(AND(I225="Resolved",OR(NOT(ISNUMBER(J225)),AND(J225&lt;&gt;0,J225&lt;&gt;1),NOT(ISNUMBER(K225)),L225="")),"Resolution evidence missing",IF(AND(I225="Resolved",D225&gt;K225),"Retroactive: not scored","Valid input")))))))))</x:f>
      </x:c>
    </x:row>
    <x:row r="226" ht="25" customHeight="1">
      <x:c r="A226" s="3"/>
      <x:c r="B226" s="3"/>
      <x:c r="C226" s="3"/>
      <x:c r="D226" s="25"/>
      <x:c r="E226" s="25"/>
      <x:c r="F226" s="3"/>
      <x:c r="G226" s="26"/>
      <x:c r="H226" s="26"/>
      <x:c r="I226" s="3"/>
      <x:c r="J226" s="22"/>
      <x:c r="K226" s="25"/>
      <x:c r="L226" s="3"/>
      <x:c r="M226" s="3"/>
      <x:c r="N226" s="24" t="str">
        <x:f>IF(AND(R226="Valid input",I226="Resolved",M226="Yes",ISNUMBER(G226)),(G226-J226)^2,"")</x:f>
      </x:c>
      <x:c r="O226" s="24" t="str">
        <x:f>IF(AND(ISNUMBER(N226),ISNUMBER(H226)),(H226-J226)^2,"")</x:f>
      </x:c>
      <x:c r="P226" s="24" t="str">
        <x:f>IF(AND(ISNUMBER(N226),ISNUMBER(O226)),O226-N226,"")</x:f>
      </x:c>
      <x:c r="Q226" s="3"/>
      <x:c r="R226" s="19" t="str">
        <x:f>IF(A226="","",IF(COUNTIFS('Predictions'!$A$7:$A$306,A226)&lt;&gt;1,"Duplicate ID",IF(COUNTIFS('Cases overview'!$A$7:$A$306,B226)&lt;&gt;1,"Invalid case ref",IF(COUNTIFS('Plan versions'!$A$7:$A$306,C226,'Plan versions'!$B$7:$B$306,B226,'Plan versions'!$L$7:$L$306,"Frozen")&lt;&gt;1,"Invalid plan ref",IF(OR(NOT(ISNUMBER(D226)),NOT(ISNUMBER(E226)),F226="",I226="",M226="",Q226=""),"Prediction info missing",IF(D226&gt;E226,"Not pre-registered before due",IF(OR(AND(G226&lt;&gt;"",OR(NOT(ISNUMBER(G226)),G226&lt;0,G226&gt;1)),AND(H226&lt;&gt;"",OR(NOT(ISNUMBER(H226)),H226&lt;0,H226&gt;1))),"Invalid probability",IF(AND(I226="Resolved",OR(NOT(ISNUMBER(J226)),AND(J226&lt;&gt;0,J226&lt;&gt;1),NOT(ISNUMBER(K226)),L226="")),"Resolution evidence missing",IF(AND(I226="Resolved",D226&gt;K226),"Retroactive: not scored","Valid input")))))))))</x:f>
      </x:c>
    </x:row>
    <x:row r="227" ht="25" customHeight="1">
      <x:c r="A227" s="3"/>
      <x:c r="B227" s="3"/>
      <x:c r="C227" s="3"/>
      <x:c r="D227" s="25"/>
      <x:c r="E227" s="25"/>
      <x:c r="F227" s="3"/>
      <x:c r="G227" s="26"/>
      <x:c r="H227" s="26"/>
      <x:c r="I227" s="3"/>
      <x:c r="J227" s="22"/>
      <x:c r="K227" s="25"/>
      <x:c r="L227" s="3"/>
      <x:c r="M227" s="3"/>
      <x:c r="N227" s="24" t="str">
        <x:f>IF(AND(R227="Valid input",I227="Resolved",M227="Yes",ISNUMBER(G227)),(G227-J227)^2,"")</x:f>
      </x:c>
      <x:c r="O227" s="24" t="str">
        <x:f>IF(AND(ISNUMBER(N227),ISNUMBER(H227)),(H227-J227)^2,"")</x:f>
      </x:c>
      <x:c r="P227" s="24" t="str">
        <x:f>IF(AND(ISNUMBER(N227),ISNUMBER(O227)),O227-N227,"")</x:f>
      </x:c>
      <x:c r="Q227" s="3"/>
      <x:c r="R227" s="19" t="str">
        <x:f>IF(A227="","",IF(COUNTIFS('Predictions'!$A$7:$A$306,A227)&lt;&gt;1,"Duplicate ID",IF(COUNTIFS('Cases overview'!$A$7:$A$306,B227)&lt;&gt;1,"Invalid case ref",IF(COUNTIFS('Plan versions'!$A$7:$A$306,C227,'Plan versions'!$B$7:$B$306,B227,'Plan versions'!$L$7:$L$306,"Frozen")&lt;&gt;1,"Invalid plan ref",IF(OR(NOT(ISNUMBER(D227)),NOT(ISNUMBER(E227)),F227="",I227="",M227="",Q227=""),"Prediction info missing",IF(D227&gt;E227,"Not pre-registered before due",IF(OR(AND(G227&lt;&gt;"",OR(NOT(ISNUMBER(G227)),G227&lt;0,G227&gt;1)),AND(H227&lt;&gt;"",OR(NOT(ISNUMBER(H227)),H227&lt;0,H227&gt;1))),"Invalid probability",IF(AND(I227="Resolved",OR(NOT(ISNUMBER(J227)),AND(J227&lt;&gt;0,J227&lt;&gt;1),NOT(ISNUMBER(K227)),L227="")),"Resolution evidence missing",IF(AND(I227="Resolved",D227&gt;K227),"Retroactive: not scored","Valid input")))))))))</x:f>
      </x:c>
    </x:row>
    <x:row r="228" ht="25" customHeight="1">
      <x:c r="A228" s="3"/>
      <x:c r="B228" s="3"/>
      <x:c r="C228" s="3"/>
      <x:c r="D228" s="25"/>
      <x:c r="E228" s="25"/>
      <x:c r="F228" s="3"/>
      <x:c r="G228" s="26"/>
      <x:c r="H228" s="26"/>
      <x:c r="I228" s="3"/>
      <x:c r="J228" s="22"/>
      <x:c r="K228" s="25"/>
      <x:c r="L228" s="3"/>
      <x:c r="M228" s="3"/>
      <x:c r="N228" s="24" t="str">
        <x:f>IF(AND(R228="Valid input",I228="Resolved",M228="Yes",ISNUMBER(G228)),(G228-J228)^2,"")</x:f>
      </x:c>
      <x:c r="O228" s="24" t="str">
        <x:f>IF(AND(ISNUMBER(N228),ISNUMBER(H228)),(H228-J228)^2,"")</x:f>
      </x:c>
      <x:c r="P228" s="24" t="str">
        <x:f>IF(AND(ISNUMBER(N228),ISNUMBER(O228)),O228-N228,"")</x:f>
      </x:c>
      <x:c r="Q228" s="3"/>
      <x:c r="R228" s="19" t="str">
        <x:f>IF(A228="","",IF(COUNTIFS('Predictions'!$A$7:$A$306,A228)&lt;&gt;1,"Duplicate ID",IF(COUNTIFS('Cases overview'!$A$7:$A$306,B228)&lt;&gt;1,"Invalid case ref",IF(COUNTIFS('Plan versions'!$A$7:$A$306,C228,'Plan versions'!$B$7:$B$306,B228,'Plan versions'!$L$7:$L$306,"Frozen")&lt;&gt;1,"Invalid plan ref",IF(OR(NOT(ISNUMBER(D228)),NOT(ISNUMBER(E228)),F228="",I228="",M228="",Q228=""),"Prediction info missing",IF(D228&gt;E228,"Not pre-registered before due",IF(OR(AND(G228&lt;&gt;"",OR(NOT(ISNUMBER(G228)),G228&lt;0,G228&gt;1)),AND(H228&lt;&gt;"",OR(NOT(ISNUMBER(H228)),H228&lt;0,H228&gt;1))),"Invalid probability",IF(AND(I228="Resolved",OR(NOT(ISNUMBER(J228)),AND(J228&lt;&gt;0,J228&lt;&gt;1),NOT(ISNUMBER(K228)),L228="")),"Resolution evidence missing",IF(AND(I228="Resolved",D228&gt;K228),"Retroactive: not scored","Valid input")))))))))</x:f>
      </x:c>
    </x:row>
    <x:row r="229" ht="25" customHeight="1">
      <x:c r="A229" s="3"/>
      <x:c r="B229" s="3"/>
      <x:c r="C229" s="3"/>
      <x:c r="D229" s="25"/>
      <x:c r="E229" s="25"/>
      <x:c r="F229" s="3"/>
      <x:c r="G229" s="26"/>
      <x:c r="H229" s="26"/>
      <x:c r="I229" s="3"/>
      <x:c r="J229" s="22"/>
      <x:c r="K229" s="25"/>
      <x:c r="L229" s="3"/>
      <x:c r="M229" s="3"/>
      <x:c r="N229" s="24" t="str">
        <x:f>IF(AND(R229="Valid input",I229="Resolved",M229="Yes",ISNUMBER(G229)),(G229-J229)^2,"")</x:f>
      </x:c>
      <x:c r="O229" s="24" t="str">
        <x:f>IF(AND(ISNUMBER(N229),ISNUMBER(H229)),(H229-J229)^2,"")</x:f>
      </x:c>
      <x:c r="P229" s="24" t="str">
        <x:f>IF(AND(ISNUMBER(N229),ISNUMBER(O229)),O229-N229,"")</x:f>
      </x:c>
      <x:c r="Q229" s="3"/>
      <x:c r="R229" s="19" t="str">
        <x:f>IF(A229="","",IF(COUNTIFS('Predictions'!$A$7:$A$306,A229)&lt;&gt;1,"Duplicate ID",IF(COUNTIFS('Cases overview'!$A$7:$A$306,B229)&lt;&gt;1,"Invalid case ref",IF(COUNTIFS('Plan versions'!$A$7:$A$306,C229,'Plan versions'!$B$7:$B$306,B229,'Plan versions'!$L$7:$L$306,"Frozen")&lt;&gt;1,"Invalid plan ref",IF(OR(NOT(ISNUMBER(D229)),NOT(ISNUMBER(E229)),F229="",I229="",M229="",Q229=""),"Prediction info missing",IF(D229&gt;E229,"Not pre-registered before due",IF(OR(AND(G229&lt;&gt;"",OR(NOT(ISNUMBER(G229)),G229&lt;0,G229&gt;1)),AND(H229&lt;&gt;"",OR(NOT(ISNUMBER(H229)),H229&lt;0,H229&gt;1))),"Invalid probability",IF(AND(I229="Resolved",OR(NOT(ISNUMBER(J229)),AND(J229&lt;&gt;0,J229&lt;&gt;1),NOT(ISNUMBER(K229)),L229="")),"Resolution evidence missing",IF(AND(I229="Resolved",D229&gt;K229),"Retroactive: not scored","Valid input")))))))))</x:f>
      </x:c>
    </x:row>
    <x:row r="230" ht="25" customHeight="1">
      <x:c r="A230" s="3"/>
      <x:c r="B230" s="3"/>
      <x:c r="C230" s="3"/>
      <x:c r="D230" s="25"/>
      <x:c r="E230" s="25"/>
      <x:c r="F230" s="3"/>
      <x:c r="G230" s="26"/>
      <x:c r="H230" s="26"/>
      <x:c r="I230" s="3"/>
      <x:c r="J230" s="22"/>
      <x:c r="K230" s="25"/>
      <x:c r="L230" s="3"/>
      <x:c r="M230" s="3"/>
      <x:c r="N230" s="24" t="str">
        <x:f>IF(AND(R230="Valid input",I230="Resolved",M230="Yes",ISNUMBER(G230)),(G230-J230)^2,"")</x:f>
      </x:c>
      <x:c r="O230" s="24" t="str">
        <x:f>IF(AND(ISNUMBER(N230),ISNUMBER(H230)),(H230-J230)^2,"")</x:f>
      </x:c>
      <x:c r="P230" s="24" t="str">
        <x:f>IF(AND(ISNUMBER(N230),ISNUMBER(O230)),O230-N230,"")</x:f>
      </x:c>
      <x:c r="Q230" s="3"/>
      <x:c r="R230" s="19" t="str">
        <x:f>IF(A230="","",IF(COUNTIFS('Predictions'!$A$7:$A$306,A230)&lt;&gt;1,"Duplicate ID",IF(COUNTIFS('Cases overview'!$A$7:$A$306,B230)&lt;&gt;1,"Invalid case ref",IF(COUNTIFS('Plan versions'!$A$7:$A$306,C230,'Plan versions'!$B$7:$B$306,B230,'Plan versions'!$L$7:$L$306,"Frozen")&lt;&gt;1,"Invalid plan ref",IF(OR(NOT(ISNUMBER(D230)),NOT(ISNUMBER(E230)),F230="",I230="",M230="",Q230=""),"Prediction info missing",IF(D230&gt;E230,"Not pre-registered before due",IF(OR(AND(G230&lt;&gt;"",OR(NOT(ISNUMBER(G230)),G230&lt;0,G230&gt;1)),AND(H230&lt;&gt;"",OR(NOT(ISNUMBER(H230)),H230&lt;0,H230&gt;1))),"Invalid probability",IF(AND(I230="Resolved",OR(NOT(ISNUMBER(J230)),AND(J230&lt;&gt;0,J230&lt;&gt;1),NOT(ISNUMBER(K230)),L230="")),"Resolution evidence missing",IF(AND(I230="Resolved",D230&gt;K230),"Retroactive: not scored","Valid input")))))))))</x:f>
      </x:c>
    </x:row>
    <x:row r="231" ht="25" customHeight="1">
      <x:c r="A231" s="3"/>
      <x:c r="B231" s="3"/>
      <x:c r="C231" s="3"/>
      <x:c r="D231" s="25"/>
      <x:c r="E231" s="25"/>
      <x:c r="F231" s="3"/>
      <x:c r="G231" s="26"/>
      <x:c r="H231" s="26"/>
      <x:c r="I231" s="3"/>
      <x:c r="J231" s="22"/>
      <x:c r="K231" s="25"/>
      <x:c r="L231" s="3"/>
      <x:c r="M231" s="3"/>
      <x:c r="N231" s="24" t="str">
        <x:f>IF(AND(R231="Valid input",I231="Resolved",M231="Yes",ISNUMBER(G231)),(G231-J231)^2,"")</x:f>
      </x:c>
      <x:c r="O231" s="24" t="str">
        <x:f>IF(AND(ISNUMBER(N231),ISNUMBER(H231)),(H231-J231)^2,"")</x:f>
      </x:c>
      <x:c r="P231" s="24" t="str">
        <x:f>IF(AND(ISNUMBER(N231),ISNUMBER(O231)),O231-N231,"")</x:f>
      </x:c>
      <x:c r="Q231" s="3"/>
      <x:c r="R231" s="19" t="str">
        <x:f>IF(A231="","",IF(COUNTIFS('Predictions'!$A$7:$A$306,A231)&lt;&gt;1,"Duplicate ID",IF(COUNTIFS('Cases overview'!$A$7:$A$306,B231)&lt;&gt;1,"Invalid case ref",IF(COUNTIFS('Plan versions'!$A$7:$A$306,C231,'Plan versions'!$B$7:$B$306,B231,'Plan versions'!$L$7:$L$306,"Frozen")&lt;&gt;1,"Invalid plan ref",IF(OR(NOT(ISNUMBER(D231)),NOT(ISNUMBER(E231)),F231="",I231="",M231="",Q231=""),"Prediction info missing",IF(D231&gt;E231,"Not pre-registered before due",IF(OR(AND(G231&lt;&gt;"",OR(NOT(ISNUMBER(G231)),G231&lt;0,G231&gt;1)),AND(H231&lt;&gt;"",OR(NOT(ISNUMBER(H231)),H231&lt;0,H231&gt;1))),"Invalid probability",IF(AND(I231="Resolved",OR(NOT(ISNUMBER(J231)),AND(J231&lt;&gt;0,J231&lt;&gt;1),NOT(ISNUMBER(K231)),L231="")),"Resolution evidence missing",IF(AND(I231="Resolved",D231&gt;K231),"Retroactive: not scored","Valid input")))))))))</x:f>
      </x:c>
    </x:row>
    <x:row r="232" ht="25" customHeight="1">
      <x:c r="A232" s="3"/>
      <x:c r="B232" s="3"/>
      <x:c r="C232" s="3"/>
      <x:c r="D232" s="25"/>
      <x:c r="E232" s="25"/>
      <x:c r="F232" s="3"/>
      <x:c r="G232" s="26"/>
      <x:c r="H232" s="26"/>
      <x:c r="I232" s="3"/>
      <x:c r="J232" s="22"/>
      <x:c r="K232" s="25"/>
      <x:c r="L232" s="3"/>
      <x:c r="M232" s="3"/>
      <x:c r="N232" s="24" t="str">
        <x:f>IF(AND(R232="Valid input",I232="Resolved",M232="Yes",ISNUMBER(G232)),(G232-J232)^2,"")</x:f>
      </x:c>
      <x:c r="O232" s="24" t="str">
        <x:f>IF(AND(ISNUMBER(N232),ISNUMBER(H232)),(H232-J232)^2,"")</x:f>
      </x:c>
      <x:c r="P232" s="24" t="str">
        <x:f>IF(AND(ISNUMBER(N232),ISNUMBER(O232)),O232-N232,"")</x:f>
      </x:c>
      <x:c r="Q232" s="3"/>
      <x:c r="R232" s="19" t="str">
        <x:f>IF(A232="","",IF(COUNTIFS('Predictions'!$A$7:$A$306,A232)&lt;&gt;1,"Duplicate ID",IF(COUNTIFS('Cases overview'!$A$7:$A$306,B232)&lt;&gt;1,"Invalid case ref",IF(COUNTIFS('Plan versions'!$A$7:$A$306,C232,'Plan versions'!$B$7:$B$306,B232,'Plan versions'!$L$7:$L$306,"Frozen")&lt;&gt;1,"Invalid plan ref",IF(OR(NOT(ISNUMBER(D232)),NOT(ISNUMBER(E232)),F232="",I232="",M232="",Q232=""),"Prediction info missing",IF(D232&gt;E232,"Not pre-registered before due",IF(OR(AND(G232&lt;&gt;"",OR(NOT(ISNUMBER(G232)),G232&lt;0,G232&gt;1)),AND(H232&lt;&gt;"",OR(NOT(ISNUMBER(H232)),H232&lt;0,H232&gt;1))),"Invalid probability",IF(AND(I232="Resolved",OR(NOT(ISNUMBER(J232)),AND(J232&lt;&gt;0,J232&lt;&gt;1),NOT(ISNUMBER(K232)),L232="")),"Resolution evidence missing",IF(AND(I232="Resolved",D232&gt;K232),"Retroactive: not scored","Valid input")))))))))</x:f>
      </x:c>
    </x:row>
    <x:row r="233" ht="25" customHeight="1">
      <x:c r="A233" s="3"/>
      <x:c r="B233" s="3"/>
      <x:c r="C233" s="3"/>
      <x:c r="D233" s="25"/>
      <x:c r="E233" s="25"/>
      <x:c r="F233" s="3"/>
      <x:c r="G233" s="26"/>
      <x:c r="H233" s="26"/>
      <x:c r="I233" s="3"/>
      <x:c r="J233" s="22"/>
      <x:c r="K233" s="25"/>
      <x:c r="L233" s="3"/>
      <x:c r="M233" s="3"/>
      <x:c r="N233" s="24" t="str">
        <x:f>IF(AND(R233="Valid input",I233="Resolved",M233="Yes",ISNUMBER(G233)),(G233-J233)^2,"")</x:f>
      </x:c>
      <x:c r="O233" s="24" t="str">
        <x:f>IF(AND(ISNUMBER(N233),ISNUMBER(H233)),(H233-J233)^2,"")</x:f>
      </x:c>
      <x:c r="P233" s="24" t="str">
        <x:f>IF(AND(ISNUMBER(N233),ISNUMBER(O233)),O233-N233,"")</x:f>
      </x:c>
      <x:c r="Q233" s="3"/>
      <x:c r="R233" s="19" t="str">
        <x:f>IF(A233="","",IF(COUNTIFS('Predictions'!$A$7:$A$306,A233)&lt;&gt;1,"Duplicate ID",IF(COUNTIFS('Cases overview'!$A$7:$A$306,B233)&lt;&gt;1,"Invalid case ref",IF(COUNTIFS('Plan versions'!$A$7:$A$306,C233,'Plan versions'!$B$7:$B$306,B233,'Plan versions'!$L$7:$L$306,"Frozen")&lt;&gt;1,"Invalid plan ref",IF(OR(NOT(ISNUMBER(D233)),NOT(ISNUMBER(E233)),F233="",I233="",M233="",Q233=""),"Prediction info missing",IF(D233&gt;E233,"Not pre-registered before due",IF(OR(AND(G233&lt;&gt;"",OR(NOT(ISNUMBER(G233)),G233&lt;0,G233&gt;1)),AND(H233&lt;&gt;"",OR(NOT(ISNUMBER(H233)),H233&lt;0,H233&gt;1))),"Invalid probability",IF(AND(I233="Resolved",OR(NOT(ISNUMBER(J233)),AND(J233&lt;&gt;0,J233&lt;&gt;1),NOT(ISNUMBER(K233)),L233="")),"Resolution evidence missing",IF(AND(I233="Resolved",D233&gt;K233),"Retroactive: not scored","Valid input")))))))))</x:f>
      </x:c>
    </x:row>
    <x:row r="234" ht="25" customHeight="1">
      <x:c r="A234" s="3"/>
      <x:c r="B234" s="3"/>
      <x:c r="C234" s="3"/>
      <x:c r="D234" s="25"/>
      <x:c r="E234" s="25"/>
      <x:c r="F234" s="3"/>
      <x:c r="G234" s="26"/>
      <x:c r="H234" s="26"/>
      <x:c r="I234" s="3"/>
      <x:c r="J234" s="22"/>
      <x:c r="K234" s="25"/>
      <x:c r="L234" s="3"/>
      <x:c r="M234" s="3"/>
      <x:c r="N234" s="24" t="str">
        <x:f>IF(AND(R234="Valid input",I234="Resolved",M234="Yes",ISNUMBER(G234)),(G234-J234)^2,"")</x:f>
      </x:c>
      <x:c r="O234" s="24" t="str">
        <x:f>IF(AND(ISNUMBER(N234),ISNUMBER(H234)),(H234-J234)^2,"")</x:f>
      </x:c>
      <x:c r="P234" s="24" t="str">
        <x:f>IF(AND(ISNUMBER(N234),ISNUMBER(O234)),O234-N234,"")</x:f>
      </x:c>
      <x:c r="Q234" s="3"/>
      <x:c r="R234" s="19" t="str">
        <x:f>IF(A234="","",IF(COUNTIFS('Predictions'!$A$7:$A$306,A234)&lt;&gt;1,"Duplicate ID",IF(COUNTIFS('Cases overview'!$A$7:$A$306,B234)&lt;&gt;1,"Invalid case ref",IF(COUNTIFS('Plan versions'!$A$7:$A$306,C234,'Plan versions'!$B$7:$B$306,B234,'Plan versions'!$L$7:$L$306,"Frozen")&lt;&gt;1,"Invalid plan ref",IF(OR(NOT(ISNUMBER(D234)),NOT(ISNUMBER(E234)),F234="",I234="",M234="",Q234=""),"Prediction info missing",IF(D234&gt;E234,"Not pre-registered before due",IF(OR(AND(G234&lt;&gt;"",OR(NOT(ISNUMBER(G234)),G234&lt;0,G234&gt;1)),AND(H234&lt;&gt;"",OR(NOT(ISNUMBER(H234)),H234&lt;0,H234&gt;1))),"Invalid probability",IF(AND(I234="Resolved",OR(NOT(ISNUMBER(J234)),AND(J234&lt;&gt;0,J234&lt;&gt;1),NOT(ISNUMBER(K234)),L234="")),"Resolution evidence missing",IF(AND(I234="Resolved",D234&gt;K234),"Retroactive: not scored","Valid input")))))))))</x:f>
      </x:c>
    </x:row>
    <x:row r="235" ht="25" customHeight="1">
      <x:c r="A235" s="3"/>
      <x:c r="B235" s="3"/>
      <x:c r="C235" s="3"/>
      <x:c r="D235" s="25"/>
      <x:c r="E235" s="25"/>
      <x:c r="F235" s="3"/>
      <x:c r="G235" s="26"/>
      <x:c r="H235" s="26"/>
      <x:c r="I235" s="3"/>
      <x:c r="J235" s="22"/>
      <x:c r="K235" s="25"/>
      <x:c r="L235" s="3"/>
      <x:c r="M235" s="3"/>
      <x:c r="N235" s="24" t="str">
        <x:f>IF(AND(R235="Valid input",I235="Resolved",M235="Yes",ISNUMBER(G235)),(G235-J235)^2,"")</x:f>
      </x:c>
      <x:c r="O235" s="24" t="str">
        <x:f>IF(AND(ISNUMBER(N235),ISNUMBER(H235)),(H235-J235)^2,"")</x:f>
      </x:c>
      <x:c r="P235" s="24" t="str">
        <x:f>IF(AND(ISNUMBER(N235),ISNUMBER(O235)),O235-N235,"")</x:f>
      </x:c>
      <x:c r="Q235" s="3"/>
      <x:c r="R235" s="19" t="str">
        <x:f>IF(A235="","",IF(COUNTIFS('Predictions'!$A$7:$A$306,A235)&lt;&gt;1,"Duplicate ID",IF(COUNTIFS('Cases overview'!$A$7:$A$306,B235)&lt;&gt;1,"Invalid case ref",IF(COUNTIFS('Plan versions'!$A$7:$A$306,C235,'Plan versions'!$B$7:$B$306,B235,'Plan versions'!$L$7:$L$306,"Frozen")&lt;&gt;1,"Invalid plan ref",IF(OR(NOT(ISNUMBER(D235)),NOT(ISNUMBER(E235)),F235="",I235="",M235="",Q235=""),"Prediction info missing",IF(D235&gt;E235,"Not pre-registered before due",IF(OR(AND(G235&lt;&gt;"",OR(NOT(ISNUMBER(G235)),G235&lt;0,G235&gt;1)),AND(H235&lt;&gt;"",OR(NOT(ISNUMBER(H235)),H235&lt;0,H235&gt;1))),"Invalid probability",IF(AND(I235="Resolved",OR(NOT(ISNUMBER(J235)),AND(J235&lt;&gt;0,J235&lt;&gt;1),NOT(ISNUMBER(K235)),L235="")),"Resolution evidence missing",IF(AND(I235="Resolved",D235&gt;K235),"Retroactive: not scored","Valid input")))))))))</x:f>
      </x:c>
    </x:row>
    <x:row r="236" ht="25" customHeight="1">
      <x:c r="A236" s="3"/>
      <x:c r="B236" s="3"/>
      <x:c r="C236" s="3"/>
      <x:c r="D236" s="25"/>
      <x:c r="E236" s="25"/>
      <x:c r="F236" s="3"/>
      <x:c r="G236" s="26"/>
      <x:c r="H236" s="26"/>
      <x:c r="I236" s="3"/>
      <x:c r="J236" s="22"/>
      <x:c r="K236" s="25"/>
      <x:c r="L236" s="3"/>
      <x:c r="M236" s="3"/>
      <x:c r="N236" s="24" t="str">
        <x:f>IF(AND(R236="Valid input",I236="Resolved",M236="Yes",ISNUMBER(G236)),(G236-J236)^2,"")</x:f>
      </x:c>
      <x:c r="O236" s="24" t="str">
        <x:f>IF(AND(ISNUMBER(N236),ISNUMBER(H236)),(H236-J236)^2,"")</x:f>
      </x:c>
      <x:c r="P236" s="24" t="str">
        <x:f>IF(AND(ISNUMBER(N236),ISNUMBER(O236)),O236-N236,"")</x:f>
      </x:c>
      <x:c r="Q236" s="3"/>
      <x:c r="R236" s="19" t="str">
        <x:f>IF(A236="","",IF(COUNTIFS('Predictions'!$A$7:$A$306,A236)&lt;&gt;1,"Duplicate ID",IF(COUNTIFS('Cases overview'!$A$7:$A$306,B236)&lt;&gt;1,"Invalid case ref",IF(COUNTIFS('Plan versions'!$A$7:$A$306,C236,'Plan versions'!$B$7:$B$306,B236,'Plan versions'!$L$7:$L$306,"Frozen")&lt;&gt;1,"Invalid plan ref",IF(OR(NOT(ISNUMBER(D236)),NOT(ISNUMBER(E236)),F236="",I236="",M236="",Q236=""),"Prediction info missing",IF(D236&gt;E236,"Not pre-registered before due",IF(OR(AND(G236&lt;&gt;"",OR(NOT(ISNUMBER(G236)),G236&lt;0,G236&gt;1)),AND(H236&lt;&gt;"",OR(NOT(ISNUMBER(H236)),H236&lt;0,H236&gt;1))),"Invalid probability",IF(AND(I236="Resolved",OR(NOT(ISNUMBER(J236)),AND(J236&lt;&gt;0,J236&lt;&gt;1),NOT(ISNUMBER(K236)),L236="")),"Resolution evidence missing",IF(AND(I236="Resolved",D236&gt;K236),"Retroactive: not scored","Valid input")))))))))</x:f>
      </x:c>
    </x:row>
    <x:row r="237" ht="25" customHeight="1">
      <x:c r="A237" s="3"/>
      <x:c r="B237" s="3"/>
      <x:c r="C237" s="3"/>
      <x:c r="D237" s="25"/>
      <x:c r="E237" s="25"/>
      <x:c r="F237" s="3"/>
      <x:c r="G237" s="26"/>
      <x:c r="H237" s="26"/>
      <x:c r="I237" s="3"/>
      <x:c r="J237" s="22"/>
      <x:c r="K237" s="25"/>
      <x:c r="L237" s="3"/>
      <x:c r="M237" s="3"/>
      <x:c r="N237" s="24" t="str">
        <x:f>IF(AND(R237="Valid input",I237="Resolved",M237="Yes",ISNUMBER(G237)),(G237-J237)^2,"")</x:f>
      </x:c>
      <x:c r="O237" s="24" t="str">
        <x:f>IF(AND(ISNUMBER(N237),ISNUMBER(H237)),(H237-J237)^2,"")</x:f>
      </x:c>
      <x:c r="P237" s="24" t="str">
        <x:f>IF(AND(ISNUMBER(N237),ISNUMBER(O237)),O237-N237,"")</x:f>
      </x:c>
      <x:c r="Q237" s="3"/>
      <x:c r="R237" s="19" t="str">
        <x:f>IF(A237="","",IF(COUNTIFS('Predictions'!$A$7:$A$306,A237)&lt;&gt;1,"Duplicate ID",IF(COUNTIFS('Cases overview'!$A$7:$A$306,B237)&lt;&gt;1,"Invalid case ref",IF(COUNTIFS('Plan versions'!$A$7:$A$306,C237,'Plan versions'!$B$7:$B$306,B237,'Plan versions'!$L$7:$L$306,"Frozen")&lt;&gt;1,"Invalid plan ref",IF(OR(NOT(ISNUMBER(D237)),NOT(ISNUMBER(E237)),F237="",I237="",M237="",Q237=""),"Prediction info missing",IF(D237&gt;E237,"Not pre-registered before due",IF(OR(AND(G237&lt;&gt;"",OR(NOT(ISNUMBER(G237)),G237&lt;0,G237&gt;1)),AND(H237&lt;&gt;"",OR(NOT(ISNUMBER(H237)),H237&lt;0,H237&gt;1))),"Invalid probability",IF(AND(I237="Resolved",OR(NOT(ISNUMBER(J237)),AND(J237&lt;&gt;0,J237&lt;&gt;1),NOT(ISNUMBER(K237)),L237="")),"Resolution evidence missing",IF(AND(I237="Resolved",D237&gt;K237),"Retroactive: not scored","Valid input")))))))))</x:f>
      </x:c>
    </x:row>
    <x:row r="238" ht="25" customHeight="1">
      <x:c r="A238" s="3"/>
      <x:c r="B238" s="3"/>
      <x:c r="C238" s="3"/>
      <x:c r="D238" s="25"/>
      <x:c r="E238" s="25"/>
      <x:c r="F238" s="3"/>
      <x:c r="G238" s="26"/>
      <x:c r="H238" s="26"/>
      <x:c r="I238" s="3"/>
      <x:c r="J238" s="22"/>
      <x:c r="K238" s="25"/>
      <x:c r="L238" s="3"/>
      <x:c r="M238" s="3"/>
      <x:c r="N238" s="24" t="str">
        <x:f>IF(AND(R238="Valid input",I238="Resolved",M238="Yes",ISNUMBER(G238)),(G238-J238)^2,"")</x:f>
      </x:c>
      <x:c r="O238" s="24" t="str">
        <x:f>IF(AND(ISNUMBER(N238),ISNUMBER(H238)),(H238-J238)^2,"")</x:f>
      </x:c>
      <x:c r="P238" s="24" t="str">
        <x:f>IF(AND(ISNUMBER(N238),ISNUMBER(O238)),O238-N238,"")</x:f>
      </x:c>
      <x:c r="Q238" s="3"/>
      <x:c r="R238" s="19" t="str">
        <x:f>IF(A238="","",IF(COUNTIFS('Predictions'!$A$7:$A$306,A238)&lt;&gt;1,"Duplicate ID",IF(COUNTIFS('Cases overview'!$A$7:$A$306,B238)&lt;&gt;1,"Invalid case ref",IF(COUNTIFS('Plan versions'!$A$7:$A$306,C238,'Plan versions'!$B$7:$B$306,B238,'Plan versions'!$L$7:$L$306,"Frozen")&lt;&gt;1,"Invalid plan ref",IF(OR(NOT(ISNUMBER(D238)),NOT(ISNUMBER(E238)),F238="",I238="",M238="",Q238=""),"Prediction info missing",IF(D238&gt;E238,"Not pre-registered before due",IF(OR(AND(G238&lt;&gt;"",OR(NOT(ISNUMBER(G238)),G238&lt;0,G238&gt;1)),AND(H238&lt;&gt;"",OR(NOT(ISNUMBER(H238)),H238&lt;0,H238&gt;1))),"Invalid probability",IF(AND(I238="Resolved",OR(NOT(ISNUMBER(J238)),AND(J238&lt;&gt;0,J238&lt;&gt;1),NOT(ISNUMBER(K238)),L238="")),"Resolution evidence missing",IF(AND(I238="Resolved",D238&gt;K238),"Retroactive: not scored","Valid input")))))))))</x:f>
      </x:c>
    </x:row>
    <x:row r="239" ht="25" customHeight="1">
      <x:c r="A239" s="3"/>
      <x:c r="B239" s="3"/>
      <x:c r="C239" s="3"/>
      <x:c r="D239" s="25"/>
      <x:c r="E239" s="25"/>
      <x:c r="F239" s="3"/>
      <x:c r="G239" s="26"/>
      <x:c r="H239" s="26"/>
      <x:c r="I239" s="3"/>
      <x:c r="J239" s="22"/>
      <x:c r="K239" s="25"/>
      <x:c r="L239" s="3"/>
      <x:c r="M239" s="3"/>
      <x:c r="N239" s="24" t="str">
        <x:f>IF(AND(R239="Valid input",I239="Resolved",M239="Yes",ISNUMBER(G239)),(G239-J239)^2,"")</x:f>
      </x:c>
      <x:c r="O239" s="24" t="str">
        <x:f>IF(AND(ISNUMBER(N239),ISNUMBER(H239)),(H239-J239)^2,"")</x:f>
      </x:c>
      <x:c r="P239" s="24" t="str">
        <x:f>IF(AND(ISNUMBER(N239),ISNUMBER(O239)),O239-N239,"")</x:f>
      </x:c>
      <x:c r="Q239" s="3"/>
      <x:c r="R239" s="19" t="str">
        <x:f>IF(A239="","",IF(COUNTIFS('Predictions'!$A$7:$A$306,A239)&lt;&gt;1,"Duplicate ID",IF(COUNTIFS('Cases overview'!$A$7:$A$306,B239)&lt;&gt;1,"Invalid case ref",IF(COUNTIFS('Plan versions'!$A$7:$A$306,C239,'Plan versions'!$B$7:$B$306,B239,'Plan versions'!$L$7:$L$306,"Frozen")&lt;&gt;1,"Invalid plan ref",IF(OR(NOT(ISNUMBER(D239)),NOT(ISNUMBER(E239)),F239="",I239="",M239="",Q239=""),"Prediction info missing",IF(D239&gt;E239,"Not pre-registered before due",IF(OR(AND(G239&lt;&gt;"",OR(NOT(ISNUMBER(G239)),G239&lt;0,G239&gt;1)),AND(H239&lt;&gt;"",OR(NOT(ISNUMBER(H239)),H239&lt;0,H239&gt;1))),"Invalid probability",IF(AND(I239="Resolved",OR(NOT(ISNUMBER(J239)),AND(J239&lt;&gt;0,J239&lt;&gt;1),NOT(ISNUMBER(K239)),L239="")),"Resolution evidence missing",IF(AND(I239="Resolved",D239&gt;K239),"Retroactive: not scored","Valid input")))))))))</x:f>
      </x:c>
    </x:row>
    <x:row r="240" ht="25" customHeight="1">
      <x:c r="A240" s="3"/>
      <x:c r="B240" s="3"/>
      <x:c r="C240" s="3"/>
      <x:c r="D240" s="25"/>
      <x:c r="E240" s="25"/>
      <x:c r="F240" s="3"/>
      <x:c r="G240" s="26"/>
      <x:c r="H240" s="26"/>
      <x:c r="I240" s="3"/>
      <x:c r="J240" s="22"/>
      <x:c r="K240" s="25"/>
      <x:c r="L240" s="3"/>
      <x:c r="M240" s="3"/>
      <x:c r="N240" s="24" t="str">
        <x:f>IF(AND(R240="Valid input",I240="Resolved",M240="Yes",ISNUMBER(G240)),(G240-J240)^2,"")</x:f>
      </x:c>
      <x:c r="O240" s="24" t="str">
        <x:f>IF(AND(ISNUMBER(N240),ISNUMBER(H240)),(H240-J240)^2,"")</x:f>
      </x:c>
      <x:c r="P240" s="24" t="str">
        <x:f>IF(AND(ISNUMBER(N240),ISNUMBER(O240)),O240-N240,"")</x:f>
      </x:c>
      <x:c r="Q240" s="3"/>
      <x:c r="R240" s="19" t="str">
        <x:f>IF(A240="","",IF(COUNTIFS('Predictions'!$A$7:$A$306,A240)&lt;&gt;1,"Duplicate ID",IF(COUNTIFS('Cases overview'!$A$7:$A$306,B240)&lt;&gt;1,"Invalid case ref",IF(COUNTIFS('Plan versions'!$A$7:$A$306,C240,'Plan versions'!$B$7:$B$306,B240,'Plan versions'!$L$7:$L$306,"Frozen")&lt;&gt;1,"Invalid plan ref",IF(OR(NOT(ISNUMBER(D240)),NOT(ISNUMBER(E240)),F240="",I240="",M240="",Q240=""),"Prediction info missing",IF(D240&gt;E240,"Not pre-registered before due",IF(OR(AND(G240&lt;&gt;"",OR(NOT(ISNUMBER(G240)),G240&lt;0,G240&gt;1)),AND(H240&lt;&gt;"",OR(NOT(ISNUMBER(H240)),H240&lt;0,H240&gt;1))),"Invalid probability",IF(AND(I240="Resolved",OR(NOT(ISNUMBER(J240)),AND(J240&lt;&gt;0,J240&lt;&gt;1),NOT(ISNUMBER(K240)),L240="")),"Resolution evidence missing",IF(AND(I240="Resolved",D240&gt;K240),"Retroactive: not scored","Valid input")))))))))</x:f>
      </x:c>
    </x:row>
    <x:row r="241" ht="25" customHeight="1">
      <x:c r="A241" s="3"/>
      <x:c r="B241" s="3"/>
      <x:c r="C241" s="3"/>
      <x:c r="D241" s="25"/>
      <x:c r="E241" s="25"/>
      <x:c r="F241" s="3"/>
      <x:c r="G241" s="26"/>
      <x:c r="H241" s="26"/>
      <x:c r="I241" s="3"/>
      <x:c r="J241" s="22"/>
      <x:c r="K241" s="25"/>
      <x:c r="L241" s="3"/>
      <x:c r="M241" s="3"/>
      <x:c r="N241" s="24" t="str">
        <x:f>IF(AND(R241="Valid input",I241="Resolved",M241="Yes",ISNUMBER(G241)),(G241-J241)^2,"")</x:f>
      </x:c>
      <x:c r="O241" s="24" t="str">
        <x:f>IF(AND(ISNUMBER(N241),ISNUMBER(H241)),(H241-J241)^2,"")</x:f>
      </x:c>
      <x:c r="P241" s="24" t="str">
        <x:f>IF(AND(ISNUMBER(N241),ISNUMBER(O241)),O241-N241,"")</x:f>
      </x:c>
      <x:c r="Q241" s="3"/>
      <x:c r="R241" s="19" t="str">
        <x:f>IF(A241="","",IF(COUNTIFS('Predictions'!$A$7:$A$306,A241)&lt;&gt;1,"Duplicate ID",IF(COUNTIFS('Cases overview'!$A$7:$A$306,B241)&lt;&gt;1,"Invalid case ref",IF(COUNTIFS('Plan versions'!$A$7:$A$306,C241,'Plan versions'!$B$7:$B$306,B241,'Plan versions'!$L$7:$L$306,"Frozen")&lt;&gt;1,"Invalid plan ref",IF(OR(NOT(ISNUMBER(D241)),NOT(ISNUMBER(E241)),F241="",I241="",M241="",Q241=""),"Prediction info missing",IF(D241&gt;E241,"Not pre-registered before due",IF(OR(AND(G241&lt;&gt;"",OR(NOT(ISNUMBER(G241)),G241&lt;0,G241&gt;1)),AND(H241&lt;&gt;"",OR(NOT(ISNUMBER(H241)),H241&lt;0,H241&gt;1))),"Invalid probability",IF(AND(I241="Resolved",OR(NOT(ISNUMBER(J241)),AND(J241&lt;&gt;0,J241&lt;&gt;1),NOT(ISNUMBER(K241)),L241="")),"Resolution evidence missing",IF(AND(I241="Resolved",D241&gt;K241),"Retroactive: not scored","Valid input")))))))))</x:f>
      </x:c>
    </x:row>
    <x:row r="242" ht="25" customHeight="1">
      <x:c r="A242" s="3"/>
      <x:c r="B242" s="3"/>
      <x:c r="C242" s="3"/>
      <x:c r="D242" s="25"/>
      <x:c r="E242" s="25"/>
      <x:c r="F242" s="3"/>
      <x:c r="G242" s="26"/>
      <x:c r="H242" s="26"/>
      <x:c r="I242" s="3"/>
      <x:c r="J242" s="22"/>
      <x:c r="K242" s="25"/>
      <x:c r="L242" s="3"/>
      <x:c r="M242" s="3"/>
      <x:c r="N242" s="24" t="str">
        <x:f>IF(AND(R242="Valid input",I242="Resolved",M242="Yes",ISNUMBER(G242)),(G242-J242)^2,"")</x:f>
      </x:c>
      <x:c r="O242" s="24" t="str">
        <x:f>IF(AND(ISNUMBER(N242),ISNUMBER(H242)),(H242-J242)^2,"")</x:f>
      </x:c>
      <x:c r="P242" s="24" t="str">
        <x:f>IF(AND(ISNUMBER(N242),ISNUMBER(O242)),O242-N242,"")</x:f>
      </x:c>
      <x:c r="Q242" s="3"/>
      <x:c r="R242" s="19" t="str">
        <x:f>IF(A242="","",IF(COUNTIFS('Predictions'!$A$7:$A$306,A242)&lt;&gt;1,"Duplicate ID",IF(COUNTIFS('Cases overview'!$A$7:$A$306,B242)&lt;&gt;1,"Invalid case ref",IF(COUNTIFS('Plan versions'!$A$7:$A$306,C242,'Plan versions'!$B$7:$B$306,B242,'Plan versions'!$L$7:$L$306,"Frozen")&lt;&gt;1,"Invalid plan ref",IF(OR(NOT(ISNUMBER(D242)),NOT(ISNUMBER(E242)),F242="",I242="",M242="",Q242=""),"Prediction info missing",IF(D242&gt;E242,"Not pre-registered before due",IF(OR(AND(G242&lt;&gt;"",OR(NOT(ISNUMBER(G242)),G242&lt;0,G242&gt;1)),AND(H242&lt;&gt;"",OR(NOT(ISNUMBER(H242)),H242&lt;0,H242&gt;1))),"Invalid probability",IF(AND(I242="Resolved",OR(NOT(ISNUMBER(J242)),AND(J242&lt;&gt;0,J242&lt;&gt;1),NOT(ISNUMBER(K242)),L242="")),"Resolution evidence missing",IF(AND(I242="Resolved",D242&gt;K242),"Retroactive: not scored","Valid input")))))))))</x:f>
      </x:c>
    </x:row>
    <x:row r="243" ht="25" customHeight="1">
      <x:c r="A243" s="3"/>
      <x:c r="B243" s="3"/>
      <x:c r="C243" s="3"/>
      <x:c r="D243" s="25"/>
      <x:c r="E243" s="25"/>
      <x:c r="F243" s="3"/>
      <x:c r="G243" s="26"/>
      <x:c r="H243" s="26"/>
      <x:c r="I243" s="3"/>
      <x:c r="J243" s="22"/>
      <x:c r="K243" s="25"/>
      <x:c r="L243" s="3"/>
      <x:c r="M243" s="3"/>
      <x:c r="N243" s="24" t="str">
        <x:f>IF(AND(R243="Valid input",I243="Resolved",M243="Yes",ISNUMBER(G243)),(G243-J243)^2,"")</x:f>
      </x:c>
      <x:c r="O243" s="24" t="str">
        <x:f>IF(AND(ISNUMBER(N243),ISNUMBER(H243)),(H243-J243)^2,"")</x:f>
      </x:c>
      <x:c r="P243" s="24" t="str">
        <x:f>IF(AND(ISNUMBER(N243),ISNUMBER(O243)),O243-N243,"")</x:f>
      </x:c>
      <x:c r="Q243" s="3"/>
      <x:c r="R243" s="19" t="str">
        <x:f>IF(A243="","",IF(COUNTIFS('Predictions'!$A$7:$A$306,A243)&lt;&gt;1,"Duplicate ID",IF(COUNTIFS('Cases overview'!$A$7:$A$306,B243)&lt;&gt;1,"Invalid case ref",IF(COUNTIFS('Plan versions'!$A$7:$A$306,C243,'Plan versions'!$B$7:$B$306,B243,'Plan versions'!$L$7:$L$306,"Frozen")&lt;&gt;1,"Invalid plan ref",IF(OR(NOT(ISNUMBER(D243)),NOT(ISNUMBER(E243)),F243="",I243="",M243="",Q243=""),"Prediction info missing",IF(D243&gt;E243,"Not pre-registered before due",IF(OR(AND(G243&lt;&gt;"",OR(NOT(ISNUMBER(G243)),G243&lt;0,G243&gt;1)),AND(H243&lt;&gt;"",OR(NOT(ISNUMBER(H243)),H243&lt;0,H243&gt;1))),"Invalid probability",IF(AND(I243="Resolved",OR(NOT(ISNUMBER(J243)),AND(J243&lt;&gt;0,J243&lt;&gt;1),NOT(ISNUMBER(K243)),L243="")),"Resolution evidence missing",IF(AND(I243="Resolved",D243&gt;K243),"Retroactive: not scored","Valid input")))))))))</x:f>
      </x:c>
    </x:row>
    <x:row r="244" ht="25" customHeight="1">
      <x:c r="A244" s="3"/>
      <x:c r="B244" s="3"/>
      <x:c r="C244" s="3"/>
      <x:c r="D244" s="25"/>
      <x:c r="E244" s="25"/>
      <x:c r="F244" s="3"/>
      <x:c r="G244" s="26"/>
      <x:c r="H244" s="26"/>
      <x:c r="I244" s="3"/>
      <x:c r="J244" s="22"/>
      <x:c r="K244" s="25"/>
      <x:c r="L244" s="3"/>
      <x:c r="M244" s="3"/>
      <x:c r="N244" s="24" t="str">
        <x:f>IF(AND(R244="Valid input",I244="Resolved",M244="Yes",ISNUMBER(G244)),(G244-J244)^2,"")</x:f>
      </x:c>
      <x:c r="O244" s="24" t="str">
        <x:f>IF(AND(ISNUMBER(N244),ISNUMBER(H244)),(H244-J244)^2,"")</x:f>
      </x:c>
      <x:c r="P244" s="24" t="str">
        <x:f>IF(AND(ISNUMBER(N244),ISNUMBER(O244)),O244-N244,"")</x:f>
      </x:c>
      <x:c r="Q244" s="3"/>
      <x:c r="R244" s="19" t="str">
        <x:f>IF(A244="","",IF(COUNTIFS('Predictions'!$A$7:$A$306,A244)&lt;&gt;1,"Duplicate ID",IF(COUNTIFS('Cases overview'!$A$7:$A$306,B244)&lt;&gt;1,"Invalid case ref",IF(COUNTIFS('Plan versions'!$A$7:$A$306,C244,'Plan versions'!$B$7:$B$306,B244,'Plan versions'!$L$7:$L$306,"Frozen")&lt;&gt;1,"Invalid plan ref",IF(OR(NOT(ISNUMBER(D244)),NOT(ISNUMBER(E244)),F244="",I244="",M244="",Q244=""),"Prediction info missing",IF(D244&gt;E244,"Not pre-registered before due",IF(OR(AND(G244&lt;&gt;"",OR(NOT(ISNUMBER(G244)),G244&lt;0,G244&gt;1)),AND(H244&lt;&gt;"",OR(NOT(ISNUMBER(H244)),H244&lt;0,H244&gt;1))),"Invalid probability",IF(AND(I244="Resolved",OR(NOT(ISNUMBER(J244)),AND(J244&lt;&gt;0,J244&lt;&gt;1),NOT(ISNUMBER(K244)),L244="")),"Resolution evidence missing",IF(AND(I244="Resolved",D244&gt;K244),"Retroactive: not scored","Valid input")))))))))</x:f>
      </x:c>
    </x:row>
    <x:row r="245" ht="25" customHeight="1">
      <x:c r="A245" s="3"/>
      <x:c r="B245" s="3"/>
      <x:c r="C245" s="3"/>
      <x:c r="D245" s="25"/>
      <x:c r="E245" s="25"/>
      <x:c r="F245" s="3"/>
      <x:c r="G245" s="26"/>
      <x:c r="H245" s="26"/>
      <x:c r="I245" s="3"/>
      <x:c r="J245" s="22"/>
      <x:c r="K245" s="25"/>
      <x:c r="L245" s="3"/>
      <x:c r="M245" s="3"/>
      <x:c r="N245" s="24" t="str">
        <x:f>IF(AND(R245="Valid input",I245="Resolved",M245="Yes",ISNUMBER(G245)),(G245-J245)^2,"")</x:f>
      </x:c>
      <x:c r="O245" s="24" t="str">
        <x:f>IF(AND(ISNUMBER(N245),ISNUMBER(H245)),(H245-J245)^2,"")</x:f>
      </x:c>
      <x:c r="P245" s="24" t="str">
        <x:f>IF(AND(ISNUMBER(N245),ISNUMBER(O245)),O245-N245,"")</x:f>
      </x:c>
      <x:c r="Q245" s="3"/>
      <x:c r="R245" s="19" t="str">
        <x:f>IF(A245="","",IF(COUNTIFS('Predictions'!$A$7:$A$306,A245)&lt;&gt;1,"Duplicate ID",IF(COUNTIFS('Cases overview'!$A$7:$A$306,B245)&lt;&gt;1,"Invalid case ref",IF(COUNTIFS('Plan versions'!$A$7:$A$306,C245,'Plan versions'!$B$7:$B$306,B245,'Plan versions'!$L$7:$L$306,"Frozen")&lt;&gt;1,"Invalid plan ref",IF(OR(NOT(ISNUMBER(D245)),NOT(ISNUMBER(E245)),F245="",I245="",M245="",Q245=""),"Prediction info missing",IF(D245&gt;E245,"Not pre-registered before due",IF(OR(AND(G245&lt;&gt;"",OR(NOT(ISNUMBER(G245)),G245&lt;0,G245&gt;1)),AND(H245&lt;&gt;"",OR(NOT(ISNUMBER(H245)),H245&lt;0,H245&gt;1))),"Invalid probability",IF(AND(I245="Resolved",OR(NOT(ISNUMBER(J245)),AND(J245&lt;&gt;0,J245&lt;&gt;1),NOT(ISNUMBER(K245)),L245="")),"Resolution evidence missing",IF(AND(I245="Resolved",D245&gt;K245),"Retroactive: not scored","Valid input")))))))))</x:f>
      </x:c>
    </x:row>
    <x:row r="246" ht="25" customHeight="1">
      <x:c r="A246" s="3"/>
      <x:c r="B246" s="3"/>
      <x:c r="C246" s="3"/>
      <x:c r="D246" s="25"/>
      <x:c r="E246" s="25"/>
      <x:c r="F246" s="3"/>
      <x:c r="G246" s="26"/>
      <x:c r="H246" s="26"/>
      <x:c r="I246" s="3"/>
      <x:c r="J246" s="22"/>
      <x:c r="K246" s="25"/>
      <x:c r="L246" s="3"/>
      <x:c r="M246" s="3"/>
      <x:c r="N246" s="24" t="str">
        <x:f>IF(AND(R246="Valid input",I246="Resolved",M246="Yes",ISNUMBER(G246)),(G246-J246)^2,"")</x:f>
      </x:c>
      <x:c r="O246" s="24" t="str">
        <x:f>IF(AND(ISNUMBER(N246),ISNUMBER(H246)),(H246-J246)^2,"")</x:f>
      </x:c>
      <x:c r="P246" s="24" t="str">
        <x:f>IF(AND(ISNUMBER(N246),ISNUMBER(O246)),O246-N246,"")</x:f>
      </x:c>
      <x:c r="Q246" s="3"/>
      <x:c r="R246" s="19" t="str">
        <x:f>IF(A246="","",IF(COUNTIFS('Predictions'!$A$7:$A$306,A246)&lt;&gt;1,"Duplicate ID",IF(COUNTIFS('Cases overview'!$A$7:$A$306,B246)&lt;&gt;1,"Invalid case ref",IF(COUNTIFS('Plan versions'!$A$7:$A$306,C246,'Plan versions'!$B$7:$B$306,B246,'Plan versions'!$L$7:$L$306,"Frozen")&lt;&gt;1,"Invalid plan ref",IF(OR(NOT(ISNUMBER(D246)),NOT(ISNUMBER(E246)),F246="",I246="",M246="",Q246=""),"Prediction info missing",IF(D246&gt;E246,"Not pre-registered before due",IF(OR(AND(G246&lt;&gt;"",OR(NOT(ISNUMBER(G246)),G246&lt;0,G246&gt;1)),AND(H246&lt;&gt;"",OR(NOT(ISNUMBER(H246)),H246&lt;0,H246&gt;1))),"Invalid probability",IF(AND(I246="Resolved",OR(NOT(ISNUMBER(J246)),AND(J246&lt;&gt;0,J246&lt;&gt;1),NOT(ISNUMBER(K246)),L246="")),"Resolution evidence missing",IF(AND(I246="Resolved",D246&gt;K246),"Retroactive: not scored","Valid input")))))))))</x:f>
      </x:c>
    </x:row>
    <x:row r="247" ht="25" customHeight="1">
      <x:c r="A247" s="3"/>
      <x:c r="B247" s="3"/>
      <x:c r="C247" s="3"/>
      <x:c r="D247" s="25"/>
      <x:c r="E247" s="25"/>
      <x:c r="F247" s="3"/>
      <x:c r="G247" s="26"/>
      <x:c r="H247" s="26"/>
      <x:c r="I247" s="3"/>
      <x:c r="J247" s="22"/>
      <x:c r="K247" s="25"/>
      <x:c r="L247" s="3"/>
      <x:c r="M247" s="3"/>
      <x:c r="N247" s="24" t="str">
        <x:f>IF(AND(R247="Valid input",I247="Resolved",M247="Yes",ISNUMBER(G247)),(G247-J247)^2,"")</x:f>
      </x:c>
      <x:c r="O247" s="24" t="str">
        <x:f>IF(AND(ISNUMBER(N247),ISNUMBER(H247)),(H247-J247)^2,"")</x:f>
      </x:c>
      <x:c r="P247" s="24" t="str">
        <x:f>IF(AND(ISNUMBER(N247),ISNUMBER(O247)),O247-N247,"")</x:f>
      </x:c>
      <x:c r="Q247" s="3"/>
      <x:c r="R247" s="19" t="str">
        <x:f>IF(A247="","",IF(COUNTIFS('Predictions'!$A$7:$A$306,A247)&lt;&gt;1,"Duplicate ID",IF(COUNTIFS('Cases overview'!$A$7:$A$306,B247)&lt;&gt;1,"Invalid case ref",IF(COUNTIFS('Plan versions'!$A$7:$A$306,C247,'Plan versions'!$B$7:$B$306,B247,'Plan versions'!$L$7:$L$306,"Frozen")&lt;&gt;1,"Invalid plan ref",IF(OR(NOT(ISNUMBER(D247)),NOT(ISNUMBER(E247)),F247="",I247="",M247="",Q247=""),"Prediction info missing",IF(D247&gt;E247,"Not pre-registered before due",IF(OR(AND(G247&lt;&gt;"",OR(NOT(ISNUMBER(G247)),G247&lt;0,G247&gt;1)),AND(H247&lt;&gt;"",OR(NOT(ISNUMBER(H247)),H247&lt;0,H247&gt;1))),"Invalid probability",IF(AND(I247="Resolved",OR(NOT(ISNUMBER(J247)),AND(J247&lt;&gt;0,J247&lt;&gt;1),NOT(ISNUMBER(K247)),L247="")),"Resolution evidence missing",IF(AND(I247="Resolved",D247&gt;K247),"Retroactive: not scored","Valid input")))))))))</x:f>
      </x:c>
    </x:row>
    <x:row r="248" ht="25" customHeight="1">
      <x:c r="A248" s="3"/>
      <x:c r="B248" s="3"/>
      <x:c r="C248" s="3"/>
      <x:c r="D248" s="25"/>
      <x:c r="E248" s="25"/>
      <x:c r="F248" s="3"/>
      <x:c r="G248" s="26"/>
      <x:c r="H248" s="26"/>
      <x:c r="I248" s="3"/>
      <x:c r="J248" s="22"/>
      <x:c r="K248" s="25"/>
      <x:c r="L248" s="3"/>
      <x:c r="M248" s="3"/>
      <x:c r="N248" s="24" t="str">
        <x:f>IF(AND(R248="Valid input",I248="Resolved",M248="Yes",ISNUMBER(G248)),(G248-J248)^2,"")</x:f>
      </x:c>
      <x:c r="O248" s="24" t="str">
        <x:f>IF(AND(ISNUMBER(N248),ISNUMBER(H248)),(H248-J248)^2,"")</x:f>
      </x:c>
      <x:c r="P248" s="24" t="str">
        <x:f>IF(AND(ISNUMBER(N248),ISNUMBER(O248)),O248-N248,"")</x:f>
      </x:c>
      <x:c r="Q248" s="3"/>
      <x:c r="R248" s="19" t="str">
        <x:f>IF(A248="","",IF(COUNTIFS('Predictions'!$A$7:$A$306,A248)&lt;&gt;1,"Duplicate ID",IF(COUNTIFS('Cases overview'!$A$7:$A$306,B248)&lt;&gt;1,"Invalid case ref",IF(COUNTIFS('Plan versions'!$A$7:$A$306,C248,'Plan versions'!$B$7:$B$306,B248,'Plan versions'!$L$7:$L$306,"Frozen")&lt;&gt;1,"Invalid plan ref",IF(OR(NOT(ISNUMBER(D248)),NOT(ISNUMBER(E248)),F248="",I248="",M248="",Q248=""),"Prediction info missing",IF(D248&gt;E248,"Not pre-registered before due",IF(OR(AND(G248&lt;&gt;"",OR(NOT(ISNUMBER(G248)),G248&lt;0,G248&gt;1)),AND(H248&lt;&gt;"",OR(NOT(ISNUMBER(H248)),H248&lt;0,H248&gt;1))),"Invalid probability",IF(AND(I248="Resolved",OR(NOT(ISNUMBER(J248)),AND(J248&lt;&gt;0,J248&lt;&gt;1),NOT(ISNUMBER(K248)),L248="")),"Resolution evidence missing",IF(AND(I248="Resolved",D248&gt;K248),"Retroactive: not scored","Valid input")))))))))</x:f>
      </x:c>
    </x:row>
    <x:row r="249" ht="25" customHeight="1">
      <x:c r="A249" s="3"/>
      <x:c r="B249" s="3"/>
      <x:c r="C249" s="3"/>
      <x:c r="D249" s="25"/>
      <x:c r="E249" s="25"/>
      <x:c r="F249" s="3"/>
      <x:c r="G249" s="26"/>
      <x:c r="H249" s="26"/>
      <x:c r="I249" s="3"/>
      <x:c r="J249" s="22"/>
      <x:c r="K249" s="25"/>
      <x:c r="L249" s="3"/>
      <x:c r="M249" s="3"/>
      <x:c r="N249" s="24" t="str">
        <x:f>IF(AND(R249="Valid input",I249="Resolved",M249="Yes",ISNUMBER(G249)),(G249-J249)^2,"")</x:f>
      </x:c>
      <x:c r="O249" s="24" t="str">
        <x:f>IF(AND(ISNUMBER(N249),ISNUMBER(H249)),(H249-J249)^2,"")</x:f>
      </x:c>
      <x:c r="P249" s="24" t="str">
        <x:f>IF(AND(ISNUMBER(N249),ISNUMBER(O249)),O249-N249,"")</x:f>
      </x:c>
      <x:c r="Q249" s="3"/>
      <x:c r="R249" s="19" t="str">
        <x:f>IF(A249="","",IF(COUNTIFS('Predictions'!$A$7:$A$306,A249)&lt;&gt;1,"Duplicate ID",IF(COUNTIFS('Cases overview'!$A$7:$A$306,B249)&lt;&gt;1,"Invalid case ref",IF(COUNTIFS('Plan versions'!$A$7:$A$306,C249,'Plan versions'!$B$7:$B$306,B249,'Plan versions'!$L$7:$L$306,"Frozen")&lt;&gt;1,"Invalid plan ref",IF(OR(NOT(ISNUMBER(D249)),NOT(ISNUMBER(E249)),F249="",I249="",M249="",Q249=""),"Prediction info missing",IF(D249&gt;E249,"Not pre-registered before due",IF(OR(AND(G249&lt;&gt;"",OR(NOT(ISNUMBER(G249)),G249&lt;0,G249&gt;1)),AND(H249&lt;&gt;"",OR(NOT(ISNUMBER(H249)),H249&lt;0,H249&gt;1))),"Invalid probability",IF(AND(I249="Resolved",OR(NOT(ISNUMBER(J249)),AND(J249&lt;&gt;0,J249&lt;&gt;1),NOT(ISNUMBER(K249)),L249="")),"Resolution evidence missing",IF(AND(I249="Resolved",D249&gt;K249),"Retroactive: not scored","Valid input")))))))))</x:f>
      </x:c>
    </x:row>
    <x:row r="250" ht="25" customHeight="1">
      <x:c r="A250" s="3"/>
      <x:c r="B250" s="3"/>
      <x:c r="C250" s="3"/>
      <x:c r="D250" s="25"/>
      <x:c r="E250" s="25"/>
      <x:c r="F250" s="3"/>
      <x:c r="G250" s="26"/>
      <x:c r="H250" s="26"/>
      <x:c r="I250" s="3"/>
      <x:c r="J250" s="22"/>
      <x:c r="K250" s="25"/>
      <x:c r="L250" s="3"/>
      <x:c r="M250" s="3"/>
      <x:c r="N250" s="24" t="str">
        <x:f>IF(AND(R250="Valid input",I250="Resolved",M250="Yes",ISNUMBER(G250)),(G250-J250)^2,"")</x:f>
      </x:c>
      <x:c r="O250" s="24" t="str">
        <x:f>IF(AND(ISNUMBER(N250),ISNUMBER(H250)),(H250-J250)^2,"")</x:f>
      </x:c>
      <x:c r="P250" s="24" t="str">
        <x:f>IF(AND(ISNUMBER(N250),ISNUMBER(O250)),O250-N250,"")</x:f>
      </x:c>
      <x:c r="Q250" s="3"/>
      <x:c r="R250" s="19" t="str">
        <x:f>IF(A250="","",IF(COUNTIFS('Predictions'!$A$7:$A$306,A250)&lt;&gt;1,"Duplicate ID",IF(COUNTIFS('Cases overview'!$A$7:$A$306,B250)&lt;&gt;1,"Invalid case ref",IF(COUNTIFS('Plan versions'!$A$7:$A$306,C250,'Plan versions'!$B$7:$B$306,B250,'Plan versions'!$L$7:$L$306,"Frozen")&lt;&gt;1,"Invalid plan ref",IF(OR(NOT(ISNUMBER(D250)),NOT(ISNUMBER(E250)),F250="",I250="",M250="",Q250=""),"Prediction info missing",IF(D250&gt;E250,"Not pre-registered before due",IF(OR(AND(G250&lt;&gt;"",OR(NOT(ISNUMBER(G250)),G250&lt;0,G250&gt;1)),AND(H250&lt;&gt;"",OR(NOT(ISNUMBER(H250)),H250&lt;0,H250&gt;1))),"Invalid probability",IF(AND(I250="Resolved",OR(NOT(ISNUMBER(J250)),AND(J250&lt;&gt;0,J250&lt;&gt;1),NOT(ISNUMBER(K250)),L250="")),"Resolution evidence missing",IF(AND(I250="Resolved",D250&gt;K250),"Retroactive: not scored","Valid input")))))))))</x:f>
      </x:c>
    </x:row>
    <x:row r="251" ht="25" customHeight="1">
      <x:c r="A251" s="3"/>
      <x:c r="B251" s="3"/>
      <x:c r="C251" s="3"/>
      <x:c r="D251" s="25"/>
      <x:c r="E251" s="25"/>
      <x:c r="F251" s="3"/>
      <x:c r="G251" s="26"/>
      <x:c r="H251" s="26"/>
      <x:c r="I251" s="3"/>
      <x:c r="J251" s="22"/>
      <x:c r="K251" s="25"/>
      <x:c r="L251" s="3"/>
      <x:c r="M251" s="3"/>
      <x:c r="N251" s="24" t="str">
        <x:f>IF(AND(R251="Valid input",I251="Resolved",M251="Yes",ISNUMBER(G251)),(G251-J251)^2,"")</x:f>
      </x:c>
      <x:c r="O251" s="24" t="str">
        <x:f>IF(AND(ISNUMBER(N251),ISNUMBER(H251)),(H251-J251)^2,"")</x:f>
      </x:c>
      <x:c r="P251" s="24" t="str">
        <x:f>IF(AND(ISNUMBER(N251),ISNUMBER(O251)),O251-N251,"")</x:f>
      </x:c>
      <x:c r="Q251" s="3"/>
      <x:c r="R251" s="19" t="str">
        <x:f>IF(A251="","",IF(COUNTIFS('Predictions'!$A$7:$A$306,A251)&lt;&gt;1,"Duplicate ID",IF(COUNTIFS('Cases overview'!$A$7:$A$306,B251)&lt;&gt;1,"Invalid case ref",IF(COUNTIFS('Plan versions'!$A$7:$A$306,C251,'Plan versions'!$B$7:$B$306,B251,'Plan versions'!$L$7:$L$306,"Frozen")&lt;&gt;1,"Invalid plan ref",IF(OR(NOT(ISNUMBER(D251)),NOT(ISNUMBER(E251)),F251="",I251="",M251="",Q251=""),"Prediction info missing",IF(D251&gt;E251,"Not pre-registered before due",IF(OR(AND(G251&lt;&gt;"",OR(NOT(ISNUMBER(G251)),G251&lt;0,G251&gt;1)),AND(H251&lt;&gt;"",OR(NOT(ISNUMBER(H251)),H251&lt;0,H251&gt;1))),"Invalid probability",IF(AND(I251="Resolved",OR(NOT(ISNUMBER(J251)),AND(J251&lt;&gt;0,J251&lt;&gt;1),NOT(ISNUMBER(K251)),L251="")),"Resolution evidence missing",IF(AND(I251="Resolved",D251&gt;K251),"Retroactive: not scored","Valid input")))))))))</x:f>
      </x:c>
    </x:row>
    <x:row r="252" ht="25" customHeight="1">
      <x:c r="A252" s="3"/>
      <x:c r="B252" s="3"/>
      <x:c r="C252" s="3"/>
      <x:c r="D252" s="25"/>
      <x:c r="E252" s="25"/>
      <x:c r="F252" s="3"/>
      <x:c r="G252" s="26"/>
      <x:c r="H252" s="26"/>
      <x:c r="I252" s="3"/>
      <x:c r="J252" s="22"/>
      <x:c r="K252" s="25"/>
      <x:c r="L252" s="3"/>
      <x:c r="M252" s="3"/>
      <x:c r="N252" s="24" t="str">
        <x:f>IF(AND(R252="Valid input",I252="Resolved",M252="Yes",ISNUMBER(G252)),(G252-J252)^2,"")</x:f>
      </x:c>
      <x:c r="O252" s="24" t="str">
        <x:f>IF(AND(ISNUMBER(N252),ISNUMBER(H252)),(H252-J252)^2,"")</x:f>
      </x:c>
      <x:c r="P252" s="24" t="str">
        <x:f>IF(AND(ISNUMBER(N252),ISNUMBER(O252)),O252-N252,"")</x:f>
      </x:c>
      <x:c r="Q252" s="3"/>
      <x:c r="R252" s="19" t="str">
        <x:f>IF(A252="","",IF(COUNTIFS('Predictions'!$A$7:$A$306,A252)&lt;&gt;1,"Duplicate ID",IF(COUNTIFS('Cases overview'!$A$7:$A$306,B252)&lt;&gt;1,"Invalid case ref",IF(COUNTIFS('Plan versions'!$A$7:$A$306,C252,'Plan versions'!$B$7:$B$306,B252,'Plan versions'!$L$7:$L$306,"Frozen")&lt;&gt;1,"Invalid plan ref",IF(OR(NOT(ISNUMBER(D252)),NOT(ISNUMBER(E252)),F252="",I252="",M252="",Q252=""),"Prediction info missing",IF(D252&gt;E252,"Not pre-registered before due",IF(OR(AND(G252&lt;&gt;"",OR(NOT(ISNUMBER(G252)),G252&lt;0,G252&gt;1)),AND(H252&lt;&gt;"",OR(NOT(ISNUMBER(H252)),H252&lt;0,H252&gt;1))),"Invalid probability",IF(AND(I252="Resolved",OR(NOT(ISNUMBER(J252)),AND(J252&lt;&gt;0,J252&lt;&gt;1),NOT(ISNUMBER(K252)),L252="")),"Resolution evidence missing",IF(AND(I252="Resolved",D252&gt;K252),"Retroactive: not scored","Valid input")))))))))</x:f>
      </x:c>
    </x:row>
    <x:row r="253" ht="25" customHeight="1">
      <x:c r="A253" s="3"/>
      <x:c r="B253" s="3"/>
      <x:c r="C253" s="3"/>
      <x:c r="D253" s="25"/>
      <x:c r="E253" s="25"/>
      <x:c r="F253" s="3"/>
      <x:c r="G253" s="26"/>
      <x:c r="H253" s="26"/>
      <x:c r="I253" s="3"/>
      <x:c r="J253" s="22"/>
      <x:c r="K253" s="25"/>
      <x:c r="L253" s="3"/>
      <x:c r="M253" s="3"/>
      <x:c r="N253" s="24" t="str">
        <x:f>IF(AND(R253="Valid input",I253="Resolved",M253="Yes",ISNUMBER(G253)),(G253-J253)^2,"")</x:f>
      </x:c>
      <x:c r="O253" s="24" t="str">
        <x:f>IF(AND(ISNUMBER(N253),ISNUMBER(H253)),(H253-J253)^2,"")</x:f>
      </x:c>
      <x:c r="P253" s="24" t="str">
        <x:f>IF(AND(ISNUMBER(N253),ISNUMBER(O253)),O253-N253,"")</x:f>
      </x:c>
      <x:c r="Q253" s="3"/>
      <x:c r="R253" s="19" t="str">
        <x:f>IF(A253="","",IF(COUNTIFS('Predictions'!$A$7:$A$306,A253)&lt;&gt;1,"Duplicate ID",IF(COUNTIFS('Cases overview'!$A$7:$A$306,B253)&lt;&gt;1,"Invalid case ref",IF(COUNTIFS('Plan versions'!$A$7:$A$306,C253,'Plan versions'!$B$7:$B$306,B253,'Plan versions'!$L$7:$L$306,"Frozen")&lt;&gt;1,"Invalid plan ref",IF(OR(NOT(ISNUMBER(D253)),NOT(ISNUMBER(E253)),F253="",I253="",M253="",Q253=""),"Prediction info missing",IF(D253&gt;E253,"Not pre-registered before due",IF(OR(AND(G253&lt;&gt;"",OR(NOT(ISNUMBER(G253)),G253&lt;0,G253&gt;1)),AND(H253&lt;&gt;"",OR(NOT(ISNUMBER(H253)),H253&lt;0,H253&gt;1))),"Invalid probability",IF(AND(I253="Resolved",OR(NOT(ISNUMBER(J253)),AND(J253&lt;&gt;0,J253&lt;&gt;1),NOT(ISNUMBER(K253)),L253="")),"Resolution evidence missing",IF(AND(I253="Resolved",D253&gt;K253),"Retroactive: not scored","Valid input")))))))))</x:f>
      </x:c>
    </x:row>
    <x:row r="254" ht="25" customHeight="1">
      <x:c r="A254" s="3"/>
      <x:c r="B254" s="3"/>
      <x:c r="C254" s="3"/>
      <x:c r="D254" s="25"/>
      <x:c r="E254" s="25"/>
      <x:c r="F254" s="3"/>
      <x:c r="G254" s="26"/>
      <x:c r="H254" s="26"/>
      <x:c r="I254" s="3"/>
      <x:c r="J254" s="22"/>
      <x:c r="K254" s="25"/>
      <x:c r="L254" s="3"/>
      <x:c r="M254" s="3"/>
      <x:c r="N254" s="24" t="str">
        <x:f>IF(AND(R254="Valid input",I254="Resolved",M254="Yes",ISNUMBER(G254)),(G254-J254)^2,"")</x:f>
      </x:c>
      <x:c r="O254" s="24" t="str">
        <x:f>IF(AND(ISNUMBER(N254),ISNUMBER(H254)),(H254-J254)^2,"")</x:f>
      </x:c>
      <x:c r="P254" s="24" t="str">
        <x:f>IF(AND(ISNUMBER(N254),ISNUMBER(O254)),O254-N254,"")</x:f>
      </x:c>
      <x:c r="Q254" s="3"/>
      <x:c r="R254" s="19" t="str">
        <x:f>IF(A254="","",IF(COUNTIFS('Predictions'!$A$7:$A$306,A254)&lt;&gt;1,"Duplicate ID",IF(COUNTIFS('Cases overview'!$A$7:$A$306,B254)&lt;&gt;1,"Invalid case ref",IF(COUNTIFS('Plan versions'!$A$7:$A$306,C254,'Plan versions'!$B$7:$B$306,B254,'Plan versions'!$L$7:$L$306,"Frozen")&lt;&gt;1,"Invalid plan ref",IF(OR(NOT(ISNUMBER(D254)),NOT(ISNUMBER(E254)),F254="",I254="",M254="",Q254=""),"Prediction info missing",IF(D254&gt;E254,"Not pre-registered before due",IF(OR(AND(G254&lt;&gt;"",OR(NOT(ISNUMBER(G254)),G254&lt;0,G254&gt;1)),AND(H254&lt;&gt;"",OR(NOT(ISNUMBER(H254)),H254&lt;0,H254&gt;1))),"Invalid probability",IF(AND(I254="Resolved",OR(NOT(ISNUMBER(J254)),AND(J254&lt;&gt;0,J254&lt;&gt;1),NOT(ISNUMBER(K254)),L254="")),"Resolution evidence missing",IF(AND(I254="Resolved",D254&gt;K254),"Retroactive: not scored","Valid input")))))))))</x:f>
      </x:c>
    </x:row>
    <x:row r="255" ht="25" customHeight="1">
      <x:c r="A255" s="3"/>
      <x:c r="B255" s="3"/>
      <x:c r="C255" s="3"/>
      <x:c r="D255" s="25"/>
      <x:c r="E255" s="25"/>
      <x:c r="F255" s="3"/>
      <x:c r="G255" s="26"/>
      <x:c r="H255" s="26"/>
      <x:c r="I255" s="3"/>
      <x:c r="J255" s="22"/>
      <x:c r="K255" s="25"/>
      <x:c r="L255" s="3"/>
      <x:c r="M255" s="3"/>
      <x:c r="N255" s="24" t="str">
        <x:f>IF(AND(R255="Valid input",I255="Resolved",M255="Yes",ISNUMBER(G255)),(G255-J255)^2,"")</x:f>
      </x:c>
      <x:c r="O255" s="24" t="str">
        <x:f>IF(AND(ISNUMBER(N255),ISNUMBER(H255)),(H255-J255)^2,"")</x:f>
      </x:c>
      <x:c r="P255" s="24" t="str">
        <x:f>IF(AND(ISNUMBER(N255),ISNUMBER(O255)),O255-N255,"")</x:f>
      </x:c>
      <x:c r="Q255" s="3"/>
      <x:c r="R255" s="19" t="str">
        <x:f>IF(A255="","",IF(COUNTIFS('Predictions'!$A$7:$A$306,A255)&lt;&gt;1,"Duplicate ID",IF(COUNTIFS('Cases overview'!$A$7:$A$306,B255)&lt;&gt;1,"Invalid case ref",IF(COUNTIFS('Plan versions'!$A$7:$A$306,C255,'Plan versions'!$B$7:$B$306,B255,'Plan versions'!$L$7:$L$306,"Frozen")&lt;&gt;1,"Invalid plan ref",IF(OR(NOT(ISNUMBER(D255)),NOT(ISNUMBER(E255)),F255="",I255="",M255="",Q255=""),"Prediction info missing",IF(D255&gt;E255,"Not pre-registered before due",IF(OR(AND(G255&lt;&gt;"",OR(NOT(ISNUMBER(G255)),G255&lt;0,G255&gt;1)),AND(H255&lt;&gt;"",OR(NOT(ISNUMBER(H255)),H255&lt;0,H255&gt;1))),"Invalid probability",IF(AND(I255="Resolved",OR(NOT(ISNUMBER(J255)),AND(J255&lt;&gt;0,J255&lt;&gt;1),NOT(ISNUMBER(K255)),L255="")),"Resolution evidence missing",IF(AND(I255="Resolved",D255&gt;K255),"Retroactive: not scored","Valid input")))))))))</x:f>
      </x:c>
    </x:row>
    <x:row r="256" ht="25" customHeight="1">
      <x:c r="A256" s="3"/>
      <x:c r="B256" s="3"/>
      <x:c r="C256" s="3"/>
      <x:c r="D256" s="25"/>
      <x:c r="E256" s="25"/>
      <x:c r="F256" s="3"/>
      <x:c r="G256" s="26"/>
      <x:c r="H256" s="26"/>
      <x:c r="I256" s="3"/>
      <x:c r="J256" s="22"/>
      <x:c r="K256" s="25"/>
      <x:c r="L256" s="3"/>
      <x:c r="M256" s="3"/>
      <x:c r="N256" s="24" t="str">
        <x:f>IF(AND(R256="Valid input",I256="Resolved",M256="Yes",ISNUMBER(G256)),(G256-J256)^2,"")</x:f>
      </x:c>
      <x:c r="O256" s="24" t="str">
        <x:f>IF(AND(ISNUMBER(N256),ISNUMBER(H256)),(H256-J256)^2,"")</x:f>
      </x:c>
      <x:c r="P256" s="24" t="str">
        <x:f>IF(AND(ISNUMBER(N256),ISNUMBER(O256)),O256-N256,"")</x:f>
      </x:c>
      <x:c r="Q256" s="3"/>
      <x:c r="R256" s="19" t="str">
        <x:f>IF(A256="","",IF(COUNTIFS('Predictions'!$A$7:$A$306,A256)&lt;&gt;1,"Duplicate ID",IF(COUNTIFS('Cases overview'!$A$7:$A$306,B256)&lt;&gt;1,"Invalid case ref",IF(COUNTIFS('Plan versions'!$A$7:$A$306,C256,'Plan versions'!$B$7:$B$306,B256,'Plan versions'!$L$7:$L$306,"Frozen")&lt;&gt;1,"Invalid plan ref",IF(OR(NOT(ISNUMBER(D256)),NOT(ISNUMBER(E256)),F256="",I256="",M256="",Q256=""),"Prediction info missing",IF(D256&gt;E256,"Not pre-registered before due",IF(OR(AND(G256&lt;&gt;"",OR(NOT(ISNUMBER(G256)),G256&lt;0,G256&gt;1)),AND(H256&lt;&gt;"",OR(NOT(ISNUMBER(H256)),H256&lt;0,H256&gt;1))),"Invalid probability",IF(AND(I256="Resolved",OR(NOT(ISNUMBER(J256)),AND(J256&lt;&gt;0,J256&lt;&gt;1),NOT(ISNUMBER(K256)),L256="")),"Resolution evidence missing",IF(AND(I256="Resolved",D256&gt;K256),"Retroactive: not scored","Valid input")))))))))</x:f>
      </x:c>
    </x:row>
    <x:row r="257" ht="25" customHeight="1">
      <x:c r="A257" s="3"/>
      <x:c r="B257" s="3"/>
      <x:c r="C257" s="3"/>
      <x:c r="D257" s="25"/>
      <x:c r="E257" s="25"/>
      <x:c r="F257" s="3"/>
      <x:c r="G257" s="26"/>
      <x:c r="H257" s="26"/>
      <x:c r="I257" s="3"/>
      <x:c r="J257" s="22"/>
      <x:c r="K257" s="25"/>
      <x:c r="L257" s="3"/>
      <x:c r="M257" s="3"/>
      <x:c r="N257" s="24" t="str">
        <x:f>IF(AND(R257="Valid input",I257="Resolved",M257="Yes",ISNUMBER(G257)),(G257-J257)^2,"")</x:f>
      </x:c>
      <x:c r="O257" s="24" t="str">
        <x:f>IF(AND(ISNUMBER(N257),ISNUMBER(H257)),(H257-J257)^2,"")</x:f>
      </x:c>
      <x:c r="P257" s="24" t="str">
        <x:f>IF(AND(ISNUMBER(N257),ISNUMBER(O257)),O257-N257,"")</x:f>
      </x:c>
      <x:c r="Q257" s="3"/>
      <x:c r="R257" s="19" t="str">
        <x:f>IF(A257="","",IF(COUNTIFS('Predictions'!$A$7:$A$306,A257)&lt;&gt;1,"Duplicate ID",IF(COUNTIFS('Cases overview'!$A$7:$A$306,B257)&lt;&gt;1,"Invalid case ref",IF(COUNTIFS('Plan versions'!$A$7:$A$306,C257,'Plan versions'!$B$7:$B$306,B257,'Plan versions'!$L$7:$L$306,"Frozen")&lt;&gt;1,"Invalid plan ref",IF(OR(NOT(ISNUMBER(D257)),NOT(ISNUMBER(E257)),F257="",I257="",M257="",Q257=""),"Prediction info missing",IF(D257&gt;E257,"Not pre-registered before due",IF(OR(AND(G257&lt;&gt;"",OR(NOT(ISNUMBER(G257)),G257&lt;0,G257&gt;1)),AND(H257&lt;&gt;"",OR(NOT(ISNUMBER(H257)),H257&lt;0,H257&gt;1))),"Invalid probability",IF(AND(I257="Resolved",OR(NOT(ISNUMBER(J257)),AND(J257&lt;&gt;0,J257&lt;&gt;1),NOT(ISNUMBER(K257)),L257="")),"Resolution evidence missing",IF(AND(I257="Resolved",D257&gt;K257),"Retroactive: not scored","Valid input")))))))))</x:f>
      </x:c>
    </x:row>
    <x:row r="258" ht="25" customHeight="1">
      <x:c r="A258" s="3"/>
      <x:c r="B258" s="3"/>
      <x:c r="C258" s="3"/>
      <x:c r="D258" s="25"/>
      <x:c r="E258" s="25"/>
      <x:c r="F258" s="3"/>
      <x:c r="G258" s="26"/>
      <x:c r="H258" s="26"/>
      <x:c r="I258" s="3"/>
      <x:c r="J258" s="22"/>
      <x:c r="K258" s="25"/>
      <x:c r="L258" s="3"/>
      <x:c r="M258" s="3"/>
      <x:c r="N258" s="24" t="str">
        <x:f>IF(AND(R258="Valid input",I258="Resolved",M258="Yes",ISNUMBER(G258)),(G258-J258)^2,"")</x:f>
      </x:c>
      <x:c r="O258" s="24" t="str">
        <x:f>IF(AND(ISNUMBER(N258),ISNUMBER(H258)),(H258-J258)^2,"")</x:f>
      </x:c>
      <x:c r="P258" s="24" t="str">
        <x:f>IF(AND(ISNUMBER(N258),ISNUMBER(O258)),O258-N258,"")</x:f>
      </x:c>
      <x:c r="Q258" s="3"/>
      <x:c r="R258" s="19" t="str">
        <x:f>IF(A258="","",IF(COUNTIFS('Predictions'!$A$7:$A$306,A258)&lt;&gt;1,"Duplicate ID",IF(COUNTIFS('Cases overview'!$A$7:$A$306,B258)&lt;&gt;1,"Invalid case ref",IF(COUNTIFS('Plan versions'!$A$7:$A$306,C258,'Plan versions'!$B$7:$B$306,B258,'Plan versions'!$L$7:$L$306,"Frozen")&lt;&gt;1,"Invalid plan ref",IF(OR(NOT(ISNUMBER(D258)),NOT(ISNUMBER(E258)),F258="",I258="",M258="",Q258=""),"Prediction info missing",IF(D258&gt;E258,"Not pre-registered before due",IF(OR(AND(G258&lt;&gt;"",OR(NOT(ISNUMBER(G258)),G258&lt;0,G258&gt;1)),AND(H258&lt;&gt;"",OR(NOT(ISNUMBER(H258)),H258&lt;0,H258&gt;1))),"Invalid probability",IF(AND(I258="Resolved",OR(NOT(ISNUMBER(J258)),AND(J258&lt;&gt;0,J258&lt;&gt;1),NOT(ISNUMBER(K258)),L258="")),"Resolution evidence missing",IF(AND(I258="Resolved",D258&gt;K258),"Retroactive: not scored","Valid input")))))))))</x:f>
      </x:c>
    </x:row>
    <x:row r="259" ht="25" customHeight="1">
      <x:c r="A259" s="3"/>
      <x:c r="B259" s="3"/>
      <x:c r="C259" s="3"/>
      <x:c r="D259" s="25"/>
      <x:c r="E259" s="25"/>
      <x:c r="F259" s="3"/>
      <x:c r="G259" s="26"/>
      <x:c r="H259" s="26"/>
      <x:c r="I259" s="3"/>
      <x:c r="J259" s="22"/>
      <x:c r="K259" s="25"/>
      <x:c r="L259" s="3"/>
      <x:c r="M259" s="3"/>
      <x:c r="N259" s="24" t="str">
        <x:f>IF(AND(R259="Valid input",I259="Resolved",M259="Yes",ISNUMBER(G259)),(G259-J259)^2,"")</x:f>
      </x:c>
      <x:c r="O259" s="24" t="str">
        <x:f>IF(AND(ISNUMBER(N259),ISNUMBER(H259)),(H259-J259)^2,"")</x:f>
      </x:c>
      <x:c r="P259" s="24" t="str">
        <x:f>IF(AND(ISNUMBER(N259),ISNUMBER(O259)),O259-N259,"")</x:f>
      </x:c>
      <x:c r="Q259" s="3"/>
      <x:c r="R259" s="19" t="str">
        <x:f>IF(A259="","",IF(COUNTIFS('Predictions'!$A$7:$A$306,A259)&lt;&gt;1,"Duplicate ID",IF(COUNTIFS('Cases overview'!$A$7:$A$306,B259)&lt;&gt;1,"Invalid case ref",IF(COUNTIFS('Plan versions'!$A$7:$A$306,C259,'Plan versions'!$B$7:$B$306,B259,'Plan versions'!$L$7:$L$306,"Frozen")&lt;&gt;1,"Invalid plan ref",IF(OR(NOT(ISNUMBER(D259)),NOT(ISNUMBER(E259)),F259="",I259="",M259="",Q259=""),"Prediction info missing",IF(D259&gt;E259,"Not pre-registered before due",IF(OR(AND(G259&lt;&gt;"",OR(NOT(ISNUMBER(G259)),G259&lt;0,G259&gt;1)),AND(H259&lt;&gt;"",OR(NOT(ISNUMBER(H259)),H259&lt;0,H259&gt;1))),"Invalid probability",IF(AND(I259="Resolved",OR(NOT(ISNUMBER(J259)),AND(J259&lt;&gt;0,J259&lt;&gt;1),NOT(ISNUMBER(K259)),L259="")),"Resolution evidence missing",IF(AND(I259="Resolved",D259&gt;K259),"Retroactive: not scored","Valid input")))))))))</x:f>
      </x:c>
    </x:row>
    <x:row r="260" ht="25" customHeight="1">
      <x:c r="A260" s="3"/>
      <x:c r="B260" s="3"/>
      <x:c r="C260" s="3"/>
      <x:c r="D260" s="25"/>
      <x:c r="E260" s="25"/>
      <x:c r="F260" s="3"/>
      <x:c r="G260" s="26"/>
      <x:c r="H260" s="26"/>
      <x:c r="I260" s="3"/>
      <x:c r="J260" s="22"/>
      <x:c r="K260" s="25"/>
      <x:c r="L260" s="3"/>
      <x:c r="M260" s="3"/>
      <x:c r="N260" s="24" t="str">
        <x:f>IF(AND(R260="Valid input",I260="Resolved",M260="Yes",ISNUMBER(G260)),(G260-J260)^2,"")</x:f>
      </x:c>
      <x:c r="O260" s="24" t="str">
        <x:f>IF(AND(ISNUMBER(N260),ISNUMBER(H260)),(H260-J260)^2,"")</x:f>
      </x:c>
      <x:c r="P260" s="24" t="str">
        <x:f>IF(AND(ISNUMBER(N260),ISNUMBER(O260)),O260-N260,"")</x:f>
      </x:c>
      <x:c r="Q260" s="3"/>
      <x:c r="R260" s="19" t="str">
        <x:f>IF(A260="","",IF(COUNTIFS('Predictions'!$A$7:$A$306,A260)&lt;&gt;1,"Duplicate ID",IF(COUNTIFS('Cases overview'!$A$7:$A$306,B260)&lt;&gt;1,"Invalid case ref",IF(COUNTIFS('Plan versions'!$A$7:$A$306,C260,'Plan versions'!$B$7:$B$306,B260,'Plan versions'!$L$7:$L$306,"Frozen")&lt;&gt;1,"Invalid plan ref",IF(OR(NOT(ISNUMBER(D260)),NOT(ISNUMBER(E260)),F260="",I260="",M260="",Q260=""),"Prediction info missing",IF(D260&gt;E260,"Not pre-registered before due",IF(OR(AND(G260&lt;&gt;"",OR(NOT(ISNUMBER(G260)),G260&lt;0,G260&gt;1)),AND(H260&lt;&gt;"",OR(NOT(ISNUMBER(H260)),H260&lt;0,H260&gt;1))),"Invalid probability",IF(AND(I260="Resolved",OR(NOT(ISNUMBER(J260)),AND(J260&lt;&gt;0,J260&lt;&gt;1),NOT(ISNUMBER(K260)),L260="")),"Resolution evidence missing",IF(AND(I260="Resolved",D260&gt;K260),"Retroactive: not scored","Valid input")))))))))</x:f>
      </x:c>
    </x:row>
    <x:row r="261" ht="25" customHeight="1">
      <x:c r="A261" s="3"/>
      <x:c r="B261" s="3"/>
      <x:c r="C261" s="3"/>
      <x:c r="D261" s="25"/>
      <x:c r="E261" s="25"/>
      <x:c r="F261" s="3"/>
      <x:c r="G261" s="26"/>
      <x:c r="H261" s="26"/>
      <x:c r="I261" s="3"/>
      <x:c r="J261" s="22"/>
      <x:c r="K261" s="25"/>
      <x:c r="L261" s="3"/>
      <x:c r="M261" s="3"/>
      <x:c r="N261" s="24" t="str">
        <x:f>IF(AND(R261="Valid input",I261="Resolved",M261="Yes",ISNUMBER(G261)),(G261-J261)^2,"")</x:f>
      </x:c>
      <x:c r="O261" s="24" t="str">
        <x:f>IF(AND(ISNUMBER(N261),ISNUMBER(H261)),(H261-J261)^2,"")</x:f>
      </x:c>
      <x:c r="P261" s="24" t="str">
        <x:f>IF(AND(ISNUMBER(N261),ISNUMBER(O261)),O261-N261,"")</x:f>
      </x:c>
      <x:c r="Q261" s="3"/>
      <x:c r="R261" s="19" t="str">
        <x:f>IF(A261="","",IF(COUNTIFS('Predictions'!$A$7:$A$306,A261)&lt;&gt;1,"Duplicate ID",IF(COUNTIFS('Cases overview'!$A$7:$A$306,B261)&lt;&gt;1,"Invalid case ref",IF(COUNTIFS('Plan versions'!$A$7:$A$306,C261,'Plan versions'!$B$7:$B$306,B261,'Plan versions'!$L$7:$L$306,"Frozen")&lt;&gt;1,"Invalid plan ref",IF(OR(NOT(ISNUMBER(D261)),NOT(ISNUMBER(E261)),F261="",I261="",M261="",Q261=""),"Prediction info missing",IF(D261&gt;E261,"Not pre-registered before due",IF(OR(AND(G261&lt;&gt;"",OR(NOT(ISNUMBER(G261)),G261&lt;0,G261&gt;1)),AND(H261&lt;&gt;"",OR(NOT(ISNUMBER(H261)),H261&lt;0,H261&gt;1))),"Invalid probability",IF(AND(I261="Resolved",OR(NOT(ISNUMBER(J261)),AND(J261&lt;&gt;0,J261&lt;&gt;1),NOT(ISNUMBER(K261)),L261="")),"Resolution evidence missing",IF(AND(I261="Resolved",D261&gt;K261),"Retroactive: not scored","Valid input")))))))))</x:f>
      </x:c>
    </x:row>
    <x:row r="262" ht="25" customHeight="1">
      <x:c r="A262" s="3"/>
      <x:c r="B262" s="3"/>
      <x:c r="C262" s="3"/>
      <x:c r="D262" s="25"/>
      <x:c r="E262" s="25"/>
      <x:c r="F262" s="3"/>
      <x:c r="G262" s="26"/>
      <x:c r="H262" s="26"/>
      <x:c r="I262" s="3"/>
      <x:c r="J262" s="22"/>
      <x:c r="K262" s="25"/>
      <x:c r="L262" s="3"/>
      <x:c r="M262" s="3"/>
      <x:c r="N262" s="24" t="str">
        <x:f>IF(AND(R262="Valid input",I262="Resolved",M262="Yes",ISNUMBER(G262)),(G262-J262)^2,"")</x:f>
      </x:c>
      <x:c r="O262" s="24" t="str">
        <x:f>IF(AND(ISNUMBER(N262),ISNUMBER(H262)),(H262-J262)^2,"")</x:f>
      </x:c>
      <x:c r="P262" s="24" t="str">
        <x:f>IF(AND(ISNUMBER(N262),ISNUMBER(O262)),O262-N262,"")</x:f>
      </x:c>
      <x:c r="Q262" s="3"/>
      <x:c r="R262" s="19" t="str">
        <x:f>IF(A262="","",IF(COUNTIFS('Predictions'!$A$7:$A$306,A262)&lt;&gt;1,"Duplicate ID",IF(COUNTIFS('Cases overview'!$A$7:$A$306,B262)&lt;&gt;1,"Invalid case ref",IF(COUNTIFS('Plan versions'!$A$7:$A$306,C262,'Plan versions'!$B$7:$B$306,B262,'Plan versions'!$L$7:$L$306,"Frozen")&lt;&gt;1,"Invalid plan ref",IF(OR(NOT(ISNUMBER(D262)),NOT(ISNUMBER(E262)),F262="",I262="",M262="",Q262=""),"Prediction info missing",IF(D262&gt;E262,"Not pre-registered before due",IF(OR(AND(G262&lt;&gt;"",OR(NOT(ISNUMBER(G262)),G262&lt;0,G262&gt;1)),AND(H262&lt;&gt;"",OR(NOT(ISNUMBER(H262)),H262&lt;0,H262&gt;1))),"Invalid probability",IF(AND(I262="Resolved",OR(NOT(ISNUMBER(J262)),AND(J262&lt;&gt;0,J262&lt;&gt;1),NOT(ISNUMBER(K262)),L262="")),"Resolution evidence missing",IF(AND(I262="Resolved",D262&gt;K262),"Retroactive: not scored","Valid input")))))))))</x:f>
      </x:c>
    </x:row>
    <x:row r="263" ht="25" customHeight="1">
      <x:c r="A263" s="3"/>
      <x:c r="B263" s="3"/>
      <x:c r="C263" s="3"/>
      <x:c r="D263" s="25"/>
      <x:c r="E263" s="25"/>
      <x:c r="F263" s="3"/>
      <x:c r="G263" s="26"/>
      <x:c r="H263" s="26"/>
      <x:c r="I263" s="3"/>
      <x:c r="J263" s="22"/>
      <x:c r="K263" s="25"/>
      <x:c r="L263" s="3"/>
      <x:c r="M263" s="3"/>
      <x:c r="N263" s="24" t="str">
        <x:f>IF(AND(R263="Valid input",I263="Resolved",M263="Yes",ISNUMBER(G263)),(G263-J263)^2,"")</x:f>
      </x:c>
      <x:c r="O263" s="24" t="str">
        <x:f>IF(AND(ISNUMBER(N263),ISNUMBER(H263)),(H263-J263)^2,"")</x:f>
      </x:c>
      <x:c r="P263" s="24" t="str">
        <x:f>IF(AND(ISNUMBER(N263),ISNUMBER(O263)),O263-N263,"")</x:f>
      </x:c>
      <x:c r="Q263" s="3"/>
      <x:c r="R263" s="19" t="str">
        <x:f>IF(A263="","",IF(COUNTIFS('Predictions'!$A$7:$A$306,A263)&lt;&gt;1,"Duplicate ID",IF(COUNTIFS('Cases overview'!$A$7:$A$306,B263)&lt;&gt;1,"Invalid case ref",IF(COUNTIFS('Plan versions'!$A$7:$A$306,C263,'Plan versions'!$B$7:$B$306,B263,'Plan versions'!$L$7:$L$306,"Frozen")&lt;&gt;1,"Invalid plan ref",IF(OR(NOT(ISNUMBER(D263)),NOT(ISNUMBER(E263)),F263="",I263="",M263="",Q263=""),"Prediction info missing",IF(D263&gt;E263,"Not pre-registered before due",IF(OR(AND(G263&lt;&gt;"",OR(NOT(ISNUMBER(G263)),G263&lt;0,G263&gt;1)),AND(H263&lt;&gt;"",OR(NOT(ISNUMBER(H263)),H263&lt;0,H263&gt;1))),"Invalid probability",IF(AND(I263="Resolved",OR(NOT(ISNUMBER(J263)),AND(J263&lt;&gt;0,J263&lt;&gt;1),NOT(ISNUMBER(K263)),L263="")),"Resolution evidence missing",IF(AND(I263="Resolved",D263&gt;K263),"Retroactive: not scored","Valid input")))))))))</x:f>
      </x:c>
    </x:row>
    <x:row r="264" ht="25" customHeight="1">
      <x:c r="A264" s="3"/>
      <x:c r="B264" s="3"/>
      <x:c r="C264" s="3"/>
      <x:c r="D264" s="25"/>
      <x:c r="E264" s="25"/>
      <x:c r="F264" s="3"/>
      <x:c r="G264" s="26"/>
      <x:c r="H264" s="26"/>
      <x:c r="I264" s="3"/>
      <x:c r="J264" s="22"/>
      <x:c r="K264" s="25"/>
      <x:c r="L264" s="3"/>
      <x:c r="M264" s="3"/>
      <x:c r="N264" s="24" t="str">
        <x:f>IF(AND(R264="Valid input",I264="Resolved",M264="Yes",ISNUMBER(G264)),(G264-J264)^2,"")</x:f>
      </x:c>
      <x:c r="O264" s="24" t="str">
        <x:f>IF(AND(ISNUMBER(N264),ISNUMBER(H264)),(H264-J264)^2,"")</x:f>
      </x:c>
      <x:c r="P264" s="24" t="str">
        <x:f>IF(AND(ISNUMBER(N264),ISNUMBER(O264)),O264-N264,"")</x:f>
      </x:c>
      <x:c r="Q264" s="3"/>
      <x:c r="R264" s="19" t="str">
        <x:f>IF(A264="","",IF(COUNTIFS('Predictions'!$A$7:$A$306,A264)&lt;&gt;1,"Duplicate ID",IF(COUNTIFS('Cases overview'!$A$7:$A$306,B264)&lt;&gt;1,"Invalid case ref",IF(COUNTIFS('Plan versions'!$A$7:$A$306,C264,'Plan versions'!$B$7:$B$306,B264,'Plan versions'!$L$7:$L$306,"Frozen")&lt;&gt;1,"Invalid plan ref",IF(OR(NOT(ISNUMBER(D264)),NOT(ISNUMBER(E264)),F264="",I264="",M264="",Q264=""),"Prediction info missing",IF(D264&gt;E264,"Not pre-registered before due",IF(OR(AND(G264&lt;&gt;"",OR(NOT(ISNUMBER(G264)),G264&lt;0,G264&gt;1)),AND(H264&lt;&gt;"",OR(NOT(ISNUMBER(H264)),H264&lt;0,H264&gt;1))),"Invalid probability",IF(AND(I264="Resolved",OR(NOT(ISNUMBER(J264)),AND(J264&lt;&gt;0,J264&lt;&gt;1),NOT(ISNUMBER(K264)),L264="")),"Resolution evidence missing",IF(AND(I264="Resolved",D264&gt;K264),"Retroactive: not scored","Valid input")))))))))</x:f>
      </x:c>
    </x:row>
    <x:row r="265" ht="25" customHeight="1">
      <x:c r="A265" s="3"/>
      <x:c r="B265" s="3"/>
      <x:c r="C265" s="3"/>
      <x:c r="D265" s="25"/>
      <x:c r="E265" s="25"/>
      <x:c r="F265" s="3"/>
      <x:c r="G265" s="26"/>
      <x:c r="H265" s="26"/>
      <x:c r="I265" s="3"/>
      <x:c r="J265" s="22"/>
      <x:c r="K265" s="25"/>
      <x:c r="L265" s="3"/>
      <x:c r="M265" s="3"/>
      <x:c r="N265" s="24" t="str">
        <x:f>IF(AND(R265="Valid input",I265="Resolved",M265="Yes",ISNUMBER(G265)),(G265-J265)^2,"")</x:f>
      </x:c>
      <x:c r="O265" s="24" t="str">
        <x:f>IF(AND(ISNUMBER(N265),ISNUMBER(H265)),(H265-J265)^2,"")</x:f>
      </x:c>
      <x:c r="P265" s="24" t="str">
        <x:f>IF(AND(ISNUMBER(N265),ISNUMBER(O265)),O265-N265,"")</x:f>
      </x:c>
      <x:c r="Q265" s="3"/>
      <x:c r="R265" s="19" t="str">
        <x:f>IF(A265="","",IF(COUNTIFS('Predictions'!$A$7:$A$306,A265)&lt;&gt;1,"Duplicate ID",IF(COUNTIFS('Cases overview'!$A$7:$A$306,B265)&lt;&gt;1,"Invalid case ref",IF(COUNTIFS('Plan versions'!$A$7:$A$306,C265,'Plan versions'!$B$7:$B$306,B265,'Plan versions'!$L$7:$L$306,"Frozen")&lt;&gt;1,"Invalid plan ref",IF(OR(NOT(ISNUMBER(D265)),NOT(ISNUMBER(E265)),F265="",I265="",M265="",Q265=""),"Prediction info missing",IF(D265&gt;E265,"Not pre-registered before due",IF(OR(AND(G265&lt;&gt;"",OR(NOT(ISNUMBER(G265)),G265&lt;0,G265&gt;1)),AND(H265&lt;&gt;"",OR(NOT(ISNUMBER(H265)),H265&lt;0,H265&gt;1))),"Invalid probability",IF(AND(I265="Resolved",OR(NOT(ISNUMBER(J265)),AND(J265&lt;&gt;0,J265&lt;&gt;1),NOT(ISNUMBER(K265)),L265="")),"Resolution evidence missing",IF(AND(I265="Resolved",D265&gt;K265),"Retroactive: not scored","Valid input")))))))))</x:f>
      </x:c>
    </x:row>
    <x:row r="266" ht="25" customHeight="1">
      <x:c r="A266" s="3"/>
      <x:c r="B266" s="3"/>
      <x:c r="C266" s="3"/>
      <x:c r="D266" s="25"/>
      <x:c r="E266" s="25"/>
      <x:c r="F266" s="3"/>
      <x:c r="G266" s="26"/>
      <x:c r="H266" s="26"/>
      <x:c r="I266" s="3"/>
      <x:c r="J266" s="22"/>
      <x:c r="K266" s="25"/>
      <x:c r="L266" s="3"/>
      <x:c r="M266" s="3"/>
      <x:c r="N266" s="24" t="str">
        <x:f>IF(AND(R266="Valid input",I266="Resolved",M266="Yes",ISNUMBER(G266)),(G266-J266)^2,"")</x:f>
      </x:c>
      <x:c r="O266" s="24" t="str">
        <x:f>IF(AND(ISNUMBER(N266),ISNUMBER(H266)),(H266-J266)^2,"")</x:f>
      </x:c>
      <x:c r="P266" s="24" t="str">
        <x:f>IF(AND(ISNUMBER(N266),ISNUMBER(O266)),O266-N266,"")</x:f>
      </x:c>
      <x:c r="Q266" s="3"/>
      <x:c r="R266" s="19" t="str">
        <x:f>IF(A266="","",IF(COUNTIFS('Predictions'!$A$7:$A$306,A266)&lt;&gt;1,"Duplicate ID",IF(COUNTIFS('Cases overview'!$A$7:$A$306,B266)&lt;&gt;1,"Invalid case ref",IF(COUNTIFS('Plan versions'!$A$7:$A$306,C266,'Plan versions'!$B$7:$B$306,B266,'Plan versions'!$L$7:$L$306,"Frozen")&lt;&gt;1,"Invalid plan ref",IF(OR(NOT(ISNUMBER(D266)),NOT(ISNUMBER(E266)),F266="",I266="",M266="",Q266=""),"Prediction info missing",IF(D266&gt;E266,"Not pre-registered before due",IF(OR(AND(G266&lt;&gt;"",OR(NOT(ISNUMBER(G266)),G266&lt;0,G266&gt;1)),AND(H266&lt;&gt;"",OR(NOT(ISNUMBER(H266)),H266&lt;0,H266&gt;1))),"Invalid probability",IF(AND(I266="Resolved",OR(NOT(ISNUMBER(J266)),AND(J266&lt;&gt;0,J266&lt;&gt;1),NOT(ISNUMBER(K266)),L266="")),"Resolution evidence missing",IF(AND(I266="Resolved",D266&gt;K266),"Retroactive: not scored","Valid input")))))))))</x:f>
      </x:c>
    </x:row>
    <x:row r="267" ht="25" customHeight="1">
      <x:c r="A267" s="3"/>
      <x:c r="B267" s="3"/>
      <x:c r="C267" s="3"/>
      <x:c r="D267" s="25"/>
      <x:c r="E267" s="25"/>
      <x:c r="F267" s="3"/>
      <x:c r="G267" s="26"/>
      <x:c r="H267" s="26"/>
      <x:c r="I267" s="3"/>
      <x:c r="J267" s="22"/>
      <x:c r="K267" s="25"/>
      <x:c r="L267" s="3"/>
      <x:c r="M267" s="3"/>
      <x:c r="N267" s="24" t="str">
        <x:f>IF(AND(R267="Valid input",I267="Resolved",M267="Yes",ISNUMBER(G267)),(G267-J267)^2,"")</x:f>
      </x:c>
      <x:c r="O267" s="24" t="str">
        <x:f>IF(AND(ISNUMBER(N267),ISNUMBER(H267)),(H267-J267)^2,"")</x:f>
      </x:c>
      <x:c r="P267" s="24" t="str">
        <x:f>IF(AND(ISNUMBER(N267),ISNUMBER(O267)),O267-N267,"")</x:f>
      </x:c>
      <x:c r="Q267" s="3"/>
      <x:c r="R267" s="19" t="str">
        <x:f>IF(A267="","",IF(COUNTIFS('Predictions'!$A$7:$A$306,A267)&lt;&gt;1,"Duplicate ID",IF(COUNTIFS('Cases overview'!$A$7:$A$306,B267)&lt;&gt;1,"Invalid case ref",IF(COUNTIFS('Plan versions'!$A$7:$A$306,C267,'Plan versions'!$B$7:$B$306,B267,'Plan versions'!$L$7:$L$306,"Frozen")&lt;&gt;1,"Invalid plan ref",IF(OR(NOT(ISNUMBER(D267)),NOT(ISNUMBER(E267)),F267="",I267="",M267="",Q267=""),"Prediction info missing",IF(D267&gt;E267,"Not pre-registered before due",IF(OR(AND(G267&lt;&gt;"",OR(NOT(ISNUMBER(G267)),G267&lt;0,G267&gt;1)),AND(H267&lt;&gt;"",OR(NOT(ISNUMBER(H267)),H267&lt;0,H267&gt;1))),"Invalid probability",IF(AND(I267="Resolved",OR(NOT(ISNUMBER(J267)),AND(J267&lt;&gt;0,J267&lt;&gt;1),NOT(ISNUMBER(K267)),L267="")),"Resolution evidence missing",IF(AND(I267="Resolved",D267&gt;K267),"Retroactive: not scored","Valid input")))))))))</x:f>
      </x:c>
    </x:row>
    <x:row r="268" ht="25" customHeight="1">
      <x:c r="A268" s="3"/>
      <x:c r="B268" s="3"/>
      <x:c r="C268" s="3"/>
      <x:c r="D268" s="25"/>
      <x:c r="E268" s="25"/>
      <x:c r="F268" s="3"/>
      <x:c r="G268" s="26"/>
      <x:c r="H268" s="26"/>
      <x:c r="I268" s="3"/>
      <x:c r="J268" s="22"/>
      <x:c r="K268" s="25"/>
      <x:c r="L268" s="3"/>
      <x:c r="M268" s="3"/>
      <x:c r="N268" s="24" t="str">
        <x:f>IF(AND(R268="Valid input",I268="Resolved",M268="Yes",ISNUMBER(G268)),(G268-J268)^2,"")</x:f>
      </x:c>
      <x:c r="O268" s="24" t="str">
        <x:f>IF(AND(ISNUMBER(N268),ISNUMBER(H268)),(H268-J268)^2,"")</x:f>
      </x:c>
      <x:c r="P268" s="24" t="str">
        <x:f>IF(AND(ISNUMBER(N268),ISNUMBER(O268)),O268-N268,"")</x:f>
      </x:c>
      <x:c r="Q268" s="3"/>
      <x:c r="R268" s="19" t="str">
        <x:f>IF(A268="","",IF(COUNTIFS('Predictions'!$A$7:$A$306,A268)&lt;&gt;1,"Duplicate ID",IF(COUNTIFS('Cases overview'!$A$7:$A$306,B268)&lt;&gt;1,"Invalid case ref",IF(COUNTIFS('Plan versions'!$A$7:$A$306,C268,'Plan versions'!$B$7:$B$306,B268,'Plan versions'!$L$7:$L$306,"Frozen")&lt;&gt;1,"Invalid plan ref",IF(OR(NOT(ISNUMBER(D268)),NOT(ISNUMBER(E268)),F268="",I268="",M268="",Q268=""),"Prediction info missing",IF(D268&gt;E268,"Not pre-registered before due",IF(OR(AND(G268&lt;&gt;"",OR(NOT(ISNUMBER(G268)),G268&lt;0,G268&gt;1)),AND(H268&lt;&gt;"",OR(NOT(ISNUMBER(H268)),H268&lt;0,H268&gt;1))),"Invalid probability",IF(AND(I268="Resolved",OR(NOT(ISNUMBER(J268)),AND(J268&lt;&gt;0,J268&lt;&gt;1),NOT(ISNUMBER(K268)),L268="")),"Resolution evidence missing",IF(AND(I268="Resolved",D268&gt;K268),"Retroactive: not scored","Valid input")))))))))</x:f>
      </x:c>
    </x:row>
    <x:row r="269" ht="25" customHeight="1">
      <x:c r="A269" s="3"/>
      <x:c r="B269" s="3"/>
      <x:c r="C269" s="3"/>
      <x:c r="D269" s="25"/>
      <x:c r="E269" s="25"/>
      <x:c r="F269" s="3"/>
      <x:c r="G269" s="26"/>
      <x:c r="H269" s="26"/>
      <x:c r="I269" s="3"/>
      <x:c r="J269" s="22"/>
      <x:c r="K269" s="25"/>
      <x:c r="L269" s="3"/>
      <x:c r="M269" s="3"/>
      <x:c r="N269" s="24" t="str">
        <x:f>IF(AND(R269="Valid input",I269="Resolved",M269="Yes",ISNUMBER(G269)),(G269-J269)^2,"")</x:f>
      </x:c>
      <x:c r="O269" s="24" t="str">
        <x:f>IF(AND(ISNUMBER(N269),ISNUMBER(H269)),(H269-J269)^2,"")</x:f>
      </x:c>
      <x:c r="P269" s="24" t="str">
        <x:f>IF(AND(ISNUMBER(N269),ISNUMBER(O269)),O269-N269,"")</x:f>
      </x:c>
      <x:c r="Q269" s="3"/>
      <x:c r="R269" s="19" t="str">
        <x:f>IF(A269="","",IF(COUNTIFS('Predictions'!$A$7:$A$306,A269)&lt;&gt;1,"Duplicate ID",IF(COUNTIFS('Cases overview'!$A$7:$A$306,B269)&lt;&gt;1,"Invalid case ref",IF(COUNTIFS('Plan versions'!$A$7:$A$306,C269,'Plan versions'!$B$7:$B$306,B269,'Plan versions'!$L$7:$L$306,"Frozen")&lt;&gt;1,"Invalid plan ref",IF(OR(NOT(ISNUMBER(D269)),NOT(ISNUMBER(E269)),F269="",I269="",M269="",Q269=""),"Prediction info missing",IF(D269&gt;E269,"Not pre-registered before due",IF(OR(AND(G269&lt;&gt;"",OR(NOT(ISNUMBER(G269)),G269&lt;0,G269&gt;1)),AND(H269&lt;&gt;"",OR(NOT(ISNUMBER(H269)),H269&lt;0,H269&gt;1))),"Invalid probability",IF(AND(I269="Resolved",OR(NOT(ISNUMBER(J269)),AND(J269&lt;&gt;0,J269&lt;&gt;1),NOT(ISNUMBER(K269)),L269="")),"Resolution evidence missing",IF(AND(I269="Resolved",D269&gt;K269),"Retroactive: not scored","Valid input")))))))))</x:f>
      </x:c>
    </x:row>
    <x:row r="270" ht="25" customHeight="1">
      <x:c r="A270" s="3"/>
      <x:c r="B270" s="3"/>
      <x:c r="C270" s="3"/>
      <x:c r="D270" s="25"/>
      <x:c r="E270" s="25"/>
      <x:c r="F270" s="3"/>
      <x:c r="G270" s="26"/>
      <x:c r="H270" s="26"/>
      <x:c r="I270" s="3"/>
      <x:c r="J270" s="22"/>
      <x:c r="K270" s="25"/>
      <x:c r="L270" s="3"/>
      <x:c r="M270" s="3"/>
      <x:c r="N270" s="24" t="str">
        <x:f>IF(AND(R270="Valid input",I270="Resolved",M270="Yes",ISNUMBER(G270)),(G270-J270)^2,"")</x:f>
      </x:c>
      <x:c r="O270" s="24" t="str">
        <x:f>IF(AND(ISNUMBER(N270),ISNUMBER(H270)),(H270-J270)^2,"")</x:f>
      </x:c>
      <x:c r="P270" s="24" t="str">
        <x:f>IF(AND(ISNUMBER(N270),ISNUMBER(O270)),O270-N270,"")</x:f>
      </x:c>
      <x:c r="Q270" s="3"/>
      <x:c r="R270" s="19" t="str">
        <x:f>IF(A270="","",IF(COUNTIFS('Predictions'!$A$7:$A$306,A270)&lt;&gt;1,"Duplicate ID",IF(COUNTIFS('Cases overview'!$A$7:$A$306,B270)&lt;&gt;1,"Invalid case ref",IF(COUNTIFS('Plan versions'!$A$7:$A$306,C270,'Plan versions'!$B$7:$B$306,B270,'Plan versions'!$L$7:$L$306,"Frozen")&lt;&gt;1,"Invalid plan ref",IF(OR(NOT(ISNUMBER(D270)),NOT(ISNUMBER(E270)),F270="",I270="",M270="",Q270=""),"Prediction info missing",IF(D270&gt;E270,"Not pre-registered before due",IF(OR(AND(G270&lt;&gt;"",OR(NOT(ISNUMBER(G270)),G270&lt;0,G270&gt;1)),AND(H270&lt;&gt;"",OR(NOT(ISNUMBER(H270)),H270&lt;0,H270&gt;1))),"Invalid probability",IF(AND(I270="Resolved",OR(NOT(ISNUMBER(J270)),AND(J270&lt;&gt;0,J270&lt;&gt;1),NOT(ISNUMBER(K270)),L270="")),"Resolution evidence missing",IF(AND(I270="Resolved",D270&gt;K270),"Retroactive: not scored","Valid input")))))))))</x:f>
      </x:c>
    </x:row>
    <x:row r="271" ht="25" customHeight="1">
      <x:c r="A271" s="3"/>
      <x:c r="B271" s="3"/>
      <x:c r="C271" s="3"/>
      <x:c r="D271" s="25"/>
      <x:c r="E271" s="25"/>
      <x:c r="F271" s="3"/>
      <x:c r="G271" s="26"/>
      <x:c r="H271" s="26"/>
      <x:c r="I271" s="3"/>
      <x:c r="J271" s="22"/>
      <x:c r="K271" s="25"/>
      <x:c r="L271" s="3"/>
      <x:c r="M271" s="3"/>
      <x:c r="N271" s="24" t="str">
        <x:f>IF(AND(R271="Valid input",I271="Resolved",M271="Yes",ISNUMBER(G271)),(G271-J271)^2,"")</x:f>
      </x:c>
      <x:c r="O271" s="24" t="str">
        <x:f>IF(AND(ISNUMBER(N271),ISNUMBER(H271)),(H271-J271)^2,"")</x:f>
      </x:c>
      <x:c r="P271" s="24" t="str">
        <x:f>IF(AND(ISNUMBER(N271),ISNUMBER(O271)),O271-N271,"")</x:f>
      </x:c>
      <x:c r="Q271" s="3"/>
      <x:c r="R271" s="19" t="str">
        <x:f>IF(A271="","",IF(COUNTIFS('Predictions'!$A$7:$A$306,A271)&lt;&gt;1,"Duplicate ID",IF(COUNTIFS('Cases overview'!$A$7:$A$306,B271)&lt;&gt;1,"Invalid case ref",IF(COUNTIFS('Plan versions'!$A$7:$A$306,C271,'Plan versions'!$B$7:$B$306,B271,'Plan versions'!$L$7:$L$306,"Frozen")&lt;&gt;1,"Invalid plan ref",IF(OR(NOT(ISNUMBER(D271)),NOT(ISNUMBER(E271)),F271="",I271="",M271="",Q271=""),"Prediction info missing",IF(D271&gt;E271,"Not pre-registered before due",IF(OR(AND(G271&lt;&gt;"",OR(NOT(ISNUMBER(G271)),G271&lt;0,G271&gt;1)),AND(H271&lt;&gt;"",OR(NOT(ISNUMBER(H271)),H271&lt;0,H271&gt;1))),"Invalid probability",IF(AND(I271="Resolved",OR(NOT(ISNUMBER(J271)),AND(J271&lt;&gt;0,J271&lt;&gt;1),NOT(ISNUMBER(K271)),L271="")),"Resolution evidence missing",IF(AND(I271="Resolved",D271&gt;K271),"Retroactive: not scored","Valid input")))))))))</x:f>
      </x:c>
    </x:row>
    <x:row r="272" ht="25" customHeight="1">
      <x:c r="A272" s="3"/>
      <x:c r="B272" s="3"/>
      <x:c r="C272" s="3"/>
      <x:c r="D272" s="25"/>
      <x:c r="E272" s="25"/>
      <x:c r="F272" s="3"/>
      <x:c r="G272" s="26"/>
      <x:c r="H272" s="26"/>
      <x:c r="I272" s="3"/>
      <x:c r="J272" s="22"/>
      <x:c r="K272" s="25"/>
      <x:c r="L272" s="3"/>
      <x:c r="M272" s="3"/>
      <x:c r="N272" s="24" t="str">
        <x:f>IF(AND(R272="Valid input",I272="Resolved",M272="Yes",ISNUMBER(G272)),(G272-J272)^2,"")</x:f>
      </x:c>
      <x:c r="O272" s="24" t="str">
        <x:f>IF(AND(ISNUMBER(N272),ISNUMBER(H272)),(H272-J272)^2,"")</x:f>
      </x:c>
      <x:c r="P272" s="24" t="str">
        <x:f>IF(AND(ISNUMBER(N272),ISNUMBER(O272)),O272-N272,"")</x:f>
      </x:c>
      <x:c r="Q272" s="3"/>
      <x:c r="R272" s="19" t="str">
        <x:f>IF(A272="","",IF(COUNTIFS('Predictions'!$A$7:$A$306,A272)&lt;&gt;1,"Duplicate ID",IF(COUNTIFS('Cases overview'!$A$7:$A$306,B272)&lt;&gt;1,"Invalid case ref",IF(COUNTIFS('Plan versions'!$A$7:$A$306,C272,'Plan versions'!$B$7:$B$306,B272,'Plan versions'!$L$7:$L$306,"Frozen")&lt;&gt;1,"Invalid plan ref",IF(OR(NOT(ISNUMBER(D272)),NOT(ISNUMBER(E272)),F272="",I272="",M272="",Q272=""),"Prediction info missing",IF(D272&gt;E272,"Not pre-registered before due",IF(OR(AND(G272&lt;&gt;"",OR(NOT(ISNUMBER(G272)),G272&lt;0,G272&gt;1)),AND(H272&lt;&gt;"",OR(NOT(ISNUMBER(H272)),H272&lt;0,H272&gt;1))),"Invalid probability",IF(AND(I272="Resolved",OR(NOT(ISNUMBER(J272)),AND(J272&lt;&gt;0,J272&lt;&gt;1),NOT(ISNUMBER(K272)),L272="")),"Resolution evidence missing",IF(AND(I272="Resolved",D272&gt;K272),"Retroactive: not scored","Valid input")))))))))</x:f>
      </x:c>
    </x:row>
    <x:row r="273" ht="25" customHeight="1">
      <x:c r="A273" s="3"/>
      <x:c r="B273" s="3"/>
      <x:c r="C273" s="3"/>
      <x:c r="D273" s="25"/>
      <x:c r="E273" s="25"/>
      <x:c r="F273" s="3"/>
      <x:c r="G273" s="26"/>
      <x:c r="H273" s="26"/>
      <x:c r="I273" s="3"/>
      <x:c r="J273" s="22"/>
      <x:c r="K273" s="25"/>
      <x:c r="L273" s="3"/>
      <x:c r="M273" s="3"/>
      <x:c r="N273" s="24" t="str">
        <x:f>IF(AND(R273="Valid input",I273="Resolved",M273="Yes",ISNUMBER(G273)),(G273-J273)^2,"")</x:f>
      </x:c>
      <x:c r="O273" s="24" t="str">
        <x:f>IF(AND(ISNUMBER(N273),ISNUMBER(H273)),(H273-J273)^2,"")</x:f>
      </x:c>
      <x:c r="P273" s="24" t="str">
        <x:f>IF(AND(ISNUMBER(N273),ISNUMBER(O273)),O273-N273,"")</x:f>
      </x:c>
      <x:c r="Q273" s="3"/>
      <x:c r="R273" s="19" t="str">
        <x:f>IF(A273="","",IF(COUNTIFS('Predictions'!$A$7:$A$306,A273)&lt;&gt;1,"Duplicate ID",IF(COUNTIFS('Cases overview'!$A$7:$A$306,B273)&lt;&gt;1,"Invalid case ref",IF(COUNTIFS('Plan versions'!$A$7:$A$306,C273,'Plan versions'!$B$7:$B$306,B273,'Plan versions'!$L$7:$L$306,"Frozen")&lt;&gt;1,"Invalid plan ref",IF(OR(NOT(ISNUMBER(D273)),NOT(ISNUMBER(E273)),F273="",I273="",M273="",Q273=""),"Prediction info missing",IF(D273&gt;E273,"Not pre-registered before due",IF(OR(AND(G273&lt;&gt;"",OR(NOT(ISNUMBER(G273)),G273&lt;0,G273&gt;1)),AND(H273&lt;&gt;"",OR(NOT(ISNUMBER(H273)),H273&lt;0,H273&gt;1))),"Invalid probability",IF(AND(I273="Resolved",OR(NOT(ISNUMBER(J273)),AND(J273&lt;&gt;0,J273&lt;&gt;1),NOT(ISNUMBER(K273)),L273="")),"Resolution evidence missing",IF(AND(I273="Resolved",D273&gt;K273),"Retroactive: not scored","Valid input")))))))))</x:f>
      </x:c>
    </x:row>
    <x:row r="274" ht="25" customHeight="1">
      <x:c r="A274" s="3"/>
      <x:c r="B274" s="3"/>
      <x:c r="C274" s="3"/>
      <x:c r="D274" s="25"/>
      <x:c r="E274" s="25"/>
      <x:c r="F274" s="3"/>
      <x:c r="G274" s="26"/>
      <x:c r="H274" s="26"/>
      <x:c r="I274" s="3"/>
      <x:c r="J274" s="22"/>
      <x:c r="K274" s="25"/>
      <x:c r="L274" s="3"/>
      <x:c r="M274" s="3"/>
      <x:c r="N274" s="24" t="str">
        <x:f>IF(AND(R274="Valid input",I274="Resolved",M274="Yes",ISNUMBER(G274)),(G274-J274)^2,"")</x:f>
      </x:c>
      <x:c r="O274" s="24" t="str">
        <x:f>IF(AND(ISNUMBER(N274),ISNUMBER(H274)),(H274-J274)^2,"")</x:f>
      </x:c>
      <x:c r="P274" s="24" t="str">
        <x:f>IF(AND(ISNUMBER(N274),ISNUMBER(O274)),O274-N274,"")</x:f>
      </x:c>
      <x:c r="Q274" s="3"/>
      <x:c r="R274" s="19" t="str">
        <x:f>IF(A274="","",IF(COUNTIFS('Predictions'!$A$7:$A$306,A274)&lt;&gt;1,"Duplicate ID",IF(COUNTIFS('Cases overview'!$A$7:$A$306,B274)&lt;&gt;1,"Invalid case ref",IF(COUNTIFS('Plan versions'!$A$7:$A$306,C274,'Plan versions'!$B$7:$B$306,B274,'Plan versions'!$L$7:$L$306,"Frozen")&lt;&gt;1,"Invalid plan ref",IF(OR(NOT(ISNUMBER(D274)),NOT(ISNUMBER(E274)),F274="",I274="",M274="",Q274=""),"Prediction info missing",IF(D274&gt;E274,"Not pre-registered before due",IF(OR(AND(G274&lt;&gt;"",OR(NOT(ISNUMBER(G274)),G274&lt;0,G274&gt;1)),AND(H274&lt;&gt;"",OR(NOT(ISNUMBER(H274)),H274&lt;0,H274&gt;1))),"Invalid probability",IF(AND(I274="Resolved",OR(NOT(ISNUMBER(J274)),AND(J274&lt;&gt;0,J274&lt;&gt;1),NOT(ISNUMBER(K274)),L274="")),"Resolution evidence missing",IF(AND(I274="Resolved",D274&gt;K274),"Retroactive: not scored","Valid input")))))))))</x:f>
      </x:c>
    </x:row>
    <x:row r="275" ht="25" customHeight="1">
      <x:c r="A275" s="3"/>
      <x:c r="B275" s="3"/>
      <x:c r="C275" s="3"/>
      <x:c r="D275" s="25"/>
      <x:c r="E275" s="25"/>
      <x:c r="F275" s="3"/>
      <x:c r="G275" s="26"/>
      <x:c r="H275" s="26"/>
      <x:c r="I275" s="3"/>
      <x:c r="J275" s="22"/>
      <x:c r="K275" s="25"/>
      <x:c r="L275" s="3"/>
      <x:c r="M275" s="3"/>
      <x:c r="N275" s="24" t="str">
        <x:f>IF(AND(R275="Valid input",I275="Resolved",M275="Yes",ISNUMBER(G275)),(G275-J275)^2,"")</x:f>
      </x:c>
      <x:c r="O275" s="24" t="str">
        <x:f>IF(AND(ISNUMBER(N275),ISNUMBER(H275)),(H275-J275)^2,"")</x:f>
      </x:c>
      <x:c r="P275" s="24" t="str">
        <x:f>IF(AND(ISNUMBER(N275),ISNUMBER(O275)),O275-N275,"")</x:f>
      </x:c>
      <x:c r="Q275" s="3"/>
      <x:c r="R275" s="19" t="str">
        <x:f>IF(A275="","",IF(COUNTIFS('Predictions'!$A$7:$A$306,A275)&lt;&gt;1,"Duplicate ID",IF(COUNTIFS('Cases overview'!$A$7:$A$306,B275)&lt;&gt;1,"Invalid case ref",IF(COUNTIFS('Plan versions'!$A$7:$A$306,C275,'Plan versions'!$B$7:$B$306,B275,'Plan versions'!$L$7:$L$306,"Frozen")&lt;&gt;1,"Invalid plan ref",IF(OR(NOT(ISNUMBER(D275)),NOT(ISNUMBER(E275)),F275="",I275="",M275="",Q275=""),"Prediction info missing",IF(D275&gt;E275,"Not pre-registered before due",IF(OR(AND(G275&lt;&gt;"",OR(NOT(ISNUMBER(G275)),G275&lt;0,G275&gt;1)),AND(H275&lt;&gt;"",OR(NOT(ISNUMBER(H275)),H275&lt;0,H275&gt;1))),"Invalid probability",IF(AND(I275="Resolved",OR(NOT(ISNUMBER(J275)),AND(J275&lt;&gt;0,J275&lt;&gt;1),NOT(ISNUMBER(K275)),L275="")),"Resolution evidence missing",IF(AND(I275="Resolved",D275&gt;K275),"Retroactive: not scored","Valid input")))))))))</x:f>
      </x:c>
    </x:row>
    <x:row r="276" ht="25" customHeight="1">
      <x:c r="A276" s="3"/>
      <x:c r="B276" s="3"/>
      <x:c r="C276" s="3"/>
      <x:c r="D276" s="25"/>
      <x:c r="E276" s="25"/>
      <x:c r="F276" s="3"/>
      <x:c r="G276" s="26"/>
      <x:c r="H276" s="26"/>
      <x:c r="I276" s="3"/>
      <x:c r="J276" s="22"/>
      <x:c r="K276" s="25"/>
      <x:c r="L276" s="3"/>
      <x:c r="M276" s="3"/>
      <x:c r="N276" s="24" t="str">
        <x:f>IF(AND(R276="Valid input",I276="Resolved",M276="Yes",ISNUMBER(G276)),(G276-J276)^2,"")</x:f>
      </x:c>
      <x:c r="O276" s="24" t="str">
        <x:f>IF(AND(ISNUMBER(N276),ISNUMBER(H276)),(H276-J276)^2,"")</x:f>
      </x:c>
      <x:c r="P276" s="24" t="str">
        <x:f>IF(AND(ISNUMBER(N276),ISNUMBER(O276)),O276-N276,"")</x:f>
      </x:c>
      <x:c r="Q276" s="3"/>
      <x:c r="R276" s="19" t="str">
        <x:f>IF(A276="","",IF(COUNTIFS('Predictions'!$A$7:$A$306,A276)&lt;&gt;1,"Duplicate ID",IF(COUNTIFS('Cases overview'!$A$7:$A$306,B276)&lt;&gt;1,"Invalid case ref",IF(COUNTIFS('Plan versions'!$A$7:$A$306,C276,'Plan versions'!$B$7:$B$306,B276,'Plan versions'!$L$7:$L$306,"Frozen")&lt;&gt;1,"Invalid plan ref",IF(OR(NOT(ISNUMBER(D276)),NOT(ISNUMBER(E276)),F276="",I276="",M276="",Q276=""),"Prediction info missing",IF(D276&gt;E276,"Not pre-registered before due",IF(OR(AND(G276&lt;&gt;"",OR(NOT(ISNUMBER(G276)),G276&lt;0,G276&gt;1)),AND(H276&lt;&gt;"",OR(NOT(ISNUMBER(H276)),H276&lt;0,H276&gt;1))),"Invalid probability",IF(AND(I276="Resolved",OR(NOT(ISNUMBER(J276)),AND(J276&lt;&gt;0,J276&lt;&gt;1),NOT(ISNUMBER(K276)),L276="")),"Resolution evidence missing",IF(AND(I276="Resolved",D276&gt;K276),"Retroactive: not scored","Valid input")))))))))</x:f>
      </x:c>
    </x:row>
    <x:row r="277" ht="25" customHeight="1">
      <x:c r="A277" s="3"/>
      <x:c r="B277" s="3"/>
      <x:c r="C277" s="3"/>
      <x:c r="D277" s="25"/>
      <x:c r="E277" s="25"/>
      <x:c r="F277" s="3"/>
      <x:c r="G277" s="26"/>
      <x:c r="H277" s="26"/>
      <x:c r="I277" s="3"/>
      <x:c r="J277" s="22"/>
      <x:c r="K277" s="25"/>
      <x:c r="L277" s="3"/>
      <x:c r="M277" s="3"/>
      <x:c r="N277" s="24" t="str">
        <x:f>IF(AND(R277="Valid input",I277="Resolved",M277="Yes",ISNUMBER(G277)),(G277-J277)^2,"")</x:f>
      </x:c>
      <x:c r="O277" s="24" t="str">
        <x:f>IF(AND(ISNUMBER(N277),ISNUMBER(H277)),(H277-J277)^2,"")</x:f>
      </x:c>
      <x:c r="P277" s="24" t="str">
        <x:f>IF(AND(ISNUMBER(N277),ISNUMBER(O277)),O277-N277,"")</x:f>
      </x:c>
      <x:c r="Q277" s="3"/>
      <x:c r="R277" s="19" t="str">
        <x:f>IF(A277="","",IF(COUNTIFS('Predictions'!$A$7:$A$306,A277)&lt;&gt;1,"Duplicate ID",IF(COUNTIFS('Cases overview'!$A$7:$A$306,B277)&lt;&gt;1,"Invalid case ref",IF(COUNTIFS('Plan versions'!$A$7:$A$306,C277,'Plan versions'!$B$7:$B$306,B277,'Plan versions'!$L$7:$L$306,"Frozen")&lt;&gt;1,"Invalid plan ref",IF(OR(NOT(ISNUMBER(D277)),NOT(ISNUMBER(E277)),F277="",I277="",M277="",Q277=""),"Prediction info missing",IF(D277&gt;E277,"Not pre-registered before due",IF(OR(AND(G277&lt;&gt;"",OR(NOT(ISNUMBER(G277)),G277&lt;0,G277&gt;1)),AND(H277&lt;&gt;"",OR(NOT(ISNUMBER(H277)),H277&lt;0,H277&gt;1))),"Invalid probability",IF(AND(I277="Resolved",OR(NOT(ISNUMBER(J277)),AND(J277&lt;&gt;0,J277&lt;&gt;1),NOT(ISNUMBER(K277)),L277="")),"Resolution evidence missing",IF(AND(I277="Resolved",D277&gt;K277),"Retroactive: not scored","Valid input")))))))))</x:f>
      </x:c>
    </x:row>
    <x:row r="278" ht="25" customHeight="1">
      <x:c r="A278" s="3"/>
      <x:c r="B278" s="3"/>
      <x:c r="C278" s="3"/>
      <x:c r="D278" s="25"/>
      <x:c r="E278" s="25"/>
      <x:c r="F278" s="3"/>
      <x:c r="G278" s="26"/>
      <x:c r="H278" s="26"/>
      <x:c r="I278" s="3"/>
      <x:c r="J278" s="22"/>
      <x:c r="K278" s="25"/>
      <x:c r="L278" s="3"/>
      <x:c r="M278" s="3"/>
      <x:c r="N278" s="24" t="str">
        <x:f>IF(AND(R278="Valid input",I278="Resolved",M278="Yes",ISNUMBER(G278)),(G278-J278)^2,"")</x:f>
      </x:c>
      <x:c r="O278" s="24" t="str">
        <x:f>IF(AND(ISNUMBER(N278),ISNUMBER(H278)),(H278-J278)^2,"")</x:f>
      </x:c>
      <x:c r="P278" s="24" t="str">
        <x:f>IF(AND(ISNUMBER(N278),ISNUMBER(O278)),O278-N278,"")</x:f>
      </x:c>
      <x:c r="Q278" s="3"/>
      <x:c r="R278" s="19" t="str">
        <x:f>IF(A278="","",IF(COUNTIFS('Predictions'!$A$7:$A$306,A278)&lt;&gt;1,"Duplicate ID",IF(COUNTIFS('Cases overview'!$A$7:$A$306,B278)&lt;&gt;1,"Invalid case ref",IF(COUNTIFS('Plan versions'!$A$7:$A$306,C278,'Plan versions'!$B$7:$B$306,B278,'Plan versions'!$L$7:$L$306,"Frozen")&lt;&gt;1,"Invalid plan ref",IF(OR(NOT(ISNUMBER(D278)),NOT(ISNUMBER(E278)),F278="",I278="",M278="",Q278=""),"Prediction info missing",IF(D278&gt;E278,"Not pre-registered before due",IF(OR(AND(G278&lt;&gt;"",OR(NOT(ISNUMBER(G278)),G278&lt;0,G278&gt;1)),AND(H278&lt;&gt;"",OR(NOT(ISNUMBER(H278)),H278&lt;0,H278&gt;1))),"Invalid probability",IF(AND(I278="Resolved",OR(NOT(ISNUMBER(J278)),AND(J278&lt;&gt;0,J278&lt;&gt;1),NOT(ISNUMBER(K278)),L278="")),"Resolution evidence missing",IF(AND(I278="Resolved",D278&gt;K278),"Retroactive: not scored","Valid input")))))))))</x:f>
      </x:c>
    </x:row>
    <x:row r="279" ht="25" customHeight="1">
      <x:c r="A279" s="3"/>
      <x:c r="B279" s="3"/>
      <x:c r="C279" s="3"/>
      <x:c r="D279" s="25"/>
      <x:c r="E279" s="25"/>
      <x:c r="F279" s="3"/>
      <x:c r="G279" s="26"/>
      <x:c r="H279" s="26"/>
      <x:c r="I279" s="3"/>
      <x:c r="J279" s="22"/>
      <x:c r="K279" s="25"/>
      <x:c r="L279" s="3"/>
      <x:c r="M279" s="3"/>
      <x:c r="N279" s="24" t="str">
        <x:f>IF(AND(R279="Valid input",I279="Resolved",M279="Yes",ISNUMBER(G279)),(G279-J279)^2,"")</x:f>
      </x:c>
      <x:c r="O279" s="24" t="str">
        <x:f>IF(AND(ISNUMBER(N279),ISNUMBER(H279)),(H279-J279)^2,"")</x:f>
      </x:c>
      <x:c r="P279" s="24" t="str">
        <x:f>IF(AND(ISNUMBER(N279),ISNUMBER(O279)),O279-N279,"")</x:f>
      </x:c>
      <x:c r="Q279" s="3"/>
      <x:c r="R279" s="19" t="str">
        <x:f>IF(A279="","",IF(COUNTIFS('Predictions'!$A$7:$A$306,A279)&lt;&gt;1,"Duplicate ID",IF(COUNTIFS('Cases overview'!$A$7:$A$306,B279)&lt;&gt;1,"Invalid case ref",IF(COUNTIFS('Plan versions'!$A$7:$A$306,C279,'Plan versions'!$B$7:$B$306,B279,'Plan versions'!$L$7:$L$306,"Frozen")&lt;&gt;1,"Invalid plan ref",IF(OR(NOT(ISNUMBER(D279)),NOT(ISNUMBER(E279)),F279="",I279="",M279="",Q279=""),"Prediction info missing",IF(D279&gt;E279,"Not pre-registered before due",IF(OR(AND(G279&lt;&gt;"",OR(NOT(ISNUMBER(G279)),G279&lt;0,G279&gt;1)),AND(H279&lt;&gt;"",OR(NOT(ISNUMBER(H279)),H279&lt;0,H279&gt;1))),"Invalid probability",IF(AND(I279="Resolved",OR(NOT(ISNUMBER(J279)),AND(J279&lt;&gt;0,J279&lt;&gt;1),NOT(ISNUMBER(K279)),L279="")),"Resolution evidence missing",IF(AND(I279="Resolved",D279&gt;K279),"Retroactive: not scored","Valid input")))))))))</x:f>
      </x:c>
    </x:row>
    <x:row r="280" ht="25" customHeight="1">
      <x:c r="A280" s="3"/>
      <x:c r="B280" s="3"/>
      <x:c r="C280" s="3"/>
      <x:c r="D280" s="25"/>
      <x:c r="E280" s="25"/>
      <x:c r="F280" s="3"/>
      <x:c r="G280" s="26"/>
      <x:c r="H280" s="26"/>
      <x:c r="I280" s="3"/>
      <x:c r="J280" s="22"/>
      <x:c r="K280" s="25"/>
      <x:c r="L280" s="3"/>
      <x:c r="M280" s="3"/>
      <x:c r="N280" s="24" t="str">
        <x:f>IF(AND(R280="Valid input",I280="Resolved",M280="Yes",ISNUMBER(G280)),(G280-J280)^2,"")</x:f>
      </x:c>
      <x:c r="O280" s="24" t="str">
        <x:f>IF(AND(ISNUMBER(N280),ISNUMBER(H280)),(H280-J280)^2,"")</x:f>
      </x:c>
      <x:c r="P280" s="24" t="str">
        <x:f>IF(AND(ISNUMBER(N280),ISNUMBER(O280)),O280-N280,"")</x:f>
      </x:c>
      <x:c r="Q280" s="3"/>
      <x:c r="R280" s="19" t="str">
        <x:f>IF(A280="","",IF(COUNTIFS('Predictions'!$A$7:$A$306,A280)&lt;&gt;1,"Duplicate ID",IF(COUNTIFS('Cases overview'!$A$7:$A$306,B280)&lt;&gt;1,"Invalid case ref",IF(COUNTIFS('Plan versions'!$A$7:$A$306,C280,'Plan versions'!$B$7:$B$306,B280,'Plan versions'!$L$7:$L$306,"Frozen")&lt;&gt;1,"Invalid plan ref",IF(OR(NOT(ISNUMBER(D280)),NOT(ISNUMBER(E280)),F280="",I280="",M280="",Q280=""),"Prediction info missing",IF(D280&gt;E280,"Not pre-registered before due",IF(OR(AND(G280&lt;&gt;"",OR(NOT(ISNUMBER(G280)),G280&lt;0,G280&gt;1)),AND(H280&lt;&gt;"",OR(NOT(ISNUMBER(H280)),H280&lt;0,H280&gt;1))),"Invalid probability",IF(AND(I280="Resolved",OR(NOT(ISNUMBER(J280)),AND(J280&lt;&gt;0,J280&lt;&gt;1),NOT(ISNUMBER(K280)),L280="")),"Resolution evidence missing",IF(AND(I280="Resolved",D280&gt;K280),"Retroactive: not scored","Valid input")))))))))</x:f>
      </x:c>
    </x:row>
    <x:row r="281" ht="25" customHeight="1">
      <x:c r="A281" s="3"/>
      <x:c r="B281" s="3"/>
      <x:c r="C281" s="3"/>
      <x:c r="D281" s="25"/>
      <x:c r="E281" s="25"/>
      <x:c r="F281" s="3"/>
      <x:c r="G281" s="26"/>
      <x:c r="H281" s="26"/>
      <x:c r="I281" s="3"/>
      <x:c r="J281" s="22"/>
      <x:c r="K281" s="25"/>
      <x:c r="L281" s="3"/>
      <x:c r="M281" s="3"/>
      <x:c r="N281" s="24" t="str">
        <x:f>IF(AND(R281="Valid input",I281="Resolved",M281="Yes",ISNUMBER(G281)),(G281-J281)^2,"")</x:f>
      </x:c>
      <x:c r="O281" s="24" t="str">
        <x:f>IF(AND(ISNUMBER(N281),ISNUMBER(H281)),(H281-J281)^2,"")</x:f>
      </x:c>
      <x:c r="P281" s="24" t="str">
        <x:f>IF(AND(ISNUMBER(N281),ISNUMBER(O281)),O281-N281,"")</x:f>
      </x:c>
      <x:c r="Q281" s="3"/>
      <x:c r="R281" s="19" t="str">
        <x:f>IF(A281="","",IF(COUNTIFS('Predictions'!$A$7:$A$306,A281)&lt;&gt;1,"Duplicate ID",IF(COUNTIFS('Cases overview'!$A$7:$A$306,B281)&lt;&gt;1,"Invalid case ref",IF(COUNTIFS('Plan versions'!$A$7:$A$306,C281,'Plan versions'!$B$7:$B$306,B281,'Plan versions'!$L$7:$L$306,"Frozen")&lt;&gt;1,"Invalid plan ref",IF(OR(NOT(ISNUMBER(D281)),NOT(ISNUMBER(E281)),F281="",I281="",M281="",Q281=""),"Prediction info missing",IF(D281&gt;E281,"Not pre-registered before due",IF(OR(AND(G281&lt;&gt;"",OR(NOT(ISNUMBER(G281)),G281&lt;0,G281&gt;1)),AND(H281&lt;&gt;"",OR(NOT(ISNUMBER(H281)),H281&lt;0,H281&gt;1))),"Invalid probability",IF(AND(I281="Resolved",OR(NOT(ISNUMBER(J281)),AND(J281&lt;&gt;0,J281&lt;&gt;1),NOT(ISNUMBER(K281)),L281="")),"Resolution evidence missing",IF(AND(I281="Resolved",D281&gt;K281),"Retroactive: not scored","Valid input")))))))))</x:f>
      </x:c>
    </x:row>
    <x:row r="282" ht="25" customHeight="1">
      <x:c r="A282" s="3"/>
      <x:c r="B282" s="3"/>
      <x:c r="C282" s="3"/>
      <x:c r="D282" s="25"/>
      <x:c r="E282" s="25"/>
      <x:c r="F282" s="3"/>
      <x:c r="G282" s="26"/>
      <x:c r="H282" s="26"/>
      <x:c r="I282" s="3"/>
      <x:c r="J282" s="22"/>
      <x:c r="K282" s="25"/>
      <x:c r="L282" s="3"/>
      <x:c r="M282" s="3"/>
      <x:c r="N282" s="24" t="str">
        <x:f>IF(AND(R282="Valid input",I282="Resolved",M282="Yes",ISNUMBER(G282)),(G282-J282)^2,"")</x:f>
      </x:c>
      <x:c r="O282" s="24" t="str">
        <x:f>IF(AND(ISNUMBER(N282),ISNUMBER(H282)),(H282-J282)^2,"")</x:f>
      </x:c>
      <x:c r="P282" s="24" t="str">
        <x:f>IF(AND(ISNUMBER(N282),ISNUMBER(O282)),O282-N282,"")</x:f>
      </x:c>
      <x:c r="Q282" s="3"/>
      <x:c r="R282" s="19" t="str">
        <x:f>IF(A282="","",IF(COUNTIFS('Predictions'!$A$7:$A$306,A282)&lt;&gt;1,"Duplicate ID",IF(COUNTIFS('Cases overview'!$A$7:$A$306,B282)&lt;&gt;1,"Invalid case ref",IF(COUNTIFS('Plan versions'!$A$7:$A$306,C282,'Plan versions'!$B$7:$B$306,B282,'Plan versions'!$L$7:$L$306,"Frozen")&lt;&gt;1,"Invalid plan ref",IF(OR(NOT(ISNUMBER(D282)),NOT(ISNUMBER(E282)),F282="",I282="",M282="",Q282=""),"Prediction info missing",IF(D282&gt;E282,"Not pre-registered before due",IF(OR(AND(G282&lt;&gt;"",OR(NOT(ISNUMBER(G282)),G282&lt;0,G282&gt;1)),AND(H282&lt;&gt;"",OR(NOT(ISNUMBER(H282)),H282&lt;0,H282&gt;1))),"Invalid probability",IF(AND(I282="Resolved",OR(NOT(ISNUMBER(J282)),AND(J282&lt;&gt;0,J282&lt;&gt;1),NOT(ISNUMBER(K282)),L282="")),"Resolution evidence missing",IF(AND(I282="Resolved",D282&gt;K282),"Retroactive: not scored","Valid input")))))))))</x:f>
      </x:c>
    </x:row>
    <x:row r="283" ht="25" customHeight="1">
      <x:c r="A283" s="3"/>
      <x:c r="B283" s="3"/>
      <x:c r="C283" s="3"/>
      <x:c r="D283" s="25"/>
      <x:c r="E283" s="25"/>
      <x:c r="F283" s="3"/>
      <x:c r="G283" s="26"/>
      <x:c r="H283" s="26"/>
      <x:c r="I283" s="3"/>
      <x:c r="J283" s="22"/>
      <x:c r="K283" s="25"/>
      <x:c r="L283" s="3"/>
      <x:c r="M283" s="3"/>
      <x:c r="N283" s="24" t="str">
        <x:f>IF(AND(R283="Valid input",I283="Resolved",M283="Yes",ISNUMBER(G283)),(G283-J283)^2,"")</x:f>
      </x:c>
      <x:c r="O283" s="24" t="str">
        <x:f>IF(AND(ISNUMBER(N283),ISNUMBER(H283)),(H283-J283)^2,"")</x:f>
      </x:c>
      <x:c r="P283" s="24" t="str">
        <x:f>IF(AND(ISNUMBER(N283),ISNUMBER(O283)),O283-N283,"")</x:f>
      </x:c>
      <x:c r="Q283" s="3"/>
      <x:c r="R283" s="19" t="str">
        <x:f>IF(A283="","",IF(COUNTIFS('Predictions'!$A$7:$A$306,A283)&lt;&gt;1,"Duplicate ID",IF(COUNTIFS('Cases overview'!$A$7:$A$306,B283)&lt;&gt;1,"Invalid case ref",IF(COUNTIFS('Plan versions'!$A$7:$A$306,C283,'Plan versions'!$B$7:$B$306,B283,'Plan versions'!$L$7:$L$306,"Frozen")&lt;&gt;1,"Invalid plan ref",IF(OR(NOT(ISNUMBER(D283)),NOT(ISNUMBER(E283)),F283="",I283="",M283="",Q283=""),"Prediction info missing",IF(D283&gt;E283,"Not pre-registered before due",IF(OR(AND(G283&lt;&gt;"",OR(NOT(ISNUMBER(G283)),G283&lt;0,G283&gt;1)),AND(H283&lt;&gt;"",OR(NOT(ISNUMBER(H283)),H283&lt;0,H283&gt;1))),"Invalid probability",IF(AND(I283="Resolved",OR(NOT(ISNUMBER(J283)),AND(J283&lt;&gt;0,J283&lt;&gt;1),NOT(ISNUMBER(K283)),L283="")),"Resolution evidence missing",IF(AND(I283="Resolved",D283&gt;K283),"Retroactive: not scored","Valid input")))))))))</x:f>
      </x:c>
    </x:row>
    <x:row r="284" ht="25" customHeight="1">
      <x:c r="A284" s="3"/>
      <x:c r="B284" s="3"/>
      <x:c r="C284" s="3"/>
      <x:c r="D284" s="25"/>
      <x:c r="E284" s="25"/>
      <x:c r="F284" s="3"/>
      <x:c r="G284" s="26"/>
      <x:c r="H284" s="26"/>
      <x:c r="I284" s="3"/>
      <x:c r="J284" s="22"/>
      <x:c r="K284" s="25"/>
      <x:c r="L284" s="3"/>
      <x:c r="M284" s="3"/>
      <x:c r="N284" s="24" t="str">
        <x:f>IF(AND(R284="Valid input",I284="Resolved",M284="Yes",ISNUMBER(G284)),(G284-J284)^2,"")</x:f>
      </x:c>
      <x:c r="O284" s="24" t="str">
        <x:f>IF(AND(ISNUMBER(N284),ISNUMBER(H284)),(H284-J284)^2,"")</x:f>
      </x:c>
      <x:c r="P284" s="24" t="str">
        <x:f>IF(AND(ISNUMBER(N284),ISNUMBER(O284)),O284-N284,"")</x:f>
      </x:c>
      <x:c r="Q284" s="3"/>
      <x:c r="R284" s="19" t="str">
        <x:f>IF(A284="","",IF(COUNTIFS('Predictions'!$A$7:$A$306,A284)&lt;&gt;1,"Duplicate ID",IF(COUNTIFS('Cases overview'!$A$7:$A$306,B284)&lt;&gt;1,"Invalid case ref",IF(COUNTIFS('Plan versions'!$A$7:$A$306,C284,'Plan versions'!$B$7:$B$306,B284,'Plan versions'!$L$7:$L$306,"Frozen")&lt;&gt;1,"Invalid plan ref",IF(OR(NOT(ISNUMBER(D284)),NOT(ISNUMBER(E284)),F284="",I284="",M284="",Q284=""),"Prediction info missing",IF(D284&gt;E284,"Not pre-registered before due",IF(OR(AND(G284&lt;&gt;"",OR(NOT(ISNUMBER(G284)),G284&lt;0,G284&gt;1)),AND(H284&lt;&gt;"",OR(NOT(ISNUMBER(H284)),H284&lt;0,H284&gt;1))),"Invalid probability",IF(AND(I284="Resolved",OR(NOT(ISNUMBER(J284)),AND(J284&lt;&gt;0,J284&lt;&gt;1),NOT(ISNUMBER(K284)),L284="")),"Resolution evidence missing",IF(AND(I284="Resolved",D284&gt;K284),"Retroactive: not scored","Valid input")))))))))</x:f>
      </x:c>
    </x:row>
    <x:row r="285" ht="25" customHeight="1">
      <x:c r="A285" s="3"/>
      <x:c r="B285" s="3"/>
      <x:c r="C285" s="3"/>
      <x:c r="D285" s="25"/>
      <x:c r="E285" s="25"/>
      <x:c r="F285" s="3"/>
      <x:c r="G285" s="26"/>
      <x:c r="H285" s="26"/>
      <x:c r="I285" s="3"/>
      <x:c r="J285" s="22"/>
      <x:c r="K285" s="25"/>
      <x:c r="L285" s="3"/>
      <x:c r="M285" s="3"/>
      <x:c r="N285" s="24" t="str">
        <x:f>IF(AND(R285="Valid input",I285="Resolved",M285="Yes",ISNUMBER(G285)),(G285-J285)^2,"")</x:f>
      </x:c>
      <x:c r="O285" s="24" t="str">
        <x:f>IF(AND(ISNUMBER(N285),ISNUMBER(H285)),(H285-J285)^2,"")</x:f>
      </x:c>
      <x:c r="P285" s="24" t="str">
        <x:f>IF(AND(ISNUMBER(N285),ISNUMBER(O285)),O285-N285,"")</x:f>
      </x:c>
      <x:c r="Q285" s="3"/>
      <x:c r="R285" s="19" t="str">
        <x:f>IF(A285="","",IF(COUNTIFS('Predictions'!$A$7:$A$306,A285)&lt;&gt;1,"Duplicate ID",IF(COUNTIFS('Cases overview'!$A$7:$A$306,B285)&lt;&gt;1,"Invalid case ref",IF(COUNTIFS('Plan versions'!$A$7:$A$306,C285,'Plan versions'!$B$7:$B$306,B285,'Plan versions'!$L$7:$L$306,"Frozen")&lt;&gt;1,"Invalid plan ref",IF(OR(NOT(ISNUMBER(D285)),NOT(ISNUMBER(E285)),F285="",I285="",M285="",Q285=""),"Prediction info missing",IF(D285&gt;E285,"Not pre-registered before due",IF(OR(AND(G285&lt;&gt;"",OR(NOT(ISNUMBER(G285)),G285&lt;0,G285&gt;1)),AND(H285&lt;&gt;"",OR(NOT(ISNUMBER(H285)),H285&lt;0,H285&gt;1))),"Invalid probability",IF(AND(I285="Resolved",OR(NOT(ISNUMBER(J285)),AND(J285&lt;&gt;0,J285&lt;&gt;1),NOT(ISNUMBER(K285)),L285="")),"Resolution evidence missing",IF(AND(I285="Resolved",D285&gt;K285),"Retroactive: not scored","Valid input")))))))))</x:f>
      </x:c>
    </x:row>
    <x:row r="286" ht="25" customHeight="1">
      <x:c r="A286" s="3"/>
      <x:c r="B286" s="3"/>
      <x:c r="C286" s="3"/>
      <x:c r="D286" s="25"/>
      <x:c r="E286" s="25"/>
      <x:c r="F286" s="3"/>
      <x:c r="G286" s="26"/>
      <x:c r="H286" s="26"/>
      <x:c r="I286" s="3"/>
      <x:c r="J286" s="22"/>
      <x:c r="K286" s="25"/>
      <x:c r="L286" s="3"/>
      <x:c r="M286" s="3"/>
      <x:c r="N286" s="24" t="str">
        <x:f>IF(AND(R286="Valid input",I286="Resolved",M286="Yes",ISNUMBER(G286)),(G286-J286)^2,"")</x:f>
      </x:c>
      <x:c r="O286" s="24" t="str">
        <x:f>IF(AND(ISNUMBER(N286),ISNUMBER(H286)),(H286-J286)^2,"")</x:f>
      </x:c>
      <x:c r="P286" s="24" t="str">
        <x:f>IF(AND(ISNUMBER(N286),ISNUMBER(O286)),O286-N286,"")</x:f>
      </x:c>
      <x:c r="Q286" s="3"/>
      <x:c r="R286" s="19" t="str">
        <x:f>IF(A286="","",IF(COUNTIFS('Predictions'!$A$7:$A$306,A286)&lt;&gt;1,"Duplicate ID",IF(COUNTIFS('Cases overview'!$A$7:$A$306,B286)&lt;&gt;1,"Invalid case ref",IF(COUNTIFS('Plan versions'!$A$7:$A$306,C286,'Plan versions'!$B$7:$B$306,B286,'Plan versions'!$L$7:$L$306,"Frozen")&lt;&gt;1,"Invalid plan ref",IF(OR(NOT(ISNUMBER(D286)),NOT(ISNUMBER(E286)),F286="",I286="",M286="",Q286=""),"Prediction info missing",IF(D286&gt;E286,"Not pre-registered before due",IF(OR(AND(G286&lt;&gt;"",OR(NOT(ISNUMBER(G286)),G286&lt;0,G286&gt;1)),AND(H286&lt;&gt;"",OR(NOT(ISNUMBER(H286)),H286&lt;0,H286&gt;1))),"Invalid probability",IF(AND(I286="Resolved",OR(NOT(ISNUMBER(J286)),AND(J286&lt;&gt;0,J286&lt;&gt;1),NOT(ISNUMBER(K286)),L286="")),"Resolution evidence missing",IF(AND(I286="Resolved",D286&gt;K286),"Retroactive: not scored","Valid input")))))))))</x:f>
      </x:c>
    </x:row>
    <x:row r="287" ht="25" customHeight="1">
      <x:c r="A287" s="3"/>
      <x:c r="B287" s="3"/>
      <x:c r="C287" s="3"/>
      <x:c r="D287" s="25"/>
      <x:c r="E287" s="25"/>
      <x:c r="F287" s="3"/>
      <x:c r="G287" s="26"/>
      <x:c r="H287" s="26"/>
      <x:c r="I287" s="3"/>
      <x:c r="J287" s="22"/>
      <x:c r="K287" s="25"/>
      <x:c r="L287" s="3"/>
      <x:c r="M287" s="3"/>
      <x:c r="N287" s="24" t="str">
        <x:f>IF(AND(R287="Valid input",I287="Resolved",M287="Yes",ISNUMBER(G287)),(G287-J287)^2,"")</x:f>
      </x:c>
      <x:c r="O287" s="24" t="str">
        <x:f>IF(AND(ISNUMBER(N287),ISNUMBER(H287)),(H287-J287)^2,"")</x:f>
      </x:c>
      <x:c r="P287" s="24" t="str">
        <x:f>IF(AND(ISNUMBER(N287),ISNUMBER(O287)),O287-N287,"")</x:f>
      </x:c>
      <x:c r="Q287" s="3"/>
      <x:c r="R287" s="19" t="str">
        <x:f>IF(A287="","",IF(COUNTIFS('Predictions'!$A$7:$A$306,A287)&lt;&gt;1,"Duplicate ID",IF(COUNTIFS('Cases overview'!$A$7:$A$306,B287)&lt;&gt;1,"Invalid case ref",IF(COUNTIFS('Plan versions'!$A$7:$A$306,C287,'Plan versions'!$B$7:$B$306,B287,'Plan versions'!$L$7:$L$306,"Frozen")&lt;&gt;1,"Invalid plan ref",IF(OR(NOT(ISNUMBER(D287)),NOT(ISNUMBER(E287)),F287="",I287="",M287="",Q287=""),"Prediction info missing",IF(D287&gt;E287,"Not pre-registered before due",IF(OR(AND(G287&lt;&gt;"",OR(NOT(ISNUMBER(G287)),G287&lt;0,G287&gt;1)),AND(H287&lt;&gt;"",OR(NOT(ISNUMBER(H287)),H287&lt;0,H287&gt;1))),"Invalid probability",IF(AND(I287="Resolved",OR(NOT(ISNUMBER(J287)),AND(J287&lt;&gt;0,J287&lt;&gt;1),NOT(ISNUMBER(K287)),L287="")),"Resolution evidence missing",IF(AND(I287="Resolved",D287&gt;K287),"Retroactive: not scored","Valid input")))))))))</x:f>
      </x:c>
    </x:row>
    <x:row r="288" ht="25" customHeight="1">
      <x:c r="A288" s="3"/>
      <x:c r="B288" s="3"/>
      <x:c r="C288" s="3"/>
      <x:c r="D288" s="25"/>
      <x:c r="E288" s="25"/>
      <x:c r="F288" s="3"/>
      <x:c r="G288" s="26"/>
      <x:c r="H288" s="26"/>
      <x:c r="I288" s="3"/>
      <x:c r="J288" s="22"/>
      <x:c r="K288" s="25"/>
      <x:c r="L288" s="3"/>
      <x:c r="M288" s="3"/>
      <x:c r="N288" s="24" t="str">
        <x:f>IF(AND(R288="Valid input",I288="Resolved",M288="Yes",ISNUMBER(G288)),(G288-J288)^2,"")</x:f>
      </x:c>
      <x:c r="O288" s="24" t="str">
        <x:f>IF(AND(ISNUMBER(N288),ISNUMBER(H288)),(H288-J288)^2,"")</x:f>
      </x:c>
      <x:c r="P288" s="24" t="str">
        <x:f>IF(AND(ISNUMBER(N288),ISNUMBER(O288)),O288-N288,"")</x:f>
      </x:c>
      <x:c r="Q288" s="3"/>
      <x:c r="R288" s="19" t="str">
        <x:f>IF(A288="","",IF(COUNTIFS('Predictions'!$A$7:$A$306,A288)&lt;&gt;1,"Duplicate ID",IF(COUNTIFS('Cases overview'!$A$7:$A$306,B288)&lt;&gt;1,"Invalid case ref",IF(COUNTIFS('Plan versions'!$A$7:$A$306,C288,'Plan versions'!$B$7:$B$306,B288,'Plan versions'!$L$7:$L$306,"Frozen")&lt;&gt;1,"Invalid plan ref",IF(OR(NOT(ISNUMBER(D288)),NOT(ISNUMBER(E288)),F288="",I288="",M288="",Q288=""),"Prediction info missing",IF(D288&gt;E288,"Not pre-registered before due",IF(OR(AND(G288&lt;&gt;"",OR(NOT(ISNUMBER(G288)),G288&lt;0,G288&gt;1)),AND(H288&lt;&gt;"",OR(NOT(ISNUMBER(H288)),H288&lt;0,H288&gt;1))),"Invalid probability",IF(AND(I288="Resolved",OR(NOT(ISNUMBER(J288)),AND(J288&lt;&gt;0,J288&lt;&gt;1),NOT(ISNUMBER(K288)),L288="")),"Resolution evidence missing",IF(AND(I288="Resolved",D288&gt;K288),"Retroactive: not scored","Valid input")))))))))</x:f>
      </x:c>
    </x:row>
    <x:row r="289" ht="25" customHeight="1">
      <x:c r="A289" s="3"/>
      <x:c r="B289" s="3"/>
      <x:c r="C289" s="3"/>
      <x:c r="D289" s="25"/>
      <x:c r="E289" s="25"/>
      <x:c r="F289" s="3"/>
      <x:c r="G289" s="26"/>
      <x:c r="H289" s="26"/>
      <x:c r="I289" s="3"/>
      <x:c r="J289" s="22"/>
      <x:c r="K289" s="25"/>
      <x:c r="L289" s="3"/>
      <x:c r="M289" s="3"/>
      <x:c r="N289" s="24" t="str">
        <x:f>IF(AND(R289="Valid input",I289="Resolved",M289="Yes",ISNUMBER(G289)),(G289-J289)^2,"")</x:f>
      </x:c>
      <x:c r="O289" s="24" t="str">
        <x:f>IF(AND(ISNUMBER(N289),ISNUMBER(H289)),(H289-J289)^2,"")</x:f>
      </x:c>
      <x:c r="P289" s="24" t="str">
        <x:f>IF(AND(ISNUMBER(N289),ISNUMBER(O289)),O289-N289,"")</x:f>
      </x:c>
      <x:c r="Q289" s="3"/>
      <x:c r="R289" s="19" t="str">
        <x:f>IF(A289="","",IF(COUNTIFS('Predictions'!$A$7:$A$306,A289)&lt;&gt;1,"Duplicate ID",IF(COUNTIFS('Cases overview'!$A$7:$A$306,B289)&lt;&gt;1,"Invalid case ref",IF(COUNTIFS('Plan versions'!$A$7:$A$306,C289,'Plan versions'!$B$7:$B$306,B289,'Plan versions'!$L$7:$L$306,"Frozen")&lt;&gt;1,"Invalid plan ref",IF(OR(NOT(ISNUMBER(D289)),NOT(ISNUMBER(E289)),F289="",I289="",M289="",Q289=""),"Prediction info missing",IF(D289&gt;E289,"Not pre-registered before due",IF(OR(AND(G289&lt;&gt;"",OR(NOT(ISNUMBER(G289)),G289&lt;0,G289&gt;1)),AND(H289&lt;&gt;"",OR(NOT(ISNUMBER(H289)),H289&lt;0,H289&gt;1))),"Invalid probability",IF(AND(I289="Resolved",OR(NOT(ISNUMBER(J289)),AND(J289&lt;&gt;0,J289&lt;&gt;1),NOT(ISNUMBER(K289)),L289="")),"Resolution evidence missing",IF(AND(I289="Resolved",D289&gt;K289),"Retroactive: not scored","Valid input")))))))))</x:f>
      </x:c>
    </x:row>
    <x:row r="290" ht="25" customHeight="1">
      <x:c r="A290" s="3"/>
      <x:c r="B290" s="3"/>
      <x:c r="C290" s="3"/>
      <x:c r="D290" s="25"/>
      <x:c r="E290" s="25"/>
      <x:c r="F290" s="3"/>
      <x:c r="G290" s="26"/>
      <x:c r="H290" s="26"/>
      <x:c r="I290" s="3"/>
      <x:c r="J290" s="22"/>
      <x:c r="K290" s="25"/>
      <x:c r="L290" s="3"/>
      <x:c r="M290" s="3"/>
      <x:c r="N290" s="24" t="str">
        <x:f>IF(AND(R290="Valid input",I290="Resolved",M290="Yes",ISNUMBER(G290)),(G290-J290)^2,"")</x:f>
      </x:c>
      <x:c r="O290" s="24" t="str">
        <x:f>IF(AND(ISNUMBER(N290),ISNUMBER(H290)),(H290-J290)^2,"")</x:f>
      </x:c>
      <x:c r="P290" s="24" t="str">
        <x:f>IF(AND(ISNUMBER(N290),ISNUMBER(O290)),O290-N290,"")</x:f>
      </x:c>
      <x:c r="Q290" s="3"/>
      <x:c r="R290" s="19" t="str">
        <x:f>IF(A290="","",IF(COUNTIFS('Predictions'!$A$7:$A$306,A290)&lt;&gt;1,"Duplicate ID",IF(COUNTIFS('Cases overview'!$A$7:$A$306,B290)&lt;&gt;1,"Invalid case ref",IF(COUNTIFS('Plan versions'!$A$7:$A$306,C290,'Plan versions'!$B$7:$B$306,B290,'Plan versions'!$L$7:$L$306,"Frozen")&lt;&gt;1,"Invalid plan ref",IF(OR(NOT(ISNUMBER(D290)),NOT(ISNUMBER(E290)),F290="",I290="",M290="",Q290=""),"Prediction info missing",IF(D290&gt;E290,"Not pre-registered before due",IF(OR(AND(G290&lt;&gt;"",OR(NOT(ISNUMBER(G290)),G290&lt;0,G290&gt;1)),AND(H290&lt;&gt;"",OR(NOT(ISNUMBER(H290)),H290&lt;0,H290&gt;1))),"Invalid probability",IF(AND(I290="Resolved",OR(NOT(ISNUMBER(J290)),AND(J290&lt;&gt;0,J290&lt;&gt;1),NOT(ISNUMBER(K290)),L290="")),"Resolution evidence missing",IF(AND(I290="Resolved",D290&gt;K290),"Retroactive: not scored","Valid input")))))))))</x:f>
      </x:c>
    </x:row>
    <x:row r="291" ht="25" customHeight="1">
      <x:c r="A291" s="3"/>
      <x:c r="B291" s="3"/>
      <x:c r="C291" s="3"/>
      <x:c r="D291" s="25"/>
      <x:c r="E291" s="25"/>
      <x:c r="F291" s="3"/>
      <x:c r="G291" s="26"/>
      <x:c r="H291" s="26"/>
      <x:c r="I291" s="3"/>
      <x:c r="J291" s="22"/>
      <x:c r="K291" s="25"/>
      <x:c r="L291" s="3"/>
      <x:c r="M291" s="3"/>
      <x:c r="N291" s="24" t="str">
        <x:f>IF(AND(R291="Valid input",I291="Resolved",M291="Yes",ISNUMBER(G291)),(G291-J291)^2,"")</x:f>
      </x:c>
      <x:c r="O291" s="24" t="str">
        <x:f>IF(AND(ISNUMBER(N291),ISNUMBER(H291)),(H291-J291)^2,"")</x:f>
      </x:c>
      <x:c r="P291" s="24" t="str">
        <x:f>IF(AND(ISNUMBER(N291),ISNUMBER(O291)),O291-N291,"")</x:f>
      </x:c>
      <x:c r="Q291" s="3"/>
      <x:c r="R291" s="19" t="str">
        <x:f>IF(A291="","",IF(COUNTIFS('Predictions'!$A$7:$A$306,A291)&lt;&gt;1,"Duplicate ID",IF(COUNTIFS('Cases overview'!$A$7:$A$306,B291)&lt;&gt;1,"Invalid case ref",IF(COUNTIFS('Plan versions'!$A$7:$A$306,C291,'Plan versions'!$B$7:$B$306,B291,'Plan versions'!$L$7:$L$306,"Frozen")&lt;&gt;1,"Invalid plan ref",IF(OR(NOT(ISNUMBER(D291)),NOT(ISNUMBER(E291)),F291="",I291="",M291="",Q291=""),"Prediction info missing",IF(D291&gt;E291,"Not pre-registered before due",IF(OR(AND(G291&lt;&gt;"",OR(NOT(ISNUMBER(G291)),G291&lt;0,G291&gt;1)),AND(H291&lt;&gt;"",OR(NOT(ISNUMBER(H291)),H291&lt;0,H291&gt;1))),"Invalid probability",IF(AND(I291="Resolved",OR(NOT(ISNUMBER(J291)),AND(J291&lt;&gt;0,J291&lt;&gt;1),NOT(ISNUMBER(K291)),L291="")),"Resolution evidence missing",IF(AND(I291="Resolved",D291&gt;K291),"Retroactive: not scored","Valid input")))))))))</x:f>
      </x:c>
    </x:row>
    <x:row r="292" ht="25" customHeight="1">
      <x:c r="A292" s="3"/>
      <x:c r="B292" s="3"/>
      <x:c r="C292" s="3"/>
      <x:c r="D292" s="25"/>
      <x:c r="E292" s="25"/>
      <x:c r="F292" s="3"/>
      <x:c r="G292" s="26"/>
      <x:c r="H292" s="26"/>
      <x:c r="I292" s="3"/>
      <x:c r="J292" s="22"/>
      <x:c r="K292" s="25"/>
      <x:c r="L292" s="3"/>
      <x:c r="M292" s="3"/>
      <x:c r="N292" s="24" t="str">
        <x:f>IF(AND(R292="Valid input",I292="Resolved",M292="Yes",ISNUMBER(G292)),(G292-J292)^2,"")</x:f>
      </x:c>
      <x:c r="O292" s="24" t="str">
        <x:f>IF(AND(ISNUMBER(N292),ISNUMBER(H292)),(H292-J292)^2,"")</x:f>
      </x:c>
      <x:c r="P292" s="24" t="str">
        <x:f>IF(AND(ISNUMBER(N292),ISNUMBER(O292)),O292-N292,"")</x:f>
      </x:c>
      <x:c r="Q292" s="3"/>
      <x:c r="R292" s="19" t="str">
        <x:f>IF(A292="","",IF(COUNTIFS('Predictions'!$A$7:$A$306,A292)&lt;&gt;1,"Duplicate ID",IF(COUNTIFS('Cases overview'!$A$7:$A$306,B292)&lt;&gt;1,"Invalid case ref",IF(COUNTIFS('Plan versions'!$A$7:$A$306,C292,'Plan versions'!$B$7:$B$306,B292,'Plan versions'!$L$7:$L$306,"Frozen")&lt;&gt;1,"Invalid plan ref",IF(OR(NOT(ISNUMBER(D292)),NOT(ISNUMBER(E292)),F292="",I292="",M292="",Q292=""),"Prediction info missing",IF(D292&gt;E292,"Not pre-registered before due",IF(OR(AND(G292&lt;&gt;"",OR(NOT(ISNUMBER(G292)),G292&lt;0,G292&gt;1)),AND(H292&lt;&gt;"",OR(NOT(ISNUMBER(H292)),H292&lt;0,H292&gt;1))),"Invalid probability",IF(AND(I292="Resolved",OR(NOT(ISNUMBER(J292)),AND(J292&lt;&gt;0,J292&lt;&gt;1),NOT(ISNUMBER(K292)),L292="")),"Resolution evidence missing",IF(AND(I292="Resolved",D292&gt;K292),"Retroactive: not scored","Valid input")))))))))</x:f>
      </x:c>
    </x:row>
    <x:row r="293" ht="25" customHeight="1">
      <x:c r="A293" s="3"/>
      <x:c r="B293" s="3"/>
      <x:c r="C293" s="3"/>
      <x:c r="D293" s="25"/>
      <x:c r="E293" s="25"/>
      <x:c r="F293" s="3"/>
      <x:c r="G293" s="26"/>
      <x:c r="H293" s="26"/>
      <x:c r="I293" s="3"/>
      <x:c r="J293" s="22"/>
      <x:c r="K293" s="25"/>
      <x:c r="L293" s="3"/>
      <x:c r="M293" s="3"/>
      <x:c r="N293" s="24" t="str">
        <x:f>IF(AND(R293="Valid input",I293="Resolved",M293="Yes",ISNUMBER(G293)),(G293-J293)^2,"")</x:f>
      </x:c>
      <x:c r="O293" s="24" t="str">
        <x:f>IF(AND(ISNUMBER(N293),ISNUMBER(H293)),(H293-J293)^2,"")</x:f>
      </x:c>
      <x:c r="P293" s="24" t="str">
        <x:f>IF(AND(ISNUMBER(N293),ISNUMBER(O293)),O293-N293,"")</x:f>
      </x:c>
      <x:c r="Q293" s="3"/>
      <x:c r="R293" s="19" t="str">
        <x:f>IF(A293="","",IF(COUNTIFS('Predictions'!$A$7:$A$306,A293)&lt;&gt;1,"Duplicate ID",IF(COUNTIFS('Cases overview'!$A$7:$A$306,B293)&lt;&gt;1,"Invalid case ref",IF(COUNTIFS('Plan versions'!$A$7:$A$306,C293,'Plan versions'!$B$7:$B$306,B293,'Plan versions'!$L$7:$L$306,"Frozen")&lt;&gt;1,"Invalid plan ref",IF(OR(NOT(ISNUMBER(D293)),NOT(ISNUMBER(E293)),F293="",I293="",M293="",Q293=""),"Prediction info missing",IF(D293&gt;E293,"Not pre-registered before due",IF(OR(AND(G293&lt;&gt;"",OR(NOT(ISNUMBER(G293)),G293&lt;0,G293&gt;1)),AND(H293&lt;&gt;"",OR(NOT(ISNUMBER(H293)),H293&lt;0,H293&gt;1))),"Invalid probability",IF(AND(I293="Resolved",OR(NOT(ISNUMBER(J293)),AND(J293&lt;&gt;0,J293&lt;&gt;1),NOT(ISNUMBER(K293)),L293="")),"Resolution evidence missing",IF(AND(I293="Resolved",D293&gt;K293),"Retroactive: not scored","Valid input")))))))))</x:f>
      </x:c>
    </x:row>
    <x:row r="294" ht="25" customHeight="1">
      <x:c r="A294" s="3"/>
      <x:c r="B294" s="3"/>
      <x:c r="C294" s="3"/>
      <x:c r="D294" s="25"/>
      <x:c r="E294" s="25"/>
      <x:c r="F294" s="3"/>
      <x:c r="G294" s="26"/>
      <x:c r="H294" s="26"/>
      <x:c r="I294" s="3"/>
      <x:c r="J294" s="22"/>
      <x:c r="K294" s="25"/>
      <x:c r="L294" s="3"/>
      <x:c r="M294" s="3"/>
      <x:c r="N294" s="24" t="str">
        <x:f>IF(AND(R294="Valid input",I294="Resolved",M294="Yes",ISNUMBER(G294)),(G294-J294)^2,"")</x:f>
      </x:c>
      <x:c r="O294" s="24" t="str">
        <x:f>IF(AND(ISNUMBER(N294),ISNUMBER(H294)),(H294-J294)^2,"")</x:f>
      </x:c>
      <x:c r="P294" s="24" t="str">
        <x:f>IF(AND(ISNUMBER(N294),ISNUMBER(O294)),O294-N294,"")</x:f>
      </x:c>
      <x:c r="Q294" s="3"/>
      <x:c r="R294" s="19" t="str">
        <x:f>IF(A294="","",IF(COUNTIFS('Predictions'!$A$7:$A$306,A294)&lt;&gt;1,"Duplicate ID",IF(COUNTIFS('Cases overview'!$A$7:$A$306,B294)&lt;&gt;1,"Invalid case ref",IF(COUNTIFS('Plan versions'!$A$7:$A$306,C294,'Plan versions'!$B$7:$B$306,B294,'Plan versions'!$L$7:$L$306,"Frozen")&lt;&gt;1,"Invalid plan ref",IF(OR(NOT(ISNUMBER(D294)),NOT(ISNUMBER(E294)),F294="",I294="",M294="",Q294=""),"Prediction info missing",IF(D294&gt;E294,"Not pre-registered before due",IF(OR(AND(G294&lt;&gt;"",OR(NOT(ISNUMBER(G294)),G294&lt;0,G294&gt;1)),AND(H294&lt;&gt;"",OR(NOT(ISNUMBER(H294)),H294&lt;0,H294&gt;1))),"Invalid probability",IF(AND(I294="Resolved",OR(NOT(ISNUMBER(J294)),AND(J294&lt;&gt;0,J294&lt;&gt;1),NOT(ISNUMBER(K294)),L294="")),"Resolution evidence missing",IF(AND(I294="Resolved",D294&gt;K294),"Retroactive: not scored","Valid input")))))))))</x:f>
      </x:c>
    </x:row>
    <x:row r="295" ht="25" customHeight="1">
      <x:c r="A295" s="3"/>
      <x:c r="B295" s="3"/>
      <x:c r="C295" s="3"/>
      <x:c r="D295" s="25"/>
      <x:c r="E295" s="25"/>
      <x:c r="F295" s="3"/>
      <x:c r="G295" s="26"/>
      <x:c r="H295" s="26"/>
      <x:c r="I295" s="3"/>
      <x:c r="J295" s="22"/>
      <x:c r="K295" s="25"/>
      <x:c r="L295" s="3"/>
      <x:c r="M295" s="3"/>
      <x:c r="N295" s="24" t="str">
        <x:f>IF(AND(R295="Valid input",I295="Resolved",M295="Yes",ISNUMBER(G295)),(G295-J295)^2,"")</x:f>
      </x:c>
      <x:c r="O295" s="24" t="str">
        <x:f>IF(AND(ISNUMBER(N295),ISNUMBER(H295)),(H295-J295)^2,"")</x:f>
      </x:c>
      <x:c r="P295" s="24" t="str">
        <x:f>IF(AND(ISNUMBER(N295),ISNUMBER(O295)),O295-N295,"")</x:f>
      </x:c>
      <x:c r="Q295" s="3"/>
      <x:c r="R295" s="19" t="str">
        <x:f>IF(A295="","",IF(COUNTIFS('Predictions'!$A$7:$A$306,A295)&lt;&gt;1,"Duplicate ID",IF(COUNTIFS('Cases overview'!$A$7:$A$306,B295)&lt;&gt;1,"Invalid case ref",IF(COUNTIFS('Plan versions'!$A$7:$A$306,C295,'Plan versions'!$B$7:$B$306,B295,'Plan versions'!$L$7:$L$306,"Frozen")&lt;&gt;1,"Invalid plan ref",IF(OR(NOT(ISNUMBER(D295)),NOT(ISNUMBER(E295)),F295="",I295="",M295="",Q295=""),"Prediction info missing",IF(D295&gt;E295,"Not pre-registered before due",IF(OR(AND(G295&lt;&gt;"",OR(NOT(ISNUMBER(G295)),G295&lt;0,G295&gt;1)),AND(H295&lt;&gt;"",OR(NOT(ISNUMBER(H295)),H295&lt;0,H295&gt;1))),"Invalid probability",IF(AND(I295="Resolved",OR(NOT(ISNUMBER(J295)),AND(J295&lt;&gt;0,J295&lt;&gt;1),NOT(ISNUMBER(K295)),L295="")),"Resolution evidence missing",IF(AND(I295="Resolved",D295&gt;K295),"Retroactive: not scored","Valid input")))))))))</x:f>
      </x:c>
    </x:row>
    <x:row r="296" ht="25" customHeight="1">
      <x:c r="A296" s="3"/>
      <x:c r="B296" s="3"/>
      <x:c r="C296" s="3"/>
      <x:c r="D296" s="25"/>
      <x:c r="E296" s="25"/>
      <x:c r="F296" s="3"/>
      <x:c r="G296" s="26"/>
      <x:c r="H296" s="26"/>
      <x:c r="I296" s="3"/>
      <x:c r="J296" s="22"/>
      <x:c r="K296" s="25"/>
      <x:c r="L296" s="3"/>
      <x:c r="M296" s="3"/>
      <x:c r="N296" s="24" t="str">
        <x:f>IF(AND(R296="Valid input",I296="Resolved",M296="Yes",ISNUMBER(G296)),(G296-J296)^2,"")</x:f>
      </x:c>
      <x:c r="O296" s="24" t="str">
        <x:f>IF(AND(ISNUMBER(N296),ISNUMBER(H296)),(H296-J296)^2,"")</x:f>
      </x:c>
      <x:c r="P296" s="24" t="str">
        <x:f>IF(AND(ISNUMBER(N296),ISNUMBER(O296)),O296-N296,"")</x:f>
      </x:c>
      <x:c r="Q296" s="3"/>
      <x:c r="R296" s="19" t="str">
        <x:f>IF(A296="","",IF(COUNTIFS('Predictions'!$A$7:$A$306,A296)&lt;&gt;1,"Duplicate ID",IF(COUNTIFS('Cases overview'!$A$7:$A$306,B296)&lt;&gt;1,"Invalid case ref",IF(COUNTIFS('Plan versions'!$A$7:$A$306,C296,'Plan versions'!$B$7:$B$306,B296,'Plan versions'!$L$7:$L$306,"Frozen")&lt;&gt;1,"Invalid plan ref",IF(OR(NOT(ISNUMBER(D296)),NOT(ISNUMBER(E296)),F296="",I296="",M296="",Q296=""),"Prediction info missing",IF(D296&gt;E296,"Not pre-registered before due",IF(OR(AND(G296&lt;&gt;"",OR(NOT(ISNUMBER(G296)),G296&lt;0,G296&gt;1)),AND(H296&lt;&gt;"",OR(NOT(ISNUMBER(H296)),H296&lt;0,H296&gt;1))),"Invalid probability",IF(AND(I296="Resolved",OR(NOT(ISNUMBER(J296)),AND(J296&lt;&gt;0,J296&lt;&gt;1),NOT(ISNUMBER(K296)),L296="")),"Resolution evidence missing",IF(AND(I296="Resolved",D296&gt;K296),"Retroactive: not scored","Valid input")))))))))</x:f>
      </x:c>
    </x:row>
    <x:row r="297" ht="25" customHeight="1">
      <x:c r="A297" s="3"/>
      <x:c r="B297" s="3"/>
      <x:c r="C297" s="3"/>
      <x:c r="D297" s="25"/>
      <x:c r="E297" s="25"/>
      <x:c r="F297" s="3"/>
      <x:c r="G297" s="26"/>
      <x:c r="H297" s="26"/>
      <x:c r="I297" s="3"/>
      <x:c r="J297" s="22"/>
      <x:c r="K297" s="25"/>
      <x:c r="L297" s="3"/>
      <x:c r="M297" s="3"/>
      <x:c r="N297" s="24" t="str">
        <x:f>IF(AND(R297="Valid input",I297="Resolved",M297="Yes",ISNUMBER(G297)),(G297-J297)^2,"")</x:f>
      </x:c>
      <x:c r="O297" s="24" t="str">
        <x:f>IF(AND(ISNUMBER(N297),ISNUMBER(H297)),(H297-J297)^2,"")</x:f>
      </x:c>
      <x:c r="P297" s="24" t="str">
        <x:f>IF(AND(ISNUMBER(N297),ISNUMBER(O297)),O297-N297,"")</x:f>
      </x:c>
      <x:c r="Q297" s="3"/>
      <x:c r="R297" s="19" t="str">
        <x:f>IF(A297="","",IF(COUNTIFS('Predictions'!$A$7:$A$306,A297)&lt;&gt;1,"Duplicate ID",IF(COUNTIFS('Cases overview'!$A$7:$A$306,B297)&lt;&gt;1,"Invalid case ref",IF(COUNTIFS('Plan versions'!$A$7:$A$306,C297,'Plan versions'!$B$7:$B$306,B297,'Plan versions'!$L$7:$L$306,"Frozen")&lt;&gt;1,"Invalid plan ref",IF(OR(NOT(ISNUMBER(D297)),NOT(ISNUMBER(E297)),F297="",I297="",M297="",Q297=""),"Prediction info missing",IF(D297&gt;E297,"Not pre-registered before due",IF(OR(AND(G297&lt;&gt;"",OR(NOT(ISNUMBER(G297)),G297&lt;0,G297&gt;1)),AND(H297&lt;&gt;"",OR(NOT(ISNUMBER(H297)),H297&lt;0,H297&gt;1))),"Invalid probability",IF(AND(I297="Resolved",OR(NOT(ISNUMBER(J297)),AND(J297&lt;&gt;0,J297&lt;&gt;1),NOT(ISNUMBER(K297)),L297="")),"Resolution evidence missing",IF(AND(I297="Resolved",D297&gt;K297),"Retroactive: not scored","Valid input")))))))))</x:f>
      </x:c>
    </x:row>
    <x:row r="298" ht="25" customHeight="1">
      <x:c r="A298" s="3"/>
      <x:c r="B298" s="3"/>
      <x:c r="C298" s="3"/>
      <x:c r="D298" s="25"/>
      <x:c r="E298" s="25"/>
      <x:c r="F298" s="3"/>
      <x:c r="G298" s="26"/>
      <x:c r="H298" s="26"/>
      <x:c r="I298" s="3"/>
      <x:c r="J298" s="22"/>
      <x:c r="K298" s="25"/>
      <x:c r="L298" s="3"/>
      <x:c r="M298" s="3"/>
      <x:c r="N298" s="24" t="str">
        <x:f>IF(AND(R298="Valid input",I298="Resolved",M298="Yes",ISNUMBER(G298)),(G298-J298)^2,"")</x:f>
      </x:c>
      <x:c r="O298" s="24" t="str">
        <x:f>IF(AND(ISNUMBER(N298),ISNUMBER(H298)),(H298-J298)^2,"")</x:f>
      </x:c>
      <x:c r="P298" s="24" t="str">
        <x:f>IF(AND(ISNUMBER(N298),ISNUMBER(O298)),O298-N298,"")</x:f>
      </x:c>
      <x:c r="Q298" s="3"/>
      <x:c r="R298" s="19" t="str">
        <x:f>IF(A298="","",IF(COUNTIFS('Predictions'!$A$7:$A$306,A298)&lt;&gt;1,"Duplicate ID",IF(COUNTIFS('Cases overview'!$A$7:$A$306,B298)&lt;&gt;1,"Invalid case ref",IF(COUNTIFS('Plan versions'!$A$7:$A$306,C298,'Plan versions'!$B$7:$B$306,B298,'Plan versions'!$L$7:$L$306,"Frozen")&lt;&gt;1,"Invalid plan ref",IF(OR(NOT(ISNUMBER(D298)),NOT(ISNUMBER(E298)),F298="",I298="",M298="",Q298=""),"Prediction info missing",IF(D298&gt;E298,"Not pre-registered before due",IF(OR(AND(G298&lt;&gt;"",OR(NOT(ISNUMBER(G298)),G298&lt;0,G298&gt;1)),AND(H298&lt;&gt;"",OR(NOT(ISNUMBER(H298)),H298&lt;0,H298&gt;1))),"Invalid probability",IF(AND(I298="Resolved",OR(NOT(ISNUMBER(J298)),AND(J298&lt;&gt;0,J298&lt;&gt;1),NOT(ISNUMBER(K298)),L298="")),"Resolution evidence missing",IF(AND(I298="Resolved",D298&gt;K298),"Retroactive: not scored","Valid input")))))))))</x:f>
      </x:c>
    </x:row>
    <x:row r="299" ht="25" customHeight="1">
      <x:c r="A299" s="3"/>
      <x:c r="B299" s="3"/>
      <x:c r="C299" s="3"/>
      <x:c r="D299" s="25"/>
      <x:c r="E299" s="25"/>
      <x:c r="F299" s="3"/>
      <x:c r="G299" s="26"/>
      <x:c r="H299" s="26"/>
      <x:c r="I299" s="3"/>
      <x:c r="J299" s="22"/>
      <x:c r="K299" s="25"/>
      <x:c r="L299" s="3"/>
      <x:c r="M299" s="3"/>
      <x:c r="N299" s="24" t="str">
        <x:f>IF(AND(R299="Valid input",I299="Resolved",M299="Yes",ISNUMBER(G299)),(G299-J299)^2,"")</x:f>
      </x:c>
      <x:c r="O299" s="24" t="str">
        <x:f>IF(AND(ISNUMBER(N299),ISNUMBER(H299)),(H299-J299)^2,"")</x:f>
      </x:c>
      <x:c r="P299" s="24" t="str">
        <x:f>IF(AND(ISNUMBER(N299),ISNUMBER(O299)),O299-N299,"")</x:f>
      </x:c>
      <x:c r="Q299" s="3"/>
      <x:c r="R299" s="19" t="str">
        <x:f>IF(A299="","",IF(COUNTIFS('Predictions'!$A$7:$A$306,A299)&lt;&gt;1,"Duplicate ID",IF(COUNTIFS('Cases overview'!$A$7:$A$306,B299)&lt;&gt;1,"Invalid case ref",IF(COUNTIFS('Plan versions'!$A$7:$A$306,C299,'Plan versions'!$B$7:$B$306,B299,'Plan versions'!$L$7:$L$306,"Frozen")&lt;&gt;1,"Invalid plan ref",IF(OR(NOT(ISNUMBER(D299)),NOT(ISNUMBER(E299)),F299="",I299="",M299="",Q299=""),"Prediction info missing",IF(D299&gt;E299,"Not pre-registered before due",IF(OR(AND(G299&lt;&gt;"",OR(NOT(ISNUMBER(G299)),G299&lt;0,G299&gt;1)),AND(H299&lt;&gt;"",OR(NOT(ISNUMBER(H299)),H299&lt;0,H299&gt;1))),"Invalid probability",IF(AND(I299="Resolved",OR(NOT(ISNUMBER(J299)),AND(J299&lt;&gt;0,J299&lt;&gt;1),NOT(ISNUMBER(K299)),L299="")),"Resolution evidence missing",IF(AND(I299="Resolved",D299&gt;K299),"Retroactive: not scored","Valid input")))))))))</x:f>
      </x:c>
    </x:row>
    <x:row r="300" ht="25" customHeight="1">
      <x:c r="A300" s="3"/>
      <x:c r="B300" s="3"/>
      <x:c r="C300" s="3"/>
      <x:c r="D300" s="25"/>
      <x:c r="E300" s="25"/>
      <x:c r="F300" s="3"/>
      <x:c r="G300" s="26"/>
      <x:c r="H300" s="26"/>
      <x:c r="I300" s="3"/>
      <x:c r="J300" s="22"/>
      <x:c r="K300" s="25"/>
      <x:c r="L300" s="3"/>
      <x:c r="M300" s="3"/>
      <x:c r="N300" s="24" t="str">
        <x:f>IF(AND(R300="Valid input",I300="Resolved",M300="Yes",ISNUMBER(G300)),(G300-J300)^2,"")</x:f>
      </x:c>
      <x:c r="O300" s="24" t="str">
        <x:f>IF(AND(ISNUMBER(N300),ISNUMBER(H300)),(H300-J300)^2,"")</x:f>
      </x:c>
      <x:c r="P300" s="24" t="str">
        <x:f>IF(AND(ISNUMBER(N300),ISNUMBER(O300)),O300-N300,"")</x:f>
      </x:c>
      <x:c r="Q300" s="3"/>
      <x:c r="R300" s="19" t="str">
        <x:f>IF(A300="","",IF(COUNTIFS('Predictions'!$A$7:$A$306,A300)&lt;&gt;1,"Duplicate ID",IF(COUNTIFS('Cases overview'!$A$7:$A$306,B300)&lt;&gt;1,"Invalid case ref",IF(COUNTIFS('Plan versions'!$A$7:$A$306,C300,'Plan versions'!$B$7:$B$306,B300,'Plan versions'!$L$7:$L$306,"Frozen")&lt;&gt;1,"Invalid plan ref",IF(OR(NOT(ISNUMBER(D300)),NOT(ISNUMBER(E300)),F300="",I300="",M300="",Q300=""),"Prediction info missing",IF(D300&gt;E300,"Not pre-registered before due",IF(OR(AND(G300&lt;&gt;"",OR(NOT(ISNUMBER(G300)),G300&lt;0,G300&gt;1)),AND(H300&lt;&gt;"",OR(NOT(ISNUMBER(H300)),H300&lt;0,H300&gt;1))),"Invalid probability",IF(AND(I300="Resolved",OR(NOT(ISNUMBER(J300)),AND(J300&lt;&gt;0,J300&lt;&gt;1),NOT(ISNUMBER(K300)),L300="")),"Resolution evidence missing",IF(AND(I300="Resolved",D300&gt;K300),"Retroactive: not scored","Valid input")))))))))</x:f>
      </x:c>
    </x:row>
    <x:row r="301" ht="25" customHeight="1">
      <x:c r="A301" s="3"/>
      <x:c r="B301" s="3"/>
      <x:c r="C301" s="3"/>
      <x:c r="D301" s="25"/>
      <x:c r="E301" s="25"/>
      <x:c r="F301" s="3"/>
      <x:c r="G301" s="26"/>
      <x:c r="H301" s="26"/>
      <x:c r="I301" s="3"/>
      <x:c r="J301" s="22"/>
      <x:c r="K301" s="25"/>
      <x:c r="L301" s="3"/>
      <x:c r="M301" s="3"/>
      <x:c r="N301" s="24" t="str">
        <x:f>IF(AND(R301="Valid input",I301="Resolved",M301="Yes",ISNUMBER(G301)),(G301-J301)^2,"")</x:f>
      </x:c>
      <x:c r="O301" s="24" t="str">
        <x:f>IF(AND(ISNUMBER(N301),ISNUMBER(H301)),(H301-J301)^2,"")</x:f>
      </x:c>
      <x:c r="P301" s="24" t="str">
        <x:f>IF(AND(ISNUMBER(N301),ISNUMBER(O301)),O301-N301,"")</x:f>
      </x:c>
      <x:c r="Q301" s="3"/>
      <x:c r="R301" s="19" t="str">
        <x:f>IF(A301="","",IF(COUNTIFS('Predictions'!$A$7:$A$306,A301)&lt;&gt;1,"Duplicate ID",IF(COUNTIFS('Cases overview'!$A$7:$A$306,B301)&lt;&gt;1,"Invalid case ref",IF(COUNTIFS('Plan versions'!$A$7:$A$306,C301,'Plan versions'!$B$7:$B$306,B301,'Plan versions'!$L$7:$L$306,"Frozen")&lt;&gt;1,"Invalid plan ref",IF(OR(NOT(ISNUMBER(D301)),NOT(ISNUMBER(E301)),F301="",I301="",M301="",Q301=""),"Prediction info missing",IF(D301&gt;E301,"Not pre-registered before due",IF(OR(AND(G301&lt;&gt;"",OR(NOT(ISNUMBER(G301)),G301&lt;0,G301&gt;1)),AND(H301&lt;&gt;"",OR(NOT(ISNUMBER(H301)),H301&lt;0,H301&gt;1))),"Invalid probability",IF(AND(I301="Resolved",OR(NOT(ISNUMBER(J301)),AND(J301&lt;&gt;0,J301&lt;&gt;1),NOT(ISNUMBER(K301)),L301="")),"Resolution evidence missing",IF(AND(I301="Resolved",D301&gt;K301),"Retroactive: not scored","Valid input")))))))))</x:f>
      </x:c>
    </x:row>
    <x:row r="302" ht="25" customHeight="1">
      <x:c r="A302" s="3"/>
      <x:c r="B302" s="3"/>
      <x:c r="C302" s="3"/>
      <x:c r="D302" s="25"/>
      <x:c r="E302" s="25"/>
      <x:c r="F302" s="3"/>
      <x:c r="G302" s="26"/>
      <x:c r="H302" s="26"/>
      <x:c r="I302" s="3"/>
      <x:c r="J302" s="22"/>
      <x:c r="K302" s="25"/>
      <x:c r="L302" s="3"/>
      <x:c r="M302" s="3"/>
      <x:c r="N302" s="24" t="str">
        <x:f>IF(AND(R302="Valid input",I302="Resolved",M302="Yes",ISNUMBER(G302)),(G302-J302)^2,"")</x:f>
      </x:c>
      <x:c r="O302" s="24" t="str">
        <x:f>IF(AND(ISNUMBER(N302),ISNUMBER(H302)),(H302-J302)^2,"")</x:f>
      </x:c>
      <x:c r="P302" s="24" t="str">
        <x:f>IF(AND(ISNUMBER(N302),ISNUMBER(O302)),O302-N302,"")</x:f>
      </x:c>
      <x:c r="Q302" s="3"/>
      <x:c r="R302" s="19" t="str">
        <x:f>IF(A302="","",IF(COUNTIFS('Predictions'!$A$7:$A$306,A302)&lt;&gt;1,"Duplicate ID",IF(COUNTIFS('Cases overview'!$A$7:$A$306,B302)&lt;&gt;1,"Invalid case ref",IF(COUNTIFS('Plan versions'!$A$7:$A$306,C302,'Plan versions'!$B$7:$B$306,B302,'Plan versions'!$L$7:$L$306,"Frozen")&lt;&gt;1,"Invalid plan ref",IF(OR(NOT(ISNUMBER(D302)),NOT(ISNUMBER(E302)),F302="",I302="",M302="",Q302=""),"Prediction info missing",IF(D302&gt;E302,"Not pre-registered before due",IF(OR(AND(G302&lt;&gt;"",OR(NOT(ISNUMBER(G302)),G302&lt;0,G302&gt;1)),AND(H302&lt;&gt;"",OR(NOT(ISNUMBER(H302)),H302&lt;0,H302&gt;1))),"Invalid probability",IF(AND(I302="Resolved",OR(NOT(ISNUMBER(J302)),AND(J302&lt;&gt;0,J302&lt;&gt;1),NOT(ISNUMBER(K302)),L302="")),"Resolution evidence missing",IF(AND(I302="Resolved",D302&gt;K302),"Retroactive: not scored","Valid input")))))))))</x:f>
      </x:c>
    </x:row>
    <x:row r="303" ht="25" customHeight="1">
      <x:c r="A303" s="3"/>
      <x:c r="B303" s="3"/>
      <x:c r="C303" s="3"/>
      <x:c r="D303" s="25"/>
      <x:c r="E303" s="25"/>
      <x:c r="F303" s="3"/>
      <x:c r="G303" s="26"/>
      <x:c r="H303" s="26"/>
      <x:c r="I303" s="3"/>
      <x:c r="J303" s="22"/>
      <x:c r="K303" s="25"/>
      <x:c r="L303" s="3"/>
      <x:c r="M303" s="3"/>
      <x:c r="N303" s="24" t="str">
        <x:f>IF(AND(R303="Valid input",I303="Resolved",M303="Yes",ISNUMBER(G303)),(G303-J303)^2,"")</x:f>
      </x:c>
      <x:c r="O303" s="24" t="str">
        <x:f>IF(AND(ISNUMBER(N303),ISNUMBER(H303)),(H303-J303)^2,"")</x:f>
      </x:c>
      <x:c r="P303" s="24" t="str">
        <x:f>IF(AND(ISNUMBER(N303),ISNUMBER(O303)),O303-N303,"")</x:f>
      </x:c>
      <x:c r="Q303" s="3"/>
      <x:c r="R303" s="19" t="str">
        <x:f>IF(A303="","",IF(COUNTIFS('Predictions'!$A$7:$A$306,A303)&lt;&gt;1,"Duplicate ID",IF(COUNTIFS('Cases overview'!$A$7:$A$306,B303)&lt;&gt;1,"Invalid case ref",IF(COUNTIFS('Plan versions'!$A$7:$A$306,C303,'Plan versions'!$B$7:$B$306,B303,'Plan versions'!$L$7:$L$306,"Frozen")&lt;&gt;1,"Invalid plan ref",IF(OR(NOT(ISNUMBER(D303)),NOT(ISNUMBER(E303)),F303="",I303="",M303="",Q303=""),"Prediction info missing",IF(D303&gt;E303,"Not pre-registered before due",IF(OR(AND(G303&lt;&gt;"",OR(NOT(ISNUMBER(G303)),G303&lt;0,G303&gt;1)),AND(H303&lt;&gt;"",OR(NOT(ISNUMBER(H303)),H303&lt;0,H303&gt;1))),"Invalid probability",IF(AND(I303="Resolved",OR(NOT(ISNUMBER(J303)),AND(J303&lt;&gt;0,J303&lt;&gt;1),NOT(ISNUMBER(K303)),L303="")),"Resolution evidence missing",IF(AND(I303="Resolved",D303&gt;K303),"Retroactive: not scored","Valid input")))))))))</x:f>
      </x:c>
    </x:row>
    <x:row r="304" ht="25" customHeight="1">
      <x:c r="A304" s="3"/>
      <x:c r="B304" s="3"/>
      <x:c r="C304" s="3"/>
      <x:c r="D304" s="25"/>
      <x:c r="E304" s="25"/>
      <x:c r="F304" s="3"/>
      <x:c r="G304" s="26"/>
      <x:c r="H304" s="26"/>
      <x:c r="I304" s="3"/>
      <x:c r="J304" s="22"/>
      <x:c r="K304" s="25"/>
      <x:c r="L304" s="3"/>
      <x:c r="M304" s="3"/>
      <x:c r="N304" s="24" t="str">
        <x:f>IF(AND(R304="Valid input",I304="Resolved",M304="Yes",ISNUMBER(G304)),(G304-J304)^2,"")</x:f>
      </x:c>
      <x:c r="O304" s="24" t="str">
        <x:f>IF(AND(ISNUMBER(N304),ISNUMBER(H304)),(H304-J304)^2,"")</x:f>
      </x:c>
      <x:c r="P304" s="24" t="str">
        <x:f>IF(AND(ISNUMBER(N304),ISNUMBER(O304)),O304-N304,"")</x:f>
      </x:c>
      <x:c r="Q304" s="3"/>
      <x:c r="R304" s="19" t="str">
        <x:f>IF(A304="","",IF(COUNTIFS('Predictions'!$A$7:$A$306,A304)&lt;&gt;1,"Duplicate ID",IF(COUNTIFS('Cases overview'!$A$7:$A$306,B304)&lt;&gt;1,"Invalid case ref",IF(COUNTIFS('Plan versions'!$A$7:$A$306,C304,'Plan versions'!$B$7:$B$306,B304,'Plan versions'!$L$7:$L$306,"Frozen")&lt;&gt;1,"Invalid plan ref",IF(OR(NOT(ISNUMBER(D304)),NOT(ISNUMBER(E304)),F304="",I304="",M304="",Q304=""),"Prediction info missing",IF(D304&gt;E304,"Not pre-registered before due",IF(OR(AND(G304&lt;&gt;"",OR(NOT(ISNUMBER(G304)),G304&lt;0,G304&gt;1)),AND(H304&lt;&gt;"",OR(NOT(ISNUMBER(H304)),H304&lt;0,H304&gt;1))),"Invalid probability",IF(AND(I304="Resolved",OR(NOT(ISNUMBER(J304)),AND(J304&lt;&gt;0,J304&lt;&gt;1),NOT(ISNUMBER(K304)),L304="")),"Resolution evidence missing",IF(AND(I304="Resolved",D304&gt;K304),"Retroactive: not scored","Valid input")))))))))</x:f>
      </x:c>
    </x:row>
    <x:row r="305" ht="25" customHeight="1">
      <x:c r="A305" s="3"/>
      <x:c r="B305" s="3"/>
      <x:c r="C305" s="3"/>
      <x:c r="D305" s="25"/>
      <x:c r="E305" s="25"/>
      <x:c r="F305" s="3"/>
      <x:c r="G305" s="26"/>
      <x:c r="H305" s="26"/>
      <x:c r="I305" s="3"/>
      <x:c r="J305" s="22"/>
      <x:c r="K305" s="25"/>
      <x:c r="L305" s="3"/>
      <x:c r="M305" s="3"/>
      <x:c r="N305" s="24" t="str">
        <x:f>IF(AND(R305="Valid input",I305="Resolved",M305="Yes",ISNUMBER(G305)),(G305-J305)^2,"")</x:f>
      </x:c>
      <x:c r="O305" s="24" t="str">
        <x:f>IF(AND(ISNUMBER(N305),ISNUMBER(H305)),(H305-J305)^2,"")</x:f>
      </x:c>
      <x:c r="P305" s="24" t="str">
        <x:f>IF(AND(ISNUMBER(N305),ISNUMBER(O305)),O305-N305,"")</x:f>
      </x:c>
      <x:c r="Q305" s="3"/>
      <x:c r="R305" s="19" t="str">
        <x:f>IF(A305="","",IF(COUNTIFS('Predictions'!$A$7:$A$306,A305)&lt;&gt;1,"Duplicate ID",IF(COUNTIFS('Cases overview'!$A$7:$A$306,B305)&lt;&gt;1,"Invalid case ref",IF(COUNTIFS('Plan versions'!$A$7:$A$306,C305,'Plan versions'!$B$7:$B$306,B305,'Plan versions'!$L$7:$L$306,"Frozen")&lt;&gt;1,"Invalid plan ref",IF(OR(NOT(ISNUMBER(D305)),NOT(ISNUMBER(E305)),F305="",I305="",M305="",Q305=""),"Prediction info missing",IF(D305&gt;E305,"Not pre-registered before due",IF(OR(AND(G305&lt;&gt;"",OR(NOT(ISNUMBER(G305)),G305&lt;0,G305&gt;1)),AND(H305&lt;&gt;"",OR(NOT(ISNUMBER(H305)),H305&lt;0,H305&gt;1))),"Invalid probability",IF(AND(I305="Resolved",OR(NOT(ISNUMBER(J305)),AND(J305&lt;&gt;0,J305&lt;&gt;1),NOT(ISNUMBER(K305)),L305="")),"Resolution evidence missing",IF(AND(I305="Resolved",D305&gt;K305),"Retroactive: not scored","Valid input")))))))))</x:f>
      </x:c>
    </x:row>
    <x:row r="306" ht="25" customHeight="1">
      <x:c r="A306" s="3"/>
      <x:c r="B306" s="3"/>
      <x:c r="C306" s="3"/>
      <x:c r="D306" s="25"/>
      <x:c r="E306" s="25"/>
      <x:c r="F306" s="3"/>
      <x:c r="G306" s="26"/>
      <x:c r="H306" s="26"/>
      <x:c r="I306" s="3"/>
      <x:c r="J306" s="22"/>
      <x:c r="K306" s="25"/>
      <x:c r="L306" s="3"/>
      <x:c r="M306" s="3"/>
      <x:c r="N306" s="24" t="str">
        <x:f>IF(AND(R306="Valid input",I306="Resolved",M306="Yes",ISNUMBER(G306)),(G306-J306)^2,"")</x:f>
      </x:c>
      <x:c r="O306" s="24" t="str">
        <x:f>IF(AND(ISNUMBER(N306),ISNUMBER(H306)),(H306-J306)^2,"")</x:f>
      </x:c>
      <x:c r="P306" s="24" t="str">
        <x:f>IF(AND(ISNUMBER(N306),ISNUMBER(O306)),O306-N306,"")</x:f>
      </x:c>
      <x:c r="Q306" s="3"/>
      <x:c r="R306" s="19" t="str">
        <x:f>IF(A306="","",IF(COUNTIFS('Predictions'!$A$7:$A$306,A306)&lt;&gt;1,"Duplicate ID",IF(COUNTIFS('Cases overview'!$A$7:$A$306,B306)&lt;&gt;1,"Invalid case ref",IF(COUNTIFS('Plan versions'!$A$7:$A$306,C306,'Plan versions'!$B$7:$B$306,B306,'Plan versions'!$L$7:$L$306,"Frozen")&lt;&gt;1,"Invalid plan ref",IF(OR(NOT(ISNUMBER(D306)),NOT(ISNUMBER(E306)),F306="",I306="",M306="",Q306=""),"Prediction info missing",IF(D306&gt;E306,"Not pre-registered before due",IF(OR(AND(G306&lt;&gt;"",OR(NOT(ISNUMBER(G306)),G306&lt;0,G306&gt;1)),AND(H306&lt;&gt;"",OR(NOT(ISNUMBER(H306)),H306&lt;0,H306&gt;1))),"Invalid probability",IF(AND(I306="Resolved",OR(NOT(ISNUMBER(J306)),AND(J306&lt;&gt;0,J306&lt;&gt;1),NOT(ISNUMBER(K306)),L306="")),"Resolution evidence missing",IF(AND(I306="Resolved",D306&gt;K306),"Retroactive: not scored","Valid input")))))))))</x:f>
      </x:c>
    </x:row>
  </x:sheetData>
  <x:conditionalFormatting sqref="R7:R306">
    <x:cfRule type="expression" dxfId="4" priority="1">
      <x:formula>AND($A7&lt;&gt;"",R7&lt;&gt;"Valid input")</x:formula>
    </x:cfRule>
  </x:conditionalFormatting>
  <x:dataValidations count="2">
    <x:dataValidation type="list" sqref="I7:I306">
      <x:formula1>"Not due,Awaiting resolution,Resolved,Undeterminable,Revoked"</x:formula1>
    </x:dataValidation>
    <x:dataValidation type="list" sqref="M7:M3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f0a46348c463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3" hidden="0" customWidth="1"/>
    <x:col min="5" max="5" width="23" hidden="0" customWidth="1"/>
    <x:col min="6" max="6" width="20" hidden="0" customWidth="1"/>
    <x:col min="7" max="7" width="29" hidden="0" customWidth="1"/>
    <x:col min="8" max="8" width="20" hidden="0" customWidth="1"/>
    <x:col min="9" max="9" width="29" hidden="0" customWidth="1"/>
    <x:col min="10" max="10" width="29" hidden="0" customWidth="1"/>
    <x:col min="11" max="11" width="20" hidden="0" customWidth="1"/>
    <x:col min="12" max="12" width="23" hidden="0" customWidth="1"/>
    <x:col min="13" max="13" width="29" hidden="0" customWidth="1"/>
    <x:col min="14" max="14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6" t="str">
        <x:v>Reviews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5" customHeight="1">
      <x:c r="A3" s="18" t="str">
        <x:v>One row per review. Assess original goal, current value and causal support separately; each review links to one update.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2" t="str">
        <x:v>Review ID</x:v>
      </x:c>
      <x:c r="B6" s="13" t="str">
        <x:v>Case ID</x:v>
      </x:c>
      <x:c r="C6" s="13" t="str">
        <x:v>Plan ID</x:v>
      </x:c>
      <x:c r="D6" s="13" t="str">
        <x:v>Information cutoff</x:v>
      </x:c>
      <x:c r="E6" s="13" t="str">
        <x:v>Review time</x:v>
      </x:c>
      <x:c r="F6" s="13" t="str">
        <x:v>Result vs original goal</x:v>
      </x:c>
      <x:c r="G6" s="13" t="str">
        <x:v>Current value judgment</x:v>
      </x:c>
      <x:c r="H6" s="13" t="str">
        <x:v>Attribution conclusion</x:v>
      </x:c>
      <x:c r="I6" s="13" t="str">
        <x:v>Key OB refs</x:v>
      </x:c>
      <x:c r="J6" s="13" t="str">
        <x:v>Update ID ref</x:v>
      </x:c>
      <x:c r="K6" s="13" t="str">
        <x:v>Next phase</x:v>
      </x:c>
      <x:c r="L6" s="13" t="str">
        <x:v>Next review date</x:v>
      </x:c>
      <x:c r="M6" s="13" t="str">
        <x:v>Review file</x:v>
      </x:c>
      <x:c r="N6" s="14" t="str">
        <x:v>Input check</x:v>
      </x:c>
    </x:row>
    <x:row r="7" ht="25" customHeight="1">
      <x:c r="A7" s="3"/>
      <x:c r="B7" s="3"/>
      <x:c r="C7" s="3"/>
      <x:c r="D7" s="25"/>
      <x:c r="E7" s="25"/>
      <x:c r="F7" s="3"/>
      <x:c r="G7" s="3"/>
      <x:c r="H7" s="3"/>
      <x:c r="I7" s="3"/>
      <x:c r="J7" s="3"/>
      <x:c r="K7" s="3"/>
      <x:c r="L7" s="20"/>
      <x:c r="M7" s="3"/>
      <x:c r="N7" s="19" t="str">
        <x:f>IF(A7="","",IF(COUNTIFS('Reviews'!$A$7:$A$306,A7)&lt;&gt;1,"Duplicate ID",IF(COUNTIFS('Cases overview'!$A$7:$A$306,B7)&lt;&gt;1,"Invalid case ref",IF(COUNTIFS('Plan versions'!$A$7:$A$306,C7,'Plan versions'!$B$7:$B$306,B7,'Plan versions'!$L$7:$L$306,"Frozen")&lt;&gt;1,"Invalid plan ref",IF(OR(NOT(ISNUMBER(D7)),NOT(ISNUMBER(E7)),F7="",G7="",H7="",M7=""),"Review info missing",IF(COUNTIFS('Update log'!$A$7:$A$306,J7,'Update log'!$B$7:$B$306,B7,'Update log'!$C$7:$C$306,A7)&lt;&gt;1,"Update not registered","Valid input"))))))</x:f>
      </x:c>
    </x:row>
    <x:row r="8" ht="25" customHeight="1">
      <x:c r="A8" s="3"/>
      <x:c r="B8" s="3"/>
      <x:c r="C8" s="3"/>
      <x:c r="D8" s="25"/>
      <x:c r="E8" s="25"/>
      <x:c r="F8" s="3"/>
      <x:c r="G8" s="3"/>
      <x:c r="H8" s="3"/>
      <x:c r="I8" s="3"/>
      <x:c r="J8" s="3"/>
      <x:c r="K8" s="3"/>
      <x:c r="L8" s="20"/>
      <x:c r="M8" s="3"/>
      <x:c r="N8" s="19" t="str">
        <x:f>IF(A8="","",IF(COUNTIFS('Reviews'!$A$7:$A$306,A8)&lt;&gt;1,"Duplicate ID",IF(COUNTIFS('Cases overview'!$A$7:$A$306,B8)&lt;&gt;1,"Invalid case ref",IF(COUNTIFS('Plan versions'!$A$7:$A$306,C8,'Plan versions'!$B$7:$B$306,B8,'Plan versions'!$L$7:$L$306,"Frozen")&lt;&gt;1,"Invalid plan ref",IF(OR(NOT(ISNUMBER(D8)),NOT(ISNUMBER(E8)),F8="",G8="",H8="",M8=""),"Review info missing",IF(COUNTIFS('Update log'!$A$7:$A$306,J8,'Update log'!$B$7:$B$306,B8,'Update log'!$C$7:$C$306,A8)&lt;&gt;1,"Update not registered","Valid input"))))))</x:f>
      </x:c>
    </x:row>
    <x:row r="9" ht="25" customHeight="1">
      <x:c r="A9" s="3"/>
      <x:c r="B9" s="3"/>
      <x:c r="C9" s="3"/>
      <x:c r="D9" s="25"/>
      <x:c r="E9" s="25"/>
      <x:c r="F9" s="3"/>
      <x:c r="G9" s="3"/>
      <x:c r="H9" s="3"/>
      <x:c r="I9" s="3"/>
      <x:c r="J9" s="3"/>
      <x:c r="K9" s="3"/>
      <x:c r="L9" s="20"/>
      <x:c r="M9" s="3"/>
      <x:c r="N9" s="19" t="str">
        <x:f>IF(A9="","",IF(COUNTIFS('Reviews'!$A$7:$A$306,A9)&lt;&gt;1,"Duplicate ID",IF(COUNTIFS('Cases overview'!$A$7:$A$306,B9)&lt;&gt;1,"Invalid case ref",IF(COUNTIFS('Plan versions'!$A$7:$A$306,C9,'Plan versions'!$B$7:$B$306,B9,'Plan versions'!$L$7:$L$306,"Frozen")&lt;&gt;1,"Invalid plan ref",IF(OR(NOT(ISNUMBER(D9)),NOT(ISNUMBER(E9)),F9="",G9="",H9="",M9=""),"Review info missing",IF(COUNTIFS('Update log'!$A$7:$A$306,J9,'Update log'!$B$7:$B$306,B9,'Update log'!$C$7:$C$306,A9)&lt;&gt;1,"Update not registered","Valid input"))))))</x:f>
      </x:c>
    </x:row>
    <x:row r="10" ht="25" customHeight="1">
      <x:c r="A10" s="3"/>
      <x:c r="B10" s="3"/>
      <x:c r="C10" s="3"/>
      <x:c r="D10" s="25"/>
      <x:c r="E10" s="25"/>
      <x:c r="F10" s="3"/>
      <x:c r="G10" s="3"/>
      <x:c r="H10" s="3"/>
      <x:c r="I10" s="3"/>
      <x:c r="J10" s="3"/>
      <x:c r="K10" s="3"/>
      <x:c r="L10" s="20"/>
      <x:c r="M10" s="3"/>
      <x:c r="N10" s="19" t="str">
        <x:f>IF(A10="","",IF(COUNTIFS('Reviews'!$A$7:$A$306,A10)&lt;&gt;1,"Duplicate ID",IF(COUNTIFS('Cases overview'!$A$7:$A$306,B10)&lt;&gt;1,"Invalid case ref",IF(COUNTIFS('Plan versions'!$A$7:$A$306,C10,'Plan versions'!$B$7:$B$306,B10,'Plan versions'!$L$7:$L$306,"Frozen")&lt;&gt;1,"Invalid plan ref",IF(OR(NOT(ISNUMBER(D10)),NOT(ISNUMBER(E10)),F10="",G10="",H10="",M10=""),"Review info missing",IF(COUNTIFS('Update log'!$A$7:$A$306,J10,'Update log'!$B$7:$B$306,B10,'Update log'!$C$7:$C$306,A10)&lt;&gt;1,"Update not registered","Valid input"))))))</x:f>
      </x:c>
    </x:row>
    <x:row r="11" ht="25" customHeight="1">
      <x:c r="A11" s="3"/>
      <x:c r="B11" s="3"/>
      <x:c r="C11" s="3"/>
      <x:c r="D11" s="25"/>
      <x:c r="E11" s="25"/>
      <x:c r="F11" s="3"/>
      <x:c r="G11" s="3"/>
      <x:c r="H11" s="3"/>
      <x:c r="I11" s="3"/>
      <x:c r="J11" s="3"/>
      <x:c r="K11" s="3"/>
      <x:c r="L11" s="20"/>
      <x:c r="M11" s="3"/>
      <x:c r="N11" s="19" t="str">
        <x:f>IF(A11="","",IF(COUNTIFS('Reviews'!$A$7:$A$306,A11)&lt;&gt;1,"Duplicate ID",IF(COUNTIFS('Cases overview'!$A$7:$A$306,B11)&lt;&gt;1,"Invalid case ref",IF(COUNTIFS('Plan versions'!$A$7:$A$306,C11,'Plan versions'!$B$7:$B$306,B11,'Plan versions'!$L$7:$L$306,"Frozen")&lt;&gt;1,"Invalid plan ref",IF(OR(NOT(ISNUMBER(D11)),NOT(ISNUMBER(E11)),F11="",G11="",H11="",M11=""),"Review info missing",IF(COUNTIFS('Update log'!$A$7:$A$306,J11,'Update log'!$B$7:$B$306,B11,'Update log'!$C$7:$C$306,A11)&lt;&gt;1,"Update not registered","Valid input"))))))</x:f>
      </x:c>
    </x:row>
    <x:row r="12" ht="25" customHeight="1">
      <x:c r="A12" s="3"/>
      <x:c r="B12" s="3"/>
      <x:c r="C12" s="3"/>
      <x:c r="D12" s="25"/>
      <x:c r="E12" s="25"/>
      <x:c r="F12" s="3"/>
      <x:c r="G12" s="3"/>
      <x:c r="H12" s="3"/>
      <x:c r="I12" s="3"/>
      <x:c r="J12" s="3"/>
      <x:c r="K12" s="3"/>
      <x:c r="L12" s="20"/>
      <x:c r="M12" s="3"/>
      <x:c r="N12" s="19" t="str">
        <x:f>IF(A12="","",IF(COUNTIFS('Reviews'!$A$7:$A$306,A12)&lt;&gt;1,"Duplicate ID",IF(COUNTIFS('Cases overview'!$A$7:$A$306,B12)&lt;&gt;1,"Invalid case ref",IF(COUNTIFS('Plan versions'!$A$7:$A$306,C12,'Plan versions'!$B$7:$B$306,B12,'Plan versions'!$L$7:$L$306,"Frozen")&lt;&gt;1,"Invalid plan ref",IF(OR(NOT(ISNUMBER(D12)),NOT(ISNUMBER(E12)),F12="",G12="",H12="",M12=""),"Review info missing",IF(COUNTIFS('Update log'!$A$7:$A$306,J12,'Update log'!$B$7:$B$306,B12,'Update log'!$C$7:$C$306,A12)&lt;&gt;1,"Update not registered","Valid input"))))))</x:f>
      </x:c>
    </x:row>
    <x:row r="13" ht="25" customHeight="1">
      <x:c r="A13" s="3"/>
      <x:c r="B13" s="3"/>
      <x:c r="C13" s="3"/>
      <x:c r="D13" s="25"/>
      <x:c r="E13" s="25"/>
      <x:c r="F13" s="3"/>
      <x:c r="G13" s="3"/>
      <x:c r="H13" s="3"/>
      <x:c r="I13" s="3"/>
      <x:c r="J13" s="3"/>
      <x:c r="K13" s="3"/>
      <x:c r="L13" s="20"/>
      <x:c r="M13" s="3"/>
      <x:c r="N13" s="19" t="str">
        <x:f>IF(A13="","",IF(COUNTIFS('Reviews'!$A$7:$A$306,A13)&lt;&gt;1,"Duplicate ID",IF(COUNTIFS('Cases overview'!$A$7:$A$306,B13)&lt;&gt;1,"Invalid case ref",IF(COUNTIFS('Plan versions'!$A$7:$A$306,C13,'Plan versions'!$B$7:$B$306,B13,'Plan versions'!$L$7:$L$306,"Frozen")&lt;&gt;1,"Invalid plan ref",IF(OR(NOT(ISNUMBER(D13)),NOT(ISNUMBER(E13)),F13="",G13="",H13="",M13=""),"Review info missing",IF(COUNTIFS('Update log'!$A$7:$A$306,J13,'Update log'!$B$7:$B$306,B13,'Update log'!$C$7:$C$306,A13)&lt;&gt;1,"Update not registered","Valid input"))))))</x:f>
      </x:c>
    </x:row>
    <x:row r="14" ht="25" customHeight="1">
      <x:c r="A14" s="3"/>
      <x:c r="B14" s="3"/>
      <x:c r="C14" s="3"/>
      <x:c r="D14" s="25"/>
      <x:c r="E14" s="25"/>
      <x:c r="F14" s="3"/>
      <x:c r="G14" s="3"/>
      <x:c r="H14" s="3"/>
      <x:c r="I14" s="3"/>
      <x:c r="J14" s="3"/>
      <x:c r="K14" s="3"/>
      <x:c r="L14" s="20"/>
      <x:c r="M14" s="3"/>
      <x:c r="N14" s="19" t="str">
        <x:f>IF(A14="","",IF(COUNTIFS('Reviews'!$A$7:$A$306,A14)&lt;&gt;1,"Duplicate ID",IF(COUNTIFS('Cases overview'!$A$7:$A$306,B14)&lt;&gt;1,"Invalid case ref",IF(COUNTIFS('Plan versions'!$A$7:$A$306,C14,'Plan versions'!$B$7:$B$306,B14,'Plan versions'!$L$7:$L$306,"Frozen")&lt;&gt;1,"Invalid plan ref",IF(OR(NOT(ISNUMBER(D14)),NOT(ISNUMBER(E14)),F14="",G14="",H14="",M14=""),"Review info missing",IF(COUNTIFS('Update log'!$A$7:$A$306,J14,'Update log'!$B$7:$B$306,B14,'Update log'!$C$7:$C$306,A14)&lt;&gt;1,"Update not registered","Valid input"))))))</x:f>
      </x:c>
    </x:row>
    <x:row r="15" ht="25" customHeight="1">
      <x:c r="A15" s="3"/>
      <x:c r="B15" s="3"/>
      <x:c r="C15" s="3"/>
      <x:c r="D15" s="25"/>
      <x:c r="E15" s="25"/>
      <x:c r="F15" s="3"/>
      <x:c r="G15" s="3"/>
      <x:c r="H15" s="3"/>
      <x:c r="I15" s="3"/>
      <x:c r="J15" s="3"/>
      <x:c r="K15" s="3"/>
      <x:c r="L15" s="20"/>
      <x:c r="M15" s="3"/>
      <x:c r="N15" s="19" t="str">
        <x:f>IF(A15="","",IF(COUNTIFS('Reviews'!$A$7:$A$306,A15)&lt;&gt;1,"Duplicate ID",IF(COUNTIFS('Cases overview'!$A$7:$A$306,B15)&lt;&gt;1,"Invalid case ref",IF(COUNTIFS('Plan versions'!$A$7:$A$306,C15,'Plan versions'!$B$7:$B$306,B15,'Plan versions'!$L$7:$L$306,"Frozen")&lt;&gt;1,"Invalid plan ref",IF(OR(NOT(ISNUMBER(D15)),NOT(ISNUMBER(E15)),F15="",G15="",H15="",M15=""),"Review info missing",IF(COUNTIFS('Update log'!$A$7:$A$306,J15,'Update log'!$B$7:$B$306,B15,'Update log'!$C$7:$C$306,A15)&lt;&gt;1,"Update not registered","Valid input"))))))</x:f>
      </x:c>
    </x:row>
    <x:row r="16" ht="25" customHeight="1">
      <x:c r="A16" s="3"/>
      <x:c r="B16" s="3"/>
      <x:c r="C16" s="3"/>
      <x:c r="D16" s="25"/>
      <x:c r="E16" s="25"/>
      <x:c r="F16" s="3"/>
      <x:c r="G16" s="3"/>
      <x:c r="H16" s="3"/>
      <x:c r="I16" s="3"/>
      <x:c r="J16" s="3"/>
      <x:c r="K16" s="3"/>
      <x:c r="L16" s="20"/>
      <x:c r="M16" s="3"/>
      <x:c r="N16" s="19" t="str">
        <x:f>IF(A16="","",IF(COUNTIFS('Reviews'!$A$7:$A$306,A16)&lt;&gt;1,"Duplicate ID",IF(COUNTIFS('Cases overview'!$A$7:$A$306,B16)&lt;&gt;1,"Invalid case ref",IF(COUNTIFS('Plan versions'!$A$7:$A$306,C16,'Plan versions'!$B$7:$B$306,B16,'Plan versions'!$L$7:$L$306,"Frozen")&lt;&gt;1,"Invalid plan ref",IF(OR(NOT(ISNUMBER(D16)),NOT(ISNUMBER(E16)),F16="",G16="",H16="",M16=""),"Review info missing",IF(COUNTIFS('Update log'!$A$7:$A$306,J16,'Update log'!$B$7:$B$306,B16,'Update log'!$C$7:$C$306,A16)&lt;&gt;1,"Update not registered","Valid input"))))))</x:f>
      </x:c>
    </x:row>
    <x:row r="17" ht="25" customHeight="1">
      <x:c r="A17" s="3"/>
      <x:c r="B17" s="3"/>
      <x:c r="C17" s="3"/>
      <x:c r="D17" s="25"/>
      <x:c r="E17" s="25"/>
      <x:c r="F17" s="3"/>
      <x:c r="G17" s="3"/>
      <x:c r="H17" s="3"/>
      <x:c r="I17" s="3"/>
      <x:c r="J17" s="3"/>
      <x:c r="K17" s="3"/>
      <x:c r="L17" s="20"/>
      <x:c r="M17" s="3"/>
      <x:c r="N17" s="19" t="str">
        <x:f>IF(A17="","",IF(COUNTIFS('Reviews'!$A$7:$A$306,A17)&lt;&gt;1,"Duplicate ID",IF(COUNTIFS('Cases overview'!$A$7:$A$306,B17)&lt;&gt;1,"Invalid case ref",IF(COUNTIFS('Plan versions'!$A$7:$A$306,C17,'Plan versions'!$B$7:$B$306,B17,'Plan versions'!$L$7:$L$306,"Frozen")&lt;&gt;1,"Invalid plan ref",IF(OR(NOT(ISNUMBER(D17)),NOT(ISNUMBER(E17)),F17="",G17="",H17="",M17=""),"Review info missing",IF(COUNTIFS('Update log'!$A$7:$A$306,J17,'Update log'!$B$7:$B$306,B17,'Update log'!$C$7:$C$306,A17)&lt;&gt;1,"Update not registered","Valid input"))))))</x:f>
      </x:c>
    </x:row>
    <x:row r="18" ht="25" customHeight="1">
      <x:c r="A18" s="3"/>
      <x:c r="B18" s="3"/>
      <x:c r="C18" s="3"/>
      <x:c r="D18" s="25"/>
      <x:c r="E18" s="25"/>
      <x:c r="F18" s="3"/>
      <x:c r="G18" s="3"/>
      <x:c r="H18" s="3"/>
      <x:c r="I18" s="3"/>
      <x:c r="J18" s="3"/>
      <x:c r="K18" s="3"/>
      <x:c r="L18" s="20"/>
      <x:c r="M18" s="3"/>
      <x:c r="N18" s="19" t="str">
        <x:f>IF(A18="","",IF(COUNTIFS('Reviews'!$A$7:$A$306,A18)&lt;&gt;1,"Duplicate ID",IF(COUNTIFS('Cases overview'!$A$7:$A$306,B18)&lt;&gt;1,"Invalid case ref",IF(COUNTIFS('Plan versions'!$A$7:$A$306,C18,'Plan versions'!$B$7:$B$306,B18,'Plan versions'!$L$7:$L$306,"Frozen")&lt;&gt;1,"Invalid plan ref",IF(OR(NOT(ISNUMBER(D18)),NOT(ISNUMBER(E18)),F18="",G18="",H18="",M18=""),"Review info missing",IF(COUNTIFS('Update log'!$A$7:$A$306,J18,'Update log'!$B$7:$B$306,B18,'Update log'!$C$7:$C$306,A18)&lt;&gt;1,"Update not registered","Valid input"))))))</x:f>
      </x:c>
    </x:row>
    <x:row r="19" ht="25" customHeight="1">
      <x:c r="A19" s="3"/>
      <x:c r="B19" s="3"/>
      <x:c r="C19" s="3"/>
      <x:c r="D19" s="25"/>
      <x:c r="E19" s="25"/>
      <x:c r="F19" s="3"/>
      <x:c r="G19" s="3"/>
      <x:c r="H19" s="3"/>
      <x:c r="I19" s="3"/>
      <x:c r="J19" s="3"/>
      <x:c r="K19" s="3"/>
      <x:c r="L19" s="20"/>
      <x:c r="M19" s="3"/>
      <x:c r="N19" s="19" t="str">
        <x:f>IF(A19="","",IF(COUNTIFS('Reviews'!$A$7:$A$306,A19)&lt;&gt;1,"Duplicate ID",IF(COUNTIFS('Cases overview'!$A$7:$A$306,B19)&lt;&gt;1,"Invalid case ref",IF(COUNTIFS('Plan versions'!$A$7:$A$306,C19,'Plan versions'!$B$7:$B$306,B19,'Plan versions'!$L$7:$L$306,"Frozen")&lt;&gt;1,"Invalid plan ref",IF(OR(NOT(ISNUMBER(D19)),NOT(ISNUMBER(E19)),F19="",G19="",H19="",M19=""),"Review info missing",IF(COUNTIFS('Update log'!$A$7:$A$306,J19,'Update log'!$B$7:$B$306,B19,'Update log'!$C$7:$C$306,A19)&lt;&gt;1,"Update not registered","Valid input"))))))</x:f>
      </x:c>
    </x:row>
    <x:row r="20" ht="25" customHeight="1">
      <x:c r="A20" s="3"/>
      <x:c r="B20" s="3"/>
      <x:c r="C20" s="3"/>
      <x:c r="D20" s="25"/>
      <x:c r="E20" s="25"/>
      <x:c r="F20" s="3"/>
      <x:c r="G20" s="3"/>
      <x:c r="H20" s="3"/>
      <x:c r="I20" s="3"/>
      <x:c r="J20" s="3"/>
      <x:c r="K20" s="3"/>
      <x:c r="L20" s="20"/>
      <x:c r="M20" s="3"/>
      <x:c r="N20" s="19" t="str">
        <x:f>IF(A20="","",IF(COUNTIFS('Reviews'!$A$7:$A$306,A20)&lt;&gt;1,"Duplicate ID",IF(COUNTIFS('Cases overview'!$A$7:$A$306,B20)&lt;&gt;1,"Invalid case ref",IF(COUNTIFS('Plan versions'!$A$7:$A$306,C20,'Plan versions'!$B$7:$B$306,B20,'Plan versions'!$L$7:$L$306,"Frozen")&lt;&gt;1,"Invalid plan ref",IF(OR(NOT(ISNUMBER(D20)),NOT(ISNUMBER(E20)),F20="",G20="",H20="",M20=""),"Review info missing",IF(COUNTIFS('Update log'!$A$7:$A$306,J20,'Update log'!$B$7:$B$306,B20,'Update log'!$C$7:$C$306,A20)&lt;&gt;1,"Update not registered","Valid input"))))))</x:f>
      </x:c>
    </x:row>
    <x:row r="21" ht="25" customHeight="1">
      <x:c r="A21" s="3"/>
      <x:c r="B21" s="3"/>
      <x:c r="C21" s="3"/>
      <x:c r="D21" s="25"/>
      <x:c r="E21" s="25"/>
      <x:c r="F21" s="3"/>
      <x:c r="G21" s="3"/>
      <x:c r="H21" s="3"/>
      <x:c r="I21" s="3"/>
      <x:c r="J21" s="3"/>
      <x:c r="K21" s="3"/>
      <x:c r="L21" s="20"/>
      <x:c r="M21" s="3"/>
      <x:c r="N21" s="19" t="str">
        <x:f>IF(A21="","",IF(COUNTIFS('Reviews'!$A$7:$A$306,A21)&lt;&gt;1,"Duplicate ID",IF(COUNTIFS('Cases overview'!$A$7:$A$306,B21)&lt;&gt;1,"Invalid case ref",IF(COUNTIFS('Plan versions'!$A$7:$A$306,C21,'Plan versions'!$B$7:$B$306,B21,'Plan versions'!$L$7:$L$306,"Frozen")&lt;&gt;1,"Invalid plan ref",IF(OR(NOT(ISNUMBER(D21)),NOT(ISNUMBER(E21)),F21="",G21="",H21="",M21=""),"Review info missing",IF(COUNTIFS('Update log'!$A$7:$A$306,J21,'Update log'!$B$7:$B$306,B21,'Update log'!$C$7:$C$306,A21)&lt;&gt;1,"Update not registered","Valid input"))))))</x:f>
      </x:c>
    </x:row>
    <x:row r="22" ht="25" customHeight="1">
      <x:c r="A22" s="3"/>
      <x:c r="B22" s="3"/>
      <x:c r="C22" s="3"/>
      <x:c r="D22" s="25"/>
      <x:c r="E22" s="25"/>
      <x:c r="F22" s="3"/>
      <x:c r="G22" s="3"/>
      <x:c r="H22" s="3"/>
      <x:c r="I22" s="3"/>
      <x:c r="J22" s="3"/>
      <x:c r="K22" s="3"/>
      <x:c r="L22" s="20"/>
      <x:c r="M22" s="3"/>
      <x:c r="N22" s="19" t="str">
        <x:f>IF(A22="","",IF(COUNTIFS('Reviews'!$A$7:$A$306,A22)&lt;&gt;1,"Duplicate ID",IF(COUNTIFS('Cases overview'!$A$7:$A$306,B22)&lt;&gt;1,"Invalid case ref",IF(COUNTIFS('Plan versions'!$A$7:$A$306,C22,'Plan versions'!$B$7:$B$306,B22,'Plan versions'!$L$7:$L$306,"Frozen")&lt;&gt;1,"Invalid plan ref",IF(OR(NOT(ISNUMBER(D22)),NOT(ISNUMBER(E22)),F22="",G22="",H22="",M22=""),"Review info missing",IF(COUNTIFS('Update log'!$A$7:$A$306,J22,'Update log'!$B$7:$B$306,B22,'Update log'!$C$7:$C$306,A22)&lt;&gt;1,"Update not registered","Valid input"))))))</x:f>
      </x:c>
    </x:row>
    <x:row r="23" ht="25" customHeight="1">
      <x:c r="A23" s="3"/>
      <x:c r="B23" s="3"/>
      <x:c r="C23" s="3"/>
      <x:c r="D23" s="25"/>
      <x:c r="E23" s="25"/>
      <x:c r="F23" s="3"/>
      <x:c r="G23" s="3"/>
      <x:c r="H23" s="3"/>
      <x:c r="I23" s="3"/>
      <x:c r="J23" s="3"/>
      <x:c r="K23" s="3"/>
      <x:c r="L23" s="20"/>
      <x:c r="M23" s="3"/>
      <x:c r="N23" s="19" t="str">
        <x:f>IF(A23="","",IF(COUNTIFS('Reviews'!$A$7:$A$306,A23)&lt;&gt;1,"Duplicate ID",IF(COUNTIFS('Cases overview'!$A$7:$A$306,B23)&lt;&gt;1,"Invalid case ref",IF(COUNTIFS('Plan versions'!$A$7:$A$306,C23,'Plan versions'!$B$7:$B$306,B23,'Plan versions'!$L$7:$L$306,"Frozen")&lt;&gt;1,"Invalid plan ref",IF(OR(NOT(ISNUMBER(D23)),NOT(ISNUMBER(E23)),F23="",G23="",H23="",M23=""),"Review info missing",IF(COUNTIFS('Update log'!$A$7:$A$306,J23,'Update log'!$B$7:$B$306,B23,'Update log'!$C$7:$C$306,A23)&lt;&gt;1,"Update not registered","Valid input"))))))</x:f>
      </x:c>
    </x:row>
    <x:row r="24" ht="25" customHeight="1">
      <x:c r="A24" s="3"/>
      <x:c r="B24" s="3"/>
      <x:c r="C24" s="3"/>
      <x:c r="D24" s="25"/>
      <x:c r="E24" s="25"/>
      <x:c r="F24" s="3"/>
      <x:c r="G24" s="3"/>
      <x:c r="H24" s="3"/>
      <x:c r="I24" s="3"/>
      <x:c r="J24" s="3"/>
      <x:c r="K24" s="3"/>
      <x:c r="L24" s="20"/>
      <x:c r="M24" s="3"/>
      <x:c r="N24" s="19" t="str">
        <x:f>IF(A24="","",IF(COUNTIFS('Reviews'!$A$7:$A$306,A24)&lt;&gt;1,"Duplicate ID",IF(COUNTIFS('Cases overview'!$A$7:$A$306,B24)&lt;&gt;1,"Invalid case ref",IF(COUNTIFS('Plan versions'!$A$7:$A$306,C24,'Plan versions'!$B$7:$B$306,B24,'Plan versions'!$L$7:$L$306,"Frozen")&lt;&gt;1,"Invalid plan ref",IF(OR(NOT(ISNUMBER(D24)),NOT(ISNUMBER(E24)),F24="",G24="",H24="",M24=""),"Review info missing",IF(COUNTIFS('Update log'!$A$7:$A$306,J24,'Update log'!$B$7:$B$306,B24,'Update log'!$C$7:$C$306,A24)&lt;&gt;1,"Update not registered","Valid input"))))))</x:f>
      </x:c>
    </x:row>
    <x:row r="25" ht="25" customHeight="1">
      <x:c r="A25" s="3"/>
      <x:c r="B25" s="3"/>
      <x:c r="C25" s="3"/>
      <x:c r="D25" s="25"/>
      <x:c r="E25" s="25"/>
      <x:c r="F25" s="3"/>
      <x:c r="G25" s="3"/>
      <x:c r="H25" s="3"/>
      <x:c r="I25" s="3"/>
      <x:c r="J25" s="3"/>
      <x:c r="K25" s="3"/>
      <x:c r="L25" s="20"/>
      <x:c r="M25" s="3"/>
      <x:c r="N25" s="19" t="str">
        <x:f>IF(A25="","",IF(COUNTIFS('Reviews'!$A$7:$A$306,A25)&lt;&gt;1,"Duplicate ID",IF(COUNTIFS('Cases overview'!$A$7:$A$306,B25)&lt;&gt;1,"Invalid case ref",IF(COUNTIFS('Plan versions'!$A$7:$A$306,C25,'Plan versions'!$B$7:$B$306,B25,'Plan versions'!$L$7:$L$306,"Frozen")&lt;&gt;1,"Invalid plan ref",IF(OR(NOT(ISNUMBER(D25)),NOT(ISNUMBER(E25)),F25="",G25="",H25="",M25=""),"Review info missing",IF(COUNTIFS('Update log'!$A$7:$A$306,J25,'Update log'!$B$7:$B$306,B25,'Update log'!$C$7:$C$306,A25)&lt;&gt;1,"Update not registered","Valid input"))))))</x:f>
      </x:c>
    </x:row>
    <x:row r="26" ht="25" customHeight="1">
      <x:c r="A26" s="3"/>
      <x:c r="B26" s="3"/>
      <x:c r="C26" s="3"/>
      <x:c r="D26" s="25"/>
      <x:c r="E26" s="25"/>
      <x:c r="F26" s="3"/>
      <x:c r="G26" s="3"/>
      <x:c r="H26" s="3"/>
      <x:c r="I26" s="3"/>
      <x:c r="J26" s="3"/>
      <x:c r="K26" s="3"/>
      <x:c r="L26" s="20"/>
      <x:c r="M26" s="3"/>
      <x:c r="N26" s="19" t="str">
        <x:f>IF(A26="","",IF(COUNTIFS('Reviews'!$A$7:$A$306,A26)&lt;&gt;1,"Duplicate ID",IF(COUNTIFS('Cases overview'!$A$7:$A$306,B26)&lt;&gt;1,"Invalid case ref",IF(COUNTIFS('Plan versions'!$A$7:$A$306,C26,'Plan versions'!$B$7:$B$306,B26,'Plan versions'!$L$7:$L$306,"Frozen")&lt;&gt;1,"Invalid plan ref",IF(OR(NOT(ISNUMBER(D26)),NOT(ISNUMBER(E26)),F26="",G26="",H26="",M26=""),"Review info missing",IF(COUNTIFS('Update log'!$A$7:$A$306,J26,'Update log'!$B$7:$B$306,B26,'Update log'!$C$7:$C$306,A26)&lt;&gt;1,"Update not registered","Valid input"))))))</x:f>
      </x:c>
    </x:row>
    <x:row r="27" ht="25" customHeight="1">
      <x:c r="A27" s="3"/>
      <x:c r="B27" s="3"/>
      <x:c r="C27" s="3"/>
      <x:c r="D27" s="25"/>
      <x:c r="E27" s="25"/>
      <x:c r="F27" s="3"/>
      <x:c r="G27" s="3"/>
      <x:c r="H27" s="3"/>
      <x:c r="I27" s="3"/>
      <x:c r="J27" s="3"/>
      <x:c r="K27" s="3"/>
      <x:c r="L27" s="20"/>
      <x:c r="M27" s="3"/>
      <x:c r="N27" s="19" t="str">
        <x:f>IF(A27="","",IF(COUNTIFS('Reviews'!$A$7:$A$306,A27)&lt;&gt;1,"Duplicate ID",IF(COUNTIFS('Cases overview'!$A$7:$A$306,B27)&lt;&gt;1,"Invalid case ref",IF(COUNTIFS('Plan versions'!$A$7:$A$306,C27,'Plan versions'!$B$7:$B$306,B27,'Plan versions'!$L$7:$L$306,"Frozen")&lt;&gt;1,"Invalid plan ref",IF(OR(NOT(ISNUMBER(D27)),NOT(ISNUMBER(E27)),F27="",G27="",H27="",M27=""),"Review info missing",IF(COUNTIFS('Update log'!$A$7:$A$306,J27,'Update log'!$B$7:$B$306,B27,'Update log'!$C$7:$C$306,A27)&lt;&gt;1,"Update not registered","Valid input"))))))</x:f>
      </x:c>
    </x:row>
    <x:row r="28" ht="25" customHeight="1">
      <x:c r="A28" s="3"/>
      <x:c r="B28" s="3"/>
      <x:c r="C28" s="3"/>
      <x:c r="D28" s="25"/>
      <x:c r="E28" s="25"/>
      <x:c r="F28" s="3"/>
      <x:c r="G28" s="3"/>
      <x:c r="H28" s="3"/>
      <x:c r="I28" s="3"/>
      <x:c r="J28" s="3"/>
      <x:c r="K28" s="3"/>
      <x:c r="L28" s="20"/>
      <x:c r="M28" s="3"/>
      <x:c r="N28" s="19" t="str">
        <x:f>IF(A28="","",IF(COUNTIFS('Reviews'!$A$7:$A$306,A28)&lt;&gt;1,"Duplicate ID",IF(COUNTIFS('Cases overview'!$A$7:$A$306,B28)&lt;&gt;1,"Invalid case ref",IF(COUNTIFS('Plan versions'!$A$7:$A$306,C28,'Plan versions'!$B$7:$B$306,B28,'Plan versions'!$L$7:$L$306,"Frozen")&lt;&gt;1,"Invalid plan ref",IF(OR(NOT(ISNUMBER(D28)),NOT(ISNUMBER(E28)),F28="",G28="",H28="",M28=""),"Review info missing",IF(COUNTIFS('Update log'!$A$7:$A$306,J28,'Update log'!$B$7:$B$306,B28,'Update log'!$C$7:$C$306,A28)&lt;&gt;1,"Update not registered","Valid input"))))))</x:f>
      </x:c>
    </x:row>
    <x:row r="29" ht="25" customHeight="1">
      <x:c r="A29" s="3"/>
      <x:c r="B29" s="3"/>
      <x:c r="C29" s="3"/>
      <x:c r="D29" s="25"/>
      <x:c r="E29" s="25"/>
      <x:c r="F29" s="3"/>
      <x:c r="G29" s="3"/>
      <x:c r="H29" s="3"/>
      <x:c r="I29" s="3"/>
      <x:c r="J29" s="3"/>
      <x:c r="K29" s="3"/>
      <x:c r="L29" s="20"/>
      <x:c r="M29" s="3"/>
      <x:c r="N29" s="19" t="str">
        <x:f>IF(A29="","",IF(COUNTIFS('Reviews'!$A$7:$A$306,A29)&lt;&gt;1,"Duplicate ID",IF(COUNTIFS('Cases overview'!$A$7:$A$306,B29)&lt;&gt;1,"Invalid case ref",IF(COUNTIFS('Plan versions'!$A$7:$A$306,C29,'Plan versions'!$B$7:$B$306,B29,'Plan versions'!$L$7:$L$306,"Frozen")&lt;&gt;1,"Invalid plan ref",IF(OR(NOT(ISNUMBER(D29)),NOT(ISNUMBER(E29)),F29="",G29="",H29="",M29=""),"Review info missing",IF(COUNTIFS('Update log'!$A$7:$A$306,J29,'Update log'!$B$7:$B$306,B29,'Update log'!$C$7:$C$306,A29)&lt;&gt;1,"Update not registered","Valid input"))))))</x:f>
      </x:c>
    </x:row>
    <x:row r="30" ht="25" customHeight="1">
      <x:c r="A30" s="3"/>
      <x:c r="B30" s="3"/>
      <x:c r="C30" s="3"/>
      <x:c r="D30" s="25"/>
      <x:c r="E30" s="25"/>
      <x:c r="F30" s="3"/>
      <x:c r="G30" s="3"/>
      <x:c r="H30" s="3"/>
      <x:c r="I30" s="3"/>
      <x:c r="J30" s="3"/>
      <x:c r="K30" s="3"/>
      <x:c r="L30" s="20"/>
      <x:c r="M30" s="3"/>
      <x:c r="N30" s="19" t="str">
        <x:f>IF(A30="","",IF(COUNTIFS('Reviews'!$A$7:$A$306,A30)&lt;&gt;1,"Duplicate ID",IF(COUNTIFS('Cases overview'!$A$7:$A$306,B30)&lt;&gt;1,"Invalid case ref",IF(COUNTIFS('Plan versions'!$A$7:$A$306,C30,'Plan versions'!$B$7:$B$306,B30,'Plan versions'!$L$7:$L$306,"Frozen")&lt;&gt;1,"Invalid plan ref",IF(OR(NOT(ISNUMBER(D30)),NOT(ISNUMBER(E30)),F30="",G30="",H30="",M30=""),"Review info missing",IF(COUNTIFS('Update log'!$A$7:$A$306,J30,'Update log'!$B$7:$B$306,B30,'Update log'!$C$7:$C$306,A30)&lt;&gt;1,"Update not registered","Valid input"))))))</x:f>
      </x:c>
    </x:row>
    <x:row r="31" ht="25" customHeight="1">
      <x:c r="A31" s="3"/>
      <x:c r="B31" s="3"/>
      <x:c r="C31" s="3"/>
      <x:c r="D31" s="25"/>
      <x:c r="E31" s="25"/>
      <x:c r="F31" s="3"/>
      <x:c r="G31" s="3"/>
      <x:c r="H31" s="3"/>
      <x:c r="I31" s="3"/>
      <x:c r="J31" s="3"/>
      <x:c r="K31" s="3"/>
      <x:c r="L31" s="20"/>
      <x:c r="M31" s="3"/>
      <x:c r="N31" s="19" t="str">
        <x:f>IF(A31="","",IF(COUNTIFS('Reviews'!$A$7:$A$306,A31)&lt;&gt;1,"Duplicate ID",IF(COUNTIFS('Cases overview'!$A$7:$A$306,B31)&lt;&gt;1,"Invalid case ref",IF(COUNTIFS('Plan versions'!$A$7:$A$306,C31,'Plan versions'!$B$7:$B$306,B31,'Plan versions'!$L$7:$L$306,"Frozen")&lt;&gt;1,"Invalid plan ref",IF(OR(NOT(ISNUMBER(D31)),NOT(ISNUMBER(E31)),F31="",G31="",H31="",M31=""),"Review info missing",IF(COUNTIFS('Update log'!$A$7:$A$306,J31,'Update log'!$B$7:$B$306,B31,'Update log'!$C$7:$C$306,A31)&lt;&gt;1,"Update not registered","Valid input"))))))</x:f>
      </x:c>
    </x:row>
    <x:row r="32" ht="25" customHeight="1">
      <x:c r="A32" s="3"/>
      <x:c r="B32" s="3"/>
      <x:c r="C32" s="3"/>
      <x:c r="D32" s="25"/>
      <x:c r="E32" s="25"/>
      <x:c r="F32" s="3"/>
      <x:c r="G32" s="3"/>
      <x:c r="H32" s="3"/>
      <x:c r="I32" s="3"/>
      <x:c r="J32" s="3"/>
      <x:c r="K32" s="3"/>
      <x:c r="L32" s="20"/>
      <x:c r="M32" s="3"/>
      <x:c r="N32" s="19" t="str">
        <x:f>IF(A32="","",IF(COUNTIFS('Reviews'!$A$7:$A$306,A32)&lt;&gt;1,"Duplicate ID",IF(COUNTIFS('Cases overview'!$A$7:$A$306,B32)&lt;&gt;1,"Invalid case ref",IF(COUNTIFS('Plan versions'!$A$7:$A$306,C32,'Plan versions'!$B$7:$B$306,B32,'Plan versions'!$L$7:$L$306,"Frozen")&lt;&gt;1,"Invalid plan ref",IF(OR(NOT(ISNUMBER(D32)),NOT(ISNUMBER(E32)),F32="",G32="",H32="",M32=""),"Review info missing",IF(COUNTIFS('Update log'!$A$7:$A$306,J32,'Update log'!$B$7:$B$306,B32,'Update log'!$C$7:$C$306,A32)&lt;&gt;1,"Update not registered","Valid input"))))))</x:f>
      </x:c>
    </x:row>
    <x:row r="33" ht="25" customHeight="1">
      <x:c r="A33" s="3"/>
      <x:c r="B33" s="3"/>
      <x:c r="C33" s="3"/>
      <x:c r="D33" s="25"/>
      <x:c r="E33" s="25"/>
      <x:c r="F33" s="3"/>
      <x:c r="G33" s="3"/>
      <x:c r="H33" s="3"/>
      <x:c r="I33" s="3"/>
      <x:c r="J33" s="3"/>
      <x:c r="K33" s="3"/>
      <x:c r="L33" s="20"/>
      <x:c r="M33" s="3"/>
      <x:c r="N33" s="19" t="str">
        <x:f>IF(A33="","",IF(COUNTIFS('Reviews'!$A$7:$A$306,A33)&lt;&gt;1,"Duplicate ID",IF(COUNTIFS('Cases overview'!$A$7:$A$306,B33)&lt;&gt;1,"Invalid case ref",IF(COUNTIFS('Plan versions'!$A$7:$A$306,C33,'Plan versions'!$B$7:$B$306,B33,'Plan versions'!$L$7:$L$306,"Frozen")&lt;&gt;1,"Invalid plan ref",IF(OR(NOT(ISNUMBER(D33)),NOT(ISNUMBER(E33)),F33="",G33="",H33="",M33=""),"Review info missing",IF(COUNTIFS('Update log'!$A$7:$A$306,J33,'Update log'!$B$7:$B$306,B33,'Update log'!$C$7:$C$306,A33)&lt;&gt;1,"Update not registered","Valid input"))))))</x:f>
      </x:c>
    </x:row>
    <x:row r="34" ht="25" customHeight="1">
      <x:c r="A34" s="3"/>
      <x:c r="B34" s="3"/>
      <x:c r="C34" s="3"/>
      <x:c r="D34" s="25"/>
      <x:c r="E34" s="25"/>
      <x:c r="F34" s="3"/>
      <x:c r="G34" s="3"/>
      <x:c r="H34" s="3"/>
      <x:c r="I34" s="3"/>
      <x:c r="J34" s="3"/>
      <x:c r="K34" s="3"/>
      <x:c r="L34" s="20"/>
      <x:c r="M34" s="3"/>
      <x:c r="N34" s="19" t="str">
        <x:f>IF(A34="","",IF(COUNTIFS('Reviews'!$A$7:$A$306,A34)&lt;&gt;1,"Duplicate ID",IF(COUNTIFS('Cases overview'!$A$7:$A$306,B34)&lt;&gt;1,"Invalid case ref",IF(COUNTIFS('Plan versions'!$A$7:$A$306,C34,'Plan versions'!$B$7:$B$306,B34,'Plan versions'!$L$7:$L$306,"Frozen")&lt;&gt;1,"Invalid plan ref",IF(OR(NOT(ISNUMBER(D34)),NOT(ISNUMBER(E34)),F34="",G34="",H34="",M34=""),"Review info missing",IF(COUNTIFS('Update log'!$A$7:$A$306,J34,'Update log'!$B$7:$B$306,B34,'Update log'!$C$7:$C$306,A34)&lt;&gt;1,"Update not registered","Valid input"))))))</x:f>
      </x:c>
    </x:row>
    <x:row r="35" ht="25" customHeight="1">
      <x:c r="A35" s="3"/>
      <x:c r="B35" s="3"/>
      <x:c r="C35" s="3"/>
      <x:c r="D35" s="25"/>
      <x:c r="E35" s="25"/>
      <x:c r="F35" s="3"/>
      <x:c r="G35" s="3"/>
      <x:c r="H35" s="3"/>
      <x:c r="I35" s="3"/>
      <x:c r="J35" s="3"/>
      <x:c r="K35" s="3"/>
      <x:c r="L35" s="20"/>
      <x:c r="M35" s="3"/>
      <x:c r="N35" s="19" t="str">
        <x:f>IF(A35="","",IF(COUNTIFS('Reviews'!$A$7:$A$306,A35)&lt;&gt;1,"Duplicate ID",IF(COUNTIFS('Cases overview'!$A$7:$A$306,B35)&lt;&gt;1,"Invalid case ref",IF(COUNTIFS('Plan versions'!$A$7:$A$306,C35,'Plan versions'!$B$7:$B$306,B35,'Plan versions'!$L$7:$L$306,"Frozen")&lt;&gt;1,"Invalid plan ref",IF(OR(NOT(ISNUMBER(D35)),NOT(ISNUMBER(E35)),F35="",G35="",H35="",M35=""),"Review info missing",IF(COUNTIFS('Update log'!$A$7:$A$306,J35,'Update log'!$B$7:$B$306,B35,'Update log'!$C$7:$C$306,A35)&lt;&gt;1,"Update not registered","Valid input"))))))</x:f>
      </x:c>
    </x:row>
    <x:row r="36" ht="25" customHeight="1">
      <x:c r="A36" s="3"/>
      <x:c r="B36" s="3"/>
      <x:c r="C36" s="3"/>
      <x:c r="D36" s="25"/>
      <x:c r="E36" s="25"/>
      <x:c r="F36" s="3"/>
      <x:c r="G36" s="3"/>
      <x:c r="H36" s="3"/>
      <x:c r="I36" s="3"/>
      <x:c r="J36" s="3"/>
      <x:c r="K36" s="3"/>
      <x:c r="L36" s="20"/>
      <x:c r="M36" s="3"/>
      <x:c r="N36" s="19" t="str">
        <x:f>IF(A36="","",IF(COUNTIFS('Reviews'!$A$7:$A$306,A36)&lt;&gt;1,"Duplicate ID",IF(COUNTIFS('Cases overview'!$A$7:$A$306,B36)&lt;&gt;1,"Invalid case ref",IF(COUNTIFS('Plan versions'!$A$7:$A$306,C36,'Plan versions'!$B$7:$B$306,B36,'Plan versions'!$L$7:$L$306,"Frozen")&lt;&gt;1,"Invalid plan ref",IF(OR(NOT(ISNUMBER(D36)),NOT(ISNUMBER(E36)),F36="",G36="",H36="",M36=""),"Review info missing",IF(COUNTIFS('Update log'!$A$7:$A$306,J36,'Update log'!$B$7:$B$306,B36,'Update log'!$C$7:$C$306,A36)&lt;&gt;1,"Update not registered","Valid input"))))))</x:f>
      </x:c>
    </x:row>
    <x:row r="37" ht="25" customHeight="1">
      <x:c r="A37" s="3"/>
      <x:c r="B37" s="3"/>
      <x:c r="C37" s="3"/>
      <x:c r="D37" s="25"/>
      <x:c r="E37" s="25"/>
      <x:c r="F37" s="3"/>
      <x:c r="G37" s="3"/>
      <x:c r="H37" s="3"/>
      <x:c r="I37" s="3"/>
      <x:c r="J37" s="3"/>
      <x:c r="K37" s="3"/>
      <x:c r="L37" s="20"/>
      <x:c r="M37" s="3"/>
      <x:c r="N37" s="19" t="str">
        <x:f>IF(A37="","",IF(COUNTIFS('Reviews'!$A$7:$A$306,A37)&lt;&gt;1,"Duplicate ID",IF(COUNTIFS('Cases overview'!$A$7:$A$306,B37)&lt;&gt;1,"Invalid case ref",IF(COUNTIFS('Plan versions'!$A$7:$A$306,C37,'Plan versions'!$B$7:$B$306,B37,'Plan versions'!$L$7:$L$306,"Frozen")&lt;&gt;1,"Invalid plan ref",IF(OR(NOT(ISNUMBER(D37)),NOT(ISNUMBER(E37)),F37="",G37="",H37="",M37=""),"Review info missing",IF(COUNTIFS('Update log'!$A$7:$A$306,J37,'Update log'!$B$7:$B$306,B37,'Update log'!$C$7:$C$306,A37)&lt;&gt;1,"Update not registered","Valid input"))))))</x:f>
      </x:c>
    </x:row>
    <x:row r="38" ht="25" customHeight="1">
      <x:c r="A38" s="3"/>
      <x:c r="B38" s="3"/>
      <x:c r="C38" s="3"/>
      <x:c r="D38" s="25"/>
      <x:c r="E38" s="25"/>
      <x:c r="F38" s="3"/>
      <x:c r="G38" s="3"/>
      <x:c r="H38" s="3"/>
      <x:c r="I38" s="3"/>
      <x:c r="J38" s="3"/>
      <x:c r="K38" s="3"/>
      <x:c r="L38" s="20"/>
      <x:c r="M38" s="3"/>
      <x:c r="N38" s="19" t="str">
        <x:f>IF(A38="","",IF(COUNTIFS('Reviews'!$A$7:$A$306,A38)&lt;&gt;1,"Duplicate ID",IF(COUNTIFS('Cases overview'!$A$7:$A$306,B38)&lt;&gt;1,"Invalid case ref",IF(COUNTIFS('Plan versions'!$A$7:$A$306,C38,'Plan versions'!$B$7:$B$306,B38,'Plan versions'!$L$7:$L$306,"Frozen")&lt;&gt;1,"Invalid plan ref",IF(OR(NOT(ISNUMBER(D38)),NOT(ISNUMBER(E38)),F38="",G38="",H38="",M38=""),"Review info missing",IF(COUNTIFS('Update log'!$A$7:$A$306,J38,'Update log'!$B$7:$B$306,B38,'Update log'!$C$7:$C$306,A38)&lt;&gt;1,"Update not registered","Valid input"))))))</x:f>
      </x:c>
    </x:row>
    <x:row r="39" ht="25" customHeight="1">
      <x:c r="A39" s="3"/>
      <x:c r="B39" s="3"/>
      <x:c r="C39" s="3"/>
      <x:c r="D39" s="25"/>
      <x:c r="E39" s="25"/>
      <x:c r="F39" s="3"/>
      <x:c r="G39" s="3"/>
      <x:c r="H39" s="3"/>
      <x:c r="I39" s="3"/>
      <x:c r="J39" s="3"/>
      <x:c r="K39" s="3"/>
      <x:c r="L39" s="20"/>
      <x:c r="M39" s="3"/>
      <x:c r="N39" s="19" t="str">
        <x:f>IF(A39="","",IF(COUNTIFS('Reviews'!$A$7:$A$306,A39)&lt;&gt;1,"Duplicate ID",IF(COUNTIFS('Cases overview'!$A$7:$A$306,B39)&lt;&gt;1,"Invalid case ref",IF(COUNTIFS('Plan versions'!$A$7:$A$306,C39,'Plan versions'!$B$7:$B$306,B39,'Plan versions'!$L$7:$L$306,"Frozen")&lt;&gt;1,"Invalid plan ref",IF(OR(NOT(ISNUMBER(D39)),NOT(ISNUMBER(E39)),F39="",G39="",H39="",M39=""),"Review info missing",IF(COUNTIFS('Update log'!$A$7:$A$306,J39,'Update log'!$B$7:$B$306,B39,'Update log'!$C$7:$C$306,A39)&lt;&gt;1,"Update not registered","Valid input"))))))</x:f>
      </x:c>
    </x:row>
    <x:row r="40" ht="25" customHeight="1">
      <x:c r="A40" s="3"/>
      <x:c r="B40" s="3"/>
      <x:c r="C40" s="3"/>
      <x:c r="D40" s="25"/>
      <x:c r="E40" s="25"/>
      <x:c r="F40" s="3"/>
      <x:c r="G40" s="3"/>
      <x:c r="H40" s="3"/>
      <x:c r="I40" s="3"/>
      <x:c r="J40" s="3"/>
      <x:c r="K40" s="3"/>
      <x:c r="L40" s="20"/>
      <x:c r="M40" s="3"/>
      <x:c r="N40" s="19" t="str">
        <x:f>IF(A40="","",IF(COUNTIFS('Reviews'!$A$7:$A$306,A40)&lt;&gt;1,"Duplicate ID",IF(COUNTIFS('Cases overview'!$A$7:$A$306,B40)&lt;&gt;1,"Invalid case ref",IF(COUNTIFS('Plan versions'!$A$7:$A$306,C40,'Plan versions'!$B$7:$B$306,B40,'Plan versions'!$L$7:$L$306,"Frozen")&lt;&gt;1,"Invalid plan ref",IF(OR(NOT(ISNUMBER(D40)),NOT(ISNUMBER(E40)),F40="",G40="",H40="",M40=""),"Review info missing",IF(COUNTIFS('Update log'!$A$7:$A$306,J40,'Update log'!$B$7:$B$306,B40,'Update log'!$C$7:$C$306,A40)&lt;&gt;1,"Update not registered","Valid input"))))))</x:f>
      </x:c>
    </x:row>
    <x:row r="41" ht="25" customHeight="1">
      <x:c r="A41" s="3"/>
      <x:c r="B41" s="3"/>
      <x:c r="C41" s="3"/>
      <x:c r="D41" s="25"/>
      <x:c r="E41" s="25"/>
      <x:c r="F41" s="3"/>
      <x:c r="G41" s="3"/>
      <x:c r="H41" s="3"/>
      <x:c r="I41" s="3"/>
      <x:c r="J41" s="3"/>
      <x:c r="K41" s="3"/>
      <x:c r="L41" s="20"/>
      <x:c r="M41" s="3"/>
      <x:c r="N41" s="19" t="str">
        <x:f>IF(A41="","",IF(COUNTIFS('Reviews'!$A$7:$A$306,A41)&lt;&gt;1,"Duplicate ID",IF(COUNTIFS('Cases overview'!$A$7:$A$306,B41)&lt;&gt;1,"Invalid case ref",IF(COUNTIFS('Plan versions'!$A$7:$A$306,C41,'Plan versions'!$B$7:$B$306,B41,'Plan versions'!$L$7:$L$306,"Frozen")&lt;&gt;1,"Invalid plan ref",IF(OR(NOT(ISNUMBER(D41)),NOT(ISNUMBER(E41)),F41="",G41="",H41="",M41=""),"Review info missing",IF(COUNTIFS('Update log'!$A$7:$A$306,J41,'Update log'!$B$7:$B$306,B41,'Update log'!$C$7:$C$306,A41)&lt;&gt;1,"Update not registered","Valid input"))))))</x:f>
      </x:c>
    </x:row>
    <x:row r="42" ht="25" customHeight="1">
      <x:c r="A42" s="3"/>
      <x:c r="B42" s="3"/>
      <x:c r="C42" s="3"/>
      <x:c r="D42" s="25"/>
      <x:c r="E42" s="25"/>
      <x:c r="F42" s="3"/>
      <x:c r="G42" s="3"/>
      <x:c r="H42" s="3"/>
      <x:c r="I42" s="3"/>
      <x:c r="J42" s="3"/>
      <x:c r="K42" s="3"/>
      <x:c r="L42" s="20"/>
      <x:c r="M42" s="3"/>
      <x:c r="N42" s="19" t="str">
        <x:f>IF(A42="","",IF(COUNTIFS('Reviews'!$A$7:$A$306,A42)&lt;&gt;1,"Duplicate ID",IF(COUNTIFS('Cases overview'!$A$7:$A$306,B42)&lt;&gt;1,"Invalid case ref",IF(COUNTIFS('Plan versions'!$A$7:$A$306,C42,'Plan versions'!$B$7:$B$306,B42,'Plan versions'!$L$7:$L$306,"Frozen")&lt;&gt;1,"Invalid plan ref",IF(OR(NOT(ISNUMBER(D42)),NOT(ISNUMBER(E42)),F42="",G42="",H42="",M42=""),"Review info missing",IF(COUNTIFS('Update log'!$A$7:$A$306,J42,'Update log'!$B$7:$B$306,B42,'Update log'!$C$7:$C$306,A42)&lt;&gt;1,"Update not registered","Valid input"))))))</x:f>
      </x:c>
    </x:row>
    <x:row r="43" ht="25" customHeight="1">
      <x:c r="A43" s="3"/>
      <x:c r="B43" s="3"/>
      <x:c r="C43" s="3"/>
      <x:c r="D43" s="25"/>
      <x:c r="E43" s="25"/>
      <x:c r="F43" s="3"/>
      <x:c r="G43" s="3"/>
      <x:c r="H43" s="3"/>
      <x:c r="I43" s="3"/>
      <x:c r="J43" s="3"/>
      <x:c r="K43" s="3"/>
      <x:c r="L43" s="20"/>
      <x:c r="M43" s="3"/>
      <x:c r="N43" s="19" t="str">
        <x:f>IF(A43="","",IF(COUNTIFS('Reviews'!$A$7:$A$306,A43)&lt;&gt;1,"Duplicate ID",IF(COUNTIFS('Cases overview'!$A$7:$A$306,B43)&lt;&gt;1,"Invalid case ref",IF(COUNTIFS('Plan versions'!$A$7:$A$306,C43,'Plan versions'!$B$7:$B$306,B43,'Plan versions'!$L$7:$L$306,"Frozen")&lt;&gt;1,"Invalid plan ref",IF(OR(NOT(ISNUMBER(D43)),NOT(ISNUMBER(E43)),F43="",G43="",H43="",M43=""),"Review info missing",IF(COUNTIFS('Update log'!$A$7:$A$306,J43,'Update log'!$B$7:$B$306,B43,'Update log'!$C$7:$C$306,A43)&lt;&gt;1,"Update not registered","Valid input"))))))</x:f>
      </x:c>
    </x:row>
    <x:row r="44" ht="25" customHeight="1">
      <x:c r="A44" s="3"/>
      <x:c r="B44" s="3"/>
      <x:c r="C44" s="3"/>
      <x:c r="D44" s="25"/>
      <x:c r="E44" s="25"/>
      <x:c r="F44" s="3"/>
      <x:c r="G44" s="3"/>
      <x:c r="H44" s="3"/>
      <x:c r="I44" s="3"/>
      <x:c r="J44" s="3"/>
      <x:c r="K44" s="3"/>
      <x:c r="L44" s="20"/>
      <x:c r="M44" s="3"/>
      <x:c r="N44" s="19" t="str">
        <x:f>IF(A44="","",IF(COUNTIFS('Reviews'!$A$7:$A$306,A44)&lt;&gt;1,"Duplicate ID",IF(COUNTIFS('Cases overview'!$A$7:$A$306,B44)&lt;&gt;1,"Invalid case ref",IF(COUNTIFS('Plan versions'!$A$7:$A$306,C44,'Plan versions'!$B$7:$B$306,B44,'Plan versions'!$L$7:$L$306,"Frozen")&lt;&gt;1,"Invalid plan ref",IF(OR(NOT(ISNUMBER(D44)),NOT(ISNUMBER(E44)),F44="",G44="",H44="",M44=""),"Review info missing",IF(COUNTIFS('Update log'!$A$7:$A$306,J44,'Update log'!$B$7:$B$306,B44,'Update log'!$C$7:$C$306,A44)&lt;&gt;1,"Update not registered","Valid input"))))))</x:f>
      </x:c>
    </x:row>
    <x:row r="45" ht="25" customHeight="1">
      <x:c r="A45" s="3"/>
      <x:c r="B45" s="3"/>
      <x:c r="C45" s="3"/>
      <x:c r="D45" s="25"/>
      <x:c r="E45" s="25"/>
      <x:c r="F45" s="3"/>
      <x:c r="G45" s="3"/>
      <x:c r="H45" s="3"/>
      <x:c r="I45" s="3"/>
      <x:c r="J45" s="3"/>
      <x:c r="K45" s="3"/>
      <x:c r="L45" s="20"/>
      <x:c r="M45" s="3"/>
      <x:c r="N45" s="19" t="str">
        <x:f>IF(A45="","",IF(COUNTIFS('Reviews'!$A$7:$A$306,A45)&lt;&gt;1,"Duplicate ID",IF(COUNTIFS('Cases overview'!$A$7:$A$306,B45)&lt;&gt;1,"Invalid case ref",IF(COUNTIFS('Plan versions'!$A$7:$A$306,C45,'Plan versions'!$B$7:$B$306,B45,'Plan versions'!$L$7:$L$306,"Frozen")&lt;&gt;1,"Invalid plan ref",IF(OR(NOT(ISNUMBER(D45)),NOT(ISNUMBER(E45)),F45="",G45="",H45="",M45=""),"Review info missing",IF(COUNTIFS('Update log'!$A$7:$A$306,J45,'Update log'!$B$7:$B$306,B45,'Update log'!$C$7:$C$306,A45)&lt;&gt;1,"Update not registered","Valid input"))))))</x:f>
      </x:c>
    </x:row>
    <x:row r="46" ht="25" customHeight="1">
      <x:c r="A46" s="3"/>
      <x:c r="B46" s="3"/>
      <x:c r="C46" s="3"/>
      <x:c r="D46" s="25"/>
      <x:c r="E46" s="25"/>
      <x:c r="F46" s="3"/>
      <x:c r="G46" s="3"/>
      <x:c r="H46" s="3"/>
      <x:c r="I46" s="3"/>
      <x:c r="J46" s="3"/>
      <x:c r="K46" s="3"/>
      <x:c r="L46" s="20"/>
      <x:c r="M46" s="3"/>
      <x:c r="N46" s="19" t="str">
        <x:f>IF(A46="","",IF(COUNTIFS('Reviews'!$A$7:$A$306,A46)&lt;&gt;1,"Duplicate ID",IF(COUNTIFS('Cases overview'!$A$7:$A$306,B46)&lt;&gt;1,"Invalid case ref",IF(COUNTIFS('Plan versions'!$A$7:$A$306,C46,'Plan versions'!$B$7:$B$306,B46,'Plan versions'!$L$7:$L$306,"Frozen")&lt;&gt;1,"Invalid plan ref",IF(OR(NOT(ISNUMBER(D46)),NOT(ISNUMBER(E46)),F46="",G46="",H46="",M46=""),"Review info missing",IF(COUNTIFS('Update log'!$A$7:$A$306,J46,'Update log'!$B$7:$B$306,B46,'Update log'!$C$7:$C$306,A46)&lt;&gt;1,"Update not registered","Valid input"))))))</x:f>
      </x:c>
    </x:row>
    <x:row r="47" ht="25" customHeight="1">
      <x:c r="A47" s="3"/>
      <x:c r="B47" s="3"/>
      <x:c r="C47" s="3"/>
      <x:c r="D47" s="25"/>
      <x:c r="E47" s="25"/>
      <x:c r="F47" s="3"/>
      <x:c r="G47" s="3"/>
      <x:c r="H47" s="3"/>
      <x:c r="I47" s="3"/>
      <x:c r="J47" s="3"/>
      <x:c r="K47" s="3"/>
      <x:c r="L47" s="20"/>
      <x:c r="M47" s="3"/>
      <x:c r="N47" s="19" t="str">
        <x:f>IF(A47="","",IF(COUNTIFS('Reviews'!$A$7:$A$306,A47)&lt;&gt;1,"Duplicate ID",IF(COUNTIFS('Cases overview'!$A$7:$A$306,B47)&lt;&gt;1,"Invalid case ref",IF(COUNTIFS('Plan versions'!$A$7:$A$306,C47,'Plan versions'!$B$7:$B$306,B47,'Plan versions'!$L$7:$L$306,"Frozen")&lt;&gt;1,"Invalid plan ref",IF(OR(NOT(ISNUMBER(D47)),NOT(ISNUMBER(E47)),F47="",G47="",H47="",M47=""),"Review info missing",IF(COUNTIFS('Update log'!$A$7:$A$306,J47,'Update log'!$B$7:$B$306,B47,'Update log'!$C$7:$C$306,A47)&lt;&gt;1,"Update not registered","Valid input"))))))</x:f>
      </x:c>
    </x:row>
    <x:row r="48" ht="25" customHeight="1">
      <x:c r="A48" s="3"/>
      <x:c r="B48" s="3"/>
      <x:c r="C48" s="3"/>
      <x:c r="D48" s="25"/>
      <x:c r="E48" s="25"/>
      <x:c r="F48" s="3"/>
      <x:c r="G48" s="3"/>
      <x:c r="H48" s="3"/>
      <x:c r="I48" s="3"/>
      <x:c r="J48" s="3"/>
      <x:c r="K48" s="3"/>
      <x:c r="L48" s="20"/>
      <x:c r="M48" s="3"/>
      <x:c r="N48" s="19" t="str">
        <x:f>IF(A48="","",IF(COUNTIFS('Reviews'!$A$7:$A$306,A48)&lt;&gt;1,"Duplicate ID",IF(COUNTIFS('Cases overview'!$A$7:$A$306,B48)&lt;&gt;1,"Invalid case ref",IF(COUNTIFS('Plan versions'!$A$7:$A$306,C48,'Plan versions'!$B$7:$B$306,B48,'Plan versions'!$L$7:$L$306,"Frozen")&lt;&gt;1,"Invalid plan ref",IF(OR(NOT(ISNUMBER(D48)),NOT(ISNUMBER(E48)),F48="",G48="",H48="",M48=""),"Review info missing",IF(COUNTIFS('Update log'!$A$7:$A$306,J48,'Update log'!$B$7:$B$306,B48,'Update log'!$C$7:$C$306,A48)&lt;&gt;1,"Update not registered","Valid input"))))))</x:f>
      </x:c>
    </x:row>
    <x:row r="49" ht="25" customHeight="1">
      <x:c r="A49" s="3"/>
      <x:c r="B49" s="3"/>
      <x:c r="C49" s="3"/>
      <x:c r="D49" s="25"/>
      <x:c r="E49" s="25"/>
      <x:c r="F49" s="3"/>
      <x:c r="G49" s="3"/>
      <x:c r="H49" s="3"/>
      <x:c r="I49" s="3"/>
      <x:c r="J49" s="3"/>
      <x:c r="K49" s="3"/>
      <x:c r="L49" s="20"/>
      <x:c r="M49" s="3"/>
      <x:c r="N49" s="19" t="str">
        <x:f>IF(A49="","",IF(COUNTIFS('Reviews'!$A$7:$A$306,A49)&lt;&gt;1,"Duplicate ID",IF(COUNTIFS('Cases overview'!$A$7:$A$306,B49)&lt;&gt;1,"Invalid case ref",IF(COUNTIFS('Plan versions'!$A$7:$A$306,C49,'Plan versions'!$B$7:$B$306,B49,'Plan versions'!$L$7:$L$306,"Frozen")&lt;&gt;1,"Invalid plan ref",IF(OR(NOT(ISNUMBER(D49)),NOT(ISNUMBER(E49)),F49="",G49="",H49="",M49=""),"Review info missing",IF(COUNTIFS('Update log'!$A$7:$A$306,J49,'Update log'!$B$7:$B$306,B49,'Update log'!$C$7:$C$306,A49)&lt;&gt;1,"Update not registered","Valid input"))))))</x:f>
      </x:c>
    </x:row>
    <x:row r="50" ht="25" customHeight="1">
      <x:c r="A50" s="3"/>
      <x:c r="B50" s="3"/>
      <x:c r="C50" s="3"/>
      <x:c r="D50" s="25"/>
      <x:c r="E50" s="25"/>
      <x:c r="F50" s="3"/>
      <x:c r="G50" s="3"/>
      <x:c r="H50" s="3"/>
      <x:c r="I50" s="3"/>
      <x:c r="J50" s="3"/>
      <x:c r="K50" s="3"/>
      <x:c r="L50" s="20"/>
      <x:c r="M50" s="3"/>
      <x:c r="N50" s="19" t="str">
        <x:f>IF(A50="","",IF(COUNTIFS('Reviews'!$A$7:$A$306,A50)&lt;&gt;1,"Duplicate ID",IF(COUNTIFS('Cases overview'!$A$7:$A$306,B50)&lt;&gt;1,"Invalid case ref",IF(COUNTIFS('Plan versions'!$A$7:$A$306,C50,'Plan versions'!$B$7:$B$306,B50,'Plan versions'!$L$7:$L$306,"Frozen")&lt;&gt;1,"Invalid plan ref",IF(OR(NOT(ISNUMBER(D50)),NOT(ISNUMBER(E50)),F50="",G50="",H50="",M50=""),"Review info missing",IF(COUNTIFS('Update log'!$A$7:$A$306,J50,'Update log'!$B$7:$B$306,B50,'Update log'!$C$7:$C$306,A50)&lt;&gt;1,"Update not registered","Valid input"))))))</x:f>
      </x:c>
    </x:row>
    <x:row r="51" ht="25" customHeight="1">
      <x:c r="A51" s="3"/>
      <x:c r="B51" s="3"/>
      <x:c r="C51" s="3"/>
      <x:c r="D51" s="25"/>
      <x:c r="E51" s="25"/>
      <x:c r="F51" s="3"/>
      <x:c r="G51" s="3"/>
      <x:c r="H51" s="3"/>
      <x:c r="I51" s="3"/>
      <x:c r="J51" s="3"/>
      <x:c r="K51" s="3"/>
      <x:c r="L51" s="20"/>
      <x:c r="M51" s="3"/>
      <x:c r="N51" s="19" t="str">
        <x:f>IF(A51="","",IF(COUNTIFS('Reviews'!$A$7:$A$306,A51)&lt;&gt;1,"Duplicate ID",IF(COUNTIFS('Cases overview'!$A$7:$A$306,B51)&lt;&gt;1,"Invalid case ref",IF(COUNTIFS('Plan versions'!$A$7:$A$306,C51,'Plan versions'!$B$7:$B$306,B51,'Plan versions'!$L$7:$L$306,"Frozen")&lt;&gt;1,"Invalid plan ref",IF(OR(NOT(ISNUMBER(D51)),NOT(ISNUMBER(E51)),F51="",G51="",H51="",M51=""),"Review info missing",IF(COUNTIFS('Update log'!$A$7:$A$306,J51,'Update log'!$B$7:$B$306,B51,'Update log'!$C$7:$C$306,A51)&lt;&gt;1,"Update not registered","Valid input"))))))</x:f>
      </x:c>
    </x:row>
    <x:row r="52" ht="25" customHeight="1">
      <x:c r="A52" s="3"/>
      <x:c r="B52" s="3"/>
      <x:c r="C52" s="3"/>
      <x:c r="D52" s="25"/>
      <x:c r="E52" s="25"/>
      <x:c r="F52" s="3"/>
      <x:c r="G52" s="3"/>
      <x:c r="H52" s="3"/>
      <x:c r="I52" s="3"/>
      <x:c r="J52" s="3"/>
      <x:c r="K52" s="3"/>
      <x:c r="L52" s="20"/>
      <x:c r="M52" s="3"/>
      <x:c r="N52" s="19" t="str">
        <x:f>IF(A52="","",IF(COUNTIFS('Reviews'!$A$7:$A$306,A52)&lt;&gt;1,"Duplicate ID",IF(COUNTIFS('Cases overview'!$A$7:$A$306,B52)&lt;&gt;1,"Invalid case ref",IF(COUNTIFS('Plan versions'!$A$7:$A$306,C52,'Plan versions'!$B$7:$B$306,B52,'Plan versions'!$L$7:$L$306,"Frozen")&lt;&gt;1,"Invalid plan ref",IF(OR(NOT(ISNUMBER(D52)),NOT(ISNUMBER(E52)),F52="",G52="",H52="",M52=""),"Review info missing",IF(COUNTIFS('Update log'!$A$7:$A$306,J52,'Update log'!$B$7:$B$306,B52,'Update log'!$C$7:$C$306,A52)&lt;&gt;1,"Update not registered","Valid input"))))))</x:f>
      </x:c>
    </x:row>
    <x:row r="53" ht="25" customHeight="1">
      <x:c r="A53" s="3"/>
      <x:c r="B53" s="3"/>
      <x:c r="C53" s="3"/>
      <x:c r="D53" s="25"/>
      <x:c r="E53" s="25"/>
      <x:c r="F53" s="3"/>
      <x:c r="G53" s="3"/>
      <x:c r="H53" s="3"/>
      <x:c r="I53" s="3"/>
      <x:c r="J53" s="3"/>
      <x:c r="K53" s="3"/>
      <x:c r="L53" s="20"/>
      <x:c r="M53" s="3"/>
      <x:c r="N53" s="19" t="str">
        <x:f>IF(A53="","",IF(COUNTIFS('Reviews'!$A$7:$A$306,A53)&lt;&gt;1,"Duplicate ID",IF(COUNTIFS('Cases overview'!$A$7:$A$306,B53)&lt;&gt;1,"Invalid case ref",IF(COUNTIFS('Plan versions'!$A$7:$A$306,C53,'Plan versions'!$B$7:$B$306,B53,'Plan versions'!$L$7:$L$306,"Frozen")&lt;&gt;1,"Invalid plan ref",IF(OR(NOT(ISNUMBER(D53)),NOT(ISNUMBER(E53)),F53="",G53="",H53="",M53=""),"Review info missing",IF(COUNTIFS('Update log'!$A$7:$A$306,J53,'Update log'!$B$7:$B$306,B53,'Update log'!$C$7:$C$306,A53)&lt;&gt;1,"Update not registered","Valid input"))))))</x:f>
      </x:c>
    </x:row>
    <x:row r="54" ht="25" customHeight="1">
      <x:c r="A54" s="3"/>
      <x:c r="B54" s="3"/>
      <x:c r="C54" s="3"/>
      <x:c r="D54" s="25"/>
      <x:c r="E54" s="25"/>
      <x:c r="F54" s="3"/>
      <x:c r="G54" s="3"/>
      <x:c r="H54" s="3"/>
      <x:c r="I54" s="3"/>
      <x:c r="J54" s="3"/>
      <x:c r="K54" s="3"/>
      <x:c r="L54" s="20"/>
      <x:c r="M54" s="3"/>
      <x:c r="N54" s="19" t="str">
        <x:f>IF(A54="","",IF(COUNTIFS('Reviews'!$A$7:$A$306,A54)&lt;&gt;1,"Duplicate ID",IF(COUNTIFS('Cases overview'!$A$7:$A$306,B54)&lt;&gt;1,"Invalid case ref",IF(COUNTIFS('Plan versions'!$A$7:$A$306,C54,'Plan versions'!$B$7:$B$306,B54,'Plan versions'!$L$7:$L$306,"Frozen")&lt;&gt;1,"Invalid plan ref",IF(OR(NOT(ISNUMBER(D54)),NOT(ISNUMBER(E54)),F54="",G54="",H54="",M54=""),"Review info missing",IF(COUNTIFS('Update log'!$A$7:$A$306,J54,'Update log'!$B$7:$B$306,B54,'Update log'!$C$7:$C$306,A54)&lt;&gt;1,"Update not registered","Valid input"))))))</x:f>
      </x:c>
    </x:row>
    <x:row r="55" ht="25" customHeight="1">
      <x:c r="A55" s="3"/>
      <x:c r="B55" s="3"/>
      <x:c r="C55" s="3"/>
      <x:c r="D55" s="25"/>
      <x:c r="E55" s="25"/>
      <x:c r="F55" s="3"/>
      <x:c r="G55" s="3"/>
      <x:c r="H55" s="3"/>
      <x:c r="I55" s="3"/>
      <x:c r="J55" s="3"/>
      <x:c r="K55" s="3"/>
      <x:c r="L55" s="20"/>
      <x:c r="M55" s="3"/>
      <x:c r="N55" s="19" t="str">
        <x:f>IF(A55="","",IF(COUNTIFS('Reviews'!$A$7:$A$306,A55)&lt;&gt;1,"Duplicate ID",IF(COUNTIFS('Cases overview'!$A$7:$A$306,B55)&lt;&gt;1,"Invalid case ref",IF(COUNTIFS('Plan versions'!$A$7:$A$306,C55,'Plan versions'!$B$7:$B$306,B55,'Plan versions'!$L$7:$L$306,"Frozen")&lt;&gt;1,"Invalid plan ref",IF(OR(NOT(ISNUMBER(D55)),NOT(ISNUMBER(E55)),F55="",G55="",H55="",M55=""),"Review info missing",IF(COUNTIFS('Update log'!$A$7:$A$306,J55,'Update log'!$B$7:$B$306,B55,'Update log'!$C$7:$C$306,A55)&lt;&gt;1,"Update not registered","Valid input"))))))</x:f>
      </x:c>
    </x:row>
    <x:row r="56" ht="25" customHeight="1">
      <x:c r="A56" s="3"/>
      <x:c r="B56" s="3"/>
      <x:c r="C56" s="3"/>
      <x:c r="D56" s="25"/>
      <x:c r="E56" s="25"/>
      <x:c r="F56" s="3"/>
      <x:c r="G56" s="3"/>
      <x:c r="H56" s="3"/>
      <x:c r="I56" s="3"/>
      <x:c r="J56" s="3"/>
      <x:c r="K56" s="3"/>
      <x:c r="L56" s="20"/>
      <x:c r="M56" s="3"/>
      <x:c r="N56" s="19" t="str">
        <x:f>IF(A56="","",IF(COUNTIFS('Reviews'!$A$7:$A$306,A56)&lt;&gt;1,"Duplicate ID",IF(COUNTIFS('Cases overview'!$A$7:$A$306,B56)&lt;&gt;1,"Invalid case ref",IF(COUNTIFS('Plan versions'!$A$7:$A$306,C56,'Plan versions'!$B$7:$B$306,B56,'Plan versions'!$L$7:$L$306,"Frozen")&lt;&gt;1,"Invalid plan ref",IF(OR(NOT(ISNUMBER(D56)),NOT(ISNUMBER(E56)),F56="",G56="",H56="",M56=""),"Review info missing",IF(COUNTIFS('Update log'!$A$7:$A$306,J56,'Update log'!$B$7:$B$306,B56,'Update log'!$C$7:$C$306,A56)&lt;&gt;1,"Update not registered","Valid input"))))))</x:f>
      </x:c>
    </x:row>
    <x:row r="57" ht="25" customHeight="1">
      <x:c r="A57" s="3"/>
      <x:c r="B57" s="3"/>
      <x:c r="C57" s="3"/>
      <x:c r="D57" s="25"/>
      <x:c r="E57" s="25"/>
      <x:c r="F57" s="3"/>
      <x:c r="G57" s="3"/>
      <x:c r="H57" s="3"/>
      <x:c r="I57" s="3"/>
      <x:c r="J57" s="3"/>
      <x:c r="K57" s="3"/>
      <x:c r="L57" s="20"/>
      <x:c r="M57" s="3"/>
      <x:c r="N57" s="19" t="str">
        <x:f>IF(A57="","",IF(COUNTIFS('Reviews'!$A$7:$A$306,A57)&lt;&gt;1,"Duplicate ID",IF(COUNTIFS('Cases overview'!$A$7:$A$306,B57)&lt;&gt;1,"Invalid case ref",IF(COUNTIFS('Plan versions'!$A$7:$A$306,C57,'Plan versions'!$B$7:$B$306,B57,'Plan versions'!$L$7:$L$306,"Frozen")&lt;&gt;1,"Invalid plan ref",IF(OR(NOT(ISNUMBER(D57)),NOT(ISNUMBER(E57)),F57="",G57="",H57="",M57=""),"Review info missing",IF(COUNTIFS('Update log'!$A$7:$A$306,J57,'Update log'!$B$7:$B$306,B57,'Update log'!$C$7:$C$306,A57)&lt;&gt;1,"Update not registered","Valid input"))))))</x:f>
      </x:c>
    </x:row>
    <x:row r="58" ht="25" customHeight="1">
      <x:c r="A58" s="3"/>
      <x:c r="B58" s="3"/>
      <x:c r="C58" s="3"/>
      <x:c r="D58" s="25"/>
      <x:c r="E58" s="25"/>
      <x:c r="F58" s="3"/>
      <x:c r="G58" s="3"/>
      <x:c r="H58" s="3"/>
      <x:c r="I58" s="3"/>
      <x:c r="J58" s="3"/>
      <x:c r="K58" s="3"/>
      <x:c r="L58" s="20"/>
      <x:c r="M58" s="3"/>
      <x:c r="N58" s="19" t="str">
        <x:f>IF(A58="","",IF(COUNTIFS('Reviews'!$A$7:$A$306,A58)&lt;&gt;1,"Duplicate ID",IF(COUNTIFS('Cases overview'!$A$7:$A$306,B58)&lt;&gt;1,"Invalid case ref",IF(COUNTIFS('Plan versions'!$A$7:$A$306,C58,'Plan versions'!$B$7:$B$306,B58,'Plan versions'!$L$7:$L$306,"Frozen")&lt;&gt;1,"Invalid plan ref",IF(OR(NOT(ISNUMBER(D58)),NOT(ISNUMBER(E58)),F58="",G58="",H58="",M58=""),"Review info missing",IF(COUNTIFS('Update log'!$A$7:$A$306,J58,'Update log'!$B$7:$B$306,B58,'Update log'!$C$7:$C$306,A58)&lt;&gt;1,"Update not registered","Valid input"))))))</x:f>
      </x:c>
    </x:row>
    <x:row r="59" ht="25" customHeight="1">
      <x:c r="A59" s="3"/>
      <x:c r="B59" s="3"/>
      <x:c r="C59" s="3"/>
      <x:c r="D59" s="25"/>
      <x:c r="E59" s="25"/>
      <x:c r="F59" s="3"/>
      <x:c r="G59" s="3"/>
      <x:c r="H59" s="3"/>
      <x:c r="I59" s="3"/>
      <x:c r="J59" s="3"/>
      <x:c r="K59" s="3"/>
      <x:c r="L59" s="20"/>
      <x:c r="M59" s="3"/>
      <x:c r="N59" s="19" t="str">
        <x:f>IF(A59="","",IF(COUNTIFS('Reviews'!$A$7:$A$306,A59)&lt;&gt;1,"Duplicate ID",IF(COUNTIFS('Cases overview'!$A$7:$A$306,B59)&lt;&gt;1,"Invalid case ref",IF(COUNTIFS('Plan versions'!$A$7:$A$306,C59,'Plan versions'!$B$7:$B$306,B59,'Plan versions'!$L$7:$L$306,"Frozen")&lt;&gt;1,"Invalid plan ref",IF(OR(NOT(ISNUMBER(D59)),NOT(ISNUMBER(E59)),F59="",G59="",H59="",M59=""),"Review info missing",IF(COUNTIFS('Update log'!$A$7:$A$306,J59,'Update log'!$B$7:$B$306,B59,'Update log'!$C$7:$C$306,A59)&lt;&gt;1,"Update not registered","Valid input"))))))</x:f>
      </x:c>
    </x:row>
    <x:row r="60" ht="25" customHeight="1">
      <x:c r="A60" s="3"/>
      <x:c r="B60" s="3"/>
      <x:c r="C60" s="3"/>
      <x:c r="D60" s="25"/>
      <x:c r="E60" s="25"/>
      <x:c r="F60" s="3"/>
      <x:c r="G60" s="3"/>
      <x:c r="H60" s="3"/>
      <x:c r="I60" s="3"/>
      <x:c r="J60" s="3"/>
      <x:c r="K60" s="3"/>
      <x:c r="L60" s="20"/>
      <x:c r="M60" s="3"/>
      <x:c r="N60" s="19" t="str">
        <x:f>IF(A60="","",IF(COUNTIFS('Reviews'!$A$7:$A$306,A60)&lt;&gt;1,"Duplicate ID",IF(COUNTIFS('Cases overview'!$A$7:$A$306,B60)&lt;&gt;1,"Invalid case ref",IF(COUNTIFS('Plan versions'!$A$7:$A$306,C60,'Plan versions'!$B$7:$B$306,B60,'Plan versions'!$L$7:$L$306,"Frozen")&lt;&gt;1,"Invalid plan ref",IF(OR(NOT(ISNUMBER(D60)),NOT(ISNUMBER(E60)),F60="",G60="",H60="",M60=""),"Review info missing",IF(COUNTIFS('Update log'!$A$7:$A$306,J60,'Update log'!$B$7:$B$306,B60,'Update log'!$C$7:$C$306,A60)&lt;&gt;1,"Update not registered","Valid input"))))))</x:f>
      </x:c>
    </x:row>
    <x:row r="61" ht="25" customHeight="1">
      <x:c r="A61" s="3"/>
      <x:c r="B61" s="3"/>
      <x:c r="C61" s="3"/>
      <x:c r="D61" s="25"/>
      <x:c r="E61" s="25"/>
      <x:c r="F61" s="3"/>
      <x:c r="G61" s="3"/>
      <x:c r="H61" s="3"/>
      <x:c r="I61" s="3"/>
      <x:c r="J61" s="3"/>
      <x:c r="K61" s="3"/>
      <x:c r="L61" s="20"/>
      <x:c r="M61" s="3"/>
      <x:c r="N61" s="19" t="str">
        <x:f>IF(A61="","",IF(COUNTIFS('Reviews'!$A$7:$A$306,A61)&lt;&gt;1,"Duplicate ID",IF(COUNTIFS('Cases overview'!$A$7:$A$306,B61)&lt;&gt;1,"Invalid case ref",IF(COUNTIFS('Plan versions'!$A$7:$A$306,C61,'Plan versions'!$B$7:$B$306,B61,'Plan versions'!$L$7:$L$306,"Frozen")&lt;&gt;1,"Invalid plan ref",IF(OR(NOT(ISNUMBER(D61)),NOT(ISNUMBER(E61)),F61="",G61="",H61="",M61=""),"Review info missing",IF(COUNTIFS('Update log'!$A$7:$A$306,J61,'Update log'!$B$7:$B$306,B61,'Update log'!$C$7:$C$306,A61)&lt;&gt;1,"Update not registered","Valid input"))))))</x:f>
      </x:c>
    </x:row>
    <x:row r="62" ht="25" customHeight="1">
      <x:c r="A62" s="3"/>
      <x:c r="B62" s="3"/>
      <x:c r="C62" s="3"/>
      <x:c r="D62" s="25"/>
      <x:c r="E62" s="25"/>
      <x:c r="F62" s="3"/>
      <x:c r="G62" s="3"/>
      <x:c r="H62" s="3"/>
      <x:c r="I62" s="3"/>
      <x:c r="J62" s="3"/>
      <x:c r="K62" s="3"/>
      <x:c r="L62" s="20"/>
      <x:c r="M62" s="3"/>
      <x:c r="N62" s="19" t="str">
        <x:f>IF(A62="","",IF(COUNTIFS('Reviews'!$A$7:$A$306,A62)&lt;&gt;1,"Duplicate ID",IF(COUNTIFS('Cases overview'!$A$7:$A$306,B62)&lt;&gt;1,"Invalid case ref",IF(COUNTIFS('Plan versions'!$A$7:$A$306,C62,'Plan versions'!$B$7:$B$306,B62,'Plan versions'!$L$7:$L$306,"Frozen")&lt;&gt;1,"Invalid plan ref",IF(OR(NOT(ISNUMBER(D62)),NOT(ISNUMBER(E62)),F62="",G62="",H62="",M62=""),"Review info missing",IF(COUNTIFS('Update log'!$A$7:$A$306,J62,'Update log'!$B$7:$B$306,B62,'Update log'!$C$7:$C$306,A62)&lt;&gt;1,"Update not registered","Valid input"))))))</x:f>
      </x:c>
    </x:row>
    <x:row r="63" ht="25" customHeight="1">
      <x:c r="A63" s="3"/>
      <x:c r="B63" s="3"/>
      <x:c r="C63" s="3"/>
      <x:c r="D63" s="25"/>
      <x:c r="E63" s="25"/>
      <x:c r="F63" s="3"/>
      <x:c r="G63" s="3"/>
      <x:c r="H63" s="3"/>
      <x:c r="I63" s="3"/>
      <x:c r="J63" s="3"/>
      <x:c r="K63" s="3"/>
      <x:c r="L63" s="20"/>
      <x:c r="M63" s="3"/>
      <x:c r="N63" s="19" t="str">
        <x:f>IF(A63="","",IF(COUNTIFS('Reviews'!$A$7:$A$306,A63)&lt;&gt;1,"Duplicate ID",IF(COUNTIFS('Cases overview'!$A$7:$A$306,B63)&lt;&gt;1,"Invalid case ref",IF(COUNTIFS('Plan versions'!$A$7:$A$306,C63,'Plan versions'!$B$7:$B$306,B63,'Plan versions'!$L$7:$L$306,"Frozen")&lt;&gt;1,"Invalid plan ref",IF(OR(NOT(ISNUMBER(D63)),NOT(ISNUMBER(E63)),F63="",G63="",H63="",M63=""),"Review info missing",IF(COUNTIFS('Update log'!$A$7:$A$306,J63,'Update log'!$B$7:$B$306,B63,'Update log'!$C$7:$C$306,A63)&lt;&gt;1,"Update not registered","Valid input"))))))</x:f>
      </x:c>
    </x:row>
    <x:row r="64" ht="25" customHeight="1">
      <x:c r="A64" s="3"/>
      <x:c r="B64" s="3"/>
      <x:c r="C64" s="3"/>
      <x:c r="D64" s="25"/>
      <x:c r="E64" s="25"/>
      <x:c r="F64" s="3"/>
      <x:c r="G64" s="3"/>
      <x:c r="H64" s="3"/>
      <x:c r="I64" s="3"/>
      <x:c r="J64" s="3"/>
      <x:c r="K64" s="3"/>
      <x:c r="L64" s="20"/>
      <x:c r="M64" s="3"/>
      <x:c r="N64" s="19" t="str">
        <x:f>IF(A64="","",IF(COUNTIFS('Reviews'!$A$7:$A$306,A64)&lt;&gt;1,"Duplicate ID",IF(COUNTIFS('Cases overview'!$A$7:$A$306,B64)&lt;&gt;1,"Invalid case ref",IF(COUNTIFS('Plan versions'!$A$7:$A$306,C64,'Plan versions'!$B$7:$B$306,B64,'Plan versions'!$L$7:$L$306,"Frozen")&lt;&gt;1,"Invalid plan ref",IF(OR(NOT(ISNUMBER(D64)),NOT(ISNUMBER(E64)),F64="",G64="",H64="",M64=""),"Review info missing",IF(COUNTIFS('Update log'!$A$7:$A$306,J64,'Update log'!$B$7:$B$306,B64,'Update log'!$C$7:$C$306,A64)&lt;&gt;1,"Update not registered","Valid input"))))))</x:f>
      </x:c>
    </x:row>
    <x:row r="65" ht="25" customHeight="1">
      <x:c r="A65" s="3"/>
      <x:c r="B65" s="3"/>
      <x:c r="C65" s="3"/>
      <x:c r="D65" s="25"/>
      <x:c r="E65" s="25"/>
      <x:c r="F65" s="3"/>
      <x:c r="G65" s="3"/>
      <x:c r="H65" s="3"/>
      <x:c r="I65" s="3"/>
      <x:c r="J65" s="3"/>
      <x:c r="K65" s="3"/>
      <x:c r="L65" s="20"/>
      <x:c r="M65" s="3"/>
      <x:c r="N65" s="19" t="str">
        <x:f>IF(A65="","",IF(COUNTIFS('Reviews'!$A$7:$A$306,A65)&lt;&gt;1,"Duplicate ID",IF(COUNTIFS('Cases overview'!$A$7:$A$306,B65)&lt;&gt;1,"Invalid case ref",IF(COUNTIFS('Plan versions'!$A$7:$A$306,C65,'Plan versions'!$B$7:$B$306,B65,'Plan versions'!$L$7:$L$306,"Frozen")&lt;&gt;1,"Invalid plan ref",IF(OR(NOT(ISNUMBER(D65)),NOT(ISNUMBER(E65)),F65="",G65="",H65="",M65=""),"Review info missing",IF(COUNTIFS('Update log'!$A$7:$A$306,J65,'Update log'!$B$7:$B$306,B65,'Update log'!$C$7:$C$306,A65)&lt;&gt;1,"Update not registered","Valid input"))))))</x:f>
      </x:c>
    </x:row>
    <x:row r="66" ht="25" customHeight="1">
      <x:c r="A66" s="3"/>
      <x:c r="B66" s="3"/>
      <x:c r="C66" s="3"/>
      <x:c r="D66" s="25"/>
      <x:c r="E66" s="25"/>
      <x:c r="F66" s="3"/>
      <x:c r="G66" s="3"/>
      <x:c r="H66" s="3"/>
      <x:c r="I66" s="3"/>
      <x:c r="J66" s="3"/>
      <x:c r="K66" s="3"/>
      <x:c r="L66" s="20"/>
      <x:c r="M66" s="3"/>
      <x:c r="N66" s="19" t="str">
        <x:f>IF(A66="","",IF(COUNTIFS('Reviews'!$A$7:$A$306,A66)&lt;&gt;1,"Duplicate ID",IF(COUNTIFS('Cases overview'!$A$7:$A$306,B66)&lt;&gt;1,"Invalid case ref",IF(COUNTIFS('Plan versions'!$A$7:$A$306,C66,'Plan versions'!$B$7:$B$306,B66,'Plan versions'!$L$7:$L$306,"Frozen")&lt;&gt;1,"Invalid plan ref",IF(OR(NOT(ISNUMBER(D66)),NOT(ISNUMBER(E66)),F66="",G66="",H66="",M66=""),"Review info missing",IF(COUNTIFS('Update log'!$A$7:$A$306,J66,'Update log'!$B$7:$B$306,B66,'Update log'!$C$7:$C$306,A66)&lt;&gt;1,"Update not registered","Valid input"))))))</x:f>
      </x:c>
    </x:row>
    <x:row r="67" ht="25" customHeight="1">
      <x:c r="A67" s="3"/>
      <x:c r="B67" s="3"/>
      <x:c r="C67" s="3"/>
      <x:c r="D67" s="25"/>
      <x:c r="E67" s="25"/>
      <x:c r="F67" s="3"/>
      <x:c r="G67" s="3"/>
      <x:c r="H67" s="3"/>
      <x:c r="I67" s="3"/>
      <x:c r="J67" s="3"/>
      <x:c r="K67" s="3"/>
      <x:c r="L67" s="20"/>
      <x:c r="M67" s="3"/>
      <x:c r="N67" s="19" t="str">
        <x:f>IF(A67="","",IF(COUNTIFS('Reviews'!$A$7:$A$306,A67)&lt;&gt;1,"Duplicate ID",IF(COUNTIFS('Cases overview'!$A$7:$A$306,B67)&lt;&gt;1,"Invalid case ref",IF(COUNTIFS('Plan versions'!$A$7:$A$306,C67,'Plan versions'!$B$7:$B$306,B67,'Plan versions'!$L$7:$L$306,"Frozen")&lt;&gt;1,"Invalid plan ref",IF(OR(NOT(ISNUMBER(D67)),NOT(ISNUMBER(E67)),F67="",G67="",H67="",M67=""),"Review info missing",IF(COUNTIFS('Update log'!$A$7:$A$306,J67,'Update log'!$B$7:$B$306,B67,'Update log'!$C$7:$C$306,A67)&lt;&gt;1,"Update not registered","Valid input"))))))</x:f>
      </x:c>
    </x:row>
    <x:row r="68" ht="25" customHeight="1">
      <x:c r="A68" s="3"/>
      <x:c r="B68" s="3"/>
      <x:c r="C68" s="3"/>
      <x:c r="D68" s="25"/>
      <x:c r="E68" s="25"/>
      <x:c r="F68" s="3"/>
      <x:c r="G68" s="3"/>
      <x:c r="H68" s="3"/>
      <x:c r="I68" s="3"/>
      <x:c r="J68" s="3"/>
      <x:c r="K68" s="3"/>
      <x:c r="L68" s="20"/>
      <x:c r="M68" s="3"/>
      <x:c r="N68" s="19" t="str">
        <x:f>IF(A68="","",IF(COUNTIFS('Reviews'!$A$7:$A$306,A68)&lt;&gt;1,"Duplicate ID",IF(COUNTIFS('Cases overview'!$A$7:$A$306,B68)&lt;&gt;1,"Invalid case ref",IF(COUNTIFS('Plan versions'!$A$7:$A$306,C68,'Plan versions'!$B$7:$B$306,B68,'Plan versions'!$L$7:$L$306,"Frozen")&lt;&gt;1,"Invalid plan ref",IF(OR(NOT(ISNUMBER(D68)),NOT(ISNUMBER(E68)),F68="",G68="",H68="",M68=""),"Review info missing",IF(COUNTIFS('Update log'!$A$7:$A$306,J68,'Update log'!$B$7:$B$306,B68,'Update log'!$C$7:$C$306,A68)&lt;&gt;1,"Update not registered","Valid input"))))))</x:f>
      </x:c>
    </x:row>
    <x:row r="69" ht="25" customHeight="1">
      <x:c r="A69" s="3"/>
      <x:c r="B69" s="3"/>
      <x:c r="C69" s="3"/>
      <x:c r="D69" s="25"/>
      <x:c r="E69" s="25"/>
      <x:c r="F69" s="3"/>
      <x:c r="G69" s="3"/>
      <x:c r="H69" s="3"/>
      <x:c r="I69" s="3"/>
      <x:c r="J69" s="3"/>
      <x:c r="K69" s="3"/>
      <x:c r="L69" s="20"/>
      <x:c r="M69" s="3"/>
      <x:c r="N69" s="19" t="str">
        <x:f>IF(A69="","",IF(COUNTIFS('Reviews'!$A$7:$A$306,A69)&lt;&gt;1,"Duplicate ID",IF(COUNTIFS('Cases overview'!$A$7:$A$306,B69)&lt;&gt;1,"Invalid case ref",IF(COUNTIFS('Plan versions'!$A$7:$A$306,C69,'Plan versions'!$B$7:$B$306,B69,'Plan versions'!$L$7:$L$306,"Frozen")&lt;&gt;1,"Invalid plan ref",IF(OR(NOT(ISNUMBER(D69)),NOT(ISNUMBER(E69)),F69="",G69="",H69="",M69=""),"Review info missing",IF(COUNTIFS('Update log'!$A$7:$A$306,J69,'Update log'!$B$7:$B$306,B69,'Update log'!$C$7:$C$306,A69)&lt;&gt;1,"Update not registered","Valid input"))))))</x:f>
      </x:c>
    </x:row>
    <x:row r="70" ht="25" customHeight="1">
      <x:c r="A70" s="3"/>
      <x:c r="B70" s="3"/>
      <x:c r="C70" s="3"/>
      <x:c r="D70" s="25"/>
      <x:c r="E70" s="25"/>
      <x:c r="F70" s="3"/>
      <x:c r="G70" s="3"/>
      <x:c r="H70" s="3"/>
      <x:c r="I70" s="3"/>
      <x:c r="J70" s="3"/>
      <x:c r="K70" s="3"/>
      <x:c r="L70" s="20"/>
      <x:c r="M70" s="3"/>
      <x:c r="N70" s="19" t="str">
        <x:f>IF(A70="","",IF(COUNTIFS('Reviews'!$A$7:$A$306,A70)&lt;&gt;1,"Duplicate ID",IF(COUNTIFS('Cases overview'!$A$7:$A$306,B70)&lt;&gt;1,"Invalid case ref",IF(COUNTIFS('Plan versions'!$A$7:$A$306,C70,'Plan versions'!$B$7:$B$306,B70,'Plan versions'!$L$7:$L$306,"Frozen")&lt;&gt;1,"Invalid plan ref",IF(OR(NOT(ISNUMBER(D70)),NOT(ISNUMBER(E70)),F70="",G70="",H70="",M70=""),"Review info missing",IF(COUNTIFS('Update log'!$A$7:$A$306,J70,'Update log'!$B$7:$B$306,B70,'Update log'!$C$7:$C$306,A70)&lt;&gt;1,"Update not registered","Valid input"))))))</x:f>
      </x:c>
    </x:row>
    <x:row r="71" ht="25" customHeight="1">
      <x:c r="A71" s="3"/>
      <x:c r="B71" s="3"/>
      <x:c r="C71" s="3"/>
      <x:c r="D71" s="25"/>
      <x:c r="E71" s="25"/>
      <x:c r="F71" s="3"/>
      <x:c r="G71" s="3"/>
      <x:c r="H71" s="3"/>
      <x:c r="I71" s="3"/>
      <x:c r="J71" s="3"/>
      <x:c r="K71" s="3"/>
      <x:c r="L71" s="20"/>
      <x:c r="M71" s="3"/>
      <x:c r="N71" s="19" t="str">
        <x:f>IF(A71="","",IF(COUNTIFS('Reviews'!$A$7:$A$306,A71)&lt;&gt;1,"Duplicate ID",IF(COUNTIFS('Cases overview'!$A$7:$A$306,B71)&lt;&gt;1,"Invalid case ref",IF(COUNTIFS('Plan versions'!$A$7:$A$306,C71,'Plan versions'!$B$7:$B$306,B71,'Plan versions'!$L$7:$L$306,"Frozen")&lt;&gt;1,"Invalid plan ref",IF(OR(NOT(ISNUMBER(D71)),NOT(ISNUMBER(E71)),F71="",G71="",H71="",M71=""),"Review info missing",IF(COUNTIFS('Update log'!$A$7:$A$306,J71,'Update log'!$B$7:$B$306,B71,'Update log'!$C$7:$C$306,A71)&lt;&gt;1,"Update not registered","Valid input"))))))</x:f>
      </x:c>
    </x:row>
    <x:row r="72" ht="25" customHeight="1">
      <x:c r="A72" s="3"/>
      <x:c r="B72" s="3"/>
      <x:c r="C72" s="3"/>
      <x:c r="D72" s="25"/>
      <x:c r="E72" s="25"/>
      <x:c r="F72" s="3"/>
      <x:c r="G72" s="3"/>
      <x:c r="H72" s="3"/>
      <x:c r="I72" s="3"/>
      <x:c r="J72" s="3"/>
      <x:c r="K72" s="3"/>
      <x:c r="L72" s="20"/>
      <x:c r="M72" s="3"/>
      <x:c r="N72" s="19" t="str">
        <x:f>IF(A72="","",IF(COUNTIFS('Reviews'!$A$7:$A$306,A72)&lt;&gt;1,"Duplicate ID",IF(COUNTIFS('Cases overview'!$A$7:$A$306,B72)&lt;&gt;1,"Invalid case ref",IF(COUNTIFS('Plan versions'!$A$7:$A$306,C72,'Plan versions'!$B$7:$B$306,B72,'Plan versions'!$L$7:$L$306,"Frozen")&lt;&gt;1,"Invalid plan ref",IF(OR(NOT(ISNUMBER(D72)),NOT(ISNUMBER(E72)),F72="",G72="",H72="",M72=""),"Review info missing",IF(COUNTIFS('Update log'!$A$7:$A$306,J72,'Update log'!$B$7:$B$306,B72,'Update log'!$C$7:$C$306,A72)&lt;&gt;1,"Update not registered","Valid input"))))))</x:f>
      </x:c>
    </x:row>
    <x:row r="73" ht="25" customHeight="1">
      <x:c r="A73" s="3"/>
      <x:c r="B73" s="3"/>
      <x:c r="C73" s="3"/>
      <x:c r="D73" s="25"/>
      <x:c r="E73" s="25"/>
      <x:c r="F73" s="3"/>
      <x:c r="G73" s="3"/>
      <x:c r="H73" s="3"/>
      <x:c r="I73" s="3"/>
      <x:c r="J73" s="3"/>
      <x:c r="K73" s="3"/>
      <x:c r="L73" s="20"/>
      <x:c r="M73" s="3"/>
      <x:c r="N73" s="19" t="str">
        <x:f>IF(A73="","",IF(COUNTIFS('Reviews'!$A$7:$A$306,A73)&lt;&gt;1,"Duplicate ID",IF(COUNTIFS('Cases overview'!$A$7:$A$306,B73)&lt;&gt;1,"Invalid case ref",IF(COUNTIFS('Plan versions'!$A$7:$A$306,C73,'Plan versions'!$B$7:$B$306,B73,'Plan versions'!$L$7:$L$306,"Frozen")&lt;&gt;1,"Invalid plan ref",IF(OR(NOT(ISNUMBER(D73)),NOT(ISNUMBER(E73)),F73="",G73="",H73="",M73=""),"Review info missing",IF(COUNTIFS('Update log'!$A$7:$A$306,J73,'Update log'!$B$7:$B$306,B73,'Update log'!$C$7:$C$306,A73)&lt;&gt;1,"Update not registered","Valid input"))))))</x:f>
      </x:c>
    </x:row>
    <x:row r="74" ht="25" customHeight="1">
      <x:c r="A74" s="3"/>
      <x:c r="B74" s="3"/>
      <x:c r="C74" s="3"/>
      <x:c r="D74" s="25"/>
      <x:c r="E74" s="25"/>
      <x:c r="F74" s="3"/>
      <x:c r="G74" s="3"/>
      <x:c r="H74" s="3"/>
      <x:c r="I74" s="3"/>
      <x:c r="J74" s="3"/>
      <x:c r="K74" s="3"/>
      <x:c r="L74" s="20"/>
      <x:c r="M74" s="3"/>
      <x:c r="N74" s="19" t="str">
        <x:f>IF(A74="","",IF(COUNTIFS('Reviews'!$A$7:$A$306,A74)&lt;&gt;1,"Duplicate ID",IF(COUNTIFS('Cases overview'!$A$7:$A$306,B74)&lt;&gt;1,"Invalid case ref",IF(COUNTIFS('Plan versions'!$A$7:$A$306,C74,'Plan versions'!$B$7:$B$306,B74,'Plan versions'!$L$7:$L$306,"Frozen")&lt;&gt;1,"Invalid plan ref",IF(OR(NOT(ISNUMBER(D74)),NOT(ISNUMBER(E74)),F74="",G74="",H74="",M74=""),"Review info missing",IF(COUNTIFS('Update log'!$A$7:$A$306,J74,'Update log'!$B$7:$B$306,B74,'Update log'!$C$7:$C$306,A74)&lt;&gt;1,"Update not registered","Valid input"))))))</x:f>
      </x:c>
    </x:row>
    <x:row r="75" ht="25" customHeight="1">
      <x:c r="A75" s="3"/>
      <x:c r="B75" s="3"/>
      <x:c r="C75" s="3"/>
      <x:c r="D75" s="25"/>
      <x:c r="E75" s="25"/>
      <x:c r="F75" s="3"/>
      <x:c r="G75" s="3"/>
      <x:c r="H75" s="3"/>
      <x:c r="I75" s="3"/>
      <x:c r="J75" s="3"/>
      <x:c r="K75" s="3"/>
      <x:c r="L75" s="20"/>
      <x:c r="M75" s="3"/>
      <x:c r="N75" s="19" t="str">
        <x:f>IF(A75="","",IF(COUNTIFS('Reviews'!$A$7:$A$306,A75)&lt;&gt;1,"Duplicate ID",IF(COUNTIFS('Cases overview'!$A$7:$A$306,B75)&lt;&gt;1,"Invalid case ref",IF(COUNTIFS('Plan versions'!$A$7:$A$306,C75,'Plan versions'!$B$7:$B$306,B75,'Plan versions'!$L$7:$L$306,"Frozen")&lt;&gt;1,"Invalid plan ref",IF(OR(NOT(ISNUMBER(D75)),NOT(ISNUMBER(E75)),F75="",G75="",H75="",M75=""),"Review info missing",IF(COUNTIFS('Update log'!$A$7:$A$306,J75,'Update log'!$B$7:$B$306,B75,'Update log'!$C$7:$C$306,A75)&lt;&gt;1,"Update not registered","Valid input"))))))</x:f>
      </x:c>
    </x:row>
    <x:row r="76" ht="25" customHeight="1">
      <x:c r="A76" s="3"/>
      <x:c r="B76" s="3"/>
      <x:c r="C76" s="3"/>
      <x:c r="D76" s="25"/>
      <x:c r="E76" s="25"/>
      <x:c r="F76" s="3"/>
      <x:c r="G76" s="3"/>
      <x:c r="H76" s="3"/>
      <x:c r="I76" s="3"/>
      <x:c r="J76" s="3"/>
      <x:c r="K76" s="3"/>
      <x:c r="L76" s="20"/>
      <x:c r="M76" s="3"/>
      <x:c r="N76" s="19" t="str">
        <x:f>IF(A76="","",IF(COUNTIFS('Reviews'!$A$7:$A$306,A76)&lt;&gt;1,"Duplicate ID",IF(COUNTIFS('Cases overview'!$A$7:$A$306,B76)&lt;&gt;1,"Invalid case ref",IF(COUNTIFS('Plan versions'!$A$7:$A$306,C76,'Plan versions'!$B$7:$B$306,B76,'Plan versions'!$L$7:$L$306,"Frozen")&lt;&gt;1,"Invalid plan ref",IF(OR(NOT(ISNUMBER(D76)),NOT(ISNUMBER(E76)),F76="",G76="",H76="",M76=""),"Review info missing",IF(COUNTIFS('Update log'!$A$7:$A$306,J76,'Update log'!$B$7:$B$306,B76,'Update log'!$C$7:$C$306,A76)&lt;&gt;1,"Update not registered","Valid input"))))))</x:f>
      </x:c>
    </x:row>
    <x:row r="77" ht="25" customHeight="1">
      <x:c r="A77" s="3"/>
      <x:c r="B77" s="3"/>
      <x:c r="C77" s="3"/>
      <x:c r="D77" s="25"/>
      <x:c r="E77" s="25"/>
      <x:c r="F77" s="3"/>
      <x:c r="G77" s="3"/>
      <x:c r="H77" s="3"/>
      <x:c r="I77" s="3"/>
      <x:c r="J77" s="3"/>
      <x:c r="K77" s="3"/>
      <x:c r="L77" s="20"/>
      <x:c r="M77" s="3"/>
      <x:c r="N77" s="19" t="str">
        <x:f>IF(A77="","",IF(COUNTIFS('Reviews'!$A$7:$A$306,A77)&lt;&gt;1,"Duplicate ID",IF(COUNTIFS('Cases overview'!$A$7:$A$306,B77)&lt;&gt;1,"Invalid case ref",IF(COUNTIFS('Plan versions'!$A$7:$A$306,C77,'Plan versions'!$B$7:$B$306,B77,'Plan versions'!$L$7:$L$306,"Frozen")&lt;&gt;1,"Invalid plan ref",IF(OR(NOT(ISNUMBER(D77)),NOT(ISNUMBER(E77)),F77="",G77="",H77="",M77=""),"Review info missing",IF(COUNTIFS('Update log'!$A$7:$A$306,J77,'Update log'!$B$7:$B$306,B77,'Update log'!$C$7:$C$306,A77)&lt;&gt;1,"Update not registered","Valid input"))))))</x:f>
      </x:c>
    </x:row>
    <x:row r="78" ht="25" customHeight="1">
      <x:c r="A78" s="3"/>
      <x:c r="B78" s="3"/>
      <x:c r="C78" s="3"/>
      <x:c r="D78" s="25"/>
      <x:c r="E78" s="25"/>
      <x:c r="F78" s="3"/>
      <x:c r="G78" s="3"/>
      <x:c r="H78" s="3"/>
      <x:c r="I78" s="3"/>
      <x:c r="J78" s="3"/>
      <x:c r="K78" s="3"/>
      <x:c r="L78" s="20"/>
      <x:c r="M78" s="3"/>
      <x:c r="N78" s="19" t="str">
        <x:f>IF(A78="","",IF(COUNTIFS('Reviews'!$A$7:$A$306,A78)&lt;&gt;1,"Duplicate ID",IF(COUNTIFS('Cases overview'!$A$7:$A$306,B78)&lt;&gt;1,"Invalid case ref",IF(COUNTIFS('Plan versions'!$A$7:$A$306,C78,'Plan versions'!$B$7:$B$306,B78,'Plan versions'!$L$7:$L$306,"Frozen")&lt;&gt;1,"Invalid plan ref",IF(OR(NOT(ISNUMBER(D78)),NOT(ISNUMBER(E78)),F78="",G78="",H78="",M78=""),"Review info missing",IF(COUNTIFS('Update log'!$A$7:$A$306,J78,'Update log'!$B$7:$B$306,B78,'Update log'!$C$7:$C$306,A78)&lt;&gt;1,"Update not registered","Valid input"))))))</x:f>
      </x:c>
    </x:row>
    <x:row r="79" ht="25" customHeight="1">
      <x:c r="A79" s="3"/>
      <x:c r="B79" s="3"/>
      <x:c r="C79" s="3"/>
      <x:c r="D79" s="25"/>
      <x:c r="E79" s="25"/>
      <x:c r="F79" s="3"/>
      <x:c r="G79" s="3"/>
      <x:c r="H79" s="3"/>
      <x:c r="I79" s="3"/>
      <x:c r="J79" s="3"/>
      <x:c r="K79" s="3"/>
      <x:c r="L79" s="20"/>
      <x:c r="M79" s="3"/>
      <x:c r="N79" s="19" t="str">
        <x:f>IF(A79="","",IF(COUNTIFS('Reviews'!$A$7:$A$306,A79)&lt;&gt;1,"Duplicate ID",IF(COUNTIFS('Cases overview'!$A$7:$A$306,B79)&lt;&gt;1,"Invalid case ref",IF(COUNTIFS('Plan versions'!$A$7:$A$306,C79,'Plan versions'!$B$7:$B$306,B79,'Plan versions'!$L$7:$L$306,"Frozen")&lt;&gt;1,"Invalid plan ref",IF(OR(NOT(ISNUMBER(D79)),NOT(ISNUMBER(E79)),F79="",G79="",H79="",M79=""),"Review info missing",IF(COUNTIFS('Update log'!$A$7:$A$306,J79,'Update log'!$B$7:$B$306,B79,'Update log'!$C$7:$C$306,A79)&lt;&gt;1,"Update not registered","Valid input"))))))</x:f>
      </x:c>
    </x:row>
    <x:row r="80" ht="25" customHeight="1">
      <x:c r="A80" s="3"/>
      <x:c r="B80" s="3"/>
      <x:c r="C80" s="3"/>
      <x:c r="D80" s="25"/>
      <x:c r="E80" s="25"/>
      <x:c r="F80" s="3"/>
      <x:c r="G80" s="3"/>
      <x:c r="H80" s="3"/>
      <x:c r="I80" s="3"/>
      <x:c r="J80" s="3"/>
      <x:c r="K80" s="3"/>
      <x:c r="L80" s="20"/>
      <x:c r="M80" s="3"/>
      <x:c r="N80" s="19" t="str">
        <x:f>IF(A80="","",IF(COUNTIFS('Reviews'!$A$7:$A$306,A80)&lt;&gt;1,"Duplicate ID",IF(COUNTIFS('Cases overview'!$A$7:$A$306,B80)&lt;&gt;1,"Invalid case ref",IF(COUNTIFS('Plan versions'!$A$7:$A$306,C80,'Plan versions'!$B$7:$B$306,B80,'Plan versions'!$L$7:$L$306,"Frozen")&lt;&gt;1,"Invalid plan ref",IF(OR(NOT(ISNUMBER(D80)),NOT(ISNUMBER(E80)),F80="",G80="",H80="",M80=""),"Review info missing",IF(COUNTIFS('Update log'!$A$7:$A$306,J80,'Update log'!$B$7:$B$306,B80,'Update log'!$C$7:$C$306,A80)&lt;&gt;1,"Update not registered","Valid input"))))))</x:f>
      </x:c>
    </x:row>
    <x:row r="81" ht="25" customHeight="1">
      <x:c r="A81" s="3"/>
      <x:c r="B81" s="3"/>
      <x:c r="C81" s="3"/>
      <x:c r="D81" s="25"/>
      <x:c r="E81" s="25"/>
      <x:c r="F81" s="3"/>
      <x:c r="G81" s="3"/>
      <x:c r="H81" s="3"/>
      <x:c r="I81" s="3"/>
      <x:c r="J81" s="3"/>
      <x:c r="K81" s="3"/>
      <x:c r="L81" s="20"/>
      <x:c r="M81" s="3"/>
      <x:c r="N81" s="19" t="str">
        <x:f>IF(A81="","",IF(COUNTIFS('Reviews'!$A$7:$A$306,A81)&lt;&gt;1,"Duplicate ID",IF(COUNTIFS('Cases overview'!$A$7:$A$306,B81)&lt;&gt;1,"Invalid case ref",IF(COUNTIFS('Plan versions'!$A$7:$A$306,C81,'Plan versions'!$B$7:$B$306,B81,'Plan versions'!$L$7:$L$306,"Frozen")&lt;&gt;1,"Invalid plan ref",IF(OR(NOT(ISNUMBER(D81)),NOT(ISNUMBER(E81)),F81="",G81="",H81="",M81=""),"Review info missing",IF(COUNTIFS('Update log'!$A$7:$A$306,J81,'Update log'!$B$7:$B$306,B81,'Update log'!$C$7:$C$306,A81)&lt;&gt;1,"Update not registered","Valid input"))))))</x:f>
      </x:c>
    </x:row>
    <x:row r="82" ht="25" customHeight="1">
      <x:c r="A82" s="3"/>
      <x:c r="B82" s="3"/>
      <x:c r="C82" s="3"/>
      <x:c r="D82" s="25"/>
      <x:c r="E82" s="25"/>
      <x:c r="F82" s="3"/>
      <x:c r="G82" s="3"/>
      <x:c r="H82" s="3"/>
      <x:c r="I82" s="3"/>
      <x:c r="J82" s="3"/>
      <x:c r="K82" s="3"/>
      <x:c r="L82" s="20"/>
      <x:c r="M82" s="3"/>
      <x:c r="N82" s="19" t="str">
        <x:f>IF(A82="","",IF(COUNTIFS('Reviews'!$A$7:$A$306,A82)&lt;&gt;1,"Duplicate ID",IF(COUNTIFS('Cases overview'!$A$7:$A$306,B82)&lt;&gt;1,"Invalid case ref",IF(COUNTIFS('Plan versions'!$A$7:$A$306,C82,'Plan versions'!$B$7:$B$306,B82,'Plan versions'!$L$7:$L$306,"Frozen")&lt;&gt;1,"Invalid plan ref",IF(OR(NOT(ISNUMBER(D82)),NOT(ISNUMBER(E82)),F82="",G82="",H82="",M82=""),"Review info missing",IF(COUNTIFS('Update log'!$A$7:$A$306,J82,'Update log'!$B$7:$B$306,B82,'Update log'!$C$7:$C$306,A82)&lt;&gt;1,"Update not registered","Valid input"))))))</x:f>
      </x:c>
    </x:row>
    <x:row r="83" ht="25" customHeight="1">
      <x:c r="A83" s="3"/>
      <x:c r="B83" s="3"/>
      <x:c r="C83" s="3"/>
      <x:c r="D83" s="25"/>
      <x:c r="E83" s="25"/>
      <x:c r="F83" s="3"/>
      <x:c r="G83" s="3"/>
      <x:c r="H83" s="3"/>
      <x:c r="I83" s="3"/>
      <x:c r="J83" s="3"/>
      <x:c r="K83" s="3"/>
      <x:c r="L83" s="20"/>
      <x:c r="M83" s="3"/>
      <x:c r="N83" s="19" t="str">
        <x:f>IF(A83="","",IF(COUNTIFS('Reviews'!$A$7:$A$306,A83)&lt;&gt;1,"Duplicate ID",IF(COUNTIFS('Cases overview'!$A$7:$A$306,B83)&lt;&gt;1,"Invalid case ref",IF(COUNTIFS('Plan versions'!$A$7:$A$306,C83,'Plan versions'!$B$7:$B$306,B83,'Plan versions'!$L$7:$L$306,"Frozen")&lt;&gt;1,"Invalid plan ref",IF(OR(NOT(ISNUMBER(D83)),NOT(ISNUMBER(E83)),F83="",G83="",H83="",M83=""),"Review info missing",IF(COUNTIFS('Update log'!$A$7:$A$306,J83,'Update log'!$B$7:$B$306,B83,'Update log'!$C$7:$C$306,A83)&lt;&gt;1,"Update not registered","Valid input"))))))</x:f>
      </x:c>
    </x:row>
    <x:row r="84" ht="25" customHeight="1">
      <x:c r="A84" s="3"/>
      <x:c r="B84" s="3"/>
      <x:c r="C84" s="3"/>
      <x:c r="D84" s="25"/>
      <x:c r="E84" s="25"/>
      <x:c r="F84" s="3"/>
      <x:c r="G84" s="3"/>
      <x:c r="H84" s="3"/>
      <x:c r="I84" s="3"/>
      <x:c r="J84" s="3"/>
      <x:c r="K84" s="3"/>
      <x:c r="L84" s="20"/>
      <x:c r="M84" s="3"/>
      <x:c r="N84" s="19" t="str">
        <x:f>IF(A84="","",IF(COUNTIFS('Reviews'!$A$7:$A$306,A84)&lt;&gt;1,"Duplicate ID",IF(COUNTIFS('Cases overview'!$A$7:$A$306,B84)&lt;&gt;1,"Invalid case ref",IF(COUNTIFS('Plan versions'!$A$7:$A$306,C84,'Plan versions'!$B$7:$B$306,B84,'Plan versions'!$L$7:$L$306,"Frozen")&lt;&gt;1,"Invalid plan ref",IF(OR(NOT(ISNUMBER(D84)),NOT(ISNUMBER(E84)),F84="",G84="",H84="",M84=""),"Review info missing",IF(COUNTIFS('Update log'!$A$7:$A$306,J84,'Update log'!$B$7:$B$306,B84,'Update log'!$C$7:$C$306,A84)&lt;&gt;1,"Update not registered","Valid input"))))))</x:f>
      </x:c>
    </x:row>
    <x:row r="85" ht="25" customHeight="1">
      <x:c r="A85" s="3"/>
      <x:c r="B85" s="3"/>
      <x:c r="C85" s="3"/>
      <x:c r="D85" s="25"/>
      <x:c r="E85" s="25"/>
      <x:c r="F85" s="3"/>
      <x:c r="G85" s="3"/>
      <x:c r="H85" s="3"/>
      <x:c r="I85" s="3"/>
      <x:c r="J85" s="3"/>
      <x:c r="K85" s="3"/>
      <x:c r="L85" s="20"/>
      <x:c r="M85" s="3"/>
      <x:c r="N85" s="19" t="str">
        <x:f>IF(A85="","",IF(COUNTIFS('Reviews'!$A$7:$A$306,A85)&lt;&gt;1,"Duplicate ID",IF(COUNTIFS('Cases overview'!$A$7:$A$306,B85)&lt;&gt;1,"Invalid case ref",IF(COUNTIFS('Plan versions'!$A$7:$A$306,C85,'Plan versions'!$B$7:$B$306,B85,'Plan versions'!$L$7:$L$306,"Frozen")&lt;&gt;1,"Invalid plan ref",IF(OR(NOT(ISNUMBER(D85)),NOT(ISNUMBER(E85)),F85="",G85="",H85="",M85=""),"Review info missing",IF(COUNTIFS('Update log'!$A$7:$A$306,J85,'Update log'!$B$7:$B$306,B85,'Update log'!$C$7:$C$306,A85)&lt;&gt;1,"Update not registered","Valid input"))))))</x:f>
      </x:c>
    </x:row>
    <x:row r="86" ht="25" customHeight="1">
      <x:c r="A86" s="3"/>
      <x:c r="B86" s="3"/>
      <x:c r="C86" s="3"/>
      <x:c r="D86" s="25"/>
      <x:c r="E86" s="25"/>
      <x:c r="F86" s="3"/>
      <x:c r="G86" s="3"/>
      <x:c r="H86" s="3"/>
      <x:c r="I86" s="3"/>
      <x:c r="J86" s="3"/>
      <x:c r="K86" s="3"/>
      <x:c r="L86" s="20"/>
      <x:c r="M86" s="3"/>
      <x:c r="N86" s="19" t="str">
        <x:f>IF(A86="","",IF(COUNTIFS('Reviews'!$A$7:$A$306,A86)&lt;&gt;1,"Duplicate ID",IF(COUNTIFS('Cases overview'!$A$7:$A$306,B86)&lt;&gt;1,"Invalid case ref",IF(COUNTIFS('Plan versions'!$A$7:$A$306,C86,'Plan versions'!$B$7:$B$306,B86,'Plan versions'!$L$7:$L$306,"Frozen")&lt;&gt;1,"Invalid plan ref",IF(OR(NOT(ISNUMBER(D86)),NOT(ISNUMBER(E86)),F86="",G86="",H86="",M86=""),"Review info missing",IF(COUNTIFS('Update log'!$A$7:$A$306,J86,'Update log'!$B$7:$B$306,B86,'Update log'!$C$7:$C$306,A86)&lt;&gt;1,"Update not registered","Valid input"))))))</x:f>
      </x:c>
    </x:row>
    <x:row r="87" ht="25" customHeight="1">
      <x:c r="A87" s="3"/>
      <x:c r="B87" s="3"/>
      <x:c r="C87" s="3"/>
      <x:c r="D87" s="25"/>
      <x:c r="E87" s="25"/>
      <x:c r="F87" s="3"/>
      <x:c r="G87" s="3"/>
      <x:c r="H87" s="3"/>
      <x:c r="I87" s="3"/>
      <x:c r="J87" s="3"/>
      <x:c r="K87" s="3"/>
      <x:c r="L87" s="20"/>
      <x:c r="M87" s="3"/>
      <x:c r="N87" s="19" t="str">
        <x:f>IF(A87="","",IF(COUNTIFS('Reviews'!$A$7:$A$306,A87)&lt;&gt;1,"Duplicate ID",IF(COUNTIFS('Cases overview'!$A$7:$A$306,B87)&lt;&gt;1,"Invalid case ref",IF(COUNTIFS('Plan versions'!$A$7:$A$306,C87,'Plan versions'!$B$7:$B$306,B87,'Plan versions'!$L$7:$L$306,"Frozen")&lt;&gt;1,"Invalid plan ref",IF(OR(NOT(ISNUMBER(D87)),NOT(ISNUMBER(E87)),F87="",G87="",H87="",M87=""),"Review info missing",IF(COUNTIFS('Update log'!$A$7:$A$306,J87,'Update log'!$B$7:$B$306,B87,'Update log'!$C$7:$C$306,A87)&lt;&gt;1,"Update not registered","Valid input"))))))</x:f>
      </x:c>
    </x:row>
    <x:row r="88" ht="25" customHeight="1">
      <x:c r="A88" s="3"/>
      <x:c r="B88" s="3"/>
      <x:c r="C88" s="3"/>
      <x:c r="D88" s="25"/>
      <x:c r="E88" s="25"/>
      <x:c r="F88" s="3"/>
      <x:c r="G88" s="3"/>
      <x:c r="H88" s="3"/>
      <x:c r="I88" s="3"/>
      <x:c r="J88" s="3"/>
      <x:c r="K88" s="3"/>
      <x:c r="L88" s="20"/>
      <x:c r="M88" s="3"/>
      <x:c r="N88" s="19" t="str">
        <x:f>IF(A88="","",IF(COUNTIFS('Reviews'!$A$7:$A$306,A88)&lt;&gt;1,"Duplicate ID",IF(COUNTIFS('Cases overview'!$A$7:$A$306,B88)&lt;&gt;1,"Invalid case ref",IF(COUNTIFS('Plan versions'!$A$7:$A$306,C88,'Plan versions'!$B$7:$B$306,B88,'Plan versions'!$L$7:$L$306,"Frozen")&lt;&gt;1,"Invalid plan ref",IF(OR(NOT(ISNUMBER(D88)),NOT(ISNUMBER(E88)),F88="",G88="",H88="",M88=""),"Review info missing",IF(COUNTIFS('Update log'!$A$7:$A$306,J88,'Update log'!$B$7:$B$306,B88,'Update log'!$C$7:$C$306,A88)&lt;&gt;1,"Update not registered","Valid input"))))))</x:f>
      </x:c>
    </x:row>
    <x:row r="89" ht="25" customHeight="1">
      <x:c r="A89" s="3"/>
      <x:c r="B89" s="3"/>
      <x:c r="C89" s="3"/>
      <x:c r="D89" s="25"/>
      <x:c r="E89" s="25"/>
      <x:c r="F89" s="3"/>
      <x:c r="G89" s="3"/>
      <x:c r="H89" s="3"/>
      <x:c r="I89" s="3"/>
      <x:c r="J89" s="3"/>
      <x:c r="K89" s="3"/>
      <x:c r="L89" s="20"/>
      <x:c r="M89" s="3"/>
      <x:c r="N89" s="19" t="str">
        <x:f>IF(A89="","",IF(COUNTIFS('Reviews'!$A$7:$A$306,A89)&lt;&gt;1,"Duplicate ID",IF(COUNTIFS('Cases overview'!$A$7:$A$306,B89)&lt;&gt;1,"Invalid case ref",IF(COUNTIFS('Plan versions'!$A$7:$A$306,C89,'Plan versions'!$B$7:$B$306,B89,'Plan versions'!$L$7:$L$306,"Frozen")&lt;&gt;1,"Invalid plan ref",IF(OR(NOT(ISNUMBER(D89)),NOT(ISNUMBER(E89)),F89="",G89="",H89="",M89=""),"Review info missing",IF(COUNTIFS('Update log'!$A$7:$A$306,J89,'Update log'!$B$7:$B$306,B89,'Update log'!$C$7:$C$306,A89)&lt;&gt;1,"Update not registered","Valid input"))))))</x:f>
      </x:c>
    </x:row>
    <x:row r="90" ht="25" customHeight="1">
      <x:c r="A90" s="3"/>
      <x:c r="B90" s="3"/>
      <x:c r="C90" s="3"/>
      <x:c r="D90" s="25"/>
      <x:c r="E90" s="25"/>
      <x:c r="F90" s="3"/>
      <x:c r="G90" s="3"/>
      <x:c r="H90" s="3"/>
      <x:c r="I90" s="3"/>
      <x:c r="J90" s="3"/>
      <x:c r="K90" s="3"/>
      <x:c r="L90" s="20"/>
      <x:c r="M90" s="3"/>
      <x:c r="N90" s="19" t="str">
        <x:f>IF(A90="","",IF(COUNTIFS('Reviews'!$A$7:$A$306,A90)&lt;&gt;1,"Duplicate ID",IF(COUNTIFS('Cases overview'!$A$7:$A$306,B90)&lt;&gt;1,"Invalid case ref",IF(COUNTIFS('Plan versions'!$A$7:$A$306,C90,'Plan versions'!$B$7:$B$306,B90,'Plan versions'!$L$7:$L$306,"Frozen")&lt;&gt;1,"Invalid plan ref",IF(OR(NOT(ISNUMBER(D90)),NOT(ISNUMBER(E90)),F90="",G90="",H90="",M90=""),"Review info missing",IF(COUNTIFS('Update log'!$A$7:$A$306,J90,'Update log'!$B$7:$B$306,B90,'Update log'!$C$7:$C$306,A90)&lt;&gt;1,"Update not registered","Valid input"))))))</x:f>
      </x:c>
    </x:row>
    <x:row r="91" ht="25" customHeight="1">
      <x:c r="A91" s="3"/>
      <x:c r="B91" s="3"/>
      <x:c r="C91" s="3"/>
      <x:c r="D91" s="25"/>
      <x:c r="E91" s="25"/>
      <x:c r="F91" s="3"/>
      <x:c r="G91" s="3"/>
      <x:c r="H91" s="3"/>
      <x:c r="I91" s="3"/>
      <x:c r="J91" s="3"/>
      <x:c r="K91" s="3"/>
      <x:c r="L91" s="20"/>
      <x:c r="M91" s="3"/>
      <x:c r="N91" s="19" t="str">
        <x:f>IF(A91="","",IF(COUNTIFS('Reviews'!$A$7:$A$306,A91)&lt;&gt;1,"Duplicate ID",IF(COUNTIFS('Cases overview'!$A$7:$A$306,B91)&lt;&gt;1,"Invalid case ref",IF(COUNTIFS('Plan versions'!$A$7:$A$306,C91,'Plan versions'!$B$7:$B$306,B91,'Plan versions'!$L$7:$L$306,"Frozen")&lt;&gt;1,"Invalid plan ref",IF(OR(NOT(ISNUMBER(D91)),NOT(ISNUMBER(E91)),F91="",G91="",H91="",M91=""),"Review info missing",IF(COUNTIFS('Update log'!$A$7:$A$306,J91,'Update log'!$B$7:$B$306,B91,'Update log'!$C$7:$C$306,A91)&lt;&gt;1,"Update not registered","Valid input"))))))</x:f>
      </x:c>
    </x:row>
    <x:row r="92" ht="25" customHeight="1">
      <x:c r="A92" s="3"/>
      <x:c r="B92" s="3"/>
      <x:c r="C92" s="3"/>
      <x:c r="D92" s="25"/>
      <x:c r="E92" s="25"/>
      <x:c r="F92" s="3"/>
      <x:c r="G92" s="3"/>
      <x:c r="H92" s="3"/>
      <x:c r="I92" s="3"/>
      <x:c r="J92" s="3"/>
      <x:c r="K92" s="3"/>
      <x:c r="L92" s="20"/>
      <x:c r="M92" s="3"/>
      <x:c r="N92" s="19" t="str">
        <x:f>IF(A92="","",IF(COUNTIFS('Reviews'!$A$7:$A$306,A92)&lt;&gt;1,"Duplicate ID",IF(COUNTIFS('Cases overview'!$A$7:$A$306,B92)&lt;&gt;1,"Invalid case ref",IF(COUNTIFS('Plan versions'!$A$7:$A$306,C92,'Plan versions'!$B$7:$B$306,B92,'Plan versions'!$L$7:$L$306,"Frozen")&lt;&gt;1,"Invalid plan ref",IF(OR(NOT(ISNUMBER(D92)),NOT(ISNUMBER(E92)),F92="",G92="",H92="",M92=""),"Review info missing",IF(COUNTIFS('Update log'!$A$7:$A$306,J92,'Update log'!$B$7:$B$306,B92,'Update log'!$C$7:$C$306,A92)&lt;&gt;1,"Update not registered","Valid input"))))))</x:f>
      </x:c>
    </x:row>
    <x:row r="93" ht="25" customHeight="1">
      <x:c r="A93" s="3"/>
      <x:c r="B93" s="3"/>
      <x:c r="C93" s="3"/>
      <x:c r="D93" s="25"/>
      <x:c r="E93" s="25"/>
      <x:c r="F93" s="3"/>
      <x:c r="G93" s="3"/>
      <x:c r="H93" s="3"/>
      <x:c r="I93" s="3"/>
      <x:c r="J93" s="3"/>
      <x:c r="K93" s="3"/>
      <x:c r="L93" s="20"/>
      <x:c r="M93" s="3"/>
      <x:c r="N93" s="19" t="str">
        <x:f>IF(A93="","",IF(COUNTIFS('Reviews'!$A$7:$A$306,A93)&lt;&gt;1,"Duplicate ID",IF(COUNTIFS('Cases overview'!$A$7:$A$306,B93)&lt;&gt;1,"Invalid case ref",IF(COUNTIFS('Plan versions'!$A$7:$A$306,C93,'Plan versions'!$B$7:$B$306,B93,'Plan versions'!$L$7:$L$306,"Frozen")&lt;&gt;1,"Invalid plan ref",IF(OR(NOT(ISNUMBER(D93)),NOT(ISNUMBER(E93)),F93="",G93="",H93="",M93=""),"Review info missing",IF(COUNTIFS('Update log'!$A$7:$A$306,J93,'Update log'!$B$7:$B$306,B93,'Update log'!$C$7:$C$306,A93)&lt;&gt;1,"Update not registered","Valid input"))))))</x:f>
      </x:c>
    </x:row>
    <x:row r="94" ht="25" customHeight="1">
      <x:c r="A94" s="3"/>
      <x:c r="B94" s="3"/>
      <x:c r="C94" s="3"/>
      <x:c r="D94" s="25"/>
      <x:c r="E94" s="25"/>
      <x:c r="F94" s="3"/>
      <x:c r="G94" s="3"/>
      <x:c r="H94" s="3"/>
      <x:c r="I94" s="3"/>
      <x:c r="J94" s="3"/>
      <x:c r="K94" s="3"/>
      <x:c r="L94" s="20"/>
      <x:c r="M94" s="3"/>
      <x:c r="N94" s="19" t="str">
        <x:f>IF(A94="","",IF(COUNTIFS('Reviews'!$A$7:$A$306,A94)&lt;&gt;1,"Duplicate ID",IF(COUNTIFS('Cases overview'!$A$7:$A$306,B94)&lt;&gt;1,"Invalid case ref",IF(COUNTIFS('Plan versions'!$A$7:$A$306,C94,'Plan versions'!$B$7:$B$306,B94,'Plan versions'!$L$7:$L$306,"Frozen")&lt;&gt;1,"Invalid plan ref",IF(OR(NOT(ISNUMBER(D94)),NOT(ISNUMBER(E94)),F94="",G94="",H94="",M94=""),"Review info missing",IF(COUNTIFS('Update log'!$A$7:$A$306,J94,'Update log'!$B$7:$B$306,B94,'Update log'!$C$7:$C$306,A94)&lt;&gt;1,"Update not registered","Valid input"))))))</x:f>
      </x:c>
    </x:row>
    <x:row r="95" ht="25" customHeight="1">
      <x:c r="A95" s="3"/>
      <x:c r="B95" s="3"/>
      <x:c r="C95" s="3"/>
      <x:c r="D95" s="25"/>
      <x:c r="E95" s="25"/>
      <x:c r="F95" s="3"/>
      <x:c r="G95" s="3"/>
      <x:c r="H95" s="3"/>
      <x:c r="I95" s="3"/>
      <x:c r="J95" s="3"/>
      <x:c r="K95" s="3"/>
      <x:c r="L95" s="20"/>
      <x:c r="M95" s="3"/>
      <x:c r="N95" s="19" t="str">
        <x:f>IF(A95="","",IF(COUNTIFS('Reviews'!$A$7:$A$306,A95)&lt;&gt;1,"Duplicate ID",IF(COUNTIFS('Cases overview'!$A$7:$A$306,B95)&lt;&gt;1,"Invalid case ref",IF(COUNTIFS('Plan versions'!$A$7:$A$306,C95,'Plan versions'!$B$7:$B$306,B95,'Plan versions'!$L$7:$L$306,"Frozen")&lt;&gt;1,"Invalid plan ref",IF(OR(NOT(ISNUMBER(D95)),NOT(ISNUMBER(E95)),F95="",G95="",H95="",M95=""),"Review info missing",IF(COUNTIFS('Update log'!$A$7:$A$306,J95,'Update log'!$B$7:$B$306,B95,'Update log'!$C$7:$C$306,A95)&lt;&gt;1,"Update not registered","Valid input"))))))</x:f>
      </x:c>
    </x:row>
    <x:row r="96" ht="25" customHeight="1">
      <x:c r="A96" s="3"/>
      <x:c r="B96" s="3"/>
      <x:c r="C96" s="3"/>
      <x:c r="D96" s="25"/>
      <x:c r="E96" s="25"/>
      <x:c r="F96" s="3"/>
      <x:c r="G96" s="3"/>
      <x:c r="H96" s="3"/>
      <x:c r="I96" s="3"/>
      <x:c r="J96" s="3"/>
      <x:c r="K96" s="3"/>
      <x:c r="L96" s="20"/>
      <x:c r="M96" s="3"/>
      <x:c r="N96" s="19" t="str">
        <x:f>IF(A96="","",IF(COUNTIFS('Reviews'!$A$7:$A$306,A96)&lt;&gt;1,"Duplicate ID",IF(COUNTIFS('Cases overview'!$A$7:$A$306,B96)&lt;&gt;1,"Invalid case ref",IF(COUNTIFS('Plan versions'!$A$7:$A$306,C96,'Plan versions'!$B$7:$B$306,B96,'Plan versions'!$L$7:$L$306,"Frozen")&lt;&gt;1,"Invalid plan ref",IF(OR(NOT(ISNUMBER(D96)),NOT(ISNUMBER(E96)),F96="",G96="",H96="",M96=""),"Review info missing",IF(COUNTIFS('Update log'!$A$7:$A$306,J96,'Update log'!$B$7:$B$306,B96,'Update log'!$C$7:$C$306,A96)&lt;&gt;1,"Update not registered","Valid input"))))))</x:f>
      </x:c>
    </x:row>
    <x:row r="97" ht="25" customHeight="1">
      <x:c r="A97" s="3"/>
      <x:c r="B97" s="3"/>
      <x:c r="C97" s="3"/>
      <x:c r="D97" s="25"/>
      <x:c r="E97" s="25"/>
      <x:c r="F97" s="3"/>
      <x:c r="G97" s="3"/>
      <x:c r="H97" s="3"/>
      <x:c r="I97" s="3"/>
      <x:c r="J97" s="3"/>
      <x:c r="K97" s="3"/>
      <x:c r="L97" s="20"/>
      <x:c r="M97" s="3"/>
      <x:c r="N97" s="19" t="str">
        <x:f>IF(A97="","",IF(COUNTIFS('Reviews'!$A$7:$A$306,A97)&lt;&gt;1,"Duplicate ID",IF(COUNTIFS('Cases overview'!$A$7:$A$306,B97)&lt;&gt;1,"Invalid case ref",IF(COUNTIFS('Plan versions'!$A$7:$A$306,C97,'Plan versions'!$B$7:$B$306,B97,'Plan versions'!$L$7:$L$306,"Frozen")&lt;&gt;1,"Invalid plan ref",IF(OR(NOT(ISNUMBER(D97)),NOT(ISNUMBER(E97)),F97="",G97="",H97="",M97=""),"Review info missing",IF(COUNTIFS('Update log'!$A$7:$A$306,J97,'Update log'!$B$7:$B$306,B97,'Update log'!$C$7:$C$306,A97)&lt;&gt;1,"Update not registered","Valid input"))))))</x:f>
      </x:c>
    </x:row>
    <x:row r="98" ht="25" customHeight="1">
      <x:c r="A98" s="3"/>
      <x:c r="B98" s="3"/>
      <x:c r="C98" s="3"/>
      <x:c r="D98" s="25"/>
      <x:c r="E98" s="25"/>
      <x:c r="F98" s="3"/>
      <x:c r="G98" s="3"/>
      <x:c r="H98" s="3"/>
      <x:c r="I98" s="3"/>
      <x:c r="J98" s="3"/>
      <x:c r="K98" s="3"/>
      <x:c r="L98" s="20"/>
      <x:c r="M98" s="3"/>
      <x:c r="N98" s="19" t="str">
        <x:f>IF(A98="","",IF(COUNTIFS('Reviews'!$A$7:$A$306,A98)&lt;&gt;1,"Duplicate ID",IF(COUNTIFS('Cases overview'!$A$7:$A$306,B98)&lt;&gt;1,"Invalid case ref",IF(COUNTIFS('Plan versions'!$A$7:$A$306,C98,'Plan versions'!$B$7:$B$306,B98,'Plan versions'!$L$7:$L$306,"Frozen")&lt;&gt;1,"Invalid plan ref",IF(OR(NOT(ISNUMBER(D98)),NOT(ISNUMBER(E98)),F98="",G98="",H98="",M98=""),"Review info missing",IF(COUNTIFS('Update log'!$A$7:$A$306,J98,'Update log'!$B$7:$B$306,B98,'Update log'!$C$7:$C$306,A98)&lt;&gt;1,"Update not registered","Valid input"))))))</x:f>
      </x:c>
    </x:row>
    <x:row r="99" ht="25" customHeight="1">
      <x:c r="A99" s="3"/>
      <x:c r="B99" s="3"/>
      <x:c r="C99" s="3"/>
      <x:c r="D99" s="25"/>
      <x:c r="E99" s="25"/>
      <x:c r="F99" s="3"/>
      <x:c r="G99" s="3"/>
      <x:c r="H99" s="3"/>
      <x:c r="I99" s="3"/>
      <x:c r="J99" s="3"/>
      <x:c r="K99" s="3"/>
      <x:c r="L99" s="20"/>
      <x:c r="M99" s="3"/>
      <x:c r="N99" s="19" t="str">
        <x:f>IF(A99="","",IF(COUNTIFS('Reviews'!$A$7:$A$306,A99)&lt;&gt;1,"Duplicate ID",IF(COUNTIFS('Cases overview'!$A$7:$A$306,B99)&lt;&gt;1,"Invalid case ref",IF(COUNTIFS('Plan versions'!$A$7:$A$306,C99,'Plan versions'!$B$7:$B$306,B99,'Plan versions'!$L$7:$L$306,"Frozen")&lt;&gt;1,"Invalid plan ref",IF(OR(NOT(ISNUMBER(D99)),NOT(ISNUMBER(E99)),F99="",G99="",H99="",M99=""),"Review info missing",IF(COUNTIFS('Update log'!$A$7:$A$306,J99,'Update log'!$B$7:$B$306,B99,'Update log'!$C$7:$C$306,A99)&lt;&gt;1,"Update not registered","Valid input"))))))</x:f>
      </x:c>
    </x:row>
    <x:row r="100" ht="25" customHeight="1">
      <x:c r="A100" s="3"/>
      <x:c r="B100" s="3"/>
      <x:c r="C100" s="3"/>
      <x:c r="D100" s="25"/>
      <x:c r="E100" s="25"/>
      <x:c r="F100" s="3"/>
      <x:c r="G100" s="3"/>
      <x:c r="H100" s="3"/>
      <x:c r="I100" s="3"/>
      <x:c r="J100" s="3"/>
      <x:c r="K100" s="3"/>
      <x:c r="L100" s="20"/>
      <x:c r="M100" s="3"/>
      <x:c r="N100" s="19" t="str">
        <x:f>IF(A100="","",IF(COUNTIFS('Reviews'!$A$7:$A$306,A100)&lt;&gt;1,"Duplicate ID",IF(COUNTIFS('Cases overview'!$A$7:$A$306,B100)&lt;&gt;1,"Invalid case ref",IF(COUNTIFS('Plan versions'!$A$7:$A$306,C100,'Plan versions'!$B$7:$B$306,B100,'Plan versions'!$L$7:$L$306,"Frozen")&lt;&gt;1,"Invalid plan ref",IF(OR(NOT(ISNUMBER(D100)),NOT(ISNUMBER(E100)),F100="",G100="",H100="",M100=""),"Review info missing",IF(COUNTIFS('Update log'!$A$7:$A$306,J100,'Update log'!$B$7:$B$306,B100,'Update log'!$C$7:$C$306,A100)&lt;&gt;1,"Update not registered","Valid input"))))))</x:f>
      </x:c>
    </x:row>
    <x:row r="101" ht="25" customHeight="1">
      <x:c r="A101" s="3"/>
      <x:c r="B101" s="3"/>
      <x:c r="C101" s="3"/>
      <x:c r="D101" s="25"/>
      <x:c r="E101" s="25"/>
      <x:c r="F101" s="3"/>
      <x:c r="G101" s="3"/>
      <x:c r="H101" s="3"/>
      <x:c r="I101" s="3"/>
      <x:c r="J101" s="3"/>
      <x:c r="K101" s="3"/>
      <x:c r="L101" s="20"/>
      <x:c r="M101" s="3"/>
      <x:c r="N101" s="19" t="str">
        <x:f>IF(A101="","",IF(COUNTIFS('Reviews'!$A$7:$A$306,A101)&lt;&gt;1,"Duplicate ID",IF(COUNTIFS('Cases overview'!$A$7:$A$306,B101)&lt;&gt;1,"Invalid case ref",IF(COUNTIFS('Plan versions'!$A$7:$A$306,C101,'Plan versions'!$B$7:$B$306,B101,'Plan versions'!$L$7:$L$306,"Frozen")&lt;&gt;1,"Invalid plan ref",IF(OR(NOT(ISNUMBER(D101)),NOT(ISNUMBER(E101)),F101="",G101="",H101="",M101=""),"Review info missing",IF(COUNTIFS('Update log'!$A$7:$A$306,J101,'Update log'!$B$7:$B$306,B101,'Update log'!$C$7:$C$306,A101)&lt;&gt;1,"Update not registered","Valid input"))))))</x:f>
      </x:c>
    </x:row>
    <x:row r="102" ht="25" customHeight="1">
      <x:c r="A102" s="3"/>
      <x:c r="B102" s="3"/>
      <x:c r="C102" s="3"/>
      <x:c r="D102" s="25"/>
      <x:c r="E102" s="25"/>
      <x:c r="F102" s="3"/>
      <x:c r="G102" s="3"/>
      <x:c r="H102" s="3"/>
      <x:c r="I102" s="3"/>
      <x:c r="J102" s="3"/>
      <x:c r="K102" s="3"/>
      <x:c r="L102" s="20"/>
      <x:c r="M102" s="3"/>
      <x:c r="N102" s="19" t="str">
        <x:f>IF(A102="","",IF(COUNTIFS('Reviews'!$A$7:$A$306,A102)&lt;&gt;1,"Duplicate ID",IF(COUNTIFS('Cases overview'!$A$7:$A$306,B102)&lt;&gt;1,"Invalid case ref",IF(COUNTIFS('Plan versions'!$A$7:$A$306,C102,'Plan versions'!$B$7:$B$306,B102,'Plan versions'!$L$7:$L$306,"Frozen")&lt;&gt;1,"Invalid plan ref",IF(OR(NOT(ISNUMBER(D102)),NOT(ISNUMBER(E102)),F102="",G102="",H102="",M102=""),"Review info missing",IF(COUNTIFS('Update log'!$A$7:$A$306,J102,'Update log'!$B$7:$B$306,B102,'Update log'!$C$7:$C$306,A102)&lt;&gt;1,"Update not registered","Valid input"))))))</x:f>
      </x:c>
    </x:row>
    <x:row r="103" ht="25" customHeight="1">
      <x:c r="A103" s="3"/>
      <x:c r="B103" s="3"/>
      <x:c r="C103" s="3"/>
      <x:c r="D103" s="25"/>
      <x:c r="E103" s="25"/>
      <x:c r="F103" s="3"/>
      <x:c r="G103" s="3"/>
      <x:c r="H103" s="3"/>
      <x:c r="I103" s="3"/>
      <x:c r="J103" s="3"/>
      <x:c r="K103" s="3"/>
      <x:c r="L103" s="20"/>
      <x:c r="M103" s="3"/>
      <x:c r="N103" s="19" t="str">
        <x:f>IF(A103="","",IF(COUNTIFS('Reviews'!$A$7:$A$306,A103)&lt;&gt;1,"Duplicate ID",IF(COUNTIFS('Cases overview'!$A$7:$A$306,B103)&lt;&gt;1,"Invalid case ref",IF(COUNTIFS('Plan versions'!$A$7:$A$306,C103,'Plan versions'!$B$7:$B$306,B103,'Plan versions'!$L$7:$L$306,"Frozen")&lt;&gt;1,"Invalid plan ref",IF(OR(NOT(ISNUMBER(D103)),NOT(ISNUMBER(E103)),F103="",G103="",H103="",M103=""),"Review info missing",IF(COUNTIFS('Update log'!$A$7:$A$306,J103,'Update log'!$B$7:$B$306,B103,'Update log'!$C$7:$C$306,A103)&lt;&gt;1,"Update not registered","Valid input"))))))</x:f>
      </x:c>
    </x:row>
    <x:row r="104" ht="25" customHeight="1">
      <x:c r="A104" s="3"/>
      <x:c r="B104" s="3"/>
      <x:c r="C104" s="3"/>
      <x:c r="D104" s="25"/>
      <x:c r="E104" s="25"/>
      <x:c r="F104" s="3"/>
      <x:c r="G104" s="3"/>
      <x:c r="H104" s="3"/>
      <x:c r="I104" s="3"/>
      <x:c r="J104" s="3"/>
      <x:c r="K104" s="3"/>
      <x:c r="L104" s="20"/>
      <x:c r="M104" s="3"/>
      <x:c r="N104" s="19" t="str">
        <x:f>IF(A104="","",IF(COUNTIFS('Reviews'!$A$7:$A$306,A104)&lt;&gt;1,"Duplicate ID",IF(COUNTIFS('Cases overview'!$A$7:$A$306,B104)&lt;&gt;1,"Invalid case ref",IF(COUNTIFS('Plan versions'!$A$7:$A$306,C104,'Plan versions'!$B$7:$B$306,B104,'Plan versions'!$L$7:$L$306,"Frozen")&lt;&gt;1,"Invalid plan ref",IF(OR(NOT(ISNUMBER(D104)),NOT(ISNUMBER(E104)),F104="",G104="",H104="",M104=""),"Review info missing",IF(COUNTIFS('Update log'!$A$7:$A$306,J104,'Update log'!$B$7:$B$306,B104,'Update log'!$C$7:$C$306,A104)&lt;&gt;1,"Update not registered","Valid input"))))))</x:f>
      </x:c>
    </x:row>
    <x:row r="105" ht="25" customHeight="1">
      <x:c r="A105" s="3"/>
      <x:c r="B105" s="3"/>
      <x:c r="C105" s="3"/>
      <x:c r="D105" s="25"/>
      <x:c r="E105" s="25"/>
      <x:c r="F105" s="3"/>
      <x:c r="G105" s="3"/>
      <x:c r="H105" s="3"/>
      <x:c r="I105" s="3"/>
      <x:c r="J105" s="3"/>
      <x:c r="K105" s="3"/>
      <x:c r="L105" s="20"/>
      <x:c r="M105" s="3"/>
      <x:c r="N105" s="19" t="str">
        <x:f>IF(A105="","",IF(COUNTIFS('Reviews'!$A$7:$A$306,A105)&lt;&gt;1,"Duplicate ID",IF(COUNTIFS('Cases overview'!$A$7:$A$306,B105)&lt;&gt;1,"Invalid case ref",IF(COUNTIFS('Plan versions'!$A$7:$A$306,C105,'Plan versions'!$B$7:$B$306,B105,'Plan versions'!$L$7:$L$306,"Frozen")&lt;&gt;1,"Invalid plan ref",IF(OR(NOT(ISNUMBER(D105)),NOT(ISNUMBER(E105)),F105="",G105="",H105="",M105=""),"Review info missing",IF(COUNTIFS('Update log'!$A$7:$A$306,J105,'Update log'!$B$7:$B$306,B105,'Update log'!$C$7:$C$306,A105)&lt;&gt;1,"Update not registered","Valid input"))))))</x:f>
      </x:c>
    </x:row>
    <x:row r="106" ht="25" customHeight="1">
      <x:c r="A106" s="3"/>
      <x:c r="B106" s="3"/>
      <x:c r="C106" s="3"/>
      <x:c r="D106" s="25"/>
      <x:c r="E106" s="25"/>
      <x:c r="F106" s="3"/>
      <x:c r="G106" s="3"/>
      <x:c r="H106" s="3"/>
      <x:c r="I106" s="3"/>
      <x:c r="J106" s="3"/>
      <x:c r="K106" s="3"/>
      <x:c r="L106" s="20"/>
      <x:c r="M106" s="3"/>
      <x:c r="N106" s="19" t="str">
        <x:f>IF(A106="","",IF(COUNTIFS('Reviews'!$A$7:$A$306,A106)&lt;&gt;1,"Duplicate ID",IF(COUNTIFS('Cases overview'!$A$7:$A$306,B106)&lt;&gt;1,"Invalid case ref",IF(COUNTIFS('Plan versions'!$A$7:$A$306,C106,'Plan versions'!$B$7:$B$306,B106,'Plan versions'!$L$7:$L$306,"Frozen")&lt;&gt;1,"Invalid plan ref",IF(OR(NOT(ISNUMBER(D106)),NOT(ISNUMBER(E106)),F106="",G106="",H106="",M106=""),"Review info missing",IF(COUNTIFS('Update log'!$A$7:$A$306,J106,'Update log'!$B$7:$B$306,B106,'Update log'!$C$7:$C$306,A106)&lt;&gt;1,"Update not registered","Valid input"))))))</x:f>
      </x:c>
    </x:row>
    <x:row r="107" ht="25" customHeight="1">
      <x:c r="A107" s="3"/>
      <x:c r="B107" s="3"/>
      <x:c r="C107" s="3"/>
      <x:c r="D107" s="25"/>
      <x:c r="E107" s="25"/>
      <x:c r="F107" s="3"/>
      <x:c r="G107" s="3"/>
      <x:c r="H107" s="3"/>
      <x:c r="I107" s="3"/>
      <x:c r="J107" s="3"/>
      <x:c r="K107" s="3"/>
      <x:c r="L107" s="20"/>
      <x:c r="M107" s="3"/>
      <x:c r="N107" s="19" t="str">
        <x:f>IF(A107="","",IF(COUNTIFS('Reviews'!$A$7:$A$306,A107)&lt;&gt;1,"Duplicate ID",IF(COUNTIFS('Cases overview'!$A$7:$A$306,B107)&lt;&gt;1,"Invalid case ref",IF(COUNTIFS('Plan versions'!$A$7:$A$306,C107,'Plan versions'!$B$7:$B$306,B107,'Plan versions'!$L$7:$L$306,"Frozen")&lt;&gt;1,"Invalid plan ref",IF(OR(NOT(ISNUMBER(D107)),NOT(ISNUMBER(E107)),F107="",G107="",H107="",M107=""),"Review info missing",IF(COUNTIFS('Update log'!$A$7:$A$306,J107,'Update log'!$B$7:$B$306,B107,'Update log'!$C$7:$C$306,A107)&lt;&gt;1,"Update not registered","Valid input"))))))</x:f>
      </x:c>
    </x:row>
    <x:row r="108" ht="25" customHeight="1">
      <x:c r="A108" s="3"/>
      <x:c r="B108" s="3"/>
      <x:c r="C108" s="3"/>
      <x:c r="D108" s="25"/>
      <x:c r="E108" s="25"/>
      <x:c r="F108" s="3"/>
      <x:c r="G108" s="3"/>
      <x:c r="H108" s="3"/>
      <x:c r="I108" s="3"/>
      <x:c r="J108" s="3"/>
      <x:c r="K108" s="3"/>
      <x:c r="L108" s="20"/>
      <x:c r="M108" s="3"/>
      <x:c r="N108" s="19" t="str">
        <x:f>IF(A108="","",IF(COUNTIFS('Reviews'!$A$7:$A$306,A108)&lt;&gt;1,"Duplicate ID",IF(COUNTIFS('Cases overview'!$A$7:$A$306,B108)&lt;&gt;1,"Invalid case ref",IF(COUNTIFS('Plan versions'!$A$7:$A$306,C108,'Plan versions'!$B$7:$B$306,B108,'Plan versions'!$L$7:$L$306,"Frozen")&lt;&gt;1,"Invalid plan ref",IF(OR(NOT(ISNUMBER(D108)),NOT(ISNUMBER(E108)),F108="",G108="",H108="",M108=""),"Review info missing",IF(COUNTIFS('Update log'!$A$7:$A$306,J108,'Update log'!$B$7:$B$306,B108,'Update log'!$C$7:$C$306,A108)&lt;&gt;1,"Update not registered","Valid input"))))))</x:f>
      </x:c>
    </x:row>
    <x:row r="109" ht="25" customHeight="1">
      <x:c r="A109" s="3"/>
      <x:c r="B109" s="3"/>
      <x:c r="C109" s="3"/>
      <x:c r="D109" s="25"/>
      <x:c r="E109" s="25"/>
      <x:c r="F109" s="3"/>
      <x:c r="G109" s="3"/>
      <x:c r="H109" s="3"/>
      <x:c r="I109" s="3"/>
      <x:c r="J109" s="3"/>
      <x:c r="K109" s="3"/>
      <x:c r="L109" s="20"/>
      <x:c r="M109" s="3"/>
      <x:c r="N109" s="19" t="str">
        <x:f>IF(A109="","",IF(COUNTIFS('Reviews'!$A$7:$A$306,A109)&lt;&gt;1,"Duplicate ID",IF(COUNTIFS('Cases overview'!$A$7:$A$306,B109)&lt;&gt;1,"Invalid case ref",IF(COUNTIFS('Plan versions'!$A$7:$A$306,C109,'Plan versions'!$B$7:$B$306,B109,'Plan versions'!$L$7:$L$306,"Frozen")&lt;&gt;1,"Invalid plan ref",IF(OR(NOT(ISNUMBER(D109)),NOT(ISNUMBER(E109)),F109="",G109="",H109="",M109=""),"Review info missing",IF(COUNTIFS('Update log'!$A$7:$A$306,J109,'Update log'!$B$7:$B$306,B109,'Update log'!$C$7:$C$306,A109)&lt;&gt;1,"Update not registered","Valid input"))))))</x:f>
      </x:c>
    </x:row>
    <x:row r="110" ht="25" customHeight="1">
      <x:c r="A110" s="3"/>
      <x:c r="B110" s="3"/>
      <x:c r="C110" s="3"/>
      <x:c r="D110" s="25"/>
      <x:c r="E110" s="25"/>
      <x:c r="F110" s="3"/>
      <x:c r="G110" s="3"/>
      <x:c r="H110" s="3"/>
      <x:c r="I110" s="3"/>
      <x:c r="J110" s="3"/>
      <x:c r="K110" s="3"/>
      <x:c r="L110" s="20"/>
      <x:c r="M110" s="3"/>
      <x:c r="N110" s="19" t="str">
        <x:f>IF(A110="","",IF(COUNTIFS('Reviews'!$A$7:$A$306,A110)&lt;&gt;1,"Duplicate ID",IF(COUNTIFS('Cases overview'!$A$7:$A$306,B110)&lt;&gt;1,"Invalid case ref",IF(COUNTIFS('Plan versions'!$A$7:$A$306,C110,'Plan versions'!$B$7:$B$306,B110,'Plan versions'!$L$7:$L$306,"Frozen")&lt;&gt;1,"Invalid plan ref",IF(OR(NOT(ISNUMBER(D110)),NOT(ISNUMBER(E110)),F110="",G110="",H110="",M110=""),"Review info missing",IF(COUNTIFS('Update log'!$A$7:$A$306,J110,'Update log'!$B$7:$B$306,B110,'Update log'!$C$7:$C$306,A110)&lt;&gt;1,"Update not registered","Valid input"))))))</x:f>
      </x:c>
    </x:row>
    <x:row r="111" ht="25" customHeight="1">
      <x:c r="A111" s="3"/>
      <x:c r="B111" s="3"/>
      <x:c r="C111" s="3"/>
      <x:c r="D111" s="25"/>
      <x:c r="E111" s="25"/>
      <x:c r="F111" s="3"/>
      <x:c r="G111" s="3"/>
      <x:c r="H111" s="3"/>
      <x:c r="I111" s="3"/>
      <x:c r="J111" s="3"/>
      <x:c r="K111" s="3"/>
      <x:c r="L111" s="20"/>
      <x:c r="M111" s="3"/>
      <x:c r="N111" s="19" t="str">
        <x:f>IF(A111="","",IF(COUNTIFS('Reviews'!$A$7:$A$306,A111)&lt;&gt;1,"Duplicate ID",IF(COUNTIFS('Cases overview'!$A$7:$A$306,B111)&lt;&gt;1,"Invalid case ref",IF(COUNTIFS('Plan versions'!$A$7:$A$306,C111,'Plan versions'!$B$7:$B$306,B111,'Plan versions'!$L$7:$L$306,"Frozen")&lt;&gt;1,"Invalid plan ref",IF(OR(NOT(ISNUMBER(D111)),NOT(ISNUMBER(E111)),F111="",G111="",H111="",M111=""),"Review info missing",IF(COUNTIFS('Update log'!$A$7:$A$306,J111,'Update log'!$B$7:$B$306,B111,'Update log'!$C$7:$C$306,A111)&lt;&gt;1,"Update not registered","Valid input"))))))</x:f>
      </x:c>
    </x:row>
    <x:row r="112" ht="25" customHeight="1">
      <x:c r="A112" s="3"/>
      <x:c r="B112" s="3"/>
      <x:c r="C112" s="3"/>
      <x:c r="D112" s="25"/>
      <x:c r="E112" s="25"/>
      <x:c r="F112" s="3"/>
      <x:c r="G112" s="3"/>
      <x:c r="H112" s="3"/>
      <x:c r="I112" s="3"/>
      <x:c r="J112" s="3"/>
      <x:c r="K112" s="3"/>
      <x:c r="L112" s="20"/>
      <x:c r="M112" s="3"/>
      <x:c r="N112" s="19" t="str">
        <x:f>IF(A112="","",IF(COUNTIFS('Reviews'!$A$7:$A$306,A112)&lt;&gt;1,"Duplicate ID",IF(COUNTIFS('Cases overview'!$A$7:$A$306,B112)&lt;&gt;1,"Invalid case ref",IF(COUNTIFS('Plan versions'!$A$7:$A$306,C112,'Plan versions'!$B$7:$B$306,B112,'Plan versions'!$L$7:$L$306,"Frozen")&lt;&gt;1,"Invalid plan ref",IF(OR(NOT(ISNUMBER(D112)),NOT(ISNUMBER(E112)),F112="",G112="",H112="",M112=""),"Review info missing",IF(COUNTIFS('Update log'!$A$7:$A$306,J112,'Update log'!$B$7:$B$306,B112,'Update log'!$C$7:$C$306,A112)&lt;&gt;1,"Update not registered","Valid input"))))))</x:f>
      </x:c>
    </x:row>
    <x:row r="113" ht="25" customHeight="1">
      <x:c r="A113" s="3"/>
      <x:c r="B113" s="3"/>
      <x:c r="C113" s="3"/>
      <x:c r="D113" s="25"/>
      <x:c r="E113" s="25"/>
      <x:c r="F113" s="3"/>
      <x:c r="G113" s="3"/>
      <x:c r="H113" s="3"/>
      <x:c r="I113" s="3"/>
      <x:c r="J113" s="3"/>
      <x:c r="K113" s="3"/>
      <x:c r="L113" s="20"/>
      <x:c r="M113" s="3"/>
      <x:c r="N113" s="19" t="str">
        <x:f>IF(A113="","",IF(COUNTIFS('Reviews'!$A$7:$A$306,A113)&lt;&gt;1,"Duplicate ID",IF(COUNTIFS('Cases overview'!$A$7:$A$306,B113)&lt;&gt;1,"Invalid case ref",IF(COUNTIFS('Plan versions'!$A$7:$A$306,C113,'Plan versions'!$B$7:$B$306,B113,'Plan versions'!$L$7:$L$306,"Frozen")&lt;&gt;1,"Invalid plan ref",IF(OR(NOT(ISNUMBER(D113)),NOT(ISNUMBER(E113)),F113="",G113="",H113="",M113=""),"Review info missing",IF(COUNTIFS('Update log'!$A$7:$A$306,J113,'Update log'!$B$7:$B$306,B113,'Update log'!$C$7:$C$306,A113)&lt;&gt;1,"Update not registered","Valid input"))))))</x:f>
      </x:c>
    </x:row>
    <x:row r="114" ht="25" customHeight="1">
      <x:c r="A114" s="3"/>
      <x:c r="B114" s="3"/>
      <x:c r="C114" s="3"/>
      <x:c r="D114" s="25"/>
      <x:c r="E114" s="25"/>
      <x:c r="F114" s="3"/>
      <x:c r="G114" s="3"/>
      <x:c r="H114" s="3"/>
      <x:c r="I114" s="3"/>
      <x:c r="J114" s="3"/>
      <x:c r="K114" s="3"/>
      <x:c r="L114" s="20"/>
      <x:c r="M114" s="3"/>
      <x:c r="N114" s="19" t="str">
        <x:f>IF(A114="","",IF(COUNTIFS('Reviews'!$A$7:$A$306,A114)&lt;&gt;1,"Duplicate ID",IF(COUNTIFS('Cases overview'!$A$7:$A$306,B114)&lt;&gt;1,"Invalid case ref",IF(COUNTIFS('Plan versions'!$A$7:$A$306,C114,'Plan versions'!$B$7:$B$306,B114,'Plan versions'!$L$7:$L$306,"Frozen")&lt;&gt;1,"Invalid plan ref",IF(OR(NOT(ISNUMBER(D114)),NOT(ISNUMBER(E114)),F114="",G114="",H114="",M114=""),"Review info missing",IF(COUNTIFS('Update log'!$A$7:$A$306,J114,'Update log'!$B$7:$B$306,B114,'Update log'!$C$7:$C$306,A114)&lt;&gt;1,"Update not registered","Valid input"))))))</x:f>
      </x:c>
    </x:row>
    <x:row r="115" ht="25" customHeight="1">
      <x:c r="A115" s="3"/>
      <x:c r="B115" s="3"/>
      <x:c r="C115" s="3"/>
      <x:c r="D115" s="25"/>
      <x:c r="E115" s="25"/>
      <x:c r="F115" s="3"/>
      <x:c r="G115" s="3"/>
      <x:c r="H115" s="3"/>
      <x:c r="I115" s="3"/>
      <x:c r="J115" s="3"/>
      <x:c r="K115" s="3"/>
      <x:c r="L115" s="20"/>
      <x:c r="M115" s="3"/>
      <x:c r="N115" s="19" t="str">
        <x:f>IF(A115="","",IF(COUNTIFS('Reviews'!$A$7:$A$306,A115)&lt;&gt;1,"Duplicate ID",IF(COUNTIFS('Cases overview'!$A$7:$A$306,B115)&lt;&gt;1,"Invalid case ref",IF(COUNTIFS('Plan versions'!$A$7:$A$306,C115,'Plan versions'!$B$7:$B$306,B115,'Plan versions'!$L$7:$L$306,"Frozen")&lt;&gt;1,"Invalid plan ref",IF(OR(NOT(ISNUMBER(D115)),NOT(ISNUMBER(E115)),F115="",G115="",H115="",M115=""),"Review info missing",IF(COUNTIFS('Update log'!$A$7:$A$306,J115,'Update log'!$B$7:$B$306,B115,'Update log'!$C$7:$C$306,A115)&lt;&gt;1,"Update not registered","Valid input"))))))</x:f>
      </x:c>
    </x:row>
    <x:row r="116" ht="25" customHeight="1">
      <x:c r="A116" s="3"/>
      <x:c r="B116" s="3"/>
      <x:c r="C116" s="3"/>
      <x:c r="D116" s="25"/>
      <x:c r="E116" s="25"/>
      <x:c r="F116" s="3"/>
      <x:c r="G116" s="3"/>
      <x:c r="H116" s="3"/>
      <x:c r="I116" s="3"/>
      <x:c r="J116" s="3"/>
      <x:c r="K116" s="3"/>
      <x:c r="L116" s="20"/>
      <x:c r="M116" s="3"/>
      <x:c r="N116" s="19" t="str">
        <x:f>IF(A116="","",IF(COUNTIFS('Reviews'!$A$7:$A$306,A116)&lt;&gt;1,"Duplicate ID",IF(COUNTIFS('Cases overview'!$A$7:$A$306,B116)&lt;&gt;1,"Invalid case ref",IF(COUNTIFS('Plan versions'!$A$7:$A$306,C116,'Plan versions'!$B$7:$B$306,B116,'Plan versions'!$L$7:$L$306,"Frozen")&lt;&gt;1,"Invalid plan ref",IF(OR(NOT(ISNUMBER(D116)),NOT(ISNUMBER(E116)),F116="",G116="",H116="",M116=""),"Review info missing",IF(COUNTIFS('Update log'!$A$7:$A$306,J116,'Update log'!$B$7:$B$306,B116,'Update log'!$C$7:$C$306,A116)&lt;&gt;1,"Update not registered","Valid input"))))))</x:f>
      </x:c>
    </x:row>
    <x:row r="117" ht="25" customHeight="1">
      <x:c r="A117" s="3"/>
      <x:c r="B117" s="3"/>
      <x:c r="C117" s="3"/>
      <x:c r="D117" s="25"/>
      <x:c r="E117" s="25"/>
      <x:c r="F117" s="3"/>
      <x:c r="G117" s="3"/>
      <x:c r="H117" s="3"/>
      <x:c r="I117" s="3"/>
      <x:c r="J117" s="3"/>
      <x:c r="K117" s="3"/>
      <x:c r="L117" s="20"/>
      <x:c r="M117" s="3"/>
      <x:c r="N117" s="19" t="str">
        <x:f>IF(A117="","",IF(COUNTIFS('Reviews'!$A$7:$A$306,A117)&lt;&gt;1,"Duplicate ID",IF(COUNTIFS('Cases overview'!$A$7:$A$306,B117)&lt;&gt;1,"Invalid case ref",IF(COUNTIFS('Plan versions'!$A$7:$A$306,C117,'Plan versions'!$B$7:$B$306,B117,'Plan versions'!$L$7:$L$306,"Frozen")&lt;&gt;1,"Invalid plan ref",IF(OR(NOT(ISNUMBER(D117)),NOT(ISNUMBER(E117)),F117="",G117="",H117="",M117=""),"Review info missing",IF(COUNTIFS('Update log'!$A$7:$A$306,J117,'Update log'!$B$7:$B$306,B117,'Update log'!$C$7:$C$306,A117)&lt;&gt;1,"Update not registered","Valid input"))))))</x:f>
      </x:c>
    </x:row>
    <x:row r="118" ht="25" customHeight="1">
      <x:c r="A118" s="3"/>
      <x:c r="B118" s="3"/>
      <x:c r="C118" s="3"/>
      <x:c r="D118" s="25"/>
      <x:c r="E118" s="25"/>
      <x:c r="F118" s="3"/>
      <x:c r="G118" s="3"/>
      <x:c r="H118" s="3"/>
      <x:c r="I118" s="3"/>
      <x:c r="J118" s="3"/>
      <x:c r="K118" s="3"/>
      <x:c r="L118" s="20"/>
      <x:c r="M118" s="3"/>
      <x:c r="N118" s="19" t="str">
        <x:f>IF(A118="","",IF(COUNTIFS('Reviews'!$A$7:$A$306,A118)&lt;&gt;1,"Duplicate ID",IF(COUNTIFS('Cases overview'!$A$7:$A$306,B118)&lt;&gt;1,"Invalid case ref",IF(COUNTIFS('Plan versions'!$A$7:$A$306,C118,'Plan versions'!$B$7:$B$306,B118,'Plan versions'!$L$7:$L$306,"Frozen")&lt;&gt;1,"Invalid plan ref",IF(OR(NOT(ISNUMBER(D118)),NOT(ISNUMBER(E118)),F118="",G118="",H118="",M118=""),"Review info missing",IF(COUNTIFS('Update log'!$A$7:$A$306,J118,'Update log'!$B$7:$B$306,B118,'Update log'!$C$7:$C$306,A118)&lt;&gt;1,"Update not registered","Valid input"))))))</x:f>
      </x:c>
    </x:row>
    <x:row r="119" ht="25" customHeight="1">
      <x:c r="A119" s="3"/>
      <x:c r="B119" s="3"/>
      <x:c r="C119" s="3"/>
      <x:c r="D119" s="25"/>
      <x:c r="E119" s="25"/>
      <x:c r="F119" s="3"/>
      <x:c r="G119" s="3"/>
      <x:c r="H119" s="3"/>
      <x:c r="I119" s="3"/>
      <x:c r="J119" s="3"/>
      <x:c r="K119" s="3"/>
      <x:c r="L119" s="20"/>
      <x:c r="M119" s="3"/>
      <x:c r="N119" s="19" t="str">
        <x:f>IF(A119="","",IF(COUNTIFS('Reviews'!$A$7:$A$306,A119)&lt;&gt;1,"Duplicate ID",IF(COUNTIFS('Cases overview'!$A$7:$A$306,B119)&lt;&gt;1,"Invalid case ref",IF(COUNTIFS('Plan versions'!$A$7:$A$306,C119,'Plan versions'!$B$7:$B$306,B119,'Plan versions'!$L$7:$L$306,"Frozen")&lt;&gt;1,"Invalid plan ref",IF(OR(NOT(ISNUMBER(D119)),NOT(ISNUMBER(E119)),F119="",G119="",H119="",M119=""),"Review info missing",IF(COUNTIFS('Update log'!$A$7:$A$306,J119,'Update log'!$B$7:$B$306,B119,'Update log'!$C$7:$C$306,A119)&lt;&gt;1,"Update not registered","Valid input"))))))</x:f>
      </x:c>
    </x:row>
    <x:row r="120" ht="25" customHeight="1">
      <x:c r="A120" s="3"/>
      <x:c r="B120" s="3"/>
      <x:c r="C120" s="3"/>
      <x:c r="D120" s="25"/>
      <x:c r="E120" s="25"/>
      <x:c r="F120" s="3"/>
      <x:c r="G120" s="3"/>
      <x:c r="H120" s="3"/>
      <x:c r="I120" s="3"/>
      <x:c r="J120" s="3"/>
      <x:c r="K120" s="3"/>
      <x:c r="L120" s="20"/>
      <x:c r="M120" s="3"/>
      <x:c r="N120" s="19" t="str">
        <x:f>IF(A120="","",IF(COUNTIFS('Reviews'!$A$7:$A$306,A120)&lt;&gt;1,"Duplicate ID",IF(COUNTIFS('Cases overview'!$A$7:$A$306,B120)&lt;&gt;1,"Invalid case ref",IF(COUNTIFS('Plan versions'!$A$7:$A$306,C120,'Plan versions'!$B$7:$B$306,B120,'Plan versions'!$L$7:$L$306,"Frozen")&lt;&gt;1,"Invalid plan ref",IF(OR(NOT(ISNUMBER(D120)),NOT(ISNUMBER(E120)),F120="",G120="",H120="",M120=""),"Review info missing",IF(COUNTIFS('Update log'!$A$7:$A$306,J120,'Update log'!$B$7:$B$306,B120,'Update log'!$C$7:$C$306,A120)&lt;&gt;1,"Update not registered","Valid input"))))))</x:f>
      </x:c>
    </x:row>
    <x:row r="121" ht="25" customHeight="1">
      <x:c r="A121" s="3"/>
      <x:c r="B121" s="3"/>
      <x:c r="C121" s="3"/>
      <x:c r="D121" s="25"/>
      <x:c r="E121" s="25"/>
      <x:c r="F121" s="3"/>
      <x:c r="G121" s="3"/>
      <x:c r="H121" s="3"/>
      <x:c r="I121" s="3"/>
      <x:c r="J121" s="3"/>
      <x:c r="K121" s="3"/>
      <x:c r="L121" s="20"/>
      <x:c r="M121" s="3"/>
      <x:c r="N121" s="19" t="str">
        <x:f>IF(A121="","",IF(COUNTIFS('Reviews'!$A$7:$A$306,A121)&lt;&gt;1,"Duplicate ID",IF(COUNTIFS('Cases overview'!$A$7:$A$306,B121)&lt;&gt;1,"Invalid case ref",IF(COUNTIFS('Plan versions'!$A$7:$A$306,C121,'Plan versions'!$B$7:$B$306,B121,'Plan versions'!$L$7:$L$306,"Frozen")&lt;&gt;1,"Invalid plan ref",IF(OR(NOT(ISNUMBER(D121)),NOT(ISNUMBER(E121)),F121="",G121="",H121="",M121=""),"Review info missing",IF(COUNTIFS('Update log'!$A$7:$A$306,J121,'Update log'!$B$7:$B$306,B121,'Update log'!$C$7:$C$306,A121)&lt;&gt;1,"Update not registered","Valid input"))))))</x:f>
      </x:c>
    </x:row>
    <x:row r="122" ht="25" customHeight="1">
      <x:c r="A122" s="3"/>
      <x:c r="B122" s="3"/>
      <x:c r="C122" s="3"/>
      <x:c r="D122" s="25"/>
      <x:c r="E122" s="25"/>
      <x:c r="F122" s="3"/>
      <x:c r="G122" s="3"/>
      <x:c r="H122" s="3"/>
      <x:c r="I122" s="3"/>
      <x:c r="J122" s="3"/>
      <x:c r="K122" s="3"/>
      <x:c r="L122" s="20"/>
      <x:c r="M122" s="3"/>
      <x:c r="N122" s="19" t="str">
        <x:f>IF(A122="","",IF(COUNTIFS('Reviews'!$A$7:$A$306,A122)&lt;&gt;1,"Duplicate ID",IF(COUNTIFS('Cases overview'!$A$7:$A$306,B122)&lt;&gt;1,"Invalid case ref",IF(COUNTIFS('Plan versions'!$A$7:$A$306,C122,'Plan versions'!$B$7:$B$306,B122,'Plan versions'!$L$7:$L$306,"Frozen")&lt;&gt;1,"Invalid plan ref",IF(OR(NOT(ISNUMBER(D122)),NOT(ISNUMBER(E122)),F122="",G122="",H122="",M122=""),"Review info missing",IF(COUNTIFS('Update log'!$A$7:$A$306,J122,'Update log'!$B$7:$B$306,B122,'Update log'!$C$7:$C$306,A122)&lt;&gt;1,"Update not registered","Valid input"))))))</x:f>
      </x:c>
    </x:row>
    <x:row r="123" ht="25" customHeight="1">
      <x:c r="A123" s="3"/>
      <x:c r="B123" s="3"/>
      <x:c r="C123" s="3"/>
      <x:c r="D123" s="25"/>
      <x:c r="E123" s="25"/>
      <x:c r="F123" s="3"/>
      <x:c r="G123" s="3"/>
      <x:c r="H123" s="3"/>
      <x:c r="I123" s="3"/>
      <x:c r="J123" s="3"/>
      <x:c r="K123" s="3"/>
      <x:c r="L123" s="20"/>
      <x:c r="M123" s="3"/>
      <x:c r="N123" s="19" t="str">
        <x:f>IF(A123="","",IF(COUNTIFS('Reviews'!$A$7:$A$306,A123)&lt;&gt;1,"Duplicate ID",IF(COUNTIFS('Cases overview'!$A$7:$A$306,B123)&lt;&gt;1,"Invalid case ref",IF(COUNTIFS('Plan versions'!$A$7:$A$306,C123,'Plan versions'!$B$7:$B$306,B123,'Plan versions'!$L$7:$L$306,"Frozen")&lt;&gt;1,"Invalid plan ref",IF(OR(NOT(ISNUMBER(D123)),NOT(ISNUMBER(E123)),F123="",G123="",H123="",M123=""),"Review info missing",IF(COUNTIFS('Update log'!$A$7:$A$306,J123,'Update log'!$B$7:$B$306,B123,'Update log'!$C$7:$C$306,A123)&lt;&gt;1,"Update not registered","Valid input"))))))</x:f>
      </x:c>
    </x:row>
    <x:row r="124" ht="25" customHeight="1">
      <x:c r="A124" s="3"/>
      <x:c r="B124" s="3"/>
      <x:c r="C124" s="3"/>
      <x:c r="D124" s="25"/>
      <x:c r="E124" s="25"/>
      <x:c r="F124" s="3"/>
      <x:c r="G124" s="3"/>
      <x:c r="H124" s="3"/>
      <x:c r="I124" s="3"/>
      <x:c r="J124" s="3"/>
      <x:c r="K124" s="3"/>
      <x:c r="L124" s="20"/>
      <x:c r="M124" s="3"/>
      <x:c r="N124" s="19" t="str">
        <x:f>IF(A124="","",IF(COUNTIFS('Reviews'!$A$7:$A$306,A124)&lt;&gt;1,"Duplicate ID",IF(COUNTIFS('Cases overview'!$A$7:$A$306,B124)&lt;&gt;1,"Invalid case ref",IF(COUNTIFS('Plan versions'!$A$7:$A$306,C124,'Plan versions'!$B$7:$B$306,B124,'Plan versions'!$L$7:$L$306,"Frozen")&lt;&gt;1,"Invalid plan ref",IF(OR(NOT(ISNUMBER(D124)),NOT(ISNUMBER(E124)),F124="",G124="",H124="",M124=""),"Review info missing",IF(COUNTIFS('Update log'!$A$7:$A$306,J124,'Update log'!$B$7:$B$306,B124,'Update log'!$C$7:$C$306,A124)&lt;&gt;1,"Update not registered","Valid input"))))))</x:f>
      </x:c>
    </x:row>
    <x:row r="125" ht="25" customHeight="1">
      <x:c r="A125" s="3"/>
      <x:c r="B125" s="3"/>
      <x:c r="C125" s="3"/>
      <x:c r="D125" s="25"/>
      <x:c r="E125" s="25"/>
      <x:c r="F125" s="3"/>
      <x:c r="G125" s="3"/>
      <x:c r="H125" s="3"/>
      <x:c r="I125" s="3"/>
      <x:c r="J125" s="3"/>
      <x:c r="K125" s="3"/>
      <x:c r="L125" s="20"/>
      <x:c r="M125" s="3"/>
      <x:c r="N125" s="19" t="str">
        <x:f>IF(A125="","",IF(COUNTIFS('Reviews'!$A$7:$A$306,A125)&lt;&gt;1,"Duplicate ID",IF(COUNTIFS('Cases overview'!$A$7:$A$306,B125)&lt;&gt;1,"Invalid case ref",IF(COUNTIFS('Plan versions'!$A$7:$A$306,C125,'Plan versions'!$B$7:$B$306,B125,'Plan versions'!$L$7:$L$306,"Frozen")&lt;&gt;1,"Invalid plan ref",IF(OR(NOT(ISNUMBER(D125)),NOT(ISNUMBER(E125)),F125="",G125="",H125="",M125=""),"Review info missing",IF(COUNTIFS('Update log'!$A$7:$A$306,J125,'Update log'!$B$7:$B$306,B125,'Update log'!$C$7:$C$306,A125)&lt;&gt;1,"Update not registered","Valid input"))))))</x:f>
      </x:c>
    </x:row>
    <x:row r="126" ht="25" customHeight="1">
      <x:c r="A126" s="3"/>
      <x:c r="B126" s="3"/>
      <x:c r="C126" s="3"/>
      <x:c r="D126" s="25"/>
      <x:c r="E126" s="25"/>
      <x:c r="F126" s="3"/>
      <x:c r="G126" s="3"/>
      <x:c r="H126" s="3"/>
      <x:c r="I126" s="3"/>
      <x:c r="J126" s="3"/>
      <x:c r="K126" s="3"/>
      <x:c r="L126" s="20"/>
      <x:c r="M126" s="3"/>
      <x:c r="N126" s="19" t="str">
        <x:f>IF(A126="","",IF(COUNTIFS('Reviews'!$A$7:$A$306,A126)&lt;&gt;1,"Duplicate ID",IF(COUNTIFS('Cases overview'!$A$7:$A$306,B126)&lt;&gt;1,"Invalid case ref",IF(COUNTIFS('Plan versions'!$A$7:$A$306,C126,'Plan versions'!$B$7:$B$306,B126,'Plan versions'!$L$7:$L$306,"Frozen")&lt;&gt;1,"Invalid plan ref",IF(OR(NOT(ISNUMBER(D126)),NOT(ISNUMBER(E126)),F126="",G126="",H126="",M126=""),"Review info missing",IF(COUNTIFS('Update log'!$A$7:$A$306,J126,'Update log'!$B$7:$B$306,B126,'Update log'!$C$7:$C$306,A126)&lt;&gt;1,"Update not registered","Valid input"))))))</x:f>
      </x:c>
    </x:row>
    <x:row r="127" ht="25" customHeight="1">
      <x:c r="A127" s="3"/>
      <x:c r="B127" s="3"/>
      <x:c r="C127" s="3"/>
      <x:c r="D127" s="25"/>
      <x:c r="E127" s="25"/>
      <x:c r="F127" s="3"/>
      <x:c r="G127" s="3"/>
      <x:c r="H127" s="3"/>
      <x:c r="I127" s="3"/>
      <x:c r="J127" s="3"/>
      <x:c r="K127" s="3"/>
      <x:c r="L127" s="20"/>
      <x:c r="M127" s="3"/>
      <x:c r="N127" s="19" t="str">
        <x:f>IF(A127="","",IF(COUNTIFS('Reviews'!$A$7:$A$306,A127)&lt;&gt;1,"Duplicate ID",IF(COUNTIFS('Cases overview'!$A$7:$A$306,B127)&lt;&gt;1,"Invalid case ref",IF(COUNTIFS('Plan versions'!$A$7:$A$306,C127,'Plan versions'!$B$7:$B$306,B127,'Plan versions'!$L$7:$L$306,"Frozen")&lt;&gt;1,"Invalid plan ref",IF(OR(NOT(ISNUMBER(D127)),NOT(ISNUMBER(E127)),F127="",G127="",H127="",M127=""),"Review info missing",IF(COUNTIFS('Update log'!$A$7:$A$306,J127,'Update log'!$B$7:$B$306,B127,'Update log'!$C$7:$C$306,A127)&lt;&gt;1,"Update not registered","Valid input"))))))</x:f>
      </x:c>
    </x:row>
    <x:row r="128" ht="25" customHeight="1">
      <x:c r="A128" s="3"/>
      <x:c r="B128" s="3"/>
      <x:c r="C128" s="3"/>
      <x:c r="D128" s="25"/>
      <x:c r="E128" s="25"/>
      <x:c r="F128" s="3"/>
      <x:c r="G128" s="3"/>
      <x:c r="H128" s="3"/>
      <x:c r="I128" s="3"/>
      <x:c r="J128" s="3"/>
      <x:c r="K128" s="3"/>
      <x:c r="L128" s="20"/>
      <x:c r="M128" s="3"/>
      <x:c r="N128" s="19" t="str">
        <x:f>IF(A128="","",IF(COUNTIFS('Reviews'!$A$7:$A$306,A128)&lt;&gt;1,"Duplicate ID",IF(COUNTIFS('Cases overview'!$A$7:$A$306,B128)&lt;&gt;1,"Invalid case ref",IF(COUNTIFS('Plan versions'!$A$7:$A$306,C128,'Plan versions'!$B$7:$B$306,B128,'Plan versions'!$L$7:$L$306,"Frozen")&lt;&gt;1,"Invalid plan ref",IF(OR(NOT(ISNUMBER(D128)),NOT(ISNUMBER(E128)),F128="",G128="",H128="",M128=""),"Review info missing",IF(COUNTIFS('Update log'!$A$7:$A$306,J128,'Update log'!$B$7:$B$306,B128,'Update log'!$C$7:$C$306,A128)&lt;&gt;1,"Update not registered","Valid input"))))))</x:f>
      </x:c>
    </x:row>
    <x:row r="129" ht="25" customHeight="1">
      <x:c r="A129" s="3"/>
      <x:c r="B129" s="3"/>
      <x:c r="C129" s="3"/>
      <x:c r="D129" s="25"/>
      <x:c r="E129" s="25"/>
      <x:c r="F129" s="3"/>
      <x:c r="G129" s="3"/>
      <x:c r="H129" s="3"/>
      <x:c r="I129" s="3"/>
      <x:c r="J129" s="3"/>
      <x:c r="K129" s="3"/>
      <x:c r="L129" s="20"/>
      <x:c r="M129" s="3"/>
      <x:c r="N129" s="19" t="str">
        <x:f>IF(A129="","",IF(COUNTIFS('Reviews'!$A$7:$A$306,A129)&lt;&gt;1,"Duplicate ID",IF(COUNTIFS('Cases overview'!$A$7:$A$306,B129)&lt;&gt;1,"Invalid case ref",IF(COUNTIFS('Plan versions'!$A$7:$A$306,C129,'Plan versions'!$B$7:$B$306,B129,'Plan versions'!$L$7:$L$306,"Frozen")&lt;&gt;1,"Invalid plan ref",IF(OR(NOT(ISNUMBER(D129)),NOT(ISNUMBER(E129)),F129="",G129="",H129="",M129=""),"Review info missing",IF(COUNTIFS('Update log'!$A$7:$A$306,J129,'Update log'!$B$7:$B$306,B129,'Update log'!$C$7:$C$306,A129)&lt;&gt;1,"Update not registered","Valid input"))))))</x:f>
      </x:c>
    </x:row>
    <x:row r="130" ht="25" customHeight="1">
      <x:c r="A130" s="3"/>
      <x:c r="B130" s="3"/>
      <x:c r="C130" s="3"/>
      <x:c r="D130" s="25"/>
      <x:c r="E130" s="25"/>
      <x:c r="F130" s="3"/>
      <x:c r="G130" s="3"/>
      <x:c r="H130" s="3"/>
      <x:c r="I130" s="3"/>
      <x:c r="J130" s="3"/>
      <x:c r="K130" s="3"/>
      <x:c r="L130" s="20"/>
      <x:c r="M130" s="3"/>
      <x:c r="N130" s="19" t="str">
        <x:f>IF(A130="","",IF(COUNTIFS('Reviews'!$A$7:$A$306,A130)&lt;&gt;1,"Duplicate ID",IF(COUNTIFS('Cases overview'!$A$7:$A$306,B130)&lt;&gt;1,"Invalid case ref",IF(COUNTIFS('Plan versions'!$A$7:$A$306,C130,'Plan versions'!$B$7:$B$306,B130,'Plan versions'!$L$7:$L$306,"Frozen")&lt;&gt;1,"Invalid plan ref",IF(OR(NOT(ISNUMBER(D130)),NOT(ISNUMBER(E130)),F130="",G130="",H130="",M130=""),"Review info missing",IF(COUNTIFS('Update log'!$A$7:$A$306,J130,'Update log'!$B$7:$B$306,B130,'Update log'!$C$7:$C$306,A130)&lt;&gt;1,"Update not registered","Valid input"))))))</x:f>
      </x:c>
    </x:row>
    <x:row r="131" ht="25" customHeight="1">
      <x:c r="A131" s="3"/>
      <x:c r="B131" s="3"/>
      <x:c r="C131" s="3"/>
      <x:c r="D131" s="25"/>
      <x:c r="E131" s="25"/>
      <x:c r="F131" s="3"/>
      <x:c r="G131" s="3"/>
      <x:c r="H131" s="3"/>
      <x:c r="I131" s="3"/>
      <x:c r="J131" s="3"/>
      <x:c r="K131" s="3"/>
      <x:c r="L131" s="20"/>
      <x:c r="M131" s="3"/>
      <x:c r="N131" s="19" t="str">
        <x:f>IF(A131="","",IF(COUNTIFS('Reviews'!$A$7:$A$306,A131)&lt;&gt;1,"Duplicate ID",IF(COUNTIFS('Cases overview'!$A$7:$A$306,B131)&lt;&gt;1,"Invalid case ref",IF(COUNTIFS('Plan versions'!$A$7:$A$306,C131,'Plan versions'!$B$7:$B$306,B131,'Plan versions'!$L$7:$L$306,"Frozen")&lt;&gt;1,"Invalid plan ref",IF(OR(NOT(ISNUMBER(D131)),NOT(ISNUMBER(E131)),F131="",G131="",H131="",M131=""),"Review info missing",IF(COUNTIFS('Update log'!$A$7:$A$306,J131,'Update log'!$B$7:$B$306,B131,'Update log'!$C$7:$C$306,A131)&lt;&gt;1,"Update not registered","Valid input"))))))</x:f>
      </x:c>
    </x:row>
    <x:row r="132" ht="25" customHeight="1">
      <x:c r="A132" s="3"/>
      <x:c r="B132" s="3"/>
      <x:c r="C132" s="3"/>
      <x:c r="D132" s="25"/>
      <x:c r="E132" s="25"/>
      <x:c r="F132" s="3"/>
      <x:c r="G132" s="3"/>
      <x:c r="H132" s="3"/>
      <x:c r="I132" s="3"/>
      <x:c r="J132" s="3"/>
      <x:c r="K132" s="3"/>
      <x:c r="L132" s="20"/>
      <x:c r="M132" s="3"/>
      <x:c r="N132" s="19" t="str">
        <x:f>IF(A132="","",IF(COUNTIFS('Reviews'!$A$7:$A$306,A132)&lt;&gt;1,"Duplicate ID",IF(COUNTIFS('Cases overview'!$A$7:$A$306,B132)&lt;&gt;1,"Invalid case ref",IF(COUNTIFS('Plan versions'!$A$7:$A$306,C132,'Plan versions'!$B$7:$B$306,B132,'Plan versions'!$L$7:$L$306,"Frozen")&lt;&gt;1,"Invalid plan ref",IF(OR(NOT(ISNUMBER(D132)),NOT(ISNUMBER(E132)),F132="",G132="",H132="",M132=""),"Review info missing",IF(COUNTIFS('Update log'!$A$7:$A$306,J132,'Update log'!$B$7:$B$306,B132,'Update log'!$C$7:$C$306,A132)&lt;&gt;1,"Update not registered","Valid input"))))))</x:f>
      </x:c>
    </x:row>
    <x:row r="133" ht="25" customHeight="1">
      <x:c r="A133" s="3"/>
      <x:c r="B133" s="3"/>
      <x:c r="C133" s="3"/>
      <x:c r="D133" s="25"/>
      <x:c r="E133" s="25"/>
      <x:c r="F133" s="3"/>
      <x:c r="G133" s="3"/>
      <x:c r="H133" s="3"/>
      <x:c r="I133" s="3"/>
      <x:c r="J133" s="3"/>
      <x:c r="K133" s="3"/>
      <x:c r="L133" s="20"/>
      <x:c r="M133" s="3"/>
      <x:c r="N133" s="19" t="str">
        <x:f>IF(A133="","",IF(COUNTIFS('Reviews'!$A$7:$A$306,A133)&lt;&gt;1,"Duplicate ID",IF(COUNTIFS('Cases overview'!$A$7:$A$306,B133)&lt;&gt;1,"Invalid case ref",IF(COUNTIFS('Plan versions'!$A$7:$A$306,C133,'Plan versions'!$B$7:$B$306,B133,'Plan versions'!$L$7:$L$306,"Frozen")&lt;&gt;1,"Invalid plan ref",IF(OR(NOT(ISNUMBER(D133)),NOT(ISNUMBER(E133)),F133="",G133="",H133="",M133=""),"Review info missing",IF(COUNTIFS('Update log'!$A$7:$A$306,J133,'Update log'!$B$7:$B$306,B133,'Update log'!$C$7:$C$306,A133)&lt;&gt;1,"Update not registered","Valid input"))))))</x:f>
      </x:c>
    </x:row>
    <x:row r="134" ht="25" customHeight="1">
      <x:c r="A134" s="3"/>
      <x:c r="B134" s="3"/>
      <x:c r="C134" s="3"/>
      <x:c r="D134" s="25"/>
      <x:c r="E134" s="25"/>
      <x:c r="F134" s="3"/>
      <x:c r="G134" s="3"/>
      <x:c r="H134" s="3"/>
      <x:c r="I134" s="3"/>
      <x:c r="J134" s="3"/>
      <x:c r="K134" s="3"/>
      <x:c r="L134" s="20"/>
      <x:c r="M134" s="3"/>
      <x:c r="N134" s="19" t="str">
        <x:f>IF(A134="","",IF(COUNTIFS('Reviews'!$A$7:$A$306,A134)&lt;&gt;1,"Duplicate ID",IF(COUNTIFS('Cases overview'!$A$7:$A$306,B134)&lt;&gt;1,"Invalid case ref",IF(COUNTIFS('Plan versions'!$A$7:$A$306,C134,'Plan versions'!$B$7:$B$306,B134,'Plan versions'!$L$7:$L$306,"Frozen")&lt;&gt;1,"Invalid plan ref",IF(OR(NOT(ISNUMBER(D134)),NOT(ISNUMBER(E134)),F134="",G134="",H134="",M134=""),"Review info missing",IF(COUNTIFS('Update log'!$A$7:$A$306,J134,'Update log'!$B$7:$B$306,B134,'Update log'!$C$7:$C$306,A134)&lt;&gt;1,"Update not registered","Valid input"))))))</x:f>
      </x:c>
    </x:row>
    <x:row r="135" ht="25" customHeight="1">
      <x:c r="A135" s="3"/>
      <x:c r="B135" s="3"/>
      <x:c r="C135" s="3"/>
      <x:c r="D135" s="25"/>
      <x:c r="E135" s="25"/>
      <x:c r="F135" s="3"/>
      <x:c r="G135" s="3"/>
      <x:c r="H135" s="3"/>
      <x:c r="I135" s="3"/>
      <x:c r="J135" s="3"/>
      <x:c r="K135" s="3"/>
      <x:c r="L135" s="20"/>
      <x:c r="M135" s="3"/>
      <x:c r="N135" s="19" t="str">
        <x:f>IF(A135="","",IF(COUNTIFS('Reviews'!$A$7:$A$306,A135)&lt;&gt;1,"Duplicate ID",IF(COUNTIFS('Cases overview'!$A$7:$A$306,B135)&lt;&gt;1,"Invalid case ref",IF(COUNTIFS('Plan versions'!$A$7:$A$306,C135,'Plan versions'!$B$7:$B$306,B135,'Plan versions'!$L$7:$L$306,"Frozen")&lt;&gt;1,"Invalid plan ref",IF(OR(NOT(ISNUMBER(D135)),NOT(ISNUMBER(E135)),F135="",G135="",H135="",M135=""),"Review info missing",IF(COUNTIFS('Update log'!$A$7:$A$306,J135,'Update log'!$B$7:$B$306,B135,'Update log'!$C$7:$C$306,A135)&lt;&gt;1,"Update not registered","Valid input"))))))</x:f>
      </x:c>
    </x:row>
    <x:row r="136" ht="25" customHeight="1">
      <x:c r="A136" s="3"/>
      <x:c r="B136" s="3"/>
      <x:c r="C136" s="3"/>
      <x:c r="D136" s="25"/>
      <x:c r="E136" s="25"/>
      <x:c r="F136" s="3"/>
      <x:c r="G136" s="3"/>
      <x:c r="H136" s="3"/>
      <x:c r="I136" s="3"/>
      <x:c r="J136" s="3"/>
      <x:c r="K136" s="3"/>
      <x:c r="L136" s="20"/>
      <x:c r="M136" s="3"/>
      <x:c r="N136" s="19" t="str">
        <x:f>IF(A136="","",IF(COUNTIFS('Reviews'!$A$7:$A$306,A136)&lt;&gt;1,"Duplicate ID",IF(COUNTIFS('Cases overview'!$A$7:$A$306,B136)&lt;&gt;1,"Invalid case ref",IF(COUNTIFS('Plan versions'!$A$7:$A$306,C136,'Plan versions'!$B$7:$B$306,B136,'Plan versions'!$L$7:$L$306,"Frozen")&lt;&gt;1,"Invalid plan ref",IF(OR(NOT(ISNUMBER(D136)),NOT(ISNUMBER(E136)),F136="",G136="",H136="",M136=""),"Review info missing",IF(COUNTIFS('Update log'!$A$7:$A$306,J136,'Update log'!$B$7:$B$306,B136,'Update log'!$C$7:$C$306,A136)&lt;&gt;1,"Update not registered","Valid input"))))))</x:f>
      </x:c>
    </x:row>
    <x:row r="137" ht="25" customHeight="1">
      <x:c r="A137" s="3"/>
      <x:c r="B137" s="3"/>
      <x:c r="C137" s="3"/>
      <x:c r="D137" s="25"/>
      <x:c r="E137" s="25"/>
      <x:c r="F137" s="3"/>
      <x:c r="G137" s="3"/>
      <x:c r="H137" s="3"/>
      <x:c r="I137" s="3"/>
      <x:c r="J137" s="3"/>
      <x:c r="K137" s="3"/>
      <x:c r="L137" s="20"/>
      <x:c r="M137" s="3"/>
      <x:c r="N137" s="19" t="str">
        <x:f>IF(A137="","",IF(COUNTIFS('Reviews'!$A$7:$A$306,A137)&lt;&gt;1,"Duplicate ID",IF(COUNTIFS('Cases overview'!$A$7:$A$306,B137)&lt;&gt;1,"Invalid case ref",IF(COUNTIFS('Plan versions'!$A$7:$A$306,C137,'Plan versions'!$B$7:$B$306,B137,'Plan versions'!$L$7:$L$306,"Frozen")&lt;&gt;1,"Invalid plan ref",IF(OR(NOT(ISNUMBER(D137)),NOT(ISNUMBER(E137)),F137="",G137="",H137="",M137=""),"Review info missing",IF(COUNTIFS('Update log'!$A$7:$A$306,J137,'Update log'!$B$7:$B$306,B137,'Update log'!$C$7:$C$306,A137)&lt;&gt;1,"Update not registered","Valid input"))))))</x:f>
      </x:c>
    </x:row>
    <x:row r="138" ht="25" customHeight="1">
      <x:c r="A138" s="3"/>
      <x:c r="B138" s="3"/>
      <x:c r="C138" s="3"/>
      <x:c r="D138" s="25"/>
      <x:c r="E138" s="25"/>
      <x:c r="F138" s="3"/>
      <x:c r="G138" s="3"/>
      <x:c r="H138" s="3"/>
      <x:c r="I138" s="3"/>
      <x:c r="J138" s="3"/>
      <x:c r="K138" s="3"/>
      <x:c r="L138" s="20"/>
      <x:c r="M138" s="3"/>
      <x:c r="N138" s="19" t="str">
        <x:f>IF(A138="","",IF(COUNTIFS('Reviews'!$A$7:$A$306,A138)&lt;&gt;1,"Duplicate ID",IF(COUNTIFS('Cases overview'!$A$7:$A$306,B138)&lt;&gt;1,"Invalid case ref",IF(COUNTIFS('Plan versions'!$A$7:$A$306,C138,'Plan versions'!$B$7:$B$306,B138,'Plan versions'!$L$7:$L$306,"Frozen")&lt;&gt;1,"Invalid plan ref",IF(OR(NOT(ISNUMBER(D138)),NOT(ISNUMBER(E138)),F138="",G138="",H138="",M138=""),"Review info missing",IF(COUNTIFS('Update log'!$A$7:$A$306,J138,'Update log'!$B$7:$B$306,B138,'Update log'!$C$7:$C$306,A138)&lt;&gt;1,"Update not registered","Valid input"))))))</x:f>
      </x:c>
    </x:row>
    <x:row r="139" ht="25" customHeight="1">
      <x:c r="A139" s="3"/>
      <x:c r="B139" s="3"/>
      <x:c r="C139" s="3"/>
      <x:c r="D139" s="25"/>
      <x:c r="E139" s="25"/>
      <x:c r="F139" s="3"/>
      <x:c r="G139" s="3"/>
      <x:c r="H139" s="3"/>
      <x:c r="I139" s="3"/>
      <x:c r="J139" s="3"/>
      <x:c r="K139" s="3"/>
      <x:c r="L139" s="20"/>
      <x:c r="M139" s="3"/>
      <x:c r="N139" s="19" t="str">
        <x:f>IF(A139="","",IF(COUNTIFS('Reviews'!$A$7:$A$306,A139)&lt;&gt;1,"Duplicate ID",IF(COUNTIFS('Cases overview'!$A$7:$A$306,B139)&lt;&gt;1,"Invalid case ref",IF(COUNTIFS('Plan versions'!$A$7:$A$306,C139,'Plan versions'!$B$7:$B$306,B139,'Plan versions'!$L$7:$L$306,"Frozen")&lt;&gt;1,"Invalid plan ref",IF(OR(NOT(ISNUMBER(D139)),NOT(ISNUMBER(E139)),F139="",G139="",H139="",M139=""),"Review info missing",IF(COUNTIFS('Update log'!$A$7:$A$306,J139,'Update log'!$B$7:$B$306,B139,'Update log'!$C$7:$C$306,A139)&lt;&gt;1,"Update not registered","Valid input"))))))</x:f>
      </x:c>
    </x:row>
    <x:row r="140" ht="25" customHeight="1">
      <x:c r="A140" s="3"/>
      <x:c r="B140" s="3"/>
      <x:c r="C140" s="3"/>
      <x:c r="D140" s="25"/>
      <x:c r="E140" s="25"/>
      <x:c r="F140" s="3"/>
      <x:c r="G140" s="3"/>
      <x:c r="H140" s="3"/>
      <x:c r="I140" s="3"/>
      <x:c r="J140" s="3"/>
      <x:c r="K140" s="3"/>
      <x:c r="L140" s="20"/>
      <x:c r="M140" s="3"/>
      <x:c r="N140" s="19" t="str">
        <x:f>IF(A140="","",IF(COUNTIFS('Reviews'!$A$7:$A$306,A140)&lt;&gt;1,"Duplicate ID",IF(COUNTIFS('Cases overview'!$A$7:$A$306,B140)&lt;&gt;1,"Invalid case ref",IF(COUNTIFS('Plan versions'!$A$7:$A$306,C140,'Plan versions'!$B$7:$B$306,B140,'Plan versions'!$L$7:$L$306,"Frozen")&lt;&gt;1,"Invalid plan ref",IF(OR(NOT(ISNUMBER(D140)),NOT(ISNUMBER(E140)),F140="",G140="",H140="",M140=""),"Review info missing",IF(COUNTIFS('Update log'!$A$7:$A$306,J140,'Update log'!$B$7:$B$306,B140,'Update log'!$C$7:$C$306,A140)&lt;&gt;1,"Update not registered","Valid input"))))))</x:f>
      </x:c>
    </x:row>
    <x:row r="141" ht="25" customHeight="1">
      <x:c r="A141" s="3"/>
      <x:c r="B141" s="3"/>
      <x:c r="C141" s="3"/>
      <x:c r="D141" s="25"/>
      <x:c r="E141" s="25"/>
      <x:c r="F141" s="3"/>
      <x:c r="G141" s="3"/>
      <x:c r="H141" s="3"/>
      <x:c r="I141" s="3"/>
      <x:c r="J141" s="3"/>
      <x:c r="K141" s="3"/>
      <x:c r="L141" s="20"/>
      <x:c r="M141" s="3"/>
      <x:c r="N141" s="19" t="str">
        <x:f>IF(A141="","",IF(COUNTIFS('Reviews'!$A$7:$A$306,A141)&lt;&gt;1,"Duplicate ID",IF(COUNTIFS('Cases overview'!$A$7:$A$306,B141)&lt;&gt;1,"Invalid case ref",IF(COUNTIFS('Plan versions'!$A$7:$A$306,C141,'Plan versions'!$B$7:$B$306,B141,'Plan versions'!$L$7:$L$306,"Frozen")&lt;&gt;1,"Invalid plan ref",IF(OR(NOT(ISNUMBER(D141)),NOT(ISNUMBER(E141)),F141="",G141="",H141="",M141=""),"Review info missing",IF(COUNTIFS('Update log'!$A$7:$A$306,J141,'Update log'!$B$7:$B$306,B141,'Update log'!$C$7:$C$306,A141)&lt;&gt;1,"Update not registered","Valid input"))))))</x:f>
      </x:c>
    </x:row>
    <x:row r="142" ht="25" customHeight="1">
      <x:c r="A142" s="3"/>
      <x:c r="B142" s="3"/>
      <x:c r="C142" s="3"/>
      <x:c r="D142" s="25"/>
      <x:c r="E142" s="25"/>
      <x:c r="F142" s="3"/>
      <x:c r="G142" s="3"/>
      <x:c r="H142" s="3"/>
      <x:c r="I142" s="3"/>
      <x:c r="J142" s="3"/>
      <x:c r="K142" s="3"/>
      <x:c r="L142" s="20"/>
      <x:c r="M142" s="3"/>
      <x:c r="N142" s="19" t="str">
        <x:f>IF(A142="","",IF(COUNTIFS('Reviews'!$A$7:$A$306,A142)&lt;&gt;1,"Duplicate ID",IF(COUNTIFS('Cases overview'!$A$7:$A$306,B142)&lt;&gt;1,"Invalid case ref",IF(COUNTIFS('Plan versions'!$A$7:$A$306,C142,'Plan versions'!$B$7:$B$306,B142,'Plan versions'!$L$7:$L$306,"Frozen")&lt;&gt;1,"Invalid plan ref",IF(OR(NOT(ISNUMBER(D142)),NOT(ISNUMBER(E142)),F142="",G142="",H142="",M142=""),"Review info missing",IF(COUNTIFS('Update log'!$A$7:$A$306,J142,'Update log'!$B$7:$B$306,B142,'Update log'!$C$7:$C$306,A142)&lt;&gt;1,"Update not registered","Valid input"))))))</x:f>
      </x:c>
    </x:row>
    <x:row r="143" ht="25" customHeight="1">
      <x:c r="A143" s="3"/>
      <x:c r="B143" s="3"/>
      <x:c r="C143" s="3"/>
      <x:c r="D143" s="25"/>
      <x:c r="E143" s="25"/>
      <x:c r="F143" s="3"/>
      <x:c r="G143" s="3"/>
      <x:c r="H143" s="3"/>
      <x:c r="I143" s="3"/>
      <x:c r="J143" s="3"/>
      <x:c r="K143" s="3"/>
      <x:c r="L143" s="20"/>
      <x:c r="M143" s="3"/>
      <x:c r="N143" s="19" t="str">
        <x:f>IF(A143="","",IF(COUNTIFS('Reviews'!$A$7:$A$306,A143)&lt;&gt;1,"Duplicate ID",IF(COUNTIFS('Cases overview'!$A$7:$A$306,B143)&lt;&gt;1,"Invalid case ref",IF(COUNTIFS('Plan versions'!$A$7:$A$306,C143,'Plan versions'!$B$7:$B$306,B143,'Plan versions'!$L$7:$L$306,"Frozen")&lt;&gt;1,"Invalid plan ref",IF(OR(NOT(ISNUMBER(D143)),NOT(ISNUMBER(E143)),F143="",G143="",H143="",M143=""),"Review info missing",IF(COUNTIFS('Update log'!$A$7:$A$306,J143,'Update log'!$B$7:$B$306,B143,'Update log'!$C$7:$C$306,A143)&lt;&gt;1,"Update not registered","Valid input"))))))</x:f>
      </x:c>
    </x:row>
    <x:row r="144" ht="25" customHeight="1">
      <x:c r="A144" s="3"/>
      <x:c r="B144" s="3"/>
      <x:c r="C144" s="3"/>
      <x:c r="D144" s="25"/>
      <x:c r="E144" s="25"/>
      <x:c r="F144" s="3"/>
      <x:c r="G144" s="3"/>
      <x:c r="H144" s="3"/>
      <x:c r="I144" s="3"/>
      <x:c r="J144" s="3"/>
      <x:c r="K144" s="3"/>
      <x:c r="L144" s="20"/>
      <x:c r="M144" s="3"/>
      <x:c r="N144" s="19" t="str">
        <x:f>IF(A144="","",IF(COUNTIFS('Reviews'!$A$7:$A$306,A144)&lt;&gt;1,"Duplicate ID",IF(COUNTIFS('Cases overview'!$A$7:$A$306,B144)&lt;&gt;1,"Invalid case ref",IF(COUNTIFS('Plan versions'!$A$7:$A$306,C144,'Plan versions'!$B$7:$B$306,B144,'Plan versions'!$L$7:$L$306,"Frozen")&lt;&gt;1,"Invalid plan ref",IF(OR(NOT(ISNUMBER(D144)),NOT(ISNUMBER(E144)),F144="",G144="",H144="",M144=""),"Review info missing",IF(COUNTIFS('Update log'!$A$7:$A$306,J144,'Update log'!$B$7:$B$306,B144,'Update log'!$C$7:$C$306,A144)&lt;&gt;1,"Update not registered","Valid input"))))))</x:f>
      </x:c>
    </x:row>
    <x:row r="145" ht="25" customHeight="1">
      <x:c r="A145" s="3"/>
      <x:c r="B145" s="3"/>
      <x:c r="C145" s="3"/>
      <x:c r="D145" s="25"/>
      <x:c r="E145" s="25"/>
      <x:c r="F145" s="3"/>
      <x:c r="G145" s="3"/>
      <x:c r="H145" s="3"/>
      <x:c r="I145" s="3"/>
      <x:c r="J145" s="3"/>
      <x:c r="K145" s="3"/>
      <x:c r="L145" s="20"/>
      <x:c r="M145" s="3"/>
      <x:c r="N145" s="19" t="str">
        <x:f>IF(A145="","",IF(COUNTIFS('Reviews'!$A$7:$A$306,A145)&lt;&gt;1,"Duplicate ID",IF(COUNTIFS('Cases overview'!$A$7:$A$306,B145)&lt;&gt;1,"Invalid case ref",IF(COUNTIFS('Plan versions'!$A$7:$A$306,C145,'Plan versions'!$B$7:$B$306,B145,'Plan versions'!$L$7:$L$306,"Frozen")&lt;&gt;1,"Invalid plan ref",IF(OR(NOT(ISNUMBER(D145)),NOT(ISNUMBER(E145)),F145="",G145="",H145="",M145=""),"Review info missing",IF(COUNTIFS('Update log'!$A$7:$A$306,J145,'Update log'!$B$7:$B$306,B145,'Update log'!$C$7:$C$306,A145)&lt;&gt;1,"Update not registered","Valid input"))))))</x:f>
      </x:c>
    </x:row>
    <x:row r="146" ht="25" customHeight="1">
      <x:c r="A146" s="3"/>
      <x:c r="B146" s="3"/>
      <x:c r="C146" s="3"/>
      <x:c r="D146" s="25"/>
      <x:c r="E146" s="25"/>
      <x:c r="F146" s="3"/>
      <x:c r="G146" s="3"/>
      <x:c r="H146" s="3"/>
      <x:c r="I146" s="3"/>
      <x:c r="J146" s="3"/>
      <x:c r="K146" s="3"/>
      <x:c r="L146" s="20"/>
      <x:c r="M146" s="3"/>
      <x:c r="N146" s="19" t="str">
        <x:f>IF(A146="","",IF(COUNTIFS('Reviews'!$A$7:$A$306,A146)&lt;&gt;1,"Duplicate ID",IF(COUNTIFS('Cases overview'!$A$7:$A$306,B146)&lt;&gt;1,"Invalid case ref",IF(COUNTIFS('Plan versions'!$A$7:$A$306,C146,'Plan versions'!$B$7:$B$306,B146,'Plan versions'!$L$7:$L$306,"Frozen")&lt;&gt;1,"Invalid plan ref",IF(OR(NOT(ISNUMBER(D146)),NOT(ISNUMBER(E146)),F146="",G146="",H146="",M146=""),"Review info missing",IF(COUNTIFS('Update log'!$A$7:$A$306,J146,'Update log'!$B$7:$B$306,B146,'Update log'!$C$7:$C$306,A146)&lt;&gt;1,"Update not registered","Valid input"))))))</x:f>
      </x:c>
    </x:row>
    <x:row r="147" ht="25" customHeight="1">
      <x:c r="A147" s="3"/>
      <x:c r="B147" s="3"/>
      <x:c r="C147" s="3"/>
      <x:c r="D147" s="25"/>
      <x:c r="E147" s="25"/>
      <x:c r="F147" s="3"/>
      <x:c r="G147" s="3"/>
      <x:c r="H147" s="3"/>
      <x:c r="I147" s="3"/>
      <x:c r="J147" s="3"/>
      <x:c r="K147" s="3"/>
      <x:c r="L147" s="20"/>
      <x:c r="M147" s="3"/>
      <x:c r="N147" s="19" t="str">
        <x:f>IF(A147="","",IF(COUNTIFS('Reviews'!$A$7:$A$306,A147)&lt;&gt;1,"Duplicate ID",IF(COUNTIFS('Cases overview'!$A$7:$A$306,B147)&lt;&gt;1,"Invalid case ref",IF(COUNTIFS('Plan versions'!$A$7:$A$306,C147,'Plan versions'!$B$7:$B$306,B147,'Plan versions'!$L$7:$L$306,"Frozen")&lt;&gt;1,"Invalid plan ref",IF(OR(NOT(ISNUMBER(D147)),NOT(ISNUMBER(E147)),F147="",G147="",H147="",M147=""),"Review info missing",IF(COUNTIFS('Update log'!$A$7:$A$306,J147,'Update log'!$B$7:$B$306,B147,'Update log'!$C$7:$C$306,A147)&lt;&gt;1,"Update not registered","Valid input"))))))</x:f>
      </x:c>
    </x:row>
    <x:row r="148" ht="25" customHeight="1">
      <x:c r="A148" s="3"/>
      <x:c r="B148" s="3"/>
      <x:c r="C148" s="3"/>
      <x:c r="D148" s="25"/>
      <x:c r="E148" s="25"/>
      <x:c r="F148" s="3"/>
      <x:c r="G148" s="3"/>
      <x:c r="H148" s="3"/>
      <x:c r="I148" s="3"/>
      <x:c r="J148" s="3"/>
      <x:c r="K148" s="3"/>
      <x:c r="L148" s="20"/>
      <x:c r="M148" s="3"/>
      <x:c r="N148" s="19" t="str">
        <x:f>IF(A148="","",IF(COUNTIFS('Reviews'!$A$7:$A$306,A148)&lt;&gt;1,"Duplicate ID",IF(COUNTIFS('Cases overview'!$A$7:$A$306,B148)&lt;&gt;1,"Invalid case ref",IF(COUNTIFS('Plan versions'!$A$7:$A$306,C148,'Plan versions'!$B$7:$B$306,B148,'Plan versions'!$L$7:$L$306,"Frozen")&lt;&gt;1,"Invalid plan ref",IF(OR(NOT(ISNUMBER(D148)),NOT(ISNUMBER(E148)),F148="",G148="",H148="",M148=""),"Review info missing",IF(COUNTIFS('Update log'!$A$7:$A$306,J148,'Update log'!$B$7:$B$306,B148,'Update log'!$C$7:$C$306,A148)&lt;&gt;1,"Update not registered","Valid input"))))))</x:f>
      </x:c>
    </x:row>
    <x:row r="149" ht="25" customHeight="1">
      <x:c r="A149" s="3"/>
      <x:c r="B149" s="3"/>
      <x:c r="C149" s="3"/>
      <x:c r="D149" s="25"/>
      <x:c r="E149" s="25"/>
      <x:c r="F149" s="3"/>
      <x:c r="G149" s="3"/>
      <x:c r="H149" s="3"/>
      <x:c r="I149" s="3"/>
      <x:c r="J149" s="3"/>
      <x:c r="K149" s="3"/>
      <x:c r="L149" s="20"/>
      <x:c r="M149" s="3"/>
      <x:c r="N149" s="19" t="str">
        <x:f>IF(A149="","",IF(COUNTIFS('Reviews'!$A$7:$A$306,A149)&lt;&gt;1,"Duplicate ID",IF(COUNTIFS('Cases overview'!$A$7:$A$306,B149)&lt;&gt;1,"Invalid case ref",IF(COUNTIFS('Plan versions'!$A$7:$A$306,C149,'Plan versions'!$B$7:$B$306,B149,'Plan versions'!$L$7:$L$306,"Frozen")&lt;&gt;1,"Invalid plan ref",IF(OR(NOT(ISNUMBER(D149)),NOT(ISNUMBER(E149)),F149="",G149="",H149="",M149=""),"Review info missing",IF(COUNTIFS('Update log'!$A$7:$A$306,J149,'Update log'!$B$7:$B$306,B149,'Update log'!$C$7:$C$306,A149)&lt;&gt;1,"Update not registered","Valid input"))))))</x:f>
      </x:c>
    </x:row>
    <x:row r="150" ht="25" customHeight="1">
      <x:c r="A150" s="3"/>
      <x:c r="B150" s="3"/>
      <x:c r="C150" s="3"/>
      <x:c r="D150" s="25"/>
      <x:c r="E150" s="25"/>
      <x:c r="F150" s="3"/>
      <x:c r="G150" s="3"/>
      <x:c r="H150" s="3"/>
      <x:c r="I150" s="3"/>
      <x:c r="J150" s="3"/>
      <x:c r="K150" s="3"/>
      <x:c r="L150" s="20"/>
      <x:c r="M150" s="3"/>
      <x:c r="N150" s="19" t="str">
        <x:f>IF(A150="","",IF(COUNTIFS('Reviews'!$A$7:$A$306,A150)&lt;&gt;1,"Duplicate ID",IF(COUNTIFS('Cases overview'!$A$7:$A$306,B150)&lt;&gt;1,"Invalid case ref",IF(COUNTIFS('Plan versions'!$A$7:$A$306,C150,'Plan versions'!$B$7:$B$306,B150,'Plan versions'!$L$7:$L$306,"Frozen")&lt;&gt;1,"Invalid plan ref",IF(OR(NOT(ISNUMBER(D150)),NOT(ISNUMBER(E150)),F150="",G150="",H150="",M150=""),"Review info missing",IF(COUNTIFS('Update log'!$A$7:$A$306,J150,'Update log'!$B$7:$B$306,B150,'Update log'!$C$7:$C$306,A150)&lt;&gt;1,"Update not registered","Valid input"))))))</x:f>
      </x:c>
    </x:row>
    <x:row r="151" ht="25" customHeight="1">
      <x:c r="A151" s="3"/>
      <x:c r="B151" s="3"/>
      <x:c r="C151" s="3"/>
      <x:c r="D151" s="25"/>
      <x:c r="E151" s="25"/>
      <x:c r="F151" s="3"/>
      <x:c r="G151" s="3"/>
      <x:c r="H151" s="3"/>
      <x:c r="I151" s="3"/>
      <x:c r="J151" s="3"/>
      <x:c r="K151" s="3"/>
      <x:c r="L151" s="20"/>
      <x:c r="M151" s="3"/>
      <x:c r="N151" s="19" t="str">
        <x:f>IF(A151="","",IF(COUNTIFS('Reviews'!$A$7:$A$306,A151)&lt;&gt;1,"Duplicate ID",IF(COUNTIFS('Cases overview'!$A$7:$A$306,B151)&lt;&gt;1,"Invalid case ref",IF(COUNTIFS('Plan versions'!$A$7:$A$306,C151,'Plan versions'!$B$7:$B$306,B151,'Plan versions'!$L$7:$L$306,"Frozen")&lt;&gt;1,"Invalid plan ref",IF(OR(NOT(ISNUMBER(D151)),NOT(ISNUMBER(E151)),F151="",G151="",H151="",M151=""),"Review info missing",IF(COUNTIFS('Update log'!$A$7:$A$306,J151,'Update log'!$B$7:$B$306,B151,'Update log'!$C$7:$C$306,A151)&lt;&gt;1,"Update not registered","Valid input"))))))</x:f>
      </x:c>
    </x:row>
    <x:row r="152" ht="25" customHeight="1">
      <x:c r="A152" s="3"/>
      <x:c r="B152" s="3"/>
      <x:c r="C152" s="3"/>
      <x:c r="D152" s="25"/>
      <x:c r="E152" s="25"/>
      <x:c r="F152" s="3"/>
      <x:c r="G152" s="3"/>
      <x:c r="H152" s="3"/>
      <x:c r="I152" s="3"/>
      <x:c r="J152" s="3"/>
      <x:c r="K152" s="3"/>
      <x:c r="L152" s="20"/>
      <x:c r="M152" s="3"/>
      <x:c r="N152" s="19" t="str">
        <x:f>IF(A152="","",IF(COUNTIFS('Reviews'!$A$7:$A$306,A152)&lt;&gt;1,"Duplicate ID",IF(COUNTIFS('Cases overview'!$A$7:$A$306,B152)&lt;&gt;1,"Invalid case ref",IF(COUNTIFS('Plan versions'!$A$7:$A$306,C152,'Plan versions'!$B$7:$B$306,B152,'Plan versions'!$L$7:$L$306,"Frozen")&lt;&gt;1,"Invalid plan ref",IF(OR(NOT(ISNUMBER(D152)),NOT(ISNUMBER(E152)),F152="",G152="",H152="",M152=""),"Review info missing",IF(COUNTIFS('Update log'!$A$7:$A$306,J152,'Update log'!$B$7:$B$306,B152,'Update log'!$C$7:$C$306,A152)&lt;&gt;1,"Update not registered","Valid input"))))))</x:f>
      </x:c>
    </x:row>
    <x:row r="153" ht="25" customHeight="1">
      <x:c r="A153" s="3"/>
      <x:c r="B153" s="3"/>
      <x:c r="C153" s="3"/>
      <x:c r="D153" s="25"/>
      <x:c r="E153" s="25"/>
      <x:c r="F153" s="3"/>
      <x:c r="G153" s="3"/>
      <x:c r="H153" s="3"/>
      <x:c r="I153" s="3"/>
      <x:c r="J153" s="3"/>
      <x:c r="K153" s="3"/>
      <x:c r="L153" s="20"/>
      <x:c r="M153" s="3"/>
      <x:c r="N153" s="19" t="str">
        <x:f>IF(A153="","",IF(COUNTIFS('Reviews'!$A$7:$A$306,A153)&lt;&gt;1,"Duplicate ID",IF(COUNTIFS('Cases overview'!$A$7:$A$306,B153)&lt;&gt;1,"Invalid case ref",IF(COUNTIFS('Plan versions'!$A$7:$A$306,C153,'Plan versions'!$B$7:$B$306,B153,'Plan versions'!$L$7:$L$306,"Frozen")&lt;&gt;1,"Invalid plan ref",IF(OR(NOT(ISNUMBER(D153)),NOT(ISNUMBER(E153)),F153="",G153="",H153="",M153=""),"Review info missing",IF(COUNTIFS('Update log'!$A$7:$A$306,J153,'Update log'!$B$7:$B$306,B153,'Update log'!$C$7:$C$306,A153)&lt;&gt;1,"Update not registered","Valid input"))))))</x:f>
      </x:c>
    </x:row>
    <x:row r="154" ht="25" customHeight="1">
      <x:c r="A154" s="3"/>
      <x:c r="B154" s="3"/>
      <x:c r="C154" s="3"/>
      <x:c r="D154" s="25"/>
      <x:c r="E154" s="25"/>
      <x:c r="F154" s="3"/>
      <x:c r="G154" s="3"/>
      <x:c r="H154" s="3"/>
      <x:c r="I154" s="3"/>
      <x:c r="J154" s="3"/>
      <x:c r="K154" s="3"/>
      <x:c r="L154" s="20"/>
      <x:c r="M154" s="3"/>
      <x:c r="N154" s="19" t="str">
        <x:f>IF(A154="","",IF(COUNTIFS('Reviews'!$A$7:$A$306,A154)&lt;&gt;1,"Duplicate ID",IF(COUNTIFS('Cases overview'!$A$7:$A$306,B154)&lt;&gt;1,"Invalid case ref",IF(COUNTIFS('Plan versions'!$A$7:$A$306,C154,'Plan versions'!$B$7:$B$306,B154,'Plan versions'!$L$7:$L$306,"Frozen")&lt;&gt;1,"Invalid plan ref",IF(OR(NOT(ISNUMBER(D154)),NOT(ISNUMBER(E154)),F154="",G154="",H154="",M154=""),"Review info missing",IF(COUNTIFS('Update log'!$A$7:$A$306,J154,'Update log'!$B$7:$B$306,B154,'Update log'!$C$7:$C$306,A154)&lt;&gt;1,"Update not registered","Valid input"))))))</x:f>
      </x:c>
    </x:row>
    <x:row r="155" ht="25" customHeight="1">
      <x:c r="A155" s="3"/>
      <x:c r="B155" s="3"/>
      <x:c r="C155" s="3"/>
      <x:c r="D155" s="25"/>
      <x:c r="E155" s="25"/>
      <x:c r="F155" s="3"/>
      <x:c r="G155" s="3"/>
      <x:c r="H155" s="3"/>
      <x:c r="I155" s="3"/>
      <x:c r="J155" s="3"/>
      <x:c r="K155" s="3"/>
      <x:c r="L155" s="20"/>
      <x:c r="M155" s="3"/>
      <x:c r="N155" s="19" t="str">
        <x:f>IF(A155="","",IF(COUNTIFS('Reviews'!$A$7:$A$306,A155)&lt;&gt;1,"Duplicate ID",IF(COUNTIFS('Cases overview'!$A$7:$A$306,B155)&lt;&gt;1,"Invalid case ref",IF(COUNTIFS('Plan versions'!$A$7:$A$306,C155,'Plan versions'!$B$7:$B$306,B155,'Plan versions'!$L$7:$L$306,"Frozen")&lt;&gt;1,"Invalid plan ref",IF(OR(NOT(ISNUMBER(D155)),NOT(ISNUMBER(E155)),F155="",G155="",H155="",M155=""),"Review info missing",IF(COUNTIFS('Update log'!$A$7:$A$306,J155,'Update log'!$B$7:$B$306,B155,'Update log'!$C$7:$C$306,A155)&lt;&gt;1,"Update not registered","Valid input"))))))</x:f>
      </x:c>
    </x:row>
    <x:row r="156" ht="25" customHeight="1">
      <x:c r="A156" s="3"/>
      <x:c r="B156" s="3"/>
      <x:c r="C156" s="3"/>
      <x:c r="D156" s="25"/>
      <x:c r="E156" s="25"/>
      <x:c r="F156" s="3"/>
      <x:c r="G156" s="3"/>
      <x:c r="H156" s="3"/>
      <x:c r="I156" s="3"/>
      <x:c r="J156" s="3"/>
      <x:c r="K156" s="3"/>
      <x:c r="L156" s="20"/>
      <x:c r="M156" s="3"/>
      <x:c r="N156" s="19" t="str">
        <x:f>IF(A156="","",IF(COUNTIFS('Reviews'!$A$7:$A$306,A156)&lt;&gt;1,"Duplicate ID",IF(COUNTIFS('Cases overview'!$A$7:$A$306,B156)&lt;&gt;1,"Invalid case ref",IF(COUNTIFS('Plan versions'!$A$7:$A$306,C156,'Plan versions'!$B$7:$B$306,B156,'Plan versions'!$L$7:$L$306,"Frozen")&lt;&gt;1,"Invalid plan ref",IF(OR(NOT(ISNUMBER(D156)),NOT(ISNUMBER(E156)),F156="",G156="",H156="",M156=""),"Review info missing",IF(COUNTIFS('Update log'!$A$7:$A$306,J156,'Update log'!$B$7:$B$306,B156,'Update log'!$C$7:$C$306,A156)&lt;&gt;1,"Update not registered","Valid input"))))))</x:f>
      </x:c>
    </x:row>
    <x:row r="157" ht="25" customHeight="1">
      <x:c r="A157" s="3"/>
      <x:c r="B157" s="3"/>
      <x:c r="C157" s="3"/>
      <x:c r="D157" s="25"/>
      <x:c r="E157" s="25"/>
      <x:c r="F157" s="3"/>
      <x:c r="G157" s="3"/>
      <x:c r="H157" s="3"/>
      <x:c r="I157" s="3"/>
      <x:c r="J157" s="3"/>
      <x:c r="K157" s="3"/>
      <x:c r="L157" s="20"/>
      <x:c r="M157" s="3"/>
      <x:c r="N157" s="19" t="str">
        <x:f>IF(A157="","",IF(COUNTIFS('Reviews'!$A$7:$A$306,A157)&lt;&gt;1,"Duplicate ID",IF(COUNTIFS('Cases overview'!$A$7:$A$306,B157)&lt;&gt;1,"Invalid case ref",IF(COUNTIFS('Plan versions'!$A$7:$A$306,C157,'Plan versions'!$B$7:$B$306,B157,'Plan versions'!$L$7:$L$306,"Frozen")&lt;&gt;1,"Invalid plan ref",IF(OR(NOT(ISNUMBER(D157)),NOT(ISNUMBER(E157)),F157="",G157="",H157="",M157=""),"Review info missing",IF(COUNTIFS('Update log'!$A$7:$A$306,J157,'Update log'!$B$7:$B$306,B157,'Update log'!$C$7:$C$306,A157)&lt;&gt;1,"Update not registered","Valid input"))))))</x:f>
      </x:c>
    </x:row>
    <x:row r="158" ht="25" customHeight="1">
      <x:c r="A158" s="3"/>
      <x:c r="B158" s="3"/>
      <x:c r="C158" s="3"/>
      <x:c r="D158" s="25"/>
      <x:c r="E158" s="25"/>
      <x:c r="F158" s="3"/>
      <x:c r="G158" s="3"/>
      <x:c r="H158" s="3"/>
      <x:c r="I158" s="3"/>
      <x:c r="J158" s="3"/>
      <x:c r="K158" s="3"/>
      <x:c r="L158" s="20"/>
      <x:c r="M158" s="3"/>
      <x:c r="N158" s="19" t="str">
        <x:f>IF(A158="","",IF(COUNTIFS('Reviews'!$A$7:$A$306,A158)&lt;&gt;1,"Duplicate ID",IF(COUNTIFS('Cases overview'!$A$7:$A$306,B158)&lt;&gt;1,"Invalid case ref",IF(COUNTIFS('Plan versions'!$A$7:$A$306,C158,'Plan versions'!$B$7:$B$306,B158,'Plan versions'!$L$7:$L$306,"Frozen")&lt;&gt;1,"Invalid plan ref",IF(OR(NOT(ISNUMBER(D158)),NOT(ISNUMBER(E158)),F158="",G158="",H158="",M158=""),"Review info missing",IF(COUNTIFS('Update log'!$A$7:$A$306,J158,'Update log'!$B$7:$B$306,B158,'Update log'!$C$7:$C$306,A158)&lt;&gt;1,"Update not registered","Valid input"))))))</x:f>
      </x:c>
    </x:row>
    <x:row r="159" ht="25" customHeight="1">
      <x:c r="A159" s="3"/>
      <x:c r="B159" s="3"/>
      <x:c r="C159" s="3"/>
      <x:c r="D159" s="25"/>
      <x:c r="E159" s="25"/>
      <x:c r="F159" s="3"/>
      <x:c r="G159" s="3"/>
      <x:c r="H159" s="3"/>
      <x:c r="I159" s="3"/>
      <x:c r="J159" s="3"/>
      <x:c r="K159" s="3"/>
      <x:c r="L159" s="20"/>
      <x:c r="M159" s="3"/>
      <x:c r="N159" s="19" t="str">
        <x:f>IF(A159="","",IF(COUNTIFS('Reviews'!$A$7:$A$306,A159)&lt;&gt;1,"Duplicate ID",IF(COUNTIFS('Cases overview'!$A$7:$A$306,B159)&lt;&gt;1,"Invalid case ref",IF(COUNTIFS('Plan versions'!$A$7:$A$306,C159,'Plan versions'!$B$7:$B$306,B159,'Plan versions'!$L$7:$L$306,"Frozen")&lt;&gt;1,"Invalid plan ref",IF(OR(NOT(ISNUMBER(D159)),NOT(ISNUMBER(E159)),F159="",G159="",H159="",M159=""),"Review info missing",IF(COUNTIFS('Update log'!$A$7:$A$306,J159,'Update log'!$B$7:$B$306,B159,'Update log'!$C$7:$C$306,A159)&lt;&gt;1,"Update not registered","Valid input"))))))</x:f>
      </x:c>
    </x:row>
    <x:row r="160" ht="25" customHeight="1">
      <x:c r="A160" s="3"/>
      <x:c r="B160" s="3"/>
      <x:c r="C160" s="3"/>
      <x:c r="D160" s="25"/>
      <x:c r="E160" s="25"/>
      <x:c r="F160" s="3"/>
      <x:c r="G160" s="3"/>
      <x:c r="H160" s="3"/>
      <x:c r="I160" s="3"/>
      <x:c r="J160" s="3"/>
      <x:c r="K160" s="3"/>
      <x:c r="L160" s="20"/>
      <x:c r="M160" s="3"/>
      <x:c r="N160" s="19" t="str">
        <x:f>IF(A160="","",IF(COUNTIFS('Reviews'!$A$7:$A$306,A160)&lt;&gt;1,"Duplicate ID",IF(COUNTIFS('Cases overview'!$A$7:$A$306,B160)&lt;&gt;1,"Invalid case ref",IF(COUNTIFS('Plan versions'!$A$7:$A$306,C160,'Plan versions'!$B$7:$B$306,B160,'Plan versions'!$L$7:$L$306,"Frozen")&lt;&gt;1,"Invalid plan ref",IF(OR(NOT(ISNUMBER(D160)),NOT(ISNUMBER(E160)),F160="",G160="",H160="",M160=""),"Review info missing",IF(COUNTIFS('Update log'!$A$7:$A$306,J160,'Update log'!$B$7:$B$306,B160,'Update log'!$C$7:$C$306,A160)&lt;&gt;1,"Update not registered","Valid input"))))))</x:f>
      </x:c>
    </x:row>
    <x:row r="161" ht="25" customHeight="1">
      <x:c r="A161" s="3"/>
      <x:c r="B161" s="3"/>
      <x:c r="C161" s="3"/>
      <x:c r="D161" s="25"/>
      <x:c r="E161" s="25"/>
      <x:c r="F161" s="3"/>
      <x:c r="G161" s="3"/>
      <x:c r="H161" s="3"/>
      <x:c r="I161" s="3"/>
      <x:c r="J161" s="3"/>
      <x:c r="K161" s="3"/>
      <x:c r="L161" s="20"/>
      <x:c r="M161" s="3"/>
      <x:c r="N161" s="19" t="str">
        <x:f>IF(A161="","",IF(COUNTIFS('Reviews'!$A$7:$A$306,A161)&lt;&gt;1,"Duplicate ID",IF(COUNTIFS('Cases overview'!$A$7:$A$306,B161)&lt;&gt;1,"Invalid case ref",IF(COUNTIFS('Plan versions'!$A$7:$A$306,C161,'Plan versions'!$B$7:$B$306,B161,'Plan versions'!$L$7:$L$306,"Frozen")&lt;&gt;1,"Invalid plan ref",IF(OR(NOT(ISNUMBER(D161)),NOT(ISNUMBER(E161)),F161="",G161="",H161="",M161=""),"Review info missing",IF(COUNTIFS('Update log'!$A$7:$A$306,J161,'Update log'!$B$7:$B$306,B161,'Update log'!$C$7:$C$306,A161)&lt;&gt;1,"Update not registered","Valid input"))))))</x:f>
      </x:c>
    </x:row>
    <x:row r="162" ht="25" customHeight="1">
      <x:c r="A162" s="3"/>
      <x:c r="B162" s="3"/>
      <x:c r="C162" s="3"/>
      <x:c r="D162" s="25"/>
      <x:c r="E162" s="25"/>
      <x:c r="F162" s="3"/>
      <x:c r="G162" s="3"/>
      <x:c r="H162" s="3"/>
      <x:c r="I162" s="3"/>
      <x:c r="J162" s="3"/>
      <x:c r="K162" s="3"/>
      <x:c r="L162" s="20"/>
      <x:c r="M162" s="3"/>
      <x:c r="N162" s="19" t="str">
        <x:f>IF(A162="","",IF(COUNTIFS('Reviews'!$A$7:$A$306,A162)&lt;&gt;1,"Duplicate ID",IF(COUNTIFS('Cases overview'!$A$7:$A$306,B162)&lt;&gt;1,"Invalid case ref",IF(COUNTIFS('Plan versions'!$A$7:$A$306,C162,'Plan versions'!$B$7:$B$306,B162,'Plan versions'!$L$7:$L$306,"Frozen")&lt;&gt;1,"Invalid plan ref",IF(OR(NOT(ISNUMBER(D162)),NOT(ISNUMBER(E162)),F162="",G162="",H162="",M162=""),"Review info missing",IF(COUNTIFS('Update log'!$A$7:$A$306,J162,'Update log'!$B$7:$B$306,B162,'Update log'!$C$7:$C$306,A162)&lt;&gt;1,"Update not registered","Valid input"))))))</x:f>
      </x:c>
    </x:row>
    <x:row r="163" ht="25" customHeight="1">
      <x:c r="A163" s="3"/>
      <x:c r="B163" s="3"/>
      <x:c r="C163" s="3"/>
      <x:c r="D163" s="25"/>
      <x:c r="E163" s="25"/>
      <x:c r="F163" s="3"/>
      <x:c r="G163" s="3"/>
      <x:c r="H163" s="3"/>
      <x:c r="I163" s="3"/>
      <x:c r="J163" s="3"/>
      <x:c r="K163" s="3"/>
      <x:c r="L163" s="20"/>
      <x:c r="M163" s="3"/>
      <x:c r="N163" s="19" t="str">
        <x:f>IF(A163="","",IF(COUNTIFS('Reviews'!$A$7:$A$306,A163)&lt;&gt;1,"Duplicate ID",IF(COUNTIFS('Cases overview'!$A$7:$A$306,B163)&lt;&gt;1,"Invalid case ref",IF(COUNTIFS('Plan versions'!$A$7:$A$306,C163,'Plan versions'!$B$7:$B$306,B163,'Plan versions'!$L$7:$L$306,"Frozen")&lt;&gt;1,"Invalid plan ref",IF(OR(NOT(ISNUMBER(D163)),NOT(ISNUMBER(E163)),F163="",G163="",H163="",M163=""),"Review info missing",IF(COUNTIFS('Update log'!$A$7:$A$306,J163,'Update log'!$B$7:$B$306,B163,'Update log'!$C$7:$C$306,A163)&lt;&gt;1,"Update not registered","Valid input"))))))</x:f>
      </x:c>
    </x:row>
    <x:row r="164" ht="25" customHeight="1">
      <x:c r="A164" s="3"/>
      <x:c r="B164" s="3"/>
      <x:c r="C164" s="3"/>
      <x:c r="D164" s="25"/>
      <x:c r="E164" s="25"/>
      <x:c r="F164" s="3"/>
      <x:c r="G164" s="3"/>
      <x:c r="H164" s="3"/>
      <x:c r="I164" s="3"/>
      <x:c r="J164" s="3"/>
      <x:c r="K164" s="3"/>
      <x:c r="L164" s="20"/>
      <x:c r="M164" s="3"/>
      <x:c r="N164" s="19" t="str">
        <x:f>IF(A164="","",IF(COUNTIFS('Reviews'!$A$7:$A$306,A164)&lt;&gt;1,"Duplicate ID",IF(COUNTIFS('Cases overview'!$A$7:$A$306,B164)&lt;&gt;1,"Invalid case ref",IF(COUNTIFS('Plan versions'!$A$7:$A$306,C164,'Plan versions'!$B$7:$B$306,B164,'Plan versions'!$L$7:$L$306,"Frozen")&lt;&gt;1,"Invalid plan ref",IF(OR(NOT(ISNUMBER(D164)),NOT(ISNUMBER(E164)),F164="",G164="",H164="",M164=""),"Review info missing",IF(COUNTIFS('Update log'!$A$7:$A$306,J164,'Update log'!$B$7:$B$306,B164,'Update log'!$C$7:$C$306,A164)&lt;&gt;1,"Update not registered","Valid input"))))))</x:f>
      </x:c>
    </x:row>
    <x:row r="165" ht="25" customHeight="1">
      <x:c r="A165" s="3"/>
      <x:c r="B165" s="3"/>
      <x:c r="C165" s="3"/>
      <x:c r="D165" s="25"/>
      <x:c r="E165" s="25"/>
      <x:c r="F165" s="3"/>
      <x:c r="G165" s="3"/>
      <x:c r="H165" s="3"/>
      <x:c r="I165" s="3"/>
      <x:c r="J165" s="3"/>
      <x:c r="K165" s="3"/>
      <x:c r="L165" s="20"/>
      <x:c r="M165" s="3"/>
      <x:c r="N165" s="19" t="str">
        <x:f>IF(A165="","",IF(COUNTIFS('Reviews'!$A$7:$A$306,A165)&lt;&gt;1,"Duplicate ID",IF(COUNTIFS('Cases overview'!$A$7:$A$306,B165)&lt;&gt;1,"Invalid case ref",IF(COUNTIFS('Plan versions'!$A$7:$A$306,C165,'Plan versions'!$B$7:$B$306,B165,'Plan versions'!$L$7:$L$306,"Frozen")&lt;&gt;1,"Invalid plan ref",IF(OR(NOT(ISNUMBER(D165)),NOT(ISNUMBER(E165)),F165="",G165="",H165="",M165=""),"Review info missing",IF(COUNTIFS('Update log'!$A$7:$A$306,J165,'Update log'!$B$7:$B$306,B165,'Update log'!$C$7:$C$306,A165)&lt;&gt;1,"Update not registered","Valid input"))))))</x:f>
      </x:c>
    </x:row>
    <x:row r="166" ht="25" customHeight="1">
      <x:c r="A166" s="3"/>
      <x:c r="B166" s="3"/>
      <x:c r="C166" s="3"/>
      <x:c r="D166" s="25"/>
      <x:c r="E166" s="25"/>
      <x:c r="F166" s="3"/>
      <x:c r="G166" s="3"/>
      <x:c r="H166" s="3"/>
      <x:c r="I166" s="3"/>
      <x:c r="J166" s="3"/>
      <x:c r="K166" s="3"/>
      <x:c r="L166" s="20"/>
      <x:c r="M166" s="3"/>
      <x:c r="N166" s="19" t="str">
        <x:f>IF(A166="","",IF(COUNTIFS('Reviews'!$A$7:$A$306,A166)&lt;&gt;1,"Duplicate ID",IF(COUNTIFS('Cases overview'!$A$7:$A$306,B166)&lt;&gt;1,"Invalid case ref",IF(COUNTIFS('Plan versions'!$A$7:$A$306,C166,'Plan versions'!$B$7:$B$306,B166,'Plan versions'!$L$7:$L$306,"Frozen")&lt;&gt;1,"Invalid plan ref",IF(OR(NOT(ISNUMBER(D166)),NOT(ISNUMBER(E166)),F166="",G166="",H166="",M166=""),"Review info missing",IF(COUNTIFS('Update log'!$A$7:$A$306,J166,'Update log'!$B$7:$B$306,B166,'Update log'!$C$7:$C$306,A166)&lt;&gt;1,"Update not registered","Valid input"))))))</x:f>
      </x:c>
    </x:row>
    <x:row r="167" ht="25" customHeight="1">
      <x:c r="A167" s="3"/>
      <x:c r="B167" s="3"/>
      <x:c r="C167" s="3"/>
      <x:c r="D167" s="25"/>
      <x:c r="E167" s="25"/>
      <x:c r="F167" s="3"/>
      <x:c r="G167" s="3"/>
      <x:c r="H167" s="3"/>
      <x:c r="I167" s="3"/>
      <x:c r="J167" s="3"/>
      <x:c r="K167" s="3"/>
      <x:c r="L167" s="20"/>
      <x:c r="M167" s="3"/>
      <x:c r="N167" s="19" t="str">
        <x:f>IF(A167="","",IF(COUNTIFS('Reviews'!$A$7:$A$306,A167)&lt;&gt;1,"Duplicate ID",IF(COUNTIFS('Cases overview'!$A$7:$A$306,B167)&lt;&gt;1,"Invalid case ref",IF(COUNTIFS('Plan versions'!$A$7:$A$306,C167,'Plan versions'!$B$7:$B$306,B167,'Plan versions'!$L$7:$L$306,"Frozen")&lt;&gt;1,"Invalid plan ref",IF(OR(NOT(ISNUMBER(D167)),NOT(ISNUMBER(E167)),F167="",G167="",H167="",M167=""),"Review info missing",IF(COUNTIFS('Update log'!$A$7:$A$306,J167,'Update log'!$B$7:$B$306,B167,'Update log'!$C$7:$C$306,A167)&lt;&gt;1,"Update not registered","Valid input"))))))</x:f>
      </x:c>
    </x:row>
    <x:row r="168" ht="25" customHeight="1">
      <x:c r="A168" s="3"/>
      <x:c r="B168" s="3"/>
      <x:c r="C168" s="3"/>
      <x:c r="D168" s="25"/>
      <x:c r="E168" s="25"/>
      <x:c r="F168" s="3"/>
      <x:c r="G168" s="3"/>
      <x:c r="H168" s="3"/>
      <x:c r="I168" s="3"/>
      <x:c r="J168" s="3"/>
      <x:c r="K168" s="3"/>
      <x:c r="L168" s="20"/>
      <x:c r="M168" s="3"/>
      <x:c r="N168" s="19" t="str">
        <x:f>IF(A168="","",IF(COUNTIFS('Reviews'!$A$7:$A$306,A168)&lt;&gt;1,"Duplicate ID",IF(COUNTIFS('Cases overview'!$A$7:$A$306,B168)&lt;&gt;1,"Invalid case ref",IF(COUNTIFS('Plan versions'!$A$7:$A$306,C168,'Plan versions'!$B$7:$B$306,B168,'Plan versions'!$L$7:$L$306,"Frozen")&lt;&gt;1,"Invalid plan ref",IF(OR(NOT(ISNUMBER(D168)),NOT(ISNUMBER(E168)),F168="",G168="",H168="",M168=""),"Review info missing",IF(COUNTIFS('Update log'!$A$7:$A$306,J168,'Update log'!$B$7:$B$306,B168,'Update log'!$C$7:$C$306,A168)&lt;&gt;1,"Update not registered","Valid input"))))))</x:f>
      </x:c>
    </x:row>
    <x:row r="169" ht="25" customHeight="1">
      <x:c r="A169" s="3"/>
      <x:c r="B169" s="3"/>
      <x:c r="C169" s="3"/>
      <x:c r="D169" s="25"/>
      <x:c r="E169" s="25"/>
      <x:c r="F169" s="3"/>
      <x:c r="G169" s="3"/>
      <x:c r="H169" s="3"/>
      <x:c r="I169" s="3"/>
      <x:c r="J169" s="3"/>
      <x:c r="K169" s="3"/>
      <x:c r="L169" s="20"/>
      <x:c r="M169" s="3"/>
      <x:c r="N169" s="19" t="str">
        <x:f>IF(A169="","",IF(COUNTIFS('Reviews'!$A$7:$A$306,A169)&lt;&gt;1,"Duplicate ID",IF(COUNTIFS('Cases overview'!$A$7:$A$306,B169)&lt;&gt;1,"Invalid case ref",IF(COUNTIFS('Plan versions'!$A$7:$A$306,C169,'Plan versions'!$B$7:$B$306,B169,'Plan versions'!$L$7:$L$306,"Frozen")&lt;&gt;1,"Invalid plan ref",IF(OR(NOT(ISNUMBER(D169)),NOT(ISNUMBER(E169)),F169="",G169="",H169="",M169=""),"Review info missing",IF(COUNTIFS('Update log'!$A$7:$A$306,J169,'Update log'!$B$7:$B$306,B169,'Update log'!$C$7:$C$306,A169)&lt;&gt;1,"Update not registered","Valid input"))))))</x:f>
      </x:c>
    </x:row>
    <x:row r="170" ht="25" customHeight="1">
      <x:c r="A170" s="3"/>
      <x:c r="B170" s="3"/>
      <x:c r="C170" s="3"/>
      <x:c r="D170" s="25"/>
      <x:c r="E170" s="25"/>
      <x:c r="F170" s="3"/>
      <x:c r="G170" s="3"/>
      <x:c r="H170" s="3"/>
      <x:c r="I170" s="3"/>
      <x:c r="J170" s="3"/>
      <x:c r="K170" s="3"/>
      <x:c r="L170" s="20"/>
      <x:c r="M170" s="3"/>
      <x:c r="N170" s="19" t="str">
        <x:f>IF(A170="","",IF(COUNTIFS('Reviews'!$A$7:$A$306,A170)&lt;&gt;1,"Duplicate ID",IF(COUNTIFS('Cases overview'!$A$7:$A$306,B170)&lt;&gt;1,"Invalid case ref",IF(COUNTIFS('Plan versions'!$A$7:$A$306,C170,'Plan versions'!$B$7:$B$306,B170,'Plan versions'!$L$7:$L$306,"Frozen")&lt;&gt;1,"Invalid plan ref",IF(OR(NOT(ISNUMBER(D170)),NOT(ISNUMBER(E170)),F170="",G170="",H170="",M170=""),"Review info missing",IF(COUNTIFS('Update log'!$A$7:$A$306,J170,'Update log'!$B$7:$B$306,B170,'Update log'!$C$7:$C$306,A170)&lt;&gt;1,"Update not registered","Valid input"))))))</x:f>
      </x:c>
    </x:row>
    <x:row r="171" ht="25" customHeight="1">
      <x:c r="A171" s="3"/>
      <x:c r="B171" s="3"/>
      <x:c r="C171" s="3"/>
      <x:c r="D171" s="25"/>
      <x:c r="E171" s="25"/>
      <x:c r="F171" s="3"/>
      <x:c r="G171" s="3"/>
      <x:c r="H171" s="3"/>
      <x:c r="I171" s="3"/>
      <x:c r="J171" s="3"/>
      <x:c r="K171" s="3"/>
      <x:c r="L171" s="20"/>
      <x:c r="M171" s="3"/>
      <x:c r="N171" s="19" t="str">
        <x:f>IF(A171="","",IF(COUNTIFS('Reviews'!$A$7:$A$306,A171)&lt;&gt;1,"Duplicate ID",IF(COUNTIFS('Cases overview'!$A$7:$A$306,B171)&lt;&gt;1,"Invalid case ref",IF(COUNTIFS('Plan versions'!$A$7:$A$306,C171,'Plan versions'!$B$7:$B$306,B171,'Plan versions'!$L$7:$L$306,"Frozen")&lt;&gt;1,"Invalid plan ref",IF(OR(NOT(ISNUMBER(D171)),NOT(ISNUMBER(E171)),F171="",G171="",H171="",M171=""),"Review info missing",IF(COUNTIFS('Update log'!$A$7:$A$306,J171,'Update log'!$B$7:$B$306,B171,'Update log'!$C$7:$C$306,A171)&lt;&gt;1,"Update not registered","Valid input"))))))</x:f>
      </x:c>
    </x:row>
    <x:row r="172" ht="25" customHeight="1">
      <x:c r="A172" s="3"/>
      <x:c r="B172" s="3"/>
      <x:c r="C172" s="3"/>
      <x:c r="D172" s="25"/>
      <x:c r="E172" s="25"/>
      <x:c r="F172" s="3"/>
      <x:c r="G172" s="3"/>
      <x:c r="H172" s="3"/>
      <x:c r="I172" s="3"/>
      <x:c r="J172" s="3"/>
      <x:c r="K172" s="3"/>
      <x:c r="L172" s="20"/>
      <x:c r="M172" s="3"/>
      <x:c r="N172" s="19" t="str">
        <x:f>IF(A172="","",IF(COUNTIFS('Reviews'!$A$7:$A$306,A172)&lt;&gt;1,"Duplicate ID",IF(COUNTIFS('Cases overview'!$A$7:$A$306,B172)&lt;&gt;1,"Invalid case ref",IF(COUNTIFS('Plan versions'!$A$7:$A$306,C172,'Plan versions'!$B$7:$B$306,B172,'Plan versions'!$L$7:$L$306,"Frozen")&lt;&gt;1,"Invalid plan ref",IF(OR(NOT(ISNUMBER(D172)),NOT(ISNUMBER(E172)),F172="",G172="",H172="",M172=""),"Review info missing",IF(COUNTIFS('Update log'!$A$7:$A$306,J172,'Update log'!$B$7:$B$306,B172,'Update log'!$C$7:$C$306,A172)&lt;&gt;1,"Update not registered","Valid input"))))))</x:f>
      </x:c>
    </x:row>
    <x:row r="173" ht="25" customHeight="1">
      <x:c r="A173" s="3"/>
      <x:c r="B173" s="3"/>
      <x:c r="C173" s="3"/>
      <x:c r="D173" s="25"/>
      <x:c r="E173" s="25"/>
      <x:c r="F173" s="3"/>
      <x:c r="G173" s="3"/>
      <x:c r="H173" s="3"/>
      <x:c r="I173" s="3"/>
      <x:c r="J173" s="3"/>
      <x:c r="K173" s="3"/>
      <x:c r="L173" s="20"/>
      <x:c r="M173" s="3"/>
      <x:c r="N173" s="19" t="str">
        <x:f>IF(A173="","",IF(COUNTIFS('Reviews'!$A$7:$A$306,A173)&lt;&gt;1,"Duplicate ID",IF(COUNTIFS('Cases overview'!$A$7:$A$306,B173)&lt;&gt;1,"Invalid case ref",IF(COUNTIFS('Plan versions'!$A$7:$A$306,C173,'Plan versions'!$B$7:$B$306,B173,'Plan versions'!$L$7:$L$306,"Frozen")&lt;&gt;1,"Invalid plan ref",IF(OR(NOT(ISNUMBER(D173)),NOT(ISNUMBER(E173)),F173="",G173="",H173="",M173=""),"Review info missing",IF(COUNTIFS('Update log'!$A$7:$A$306,J173,'Update log'!$B$7:$B$306,B173,'Update log'!$C$7:$C$306,A173)&lt;&gt;1,"Update not registered","Valid input"))))))</x:f>
      </x:c>
    </x:row>
    <x:row r="174" ht="25" customHeight="1">
      <x:c r="A174" s="3"/>
      <x:c r="B174" s="3"/>
      <x:c r="C174" s="3"/>
      <x:c r="D174" s="25"/>
      <x:c r="E174" s="25"/>
      <x:c r="F174" s="3"/>
      <x:c r="G174" s="3"/>
      <x:c r="H174" s="3"/>
      <x:c r="I174" s="3"/>
      <x:c r="J174" s="3"/>
      <x:c r="K174" s="3"/>
      <x:c r="L174" s="20"/>
      <x:c r="M174" s="3"/>
      <x:c r="N174" s="19" t="str">
        <x:f>IF(A174="","",IF(COUNTIFS('Reviews'!$A$7:$A$306,A174)&lt;&gt;1,"Duplicate ID",IF(COUNTIFS('Cases overview'!$A$7:$A$306,B174)&lt;&gt;1,"Invalid case ref",IF(COUNTIFS('Plan versions'!$A$7:$A$306,C174,'Plan versions'!$B$7:$B$306,B174,'Plan versions'!$L$7:$L$306,"Frozen")&lt;&gt;1,"Invalid plan ref",IF(OR(NOT(ISNUMBER(D174)),NOT(ISNUMBER(E174)),F174="",G174="",H174="",M174=""),"Review info missing",IF(COUNTIFS('Update log'!$A$7:$A$306,J174,'Update log'!$B$7:$B$306,B174,'Update log'!$C$7:$C$306,A174)&lt;&gt;1,"Update not registered","Valid input"))))))</x:f>
      </x:c>
    </x:row>
    <x:row r="175" ht="25" customHeight="1">
      <x:c r="A175" s="3"/>
      <x:c r="B175" s="3"/>
      <x:c r="C175" s="3"/>
      <x:c r="D175" s="25"/>
      <x:c r="E175" s="25"/>
      <x:c r="F175" s="3"/>
      <x:c r="G175" s="3"/>
      <x:c r="H175" s="3"/>
      <x:c r="I175" s="3"/>
      <x:c r="J175" s="3"/>
      <x:c r="K175" s="3"/>
      <x:c r="L175" s="20"/>
      <x:c r="M175" s="3"/>
      <x:c r="N175" s="19" t="str">
        <x:f>IF(A175="","",IF(COUNTIFS('Reviews'!$A$7:$A$306,A175)&lt;&gt;1,"Duplicate ID",IF(COUNTIFS('Cases overview'!$A$7:$A$306,B175)&lt;&gt;1,"Invalid case ref",IF(COUNTIFS('Plan versions'!$A$7:$A$306,C175,'Plan versions'!$B$7:$B$306,B175,'Plan versions'!$L$7:$L$306,"Frozen")&lt;&gt;1,"Invalid plan ref",IF(OR(NOT(ISNUMBER(D175)),NOT(ISNUMBER(E175)),F175="",G175="",H175="",M175=""),"Review info missing",IF(COUNTIFS('Update log'!$A$7:$A$306,J175,'Update log'!$B$7:$B$306,B175,'Update log'!$C$7:$C$306,A175)&lt;&gt;1,"Update not registered","Valid input"))))))</x:f>
      </x:c>
    </x:row>
    <x:row r="176" ht="25" customHeight="1">
      <x:c r="A176" s="3"/>
      <x:c r="B176" s="3"/>
      <x:c r="C176" s="3"/>
      <x:c r="D176" s="25"/>
      <x:c r="E176" s="25"/>
      <x:c r="F176" s="3"/>
      <x:c r="G176" s="3"/>
      <x:c r="H176" s="3"/>
      <x:c r="I176" s="3"/>
      <x:c r="J176" s="3"/>
      <x:c r="K176" s="3"/>
      <x:c r="L176" s="20"/>
      <x:c r="M176" s="3"/>
      <x:c r="N176" s="19" t="str">
        <x:f>IF(A176="","",IF(COUNTIFS('Reviews'!$A$7:$A$306,A176)&lt;&gt;1,"Duplicate ID",IF(COUNTIFS('Cases overview'!$A$7:$A$306,B176)&lt;&gt;1,"Invalid case ref",IF(COUNTIFS('Plan versions'!$A$7:$A$306,C176,'Plan versions'!$B$7:$B$306,B176,'Plan versions'!$L$7:$L$306,"Frozen")&lt;&gt;1,"Invalid plan ref",IF(OR(NOT(ISNUMBER(D176)),NOT(ISNUMBER(E176)),F176="",G176="",H176="",M176=""),"Review info missing",IF(COUNTIFS('Update log'!$A$7:$A$306,J176,'Update log'!$B$7:$B$306,B176,'Update log'!$C$7:$C$306,A176)&lt;&gt;1,"Update not registered","Valid input"))))))</x:f>
      </x:c>
    </x:row>
    <x:row r="177" ht="25" customHeight="1">
      <x:c r="A177" s="3"/>
      <x:c r="B177" s="3"/>
      <x:c r="C177" s="3"/>
      <x:c r="D177" s="25"/>
      <x:c r="E177" s="25"/>
      <x:c r="F177" s="3"/>
      <x:c r="G177" s="3"/>
      <x:c r="H177" s="3"/>
      <x:c r="I177" s="3"/>
      <x:c r="J177" s="3"/>
      <x:c r="K177" s="3"/>
      <x:c r="L177" s="20"/>
      <x:c r="M177" s="3"/>
      <x:c r="N177" s="19" t="str">
        <x:f>IF(A177="","",IF(COUNTIFS('Reviews'!$A$7:$A$306,A177)&lt;&gt;1,"Duplicate ID",IF(COUNTIFS('Cases overview'!$A$7:$A$306,B177)&lt;&gt;1,"Invalid case ref",IF(COUNTIFS('Plan versions'!$A$7:$A$306,C177,'Plan versions'!$B$7:$B$306,B177,'Plan versions'!$L$7:$L$306,"Frozen")&lt;&gt;1,"Invalid plan ref",IF(OR(NOT(ISNUMBER(D177)),NOT(ISNUMBER(E177)),F177="",G177="",H177="",M177=""),"Review info missing",IF(COUNTIFS('Update log'!$A$7:$A$306,J177,'Update log'!$B$7:$B$306,B177,'Update log'!$C$7:$C$306,A177)&lt;&gt;1,"Update not registered","Valid input"))))))</x:f>
      </x:c>
    </x:row>
    <x:row r="178" ht="25" customHeight="1">
      <x:c r="A178" s="3"/>
      <x:c r="B178" s="3"/>
      <x:c r="C178" s="3"/>
      <x:c r="D178" s="25"/>
      <x:c r="E178" s="25"/>
      <x:c r="F178" s="3"/>
      <x:c r="G178" s="3"/>
      <x:c r="H178" s="3"/>
      <x:c r="I178" s="3"/>
      <x:c r="J178" s="3"/>
      <x:c r="K178" s="3"/>
      <x:c r="L178" s="20"/>
      <x:c r="M178" s="3"/>
      <x:c r="N178" s="19" t="str">
        <x:f>IF(A178="","",IF(COUNTIFS('Reviews'!$A$7:$A$306,A178)&lt;&gt;1,"Duplicate ID",IF(COUNTIFS('Cases overview'!$A$7:$A$306,B178)&lt;&gt;1,"Invalid case ref",IF(COUNTIFS('Plan versions'!$A$7:$A$306,C178,'Plan versions'!$B$7:$B$306,B178,'Plan versions'!$L$7:$L$306,"Frozen")&lt;&gt;1,"Invalid plan ref",IF(OR(NOT(ISNUMBER(D178)),NOT(ISNUMBER(E178)),F178="",G178="",H178="",M178=""),"Review info missing",IF(COUNTIFS('Update log'!$A$7:$A$306,J178,'Update log'!$B$7:$B$306,B178,'Update log'!$C$7:$C$306,A178)&lt;&gt;1,"Update not registered","Valid input"))))))</x:f>
      </x:c>
    </x:row>
    <x:row r="179" ht="25" customHeight="1">
      <x:c r="A179" s="3"/>
      <x:c r="B179" s="3"/>
      <x:c r="C179" s="3"/>
      <x:c r="D179" s="25"/>
      <x:c r="E179" s="25"/>
      <x:c r="F179" s="3"/>
      <x:c r="G179" s="3"/>
      <x:c r="H179" s="3"/>
      <x:c r="I179" s="3"/>
      <x:c r="J179" s="3"/>
      <x:c r="K179" s="3"/>
      <x:c r="L179" s="20"/>
      <x:c r="M179" s="3"/>
      <x:c r="N179" s="19" t="str">
        <x:f>IF(A179="","",IF(COUNTIFS('Reviews'!$A$7:$A$306,A179)&lt;&gt;1,"Duplicate ID",IF(COUNTIFS('Cases overview'!$A$7:$A$306,B179)&lt;&gt;1,"Invalid case ref",IF(COUNTIFS('Plan versions'!$A$7:$A$306,C179,'Plan versions'!$B$7:$B$306,B179,'Plan versions'!$L$7:$L$306,"Frozen")&lt;&gt;1,"Invalid plan ref",IF(OR(NOT(ISNUMBER(D179)),NOT(ISNUMBER(E179)),F179="",G179="",H179="",M179=""),"Review info missing",IF(COUNTIFS('Update log'!$A$7:$A$306,J179,'Update log'!$B$7:$B$306,B179,'Update log'!$C$7:$C$306,A179)&lt;&gt;1,"Update not registered","Valid input"))))))</x:f>
      </x:c>
    </x:row>
    <x:row r="180" ht="25" customHeight="1">
      <x:c r="A180" s="3"/>
      <x:c r="B180" s="3"/>
      <x:c r="C180" s="3"/>
      <x:c r="D180" s="25"/>
      <x:c r="E180" s="25"/>
      <x:c r="F180" s="3"/>
      <x:c r="G180" s="3"/>
      <x:c r="H180" s="3"/>
      <x:c r="I180" s="3"/>
      <x:c r="J180" s="3"/>
      <x:c r="K180" s="3"/>
      <x:c r="L180" s="20"/>
      <x:c r="M180" s="3"/>
      <x:c r="N180" s="19" t="str">
        <x:f>IF(A180="","",IF(COUNTIFS('Reviews'!$A$7:$A$306,A180)&lt;&gt;1,"Duplicate ID",IF(COUNTIFS('Cases overview'!$A$7:$A$306,B180)&lt;&gt;1,"Invalid case ref",IF(COUNTIFS('Plan versions'!$A$7:$A$306,C180,'Plan versions'!$B$7:$B$306,B180,'Plan versions'!$L$7:$L$306,"Frozen")&lt;&gt;1,"Invalid plan ref",IF(OR(NOT(ISNUMBER(D180)),NOT(ISNUMBER(E180)),F180="",G180="",H180="",M180=""),"Review info missing",IF(COUNTIFS('Update log'!$A$7:$A$306,J180,'Update log'!$B$7:$B$306,B180,'Update log'!$C$7:$C$306,A180)&lt;&gt;1,"Update not registered","Valid input"))))))</x:f>
      </x:c>
    </x:row>
    <x:row r="181" ht="25" customHeight="1">
      <x:c r="A181" s="3"/>
      <x:c r="B181" s="3"/>
      <x:c r="C181" s="3"/>
      <x:c r="D181" s="25"/>
      <x:c r="E181" s="25"/>
      <x:c r="F181" s="3"/>
      <x:c r="G181" s="3"/>
      <x:c r="H181" s="3"/>
      <x:c r="I181" s="3"/>
      <x:c r="J181" s="3"/>
      <x:c r="K181" s="3"/>
      <x:c r="L181" s="20"/>
      <x:c r="M181" s="3"/>
      <x:c r="N181" s="19" t="str">
        <x:f>IF(A181="","",IF(COUNTIFS('Reviews'!$A$7:$A$306,A181)&lt;&gt;1,"Duplicate ID",IF(COUNTIFS('Cases overview'!$A$7:$A$306,B181)&lt;&gt;1,"Invalid case ref",IF(COUNTIFS('Plan versions'!$A$7:$A$306,C181,'Plan versions'!$B$7:$B$306,B181,'Plan versions'!$L$7:$L$306,"Frozen")&lt;&gt;1,"Invalid plan ref",IF(OR(NOT(ISNUMBER(D181)),NOT(ISNUMBER(E181)),F181="",G181="",H181="",M181=""),"Review info missing",IF(COUNTIFS('Update log'!$A$7:$A$306,J181,'Update log'!$B$7:$B$306,B181,'Update log'!$C$7:$C$306,A181)&lt;&gt;1,"Update not registered","Valid input"))))))</x:f>
      </x:c>
    </x:row>
    <x:row r="182" ht="25" customHeight="1">
      <x:c r="A182" s="3"/>
      <x:c r="B182" s="3"/>
      <x:c r="C182" s="3"/>
      <x:c r="D182" s="25"/>
      <x:c r="E182" s="25"/>
      <x:c r="F182" s="3"/>
      <x:c r="G182" s="3"/>
      <x:c r="H182" s="3"/>
      <x:c r="I182" s="3"/>
      <x:c r="J182" s="3"/>
      <x:c r="K182" s="3"/>
      <x:c r="L182" s="20"/>
      <x:c r="M182" s="3"/>
      <x:c r="N182" s="19" t="str">
        <x:f>IF(A182="","",IF(COUNTIFS('Reviews'!$A$7:$A$306,A182)&lt;&gt;1,"Duplicate ID",IF(COUNTIFS('Cases overview'!$A$7:$A$306,B182)&lt;&gt;1,"Invalid case ref",IF(COUNTIFS('Plan versions'!$A$7:$A$306,C182,'Plan versions'!$B$7:$B$306,B182,'Plan versions'!$L$7:$L$306,"Frozen")&lt;&gt;1,"Invalid plan ref",IF(OR(NOT(ISNUMBER(D182)),NOT(ISNUMBER(E182)),F182="",G182="",H182="",M182=""),"Review info missing",IF(COUNTIFS('Update log'!$A$7:$A$306,J182,'Update log'!$B$7:$B$306,B182,'Update log'!$C$7:$C$306,A182)&lt;&gt;1,"Update not registered","Valid input"))))))</x:f>
      </x:c>
    </x:row>
    <x:row r="183" ht="25" customHeight="1">
      <x:c r="A183" s="3"/>
      <x:c r="B183" s="3"/>
      <x:c r="C183" s="3"/>
      <x:c r="D183" s="25"/>
      <x:c r="E183" s="25"/>
      <x:c r="F183" s="3"/>
      <x:c r="G183" s="3"/>
      <x:c r="H183" s="3"/>
      <x:c r="I183" s="3"/>
      <x:c r="J183" s="3"/>
      <x:c r="K183" s="3"/>
      <x:c r="L183" s="20"/>
      <x:c r="M183" s="3"/>
      <x:c r="N183" s="19" t="str">
        <x:f>IF(A183="","",IF(COUNTIFS('Reviews'!$A$7:$A$306,A183)&lt;&gt;1,"Duplicate ID",IF(COUNTIFS('Cases overview'!$A$7:$A$306,B183)&lt;&gt;1,"Invalid case ref",IF(COUNTIFS('Plan versions'!$A$7:$A$306,C183,'Plan versions'!$B$7:$B$306,B183,'Plan versions'!$L$7:$L$306,"Frozen")&lt;&gt;1,"Invalid plan ref",IF(OR(NOT(ISNUMBER(D183)),NOT(ISNUMBER(E183)),F183="",G183="",H183="",M183=""),"Review info missing",IF(COUNTIFS('Update log'!$A$7:$A$306,J183,'Update log'!$B$7:$B$306,B183,'Update log'!$C$7:$C$306,A183)&lt;&gt;1,"Update not registered","Valid input"))))))</x:f>
      </x:c>
    </x:row>
    <x:row r="184" ht="25" customHeight="1">
      <x:c r="A184" s="3"/>
      <x:c r="B184" s="3"/>
      <x:c r="C184" s="3"/>
      <x:c r="D184" s="25"/>
      <x:c r="E184" s="25"/>
      <x:c r="F184" s="3"/>
      <x:c r="G184" s="3"/>
      <x:c r="H184" s="3"/>
      <x:c r="I184" s="3"/>
      <x:c r="J184" s="3"/>
      <x:c r="K184" s="3"/>
      <x:c r="L184" s="20"/>
      <x:c r="M184" s="3"/>
      <x:c r="N184" s="19" t="str">
        <x:f>IF(A184="","",IF(COUNTIFS('Reviews'!$A$7:$A$306,A184)&lt;&gt;1,"Duplicate ID",IF(COUNTIFS('Cases overview'!$A$7:$A$306,B184)&lt;&gt;1,"Invalid case ref",IF(COUNTIFS('Plan versions'!$A$7:$A$306,C184,'Plan versions'!$B$7:$B$306,B184,'Plan versions'!$L$7:$L$306,"Frozen")&lt;&gt;1,"Invalid plan ref",IF(OR(NOT(ISNUMBER(D184)),NOT(ISNUMBER(E184)),F184="",G184="",H184="",M184=""),"Review info missing",IF(COUNTIFS('Update log'!$A$7:$A$306,J184,'Update log'!$B$7:$B$306,B184,'Update log'!$C$7:$C$306,A184)&lt;&gt;1,"Update not registered","Valid input"))))))</x:f>
      </x:c>
    </x:row>
    <x:row r="185" ht="25" customHeight="1">
      <x:c r="A185" s="3"/>
      <x:c r="B185" s="3"/>
      <x:c r="C185" s="3"/>
      <x:c r="D185" s="25"/>
      <x:c r="E185" s="25"/>
      <x:c r="F185" s="3"/>
      <x:c r="G185" s="3"/>
      <x:c r="H185" s="3"/>
      <x:c r="I185" s="3"/>
      <x:c r="J185" s="3"/>
      <x:c r="K185" s="3"/>
      <x:c r="L185" s="20"/>
      <x:c r="M185" s="3"/>
      <x:c r="N185" s="19" t="str">
        <x:f>IF(A185="","",IF(COUNTIFS('Reviews'!$A$7:$A$306,A185)&lt;&gt;1,"Duplicate ID",IF(COUNTIFS('Cases overview'!$A$7:$A$306,B185)&lt;&gt;1,"Invalid case ref",IF(COUNTIFS('Plan versions'!$A$7:$A$306,C185,'Plan versions'!$B$7:$B$306,B185,'Plan versions'!$L$7:$L$306,"Frozen")&lt;&gt;1,"Invalid plan ref",IF(OR(NOT(ISNUMBER(D185)),NOT(ISNUMBER(E185)),F185="",G185="",H185="",M185=""),"Review info missing",IF(COUNTIFS('Update log'!$A$7:$A$306,J185,'Update log'!$B$7:$B$306,B185,'Update log'!$C$7:$C$306,A185)&lt;&gt;1,"Update not registered","Valid input"))))))</x:f>
      </x:c>
    </x:row>
    <x:row r="186" ht="25" customHeight="1">
      <x:c r="A186" s="3"/>
      <x:c r="B186" s="3"/>
      <x:c r="C186" s="3"/>
      <x:c r="D186" s="25"/>
      <x:c r="E186" s="25"/>
      <x:c r="F186" s="3"/>
      <x:c r="G186" s="3"/>
      <x:c r="H186" s="3"/>
      <x:c r="I186" s="3"/>
      <x:c r="J186" s="3"/>
      <x:c r="K186" s="3"/>
      <x:c r="L186" s="20"/>
      <x:c r="M186" s="3"/>
      <x:c r="N186" s="19" t="str">
        <x:f>IF(A186="","",IF(COUNTIFS('Reviews'!$A$7:$A$306,A186)&lt;&gt;1,"Duplicate ID",IF(COUNTIFS('Cases overview'!$A$7:$A$306,B186)&lt;&gt;1,"Invalid case ref",IF(COUNTIFS('Plan versions'!$A$7:$A$306,C186,'Plan versions'!$B$7:$B$306,B186,'Plan versions'!$L$7:$L$306,"Frozen")&lt;&gt;1,"Invalid plan ref",IF(OR(NOT(ISNUMBER(D186)),NOT(ISNUMBER(E186)),F186="",G186="",H186="",M186=""),"Review info missing",IF(COUNTIFS('Update log'!$A$7:$A$306,J186,'Update log'!$B$7:$B$306,B186,'Update log'!$C$7:$C$306,A186)&lt;&gt;1,"Update not registered","Valid input"))))))</x:f>
      </x:c>
    </x:row>
    <x:row r="187" ht="25" customHeight="1">
      <x:c r="A187" s="3"/>
      <x:c r="B187" s="3"/>
      <x:c r="C187" s="3"/>
      <x:c r="D187" s="25"/>
      <x:c r="E187" s="25"/>
      <x:c r="F187" s="3"/>
      <x:c r="G187" s="3"/>
      <x:c r="H187" s="3"/>
      <x:c r="I187" s="3"/>
      <x:c r="J187" s="3"/>
      <x:c r="K187" s="3"/>
      <x:c r="L187" s="20"/>
      <x:c r="M187" s="3"/>
      <x:c r="N187" s="19" t="str">
        <x:f>IF(A187="","",IF(COUNTIFS('Reviews'!$A$7:$A$306,A187)&lt;&gt;1,"Duplicate ID",IF(COUNTIFS('Cases overview'!$A$7:$A$306,B187)&lt;&gt;1,"Invalid case ref",IF(COUNTIFS('Plan versions'!$A$7:$A$306,C187,'Plan versions'!$B$7:$B$306,B187,'Plan versions'!$L$7:$L$306,"Frozen")&lt;&gt;1,"Invalid plan ref",IF(OR(NOT(ISNUMBER(D187)),NOT(ISNUMBER(E187)),F187="",G187="",H187="",M187=""),"Review info missing",IF(COUNTIFS('Update log'!$A$7:$A$306,J187,'Update log'!$B$7:$B$306,B187,'Update log'!$C$7:$C$306,A187)&lt;&gt;1,"Update not registered","Valid input"))))))</x:f>
      </x:c>
    </x:row>
    <x:row r="188" ht="25" customHeight="1">
      <x:c r="A188" s="3"/>
      <x:c r="B188" s="3"/>
      <x:c r="C188" s="3"/>
      <x:c r="D188" s="25"/>
      <x:c r="E188" s="25"/>
      <x:c r="F188" s="3"/>
      <x:c r="G188" s="3"/>
      <x:c r="H188" s="3"/>
      <x:c r="I188" s="3"/>
      <x:c r="J188" s="3"/>
      <x:c r="K188" s="3"/>
      <x:c r="L188" s="20"/>
      <x:c r="M188" s="3"/>
      <x:c r="N188" s="19" t="str">
        <x:f>IF(A188="","",IF(COUNTIFS('Reviews'!$A$7:$A$306,A188)&lt;&gt;1,"Duplicate ID",IF(COUNTIFS('Cases overview'!$A$7:$A$306,B188)&lt;&gt;1,"Invalid case ref",IF(COUNTIFS('Plan versions'!$A$7:$A$306,C188,'Plan versions'!$B$7:$B$306,B188,'Plan versions'!$L$7:$L$306,"Frozen")&lt;&gt;1,"Invalid plan ref",IF(OR(NOT(ISNUMBER(D188)),NOT(ISNUMBER(E188)),F188="",G188="",H188="",M188=""),"Review info missing",IF(COUNTIFS('Update log'!$A$7:$A$306,J188,'Update log'!$B$7:$B$306,B188,'Update log'!$C$7:$C$306,A188)&lt;&gt;1,"Update not registered","Valid input"))))))</x:f>
      </x:c>
    </x:row>
    <x:row r="189" ht="25" customHeight="1">
      <x:c r="A189" s="3"/>
      <x:c r="B189" s="3"/>
      <x:c r="C189" s="3"/>
      <x:c r="D189" s="25"/>
      <x:c r="E189" s="25"/>
      <x:c r="F189" s="3"/>
      <x:c r="G189" s="3"/>
      <x:c r="H189" s="3"/>
      <x:c r="I189" s="3"/>
      <x:c r="J189" s="3"/>
      <x:c r="K189" s="3"/>
      <x:c r="L189" s="20"/>
      <x:c r="M189" s="3"/>
      <x:c r="N189" s="19" t="str">
        <x:f>IF(A189="","",IF(COUNTIFS('Reviews'!$A$7:$A$306,A189)&lt;&gt;1,"Duplicate ID",IF(COUNTIFS('Cases overview'!$A$7:$A$306,B189)&lt;&gt;1,"Invalid case ref",IF(COUNTIFS('Plan versions'!$A$7:$A$306,C189,'Plan versions'!$B$7:$B$306,B189,'Plan versions'!$L$7:$L$306,"Frozen")&lt;&gt;1,"Invalid plan ref",IF(OR(NOT(ISNUMBER(D189)),NOT(ISNUMBER(E189)),F189="",G189="",H189="",M189=""),"Review info missing",IF(COUNTIFS('Update log'!$A$7:$A$306,J189,'Update log'!$B$7:$B$306,B189,'Update log'!$C$7:$C$306,A189)&lt;&gt;1,"Update not registered","Valid input"))))))</x:f>
      </x:c>
    </x:row>
    <x:row r="190" ht="25" customHeight="1">
      <x:c r="A190" s="3"/>
      <x:c r="B190" s="3"/>
      <x:c r="C190" s="3"/>
      <x:c r="D190" s="25"/>
      <x:c r="E190" s="25"/>
      <x:c r="F190" s="3"/>
      <x:c r="G190" s="3"/>
      <x:c r="H190" s="3"/>
      <x:c r="I190" s="3"/>
      <x:c r="J190" s="3"/>
      <x:c r="K190" s="3"/>
      <x:c r="L190" s="20"/>
      <x:c r="M190" s="3"/>
      <x:c r="N190" s="19" t="str">
        <x:f>IF(A190="","",IF(COUNTIFS('Reviews'!$A$7:$A$306,A190)&lt;&gt;1,"Duplicate ID",IF(COUNTIFS('Cases overview'!$A$7:$A$306,B190)&lt;&gt;1,"Invalid case ref",IF(COUNTIFS('Plan versions'!$A$7:$A$306,C190,'Plan versions'!$B$7:$B$306,B190,'Plan versions'!$L$7:$L$306,"Frozen")&lt;&gt;1,"Invalid plan ref",IF(OR(NOT(ISNUMBER(D190)),NOT(ISNUMBER(E190)),F190="",G190="",H190="",M190=""),"Review info missing",IF(COUNTIFS('Update log'!$A$7:$A$306,J190,'Update log'!$B$7:$B$306,B190,'Update log'!$C$7:$C$306,A190)&lt;&gt;1,"Update not registered","Valid input"))))))</x:f>
      </x:c>
    </x:row>
    <x:row r="191" ht="25" customHeight="1">
      <x:c r="A191" s="3"/>
      <x:c r="B191" s="3"/>
      <x:c r="C191" s="3"/>
      <x:c r="D191" s="25"/>
      <x:c r="E191" s="25"/>
      <x:c r="F191" s="3"/>
      <x:c r="G191" s="3"/>
      <x:c r="H191" s="3"/>
      <x:c r="I191" s="3"/>
      <x:c r="J191" s="3"/>
      <x:c r="K191" s="3"/>
      <x:c r="L191" s="20"/>
      <x:c r="M191" s="3"/>
      <x:c r="N191" s="19" t="str">
        <x:f>IF(A191="","",IF(COUNTIFS('Reviews'!$A$7:$A$306,A191)&lt;&gt;1,"Duplicate ID",IF(COUNTIFS('Cases overview'!$A$7:$A$306,B191)&lt;&gt;1,"Invalid case ref",IF(COUNTIFS('Plan versions'!$A$7:$A$306,C191,'Plan versions'!$B$7:$B$306,B191,'Plan versions'!$L$7:$L$306,"Frozen")&lt;&gt;1,"Invalid plan ref",IF(OR(NOT(ISNUMBER(D191)),NOT(ISNUMBER(E191)),F191="",G191="",H191="",M191=""),"Review info missing",IF(COUNTIFS('Update log'!$A$7:$A$306,J191,'Update log'!$B$7:$B$306,B191,'Update log'!$C$7:$C$306,A191)&lt;&gt;1,"Update not registered","Valid input"))))))</x:f>
      </x:c>
    </x:row>
    <x:row r="192" ht="25" customHeight="1">
      <x:c r="A192" s="3"/>
      <x:c r="B192" s="3"/>
      <x:c r="C192" s="3"/>
      <x:c r="D192" s="25"/>
      <x:c r="E192" s="25"/>
      <x:c r="F192" s="3"/>
      <x:c r="G192" s="3"/>
      <x:c r="H192" s="3"/>
      <x:c r="I192" s="3"/>
      <x:c r="J192" s="3"/>
      <x:c r="K192" s="3"/>
      <x:c r="L192" s="20"/>
      <x:c r="M192" s="3"/>
      <x:c r="N192" s="19" t="str">
        <x:f>IF(A192="","",IF(COUNTIFS('Reviews'!$A$7:$A$306,A192)&lt;&gt;1,"Duplicate ID",IF(COUNTIFS('Cases overview'!$A$7:$A$306,B192)&lt;&gt;1,"Invalid case ref",IF(COUNTIFS('Plan versions'!$A$7:$A$306,C192,'Plan versions'!$B$7:$B$306,B192,'Plan versions'!$L$7:$L$306,"Frozen")&lt;&gt;1,"Invalid plan ref",IF(OR(NOT(ISNUMBER(D192)),NOT(ISNUMBER(E192)),F192="",G192="",H192="",M192=""),"Review info missing",IF(COUNTIFS('Update log'!$A$7:$A$306,J192,'Update log'!$B$7:$B$306,B192,'Update log'!$C$7:$C$306,A192)&lt;&gt;1,"Update not registered","Valid input"))))))</x:f>
      </x:c>
    </x:row>
    <x:row r="193" ht="25" customHeight="1">
      <x:c r="A193" s="3"/>
      <x:c r="B193" s="3"/>
      <x:c r="C193" s="3"/>
      <x:c r="D193" s="25"/>
      <x:c r="E193" s="25"/>
      <x:c r="F193" s="3"/>
      <x:c r="G193" s="3"/>
      <x:c r="H193" s="3"/>
      <x:c r="I193" s="3"/>
      <x:c r="J193" s="3"/>
      <x:c r="K193" s="3"/>
      <x:c r="L193" s="20"/>
      <x:c r="M193" s="3"/>
      <x:c r="N193" s="19" t="str">
        <x:f>IF(A193="","",IF(COUNTIFS('Reviews'!$A$7:$A$306,A193)&lt;&gt;1,"Duplicate ID",IF(COUNTIFS('Cases overview'!$A$7:$A$306,B193)&lt;&gt;1,"Invalid case ref",IF(COUNTIFS('Plan versions'!$A$7:$A$306,C193,'Plan versions'!$B$7:$B$306,B193,'Plan versions'!$L$7:$L$306,"Frozen")&lt;&gt;1,"Invalid plan ref",IF(OR(NOT(ISNUMBER(D193)),NOT(ISNUMBER(E193)),F193="",G193="",H193="",M193=""),"Review info missing",IF(COUNTIFS('Update log'!$A$7:$A$306,J193,'Update log'!$B$7:$B$306,B193,'Update log'!$C$7:$C$306,A193)&lt;&gt;1,"Update not registered","Valid input"))))))</x:f>
      </x:c>
    </x:row>
    <x:row r="194" ht="25" customHeight="1">
      <x:c r="A194" s="3"/>
      <x:c r="B194" s="3"/>
      <x:c r="C194" s="3"/>
      <x:c r="D194" s="25"/>
      <x:c r="E194" s="25"/>
      <x:c r="F194" s="3"/>
      <x:c r="G194" s="3"/>
      <x:c r="H194" s="3"/>
      <x:c r="I194" s="3"/>
      <x:c r="J194" s="3"/>
      <x:c r="K194" s="3"/>
      <x:c r="L194" s="20"/>
      <x:c r="M194" s="3"/>
      <x:c r="N194" s="19" t="str">
        <x:f>IF(A194="","",IF(COUNTIFS('Reviews'!$A$7:$A$306,A194)&lt;&gt;1,"Duplicate ID",IF(COUNTIFS('Cases overview'!$A$7:$A$306,B194)&lt;&gt;1,"Invalid case ref",IF(COUNTIFS('Plan versions'!$A$7:$A$306,C194,'Plan versions'!$B$7:$B$306,B194,'Plan versions'!$L$7:$L$306,"Frozen")&lt;&gt;1,"Invalid plan ref",IF(OR(NOT(ISNUMBER(D194)),NOT(ISNUMBER(E194)),F194="",G194="",H194="",M194=""),"Review info missing",IF(COUNTIFS('Update log'!$A$7:$A$306,J194,'Update log'!$B$7:$B$306,B194,'Update log'!$C$7:$C$306,A194)&lt;&gt;1,"Update not registered","Valid input"))))))</x:f>
      </x:c>
    </x:row>
    <x:row r="195" ht="25" customHeight="1">
      <x:c r="A195" s="3"/>
      <x:c r="B195" s="3"/>
      <x:c r="C195" s="3"/>
      <x:c r="D195" s="25"/>
      <x:c r="E195" s="25"/>
      <x:c r="F195" s="3"/>
      <x:c r="G195" s="3"/>
      <x:c r="H195" s="3"/>
      <x:c r="I195" s="3"/>
      <x:c r="J195" s="3"/>
      <x:c r="K195" s="3"/>
      <x:c r="L195" s="20"/>
      <x:c r="M195" s="3"/>
      <x:c r="N195" s="19" t="str">
        <x:f>IF(A195="","",IF(COUNTIFS('Reviews'!$A$7:$A$306,A195)&lt;&gt;1,"Duplicate ID",IF(COUNTIFS('Cases overview'!$A$7:$A$306,B195)&lt;&gt;1,"Invalid case ref",IF(COUNTIFS('Plan versions'!$A$7:$A$306,C195,'Plan versions'!$B$7:$B$306,B195,'Plan versions'!$L$7:$L$306,"Frozen")&lt;&gt;1,"Invalid plan ref",IF(OR(NOT(ISNUMBER(D195)),NOT(ISNUMBER(E195)),F195="",G195="",H195="",M195=""),"Review info missing",IF(COUNTIFS('Update log'!$A$7:$A$306,J195,'Update log'!$B$7:$B$306,B195,'Update log'!$C$7:$C$306,A195)&lt;&gt;1,"Update not registered","Valid input"))))))</x:f>
      </x:c>
    </x:row>
    <x:row r="196" ht="25" customHeight="1">
      <x:c r="A196" s="3"/>
      <x:c r="B196" s="3"/>
      <x:c r="C196" s="3"/>
      <x:c r="D196" s="25"/>
      <x:c r="E196" s="25"/>
      <x:c r="F196" s="3"/>
      <x:c r="G196" s="3"/>
      <x:c r="H196" s="3"/>
      <x:c r="I196" s="3"/>
      <x:c r="J196" s="3"/>
      <x:c r="K196" s="3"/>
      <x:c r="L196" s="20"/>
      <x:c r="M196" s="3"/>
      <x:c r="N196" s="19" t="str">
        <x:f>IF(A196="","",IF(COUNTIFS('Reviews'!$A$7:$A$306,A196)&lt;&gt;1,"Duplicate ID",IF(COUNTIFS('Cases overview'!$A$7:$A$306,B196)&lt;&gt;1,"Invalid case ref",IF(COUNTIFS('Plan versions'!$A$7:$A$306,C196,'Plan versions'!$B$7:$B$306,B196,'Plan versions'!$L$7:$L$306,"Frozen")&lt;&gt;1,"Invalid plan ref",IF(OR(NOT(ISNUMBER(D196)),NOT(ISNUMBER(E196)),F196="",G196="",H196="",M196=""),"Review info missing",IF(COUNTIFS('Update log'!$A$7:$A$306,J196,'Update log'!$B$7:$B$306,B196,'Update log'!$C$7:$C$306,A196)&lt;&gt;1,"Update not registered","Valid input"))))))</x:f>
      </x:c>
    </x:row>
    <x:row r="197" ht="25" customHeight="1">
      <x:c r="A197" s="3"/>
      <x:c r="B197" s="3"/>
      <x:c r="C197" s="3"/>
      <x:c r="D197" s="25"/>
      <x:c r="E197" s="25"/>
      <x:c r="F197" s="3"/>
      <x:c r="G197" s="3"/>
      <x:c r="H197" s="3"/>
      <x:c r="I197" s="3"/>
      <x:c r="J197" s="3"/>
      <x:c r="K197" s="3"/>
      <x:c r="L197" s="20"/>
      <x:c r="M197" s="3"/>
      <x:c r="N197" s="19" t="str">
        <x:f>IF(A197="","",IF(COUNTIFS('Reviews'!$A$7:$A$306,A197)&lt;&gt;1,"Duplicate ID",IF(COUNTIFS('Cases overview'!$A$7:$A$306,B197)&lt;&gt;1,"Invalid case ref",IF(COUNTIFS('Plan versions'!$A$7:$A$306,C197,'Plan versions'!$B$7:$B$306,B197,'Plan versions'!$L$7:$L$306,"Frozen")&lt;&gt;1,"Invalid plan ref",IF(OR(NOT(ISNUMBER(D197)),NOT(ISNUMBER(E197)),F197="",G197="",H197="",M197=""),"Review info missing",IF(COUNTIFS('Update log'!$A$7:$A$306,J197,'Update log'!$B$7:$B$306,B197,'Update log'!$C$7:$C$306,A197)&lt;&gt;1,"Update not registered","Valid input"))))))</x:f>
      </x:c>
    </x:row>
    <x:row r="198" ht="25" customHeight="1">
      <x:c r="A198" s="3"/>
      <x:c r="B198" s="3"/>
      <x:c r="C198" s="3"/>
      <x:c r="D198" s="25"/>
      <x:c r="E198" s="25"/>
      <x:c r="F198" s="3"/>
      <x:c r="G198" s="3"/>
      <x:c r="H198" s="3"/>
      <x:c r="I198" s="3"/>
      <x:c r="J198" s="3"/>
      <x:c r="K198" s="3"/>
      <x:c r="L198" s="20"/>
      <x:c r="M198" s="3"/>
      <x:c r="N198" s="19" t="str">
        <x:f>IF(A198="","",IF(COUNTIFS('Reviews'!$A$7:$A$306,A198)&lt;&gt;1,"Duplicate ID",IF(COUNTIFS('Cases overview'!$A$7:$A$306,B198)&lt;&gt;1,"Invalid case ref",IF(COUNTIFS('Plan versions'!$A$7:$A$306,C198,'Plan versions'!$B$7:$B$306,B198,'Plan versions'!$L$7:$L$306,"Frozen")&lt;&gt;1,"Invalid plan ref",IF(OR(NOT(ISNUMBER(D198)),NOT(ISNUMBER(E198)),F198="",G198="",H198="",M198=""),"Review info missing",IF(COUNTIFS('Update log'!$A$7:$A$306,J198,'Update log'!$B$7:$B$306,B198,'Update log'!$C$7:$C$306,A198)&lt;&gt;1,"Update not registered","Valid input"))))))</x:f>
      </x:c>
    </x:row>
    <x:row r="199" ht="25" customHeight="1">
      <x:c r="A199" s="3"/>
      <x:c r="B199" s="3"/>
      <x:c r="C199" s="3"/>
      <x:c r="D199" s="25"/>
      <x:c r="E199" s="25"/>
      <x:c r="F199" s="3"/>
      <x:c r="G199" s="3"/>
      <x:c r="H199" s="3"/>
      <x:c r="I199" s="3"/>
      <x:c r="J199" s="3"/>
      <x:c r="K199" s="3"/>
      <x:c r="L199" s="20"/>
      <x:c r="M199" s="3"/>
      <x:c r="N199" s="19" t="str">
        <x:f>IF(A199="","",IF(COUNTIFS('Reviews'!$A$7:$A$306,A199)&lt;&gt;1,"Duplicate ID",IF(COUNTIFS('Cases overview'!$A$7:$A$306,B199)&lt;&gt;1,"Invalid case ref",IF(COUNTIFS('Plan versions'!$A$7:$A$306,C199,'Plan versions'!$B$7:$B$306,B199,'Plan versions'!$L$7:$L$306,"Frozen")&lt;&gt;1,"Invalid plan ref",IF(OR(NOT(ISNUMBER(D199)),NOT(ISNUMBER(E199)),F199="",G199="",H199="",M199=""),"Review info missing",IF(COUNTIFS('Update log'!$A$7:$A$306,J199,'Update log'!$B$7:$B$306,B199,'Update log'!$C$7:$C$306,A199)&lt;&gt;1,"Update not registered","Valid input"))))))</x:f>
      </x:c>
    </x:row>
    <x:row r="200" ht="25" customHeight="1">
      <x:c r="A200" s="3"/>
      <x:c r="B200" s="3"/>
      <x:c r="C200" s="3"/>
      <x:c r="D200" s="25"/>
      <x:c r="E200" s="25"/>
      <x:c r="F200" s="3"/>
      <x:c r="G200" s="3"/>
      <x:c r="H200" s="3"/>
      <x:c r="I200" s="3"/>
      <x:c r="J200" s="3"/>
      <x:c r="K200" s="3"/>
      <x:c r="L200" s="20"/>
      <x:c r="M200" s="3"/>
      <x:c r="N200" s="19" t="str">
        <x:f>IF(A200="","",IF(COUNTIFS('Reviews'!$A$7:$A$306,A200)&lt;&gt;1,"Duplicate ID",IF(COUNTIFS('Cases overview'!$A$7:$A$306,B200)&lt;&gt;1,"Invalid case ref",IF(COUNTIFS('Plan versions'!$A$7:$A$306,C200,'Plan versions'!$B$7:$B$306,B200,'Plan versions'!$L$7:$L$306,"Frozen")&lt;&gt;1,"Invalid plan ref",IF(OR(NOT(ISNUMBER(D200)),NOT(ISNUMBER(E200)),F200="",G200="",H200="",M200=""),"Review info missing",IF(COUNTIFS('Update log'!$A$7:$A$306,J200,'Update log'!$B$7:$B$306,B200,'Update log'!$C$7:$C$306,A200)&lt;&gt;1,"Update not registered","Valid input"))))))</x:f>
      </x:c>
    </x:row>
    <x:row r="201" ht="25" customHeight="1">
      <x:c r="A201" s="3"/>
      <x:c r="B201" s="3"/>
      <x:c r="C201" s="3"/>
      <x:c r="D201" s="25"/>
      <x:c r="E201" s="25"/>
      <x:c r="F201" s="3"/>
      <x:c r="G201" s="3"/>
      <x:c r="H201" s="3"/>
      <x:c r="I201" s="3"/>
      <x:c r="J201" s="3"/>
      <x:c r="K201" s="3"/>
      <x:c r="L201" s="20"/>
      <x:c r="M201" s="3"/>
      <x:c r="N201" s="19" t="str">
        <x:f>IF(A201="","",IF(COUNTIFS('Reviews'!$A$7:$A$306,A201)&lt;&gt;1,"Duplicate ID",IF(COUNTIFS('Cases overview'!$A$7:$A$306,B201)&lt;&gt;1,"Invalid case ref",IF(COUNTIFS('Plan versions'!$A$7:$A$306,C201,'Plan versions'!$B$7:$B$306,B201,'Plan versions'!$L$7:$L$306,"Frozen")&lt;&gt;1,"Invalid plan ref",IF(OR(NOT(ISNUMBER(D201)),NOT(ISNUMBER(E201)),F201="",G201="",H201="",M201=""),"Review info missing",IF(COUNTIFS('Update log'!$A$7:$A$306,J201,'Update log'!$B$7:$B$306,B201,'Update log'!$C$7:$C$306,A201)&lt;&gt;1,"Update not registered","Valid input"))))))</x:f>
      </x:c>
    </x:row>
    <x:row r="202" ht="25" customHeight="1">
      <x:c r="A202" s="3"/>
      <x:c r="B202" s="3"/>
      <x:c r="C202" s="3"/>
      <x:c r="D202" s="25"/>
      <x:c r="E202" s="25"/>
      <x:c r="F202" s="3"/>
      <x:c r="G202" s="3"/>
      <x:c r="H202" s="3"/>
      <x:c r="I202" s="3"/>
      <x:c r="J202" s="3"/>
      <x:c r="K202" s="3"/>
      <x:c r="L202" s="20"/>
      <x:c r="M202" s="3"/>
      <x:c r="N202" s="19" t="str">
        <x:f>IF(A202="","",IF(COUNTIFS('Reviews'!$A$7:$A$306,A202)&lt;&gt;1,"Duplicate ID",IF(COUNTIFS('Cases overview'!$A$7:$A$306,B202)&lt;&gt;1,"Invalid case ref",IF(COUNTIFS('Plan versions'!$A$7:$A$306,C202,'Plan versions'!$B$7:$B$306,B202,'Plan versions'!$L$7:$L$306,"Frozen")&lt;&gt;1,"Invalid plan ref",IF(OR(NOT(ISNUMBER(D202)),NOT(ISNUMBER(E202)),F202="",G202="",H202="",M202=""),"Review info missing",IF(COUNTIFS('Update log'!$A$7:$A$306,J202,'Update log'!$B$7:$B$306,B202,'Update log'!$C$7:$C$306,A202)&lt;&gt;1,"Update not registered","Valid input"))))))</x:f>
      </x:c>
    </x:row>
    <x:row r="203" ht="25" customHeight="1">
      <x:c r="A203" s="3"/>
      <x:c r="B203" s="3"/>
      <x:c r="C203" s="3"/>
      <x:c r="D203" s="25"/>
      <x:c r="E203" s="25"/>
      <x:c r="F203" s="3"/>
      <x:c r="G203" s="3"/>
      <x:c r="H203" s="3"/>
      <x:c r="I203" s="3"/>
      <x:c r="J203" s="3"/>
      <x:c r="K203" s="3"/>
      <x:c r="L203" s="20"/>
      <x:c r="M203" s="3"/>
      <x:c r="N203" s="19" t="str">
        <x:f>IF(A203="","",IF(COUNTIFS('Reviews'!$A$7:$A$306,A203)&lt;&gt;1,"Duplicate ID",IF(COUNTIFS('Cases overview'!$A$7:$A$306,B203)&lt;&gt;1,"Invalid case ref",IF(COUNTIFS('Plan versions'!$A$7:$A$306,C203,'Plan versions'!$B$7:$B$306,B203,'Plan versions'!$L$7:$L$306,"Frozen")&lt;&gt;1,"Invalid plan ref",IF(OR(NOT(ISNUMBER(D203)),NOT(ISNUMBER(E203)),F203="",G203="",H203="",M203=""),"Review info missing",IF(COUNTIFS('Update log'!$A$7:$A$306,J203,'Update log'!$B$7:$B$306,B203,'Update log'!$C$7:$C$306,A203)&lt;&gt;1,"Update not registered","Valid input"))))))</x:f>
      </x:c>
    </x:row>
    <x:row r="204" ht="25" customHeight="1">
      <x:c r="A204" s="3"/>
      <x:c r="B204" s="3"/>
      <x:c r="C204" s="3"/>
      <x:c r="D204" s="25"/>
      <x:c r="E204" s="25"/>
      <x:c r="F204" s="3"/>
      <x:c r="G204" s="3"/>
      <x:c r="H204" s="3"/>
      <x:c r="I204" s="3"/>
      <x:c r="J204" s="3"/>
      <x:c r="K204" s="3"/>
      <x:c r="L204" s="20"/>
      <x:c r="M204" s="3"/>
      <x:c r="N204" s="19" t="str">
        <x:f>IF(A204="","",IF(COUNTIFS('Reviews'!$A$7:$A$306,A204)&lt;&gt;1,"Duplicate ID",IF(COUNTIFS('Cases overview'!$A$7:$A$306,B204)&lt;&gt;1,"Invalid case ref",IF(COUNTIFS('Plan versions'!$A$7:$A$306,C204,'Plan versions'!$B$7:$B$306,B204,'Plan versions'!$L$7:$L$306,"Frozen")&lt;&gt;1,"Invalid plan ref",IF(OR(NOT(ISNUMBER(D204)),NOT(ISNUMBER(E204)),F204="",G204="",H204="",M204=""),"Review info missing",IF(COUNTIFS('Update log'!$A$7:$A$306,J204,'Update log'!$B$7:$B$306,B204,'Update log'!$C$7:$C$306,A204)&lt;&gt;1,"Update not registered","Valid input"))))))</x:f>
      </x:c>
    </x:row>
    <x:row r="205" ht="25" customHeight="1">
      <x:c r="A205" s="3"/>
      <x:c r="B205" s="3"/>
      <x:c r="C205" s="3"/>
      <x:c r="D205" s="25"/>
      <x:c r="E205" s="25"/>
      <x:c r="F205" s="3"/>
      <x:c r="G205" s="3"/>
      <x:c r="H205" s="3"/>
      <x:c r="I205" s="3"/>
      <x:c r="J205" s="3"/>
      <x:c r="K205" s="3"/>
      <x:c r="L205" s="20"/>
      <x:c r="M205" s="3"/>
      <x:c r="N205" s="19" t="str">
        <x:f>IF(A205="","",IF(COUNTIFS('Reviews'!$A$7:$A$306,A205)&lt;&gt;1,"Duplicate ID",IF(COUNTIFS('Cases overview'!$A$7:$A$306,B205)&lt;&gt;1,"Invalid case ref",IF(COUNTIFS('Plan versions'!$A$7:$A$306,C205,'Plan versions'!$B$7:$B$306,B205,'Plan versions'!$L$7:$L$306,"Frozen")&lt;&gt;1,"Invalid plan ref",IF(OR(NOT(ISNUMBER(D205)),NOT(ISNUMBER(E205)),F205="",G205="",H205="",M205=""),"Review info missing",IF(COUNTIFS('Update log'!$A$7:$A$306,J205,'Update log'!$B$7:$B$306,B205,'Update log'!$C$7:$C$306,A205)&lt;&gt;1,"Update not registered","Valid input"))))))</x:f>
      </x:c>
    </x:row>
    <x:row r="206" ht="25" customHeight="1">
      <x:c r="A206" s="3"/>
      <x:c r="B206" s="3"/>
      <x:c r="C206" s="3"/>
      <x:c r="D206" s="25"/>
      <x:c r="E206" s="25"/>
      <x:c r="F206" s="3"/>
      <x:c r="G206" s="3"/>
      <x:c r="H206" s="3"/>
      <x:c r="I206" s="3"/>
      <x:c r="J206" s="3"/>
      <x:c r="K206" s="3"/>
      <x:c r="L206" s="20"/>
      <x:c r="M206" s="3"/>
      <x:c r="N206" s="19" t="str">
        <x:f>IF(A206="","",IF(COUNTIFS('Reviews'!$A$7:$A$306,A206)&lt;&gt;1,"Duplicate ID",IF(COUNTIFS('Cases overview'!$A$7:$A$306,B206)&lt;&gt;1,"Invalid case ref",IF(COUNTIFS('Plan versions'!$A$7:$A$306,C206,'Plan versions'!$B$7:$B$306,B206,'Plan versions'!$L$7:$L$306,"Frozen")&lt;&gt;1,"Invalid plan ref",IF(OR(NOT(ISNUMBER(D206)),NOT(ISNUMBER(E206)),F206="",G206="",H206="",M206=""),"Review info missing",IF(COUNTIFS('Update log'!$A$7:$A$306,J206,'Update log'!$B$7:$B$306,B206,'Update log'!$C$7:$C$306,A206)&lt;&gt;1,"Update not registered","Valid input"))))))</x:f>
      </x:c>
    </x:row>
    <x:row r="207" ht="25" customHeight="1">
      <x:c r="A207" s="3"/>
      <x:c r="B207" s="3"/>
      <x:c r="C207" s="3"/>
      <x:c r="D207" s="25"/>
      <x:c r="E207" s="25"/>
      <x:c r="F207" s="3"/>
      <x:c r="G207" s="3"/>
      <x:c r="H207" s="3"/>
      <x:c r="I207" s="3"/>
      <x:c r="J207" s="3"/>
      <x:c r="K207" s="3"/>
      <x:c r="L207" s="20"/>
      <x:c r="M207" s="3"/>
      <x:c r="N207" s="19" t="str">
        <x:f>IF(A207="","",IF(COUNTIFS('Reviews'!$A$7:$A$306,A207)&lt;&gt;1,"Duplicate ID",IF(COUNTIFS('Cases overview'!$A$7:$A$306,B207)&lt;&gt;1,"Invalid case ref",IF(COUNTIFS('Plan versions'!$A$7:$A$306,C207,'Plan versions'!$B$7:$B$306,B207,'Plan versions'!$L$7:$L$306,"Frozen")&lt;&gt;1,"Invalid plan ref",IF(OR(NOT(ISNUMBER(D207)),NOT(ISNUMBER(E207)),F207="",G207="",H207="",M207=""),"Review info missing",IF(COUNTIFS('Update log'!$A$7:$A$306,J207,'Update log'!$B$7:$B$306,B207,'Update log'!$C$7:$C$306,A207)&lt;&gt;1,"Update not registered","Valid input"))))))</x:f>
      </x:c>
    </x:row>
    <x:row r="208" ht="25" customHeight="1">
      <x:c r="A208" s="3"/>
      <x:c r="B208" s="3"/>
      <x:c r="C208" s="3"/>
      <x:c r="D208" s="25"/>
      <x:c r="E208" s="25"/>
      <x:c r="F208" s="3"/>
      <x:c r="G208" s="3"/>
      <x:c r="H208" s="3"/>
      <x:c r="I208" s="3"/>
      <x:c r="J208" s="3"/>
      <x:c r="K208" s="3"/>
      <x:c r="L208" s="20"/>
      <x:c r="M208" s="3"/>
      <x:c r="N208" s="19" t="str">
        <x:f>IF(A208="","",IF(COUNTIFS('Reviews'!$A$7:$A$306,A208)&lt;&gt;1,"Duplicate ID",IF(COUNTIFS('Cases overview'!$A$7:$A$306,B208)&lt;&gt;1,"Invalid case ref",IF(COUNTIFS('Plan versions'!$A$7:$A$306,C208,'Plan versions'!$B$7:$B$306,B208,'Plan versions'!$L$7:$L$306,"Frozen")&lt;&gt;1,"Invalid plan ref",IF(OR(NOT(ISNUMBER(D208)),NOT(ISNUMBER(E208)),F208="",G208="",H208="",M208=""),"Review info missing",IF(COUNTIFS('Update log'!$A$7:$A$306,J208,'Update log'!$B$7:$B$306,B208,'Update log'!$C$7:$C$306,A208)&lt;&gt;1,"Update not registered","Valid input"))))))</x:f>
      </x:c>
    </x:row>
    <x:row r="209" ht="25" customHeight="1">
      <x:c r="A209" s="3"/>
      <x:c r="B209" s="3"/>
      <x:c r="C209" s="3"/>
      <x:c r="D209" s="25"/>
      <x:c r="E209" s="25"/>
      <x:c r="F209" s="3"/>
      <x:c r="G209" s="3"/>
      <x:c r="H209" s="3"/>
      <x:c r="I209" s="3"/>
      <x:c r="J209" s="3"/>
      <x:c r="K209" s="3"/>
      <x:c r="L209" s="20"/>
      <x:c r="M209" s="3"/>
      <x:c r="N209" s="19" t="str">
        <x:f>IF(A209="","",IF(COUNTIFS('Reviews'!$A$7:$A$306,A209)&lt;&gt;1,"Duplicate ID",IF(COUNTIFS('Cases overview'!$A$7:$A$306,B209)&lt;&gt;1,"Invalid case ref",IF(COUNTIFS('Plan versions'!$A$7:$A$306,C209,'Plan versions'!$B$7:$B$306,B209,'Plan versions'!$L$7:$L$306,"Frozen")&lt;&gt;1,"Invalid plan ref",IF(OR(NOT(ISNUMBER(D209)),NOT(ISNUMBER(E209)),F209="",G209="",H209="",M209=""),"Review info missing",IF(COUNTIFS('Update log'!$A$7:$A$306,J209,'Update log'!$B$7:$B$306,B209,'Update log'!$C$7:$C$306,A209)&lt;&gt;1,"Update not registered","Valid input"))))))</x:f>
      </x:c>
    </x:row>
    <x:row r="210" ht="25" customHeight="1">
      <x:c r="A210" s="3"/>
      <x:c r="B210" s="3"/>
      <x:c r="C210" s="3"/>
      <x:c r="D210" s="25"/>
      <x:c r="E210" s="25"/>
      <x:c r="F210" s="3"/>
      <x:c r="G210" s="3"/>
      <x:c r="H210" s="3"/>
      <x:c r="I210" s="3"/>
      <x:c r="J210" s="3"/>
      <x:c r="K210" s="3"/>
      <x:c r="L210" s="20"/>
      <x:c r="M210" s="3"/>
      <x:c r="N210" s="19" t="str">
        <x:f>IF(A210="","",IF(COUNTIFS('Reviews'!$A$7:$A$306,A210)&lt;&gt;1,"Duplicate ID",IF(COUNTIFS('Cases overview'!$A$7:$A$306,B210)&lt;&gt;1,"Invalid case ref",IF(COUNTIFS('Plan versions'!$A$7:$A$306,C210,'Plan versions'!$B$7:$B$306,B210,'Plan versions'!$L$7:$L$306,"Frozen")&lt;&gt;1,"Invalid plan ref",IF(OR(NOT(ISNUMBER(D210)),NOT(ISNUMBER(E210)),F210="",G210="",H210="",M210=""),"Review info missing",IF(COUNTIFS('Update log'!$A$7:$A$306,J210,'Update log'!$B$7:$B$306,B210,'Update log'!$C$7:$C$306,A210)&lt;&gt;1,"Update not registered","Valid input"))))))</x:f>
      </x:c>
    </x:row>
    <x:row r="211" ht="25" customHeight="1">
      <x:c r="A211" s="3"/>
      <x:c r="B211" s="3"/>
      <x:c r="C211" s="3"/>
      <x:c r="D211" s="25"/>
      <x:c r="E211" s="25"/>
      <x:c r="F211" s="3"/>
      <x:c r="G211" s="3"/>
      <x:c r="H211" s="3"/>
      <x:c r="I211" s="3"/>
      <x:c r="J211" s="3"/>
      <x:c r="K211" s="3"/>
      <x:c r="L211" s="20"/>
      <x:c r="M211" s="3"/>
      <x:c r="N211" s="19" t="str">
        <x:f>IF(A211="","",IF(COUNTIFS('Reviews'!$A$7:$A$306,A211)&lt;&gt;1,"Duplicate ID",IF(COUNTIFS('Cases overview'!$A$7:$A$306,B211)&lt;&gt;1,"Invalid case ref",IF(COUNTIFS('Plan versions'!$A$7:$A$306,C211,'Plan versions'!$B$7:$B$306,B211,'Plan versions'!$L$7:$L$306,"Frozen")&lt;&gt;1,"Invalid plan ref",IF(OR(NOT(ISNUMBER(D211)),NOT(ISNUMBER(E211)),F211="",G211="",H211="",M211=""),"Review info missing",IF(COUNTIFS('Update log'!$A$7:$A$306,J211,'Update log'!$B$7:$B$306,B211,'Update log'!$C$7:$C$306,A211)&lt;&gt;1,"Update not registered","Valid input"))))))</x:f>
      </x:c>
    </x:row>
    <x:row r="212" ht="25" customHeight="1">
      <x:c r="A212" s="3"/>
      <x:c r="B212" s="3"/>
      <x:c r="C212" s="3"/>
      <x:c r="D212" s="25"/>
      <x:c r="E212" s="25"/>
      <x:c r="F212" s="3"/>
      <x:c r="G212" s="3"/>
      <x:c r="H212" s="3"/>
      <x:c r="I212" s="3"/>
      <x:c r="J212" s="3"/>
      <x:c r="K212" s="3"/>
      <x:c r="L212" s="20"/>
      <x:c r="M212" s="3"/>
      <x:c r="N212" s="19" t="str">
        <x:f>IF(A212="","",IF(COUNTIFS('Reviews'!$A$7:$A$306,A212)&lt;&gt;1,"Duplicate ID",IF(COUNTIFS('Cases overview'!$A$7:$A$306,B212)&lt;&gt;1,"Invalid case ref",IF(COUNTIFS('Plan versions'!$A$7:$A$306,C212,'Plan versions'!$B$7:$B$306,B212,'Plan versions'!$L$7:$L$306,"Frozen")&lt;&gt;1,"Invalid plan ref",IF(OR(NOT(ISNUMBER(D212)),NOT(ISNUMBER(E212)),F212="",G212="",H212="",M212=""),"Review info missing",IF(COUNTIFS('Update log'!$A$7:$A$306,J212,'Update log'!$B$7:$B$306,B212,'Update log'!$C$7:$C$306,A212)&lt;&gt;1,"Update not registered","Valid input"))))))</x:f>
      </x:c>
    </x:row>
    <x:row r="213" ht="25" customHeight="1">
      <x:c r="A213" s="3"/>
      <x:c r="B213" s="3"/>
      <x:c r="C213" s="3"/>
      <x:c r="D213" s="25"/>
      <x:c r="E213" s="25"/>
      <x:c r="F213" s="3"/>
      <x:c r="G213" s="3"/>
      <x:c r="H213" s="3"/>
      <x:c r="I213" s="3"/>
      <x:c r="J213" s="3"/>
      <x:c r="K213" s="3"/>
      <x:c r="L213" s="20"/>
      <x:c r="M213" s="3"/>
      <x:c r="N213" s="19" t="str">
        <x:f>IF(A213="","",IF(COUNTIFS('Reviews'!$A$7:$A$306,A213)&lt;&gt;1,"Duplicate ID",IF(COUNTIFS('Cases overview'!$A$7:$A$306,B213)&lt;&gt;1,"Invalid case ref",IF(COUNTIFS('Plan versions'!$A$7:$A$306,C213,'Plan versions'!$B$7:$B$306,B213,'Plan versions'!$L$7:$L$306,"Frozen")&lt;&gt;1,"Invalid plan ref",IF(OR(NOT(ISNUMBER(D213)),NOT(ISNUMBER(E213)),F213="",G213="",H213="",M213=""),"Review info missing",IF(COUNTIFS('Update log'!$A$7:$A$306,J213,'Update log'!$B$7:$B$306,B213,'Update log'!$C$7:$C$306,A213)&lt;&gt;1,"Update not registered","Valid input"))))))</x:f>
      </x:c>
    </x:row>
    <x:row r="214" ht="25" customHeight="1">
      <x:c r="A214" s="3"/>
      <x:c r="B214" s="3"/>
      <x:c r="C214" s="3"/>
      <x:c r="D214" s="25"/>
      <x:c r="E214" s="25"/>
      <x:c r="F214" s="3"/>
      <x:c r="G214" s="3"/>
      <x:c r="H214" s="3"/>
      <x:c r="I214" s="3"/>
      <x:c r="J214" s="3"/>
      <x:c r="K214" s="3"/>
      <x:c r="L214" s="20"/>
      <x:c r="M214" s="3"/>
      <x:c r="N214" s="19" t="str">
        <x:f>IF(A214="","",IF(COUNTIFS('Reviews'!$A$7:$A$306,A214)&lt;&gt;1,"Duplicate ID",IF(COUNTIFS('Cases overview'!$A$7:$A$306,B214)&lt;&gt;1,"Invalid case ref",IF(COUNTIFS('Plan versions'!$A$7:$A$306,C214,'Plan versions'!$B$7:$B$306,B214,'Plan versions'!$L$7:$L$306,"Frozen")&lt;&gt;1,"Invalid plan ref",IF(OR(NOT(ISNUMBER(D214)),NOT(ISNUMBER(E214)),F214="",G214="",H214="",M214=""),"Review info missing",IF(COUNTIFS('Update log'!$A$7:$A$306,J214,'Update log'!$B$7:$B$306,B214,'Update log'!$C$7:$C$306,A214)&lt;&gt;1,"Update not registered","Valid input"))))))</x:f>
      </x:c>
    </x:row>
    <x:row r="215" ht="25" customHeight="1">
      <x:c r="A215" s="3"/>
      <x:c r="B215" s="3"/>
      <x:c r="C215" s="3"/>
      <x:c r="D215" s="25"/>
      <x:c r="E215" s="25"/>
      <x:c r="F215" s="3"/>
      <x:c r="G215" s="3"/>
      <x:c r="H215" s="3"/>
      <x:c r="I215" s="3"/>
      <x:c r="J215" s="3"/>
      <x:c r="K215" s="3"/>
      <x:c r="L215" s="20"/>
      <x:c r="M215" s="3"/>
      <x:c r="N215" s="19" t="str">
        <x:f>IF(A215="","",IF(COUNTIFS('Reviews'!$A$7:$A$306,A215)&lt;&gt;1,"Duplicate ID",IF(COUNTIFS('Cases overview'!$A$7:$A$306,B215)&lt;&gt;1,"Invalid case ref",IF(COUNTIFS('Plan versions'!$A$7:$A$306,C215,'Plan versions'!$B$7:$B$306,B215,'Plan versions'!$L$7:$L$306,"Frozen")&lt;&gt;1,"Invalid plan ref",IF(OR(NOT(ISNUMBER(D215)),NOT(ISNUMBER(E215)),F215="",G215="",H215="",M215=""),"Review info missing",IF(COUNTIFS('Update log'!$A$7:$A$306,J215,'Update log'!$B$7:$B$306,B215,'Update log'!$C$7:$C$306,A215)&lt;&gt;1,"Update not registered","Valid input"))))))</x:f>
      </x:c>
    </x:row>
    <x:row r="216" ht="25" customHeight="1">
      <x:c r="A216" s="3"/>
      <x:c r="B216" s="3"/>
      <x:c r="C216" s="3"/>
      <x:c r="D216" s="25"/>
      <x:c r="E216" s="25"/>
      <x:c r="F216" s="3"/>
      <x:c r="G216" s="3"/>
      <x:c r="H216" s="3"/>
      <x:c r="I216" s="3"/>
      <x:c r="J216" s="3"/>
      <x:c r="K216" s="3"/>
      <x:c r="L216" s="20"/>
      <x:c r="M216" s="3"/>
      <x:c r="N216" s="19" t="str">
        <x:f>IF(A216="","",IF(COUNTIFS('Reviews'!$A$7:$A$306,A216)&lt;&gt;1,"Duplicate ID",IF(COUNTIFS('Cases overview'!$A$7:$A$306,B216)&lt;&gt;1,"Invalid case ref",IF(COUNTIFS('Plan versions'!$A$7:$A$306,C216,'Plan versions'!$B$7:$B$306,B216,'Plan versions'!$L$7:$L$306,"Frozen")&lt;&gt;1,"Invalid plan ref",IF(OR(NOT(ISNUMBER(D216)),NOT(ISNUMBER(E216)),F216="",G216="",H216="",M216=""),"Review info missing",IF(COUNTIFS('Update log'!$A$7:$A$306,J216,'Update log'!$B$7:$B$306,B216,'Update log'!$C$7:$C$306,A216)&lt;&gt;1,"Update not registered","Valid input"))))))</x:f>
      </x:c>
    </x:row>
    <x:row r="217" ht="25" customHeight="1">
      <x:c r="A217" s="3"/>
      <x:c r="B217" s="3"/>
      <x:c r="C217" s="3"/>
      <x:c r="D217" s="25"/>
      <x:c r="E217" s="25"/>
      <x:c r="F217" s="3"/>
      <x:c r="G217" s="3"/>
      <x:c r="H217" s="3"/>
      <x:c r="I217" s="3"/>
      <x:c r="J217" s="3"/>
      <x:c r="K217" s="3"/>
      <x:c r="L217" s="20"/>
      <x:c r="M217" s="3"/>
      <x:c r="N217" s="19" t="str">
        <x:f>IF(A217="","",IF(COUNTIFS('Reviews'!$A$7:$A$306,A217)&lt;&gt;1,"Duplicate ID",IF(COUNTIFS('Cases overview'!$A$7:$A$306,B217)&lt;&gt;1,"Invalid case ref",IF(COUNTIFS('Plan versions'!$A$7:$A$306,C217,'Plan versions'!$B$7:$B$306,B217,'Plan versions'!$L$7:$L$306,"Frozen")&lt;&gt;1,"Invalid plan ref",IF(OR(NOT(ISNUMBER(D217)),NOT(ISNUMBER(E217)),F217="",G217="",H217="",M217=""),"Review info missing",IF(COUNTIFS('Update log'!$A$7:$A$306,J217,'Update log'!$B$7:$B$306,B217,'Update log'!$C$7:$C$306,A217)&lt;&gt;1,"Update not registered","Valid input"))))))</x:f>
      </x:c>
    </x:row>
    <x:row r="218" ht="25" customHeight="1">
      <x:c r="A218" s="3"/>
      <x:c r="B218" s="3"/>
      <x:c r="C218" s="3"/>
      <x:c r="D218" s="25"/>
      <x:c r="E218" s="25"/>
      <x:c r="F218" s="3"/>
      <x:c r="G218" s="3"/>
      <x:c r="H218" s="3"/>
      <x:c r="I218" s="3"/>
      <x:c r="J218" s="3"/>
      <x:c r="K218" s="3"/>
      <x:c r="L218" s="20"/>
      <x:c r="M218" s="3"/>
      <x:c r="N218" s="19" t="str">
        <x:f>IF(A218="","",IF(COUNTIFS('Reviews'!$A$7:$A$306,A218)&lt;&gt;1,"Duplicate ID",IF(COUNTIFS('Cases overview'!$A$7:$A$306,B218)&lt;&gt;1,"Invalid case ref",IF(COUNTIFS('Plan versions'!$A$7:$A$306,C218,'Plan versions'!$B$7:$B$306,B218,'Plan versions'!$L$7:$L$306,"Frozen")&lt;&gt;1,"Invalid plan ref",IF(OR(NOT(ISNUMBER(D218)),NOT(ISNUMBER(E218)),F218="",G218="",H218="",M218=""),"Review info missing",IF(COUNTIFS('Update log'!$A$7:$A$306,J218,'Update log'!$B$7:$B$306,B218,'Update log'!$C$7:$C$306,A218)&lt;&gt;1,"Update not registered","Valid input"))))))</x:f>
      </x:c>
    </x:row>
    <x:row r="219" ht="25" customHeight="1">
      <x:c r="A219" s="3"/>
      <x:c r="B219" s="3"/>
      <x:c r="C219" s="3"/>
      <x:c r="D219" s="25"/>
      <x:c r="E219" s="25"/>
      <x:c r="F219" s="3"/>
      <x:c r="G219" s="3"/>
      <x:c r="H219" s="3"/>
      <x:c r="I219" s="3"/>
      <x:c r="J219" s="3"/>
      <x:c r="K219" s="3"/>
      <x:c r="L219" s="20"/>
      <x:c r="M219" s="3"/>
      <x:c r="N219" s="19" t="str">
        <x:f>IF(A219="","",IF(COUNTIFS('Reviews'!$A$7:$A$306,A219)&lt;&gt;1,"Duplicate ID",IF(COUNTIFS('Cases overview'!$A$7:$A$306,B219)&lt;&gt;1,"Invalid case ref",IF(COUNTIFS('Plan versions'!$A$7:$A$306,C219,'Plan versions'!$B$7:$B$306,B219,'Plan versions'!$L$7:$L$306,"Frozen")&lt;&gt;1,"Invalid plan ref",IF(OR(NOT(ISNUMBER(D219)),NOT(ISNUMBER(E219)),F219="",G219="",H219="",M219=""),"Review info missing",IF(COUNTIFS('Update log'!$A$7:$A$306,J219,'Update log'!$B$7:$B$306,B219,'Update log'!$C$7:$C$306,A219)&lt;&gt;1,"Update not registered","Valid input"))))))</x:f>
      </x:c>
    </x:row>
    <x:row r="220" ht="25" customHeight="1">
      <x:c r="A220" s="3"/>
      <x:c r="B220" s="3"/>
      <x:c r="C220" s="3"/>
      <x:c r="D220" s="25"/>
      <x:c r="E220" s="25"/>
      <x:c r="F220" s="3"/>
      <x:c r="G220" s="3"/>
      <x:c r="H220" s="3"/>
      <x:c r="I220" s="3"/>
      <x:c r="J220" s="3"/>
      <x:c r="K220" s="3"/>
      <x:c r="L220" s="20"/>
      <x:c r="M220" s="3"/>
      <x:c r="N220" s="19" t="str">
        <x:f>IF(A220="","",IF(COUNTIFS('Reviews'!$A$7:$A$306,A220)&lt;&gt;1,"Duplicate ID",IF(COUNTIFS('Cases overview'!$A$7:$A$306,B220)&lt;&gt;1,"Invalid case ref",IF(COUNTIFS('Plan versions'!$A$7:$A$306,C220,'Plan versions'!$B$7:$B$306,B220,'Plan versions'!$L$7:$L$306,"Frozen")&lt;&gt;1,"Invalid plan ref",IF(OR(NOT(ISNUMBER(D220)),NOT(ISNUMBER(E220)),F220="",G220="",H220="",M220=""),"Review info missing",IF(COUNTIFS('Update log'!$A$7:$A$306,J220,'Update log'!$B$7:$B$306,B220,'Update log'!$C$7:$C$306,A220)&lt;&gt;1,"Update not registered","Valid input"))))))</x:f>
      </x:c>
    </x:row>
    <x:row r="221" ht="25" customHeight="1">
      <x:c r="A221" s="3"/>
      <x:c r="B221" s="3"/>
      <x:c r="C221" s="3"/>
      <x:c r="D221" s="25"/>
      <x:c r="E221" s="25"/>
      <x:c r="F221" s="3"/>
      <x:c r="G221" s="3"/>
      <x:c r="H221" s="3"/>
      <x:c r="I221" s="3"/>
      <x:c r="J221" s="3"/>
      <x:c r="K221" s="3"/>
      <x:c r="L221" s="20"/>
      <x:c r="M221" s="3"/>
      <x:c r="N221" s="19" t="str">
        <x:f>IF(A221="","",IF(COUNTIFS('Reviews'!$A$7:$A$306,A221)&lt;&gt;1,"Duplicate ID",IF(COUNTIFS('Cases overview'!$A$7:$A$306,B221)&lt;&gt;1,"Invalid case ref",IF(COUNTIFS('Plan versions'!$A$7:$A$306,C221,'Plan versions'!$B$7:$B$306,B221,'Plan versions'!$L$7:$L$306,"Frozen")&lt;&gt;1,"Invalid plan ref",IF(OR(NOT(ISNUMBER(D221)),NOT(ISNUMBER(E221)),F221="",G221="",H221="",M221=""),"Review info missing",IF(COUNTIFS('Update log'!$A$7:$A$306,J221,'Update log'!$B$7:$B$306,B221,'Update log'!$C$7:$C$306,A221)&lt;&gt;1,"Update not registered","Valid input"))))))</x:f>
      </x:c>
    </x:row>
    <x:row r="222" ht="25" customHeight="1">
      <x:c r="A222" s="3"/>
      <x:c r="B222" s="3"/>
      <x:c r="C222" s="3"/>
      <x:c r="D222" s="25"/>
      <x:c r="E222" s="25"/>
      <x:c r="F222" s="3"/>
      <x:c r="G222" s="3"/>
      <x:c r="H222" s="3"/>
      <x:c r="I222" s="3"/>
      <x:c r="J222" s="3"/>
      <x:c r="K222" s="3"/>
      <x:c r="L222" s="20"/>
      <x:c r="M222" s="3"/>
      <x:c r="N222" s="19" t="str">
        <x:f>IF(A222="","",IF(COUNTIFS('Reviews'!$A$7:$A$306,A222)&lt;&gt;1,"Duplicate ID",IF(COUNTIFS('Cases overview'!$A$7:$A$306,B222)&lt;&gt;1,"Invalid case ref",IF(COUNTIFS('Plan versions'!$A$7:$A$306,C222,'Plan versions'!$B$7:$B$306,B222,'Plan versions'!$L$7:$L$306,"Frozen")&lt;&gt;1,"Invalid plan ref",IF(OR(NOT(ISNUMBER(D222)),NOT(ISNUMBER(E222)),F222="",G222="",H222="",M222=""),"Review info missing",IF(COUNTIFS('Update log'!$A$7:$A$306,J222,'Update log'!$B$7:$B$306,B222,'Update log'!$C$7:$C$306,A222)&lt;&gt;1,"Update not registered","Valid input"))))))</x:f>
      </x:c>
    </x:row>
    <x:row r="223" ht="25" customHeight="1">
      <x:c r="A223" s="3"/>
      <x:c r="B223" s="3"/>
      <x:c r="C223" s="3"/>
      <x:c r="D223" s="25"/>
      <x:c r="E223" s="25"/>
      <x:c r="F223" s="3"/>
      <x:c r="G223" s="3"/>
      <x:c r="H223" s="3"/>
      <x:c r="I223" s="3"/>
      <x:c r="J223" s="3"/>
      <x:c r="K223" s="3"/>
      <x:c r="L223" s="20"/>
      <x:c r="M223" s="3"/>
      <x:c r="N223" s="19" t="str">
        <x:f>IF(A223="","",IF(COUNTIFS('Reviews'!$A$7:$A$306,A223)&lt;&gt;1,"Duplicate ID",IF(COUNTIFS('Cases overview'!$A$7:$A$306,B223)&lt;&gt;1,"Invalid case ref",IF(COUNTIFS('Plan versions'!$A$7:$A$306,C223,'Plan versions'!$B$7:$B$306,B223,'Plan versions'!$L$7:$L$306,"Frozen")&lt;&gt;1,"Invalid plan ref",IF(OR(NOT(ISNUMBER(D223)),NOT(ISNUMBER(E223)),F223="",G223="",H223="",M223=""),"Review info missing",IF(COUNTIFS('Update log'!$A$7:$A$306,J223,'Update log'!$B$7:$B$306,B223,'Update log'!$C$7:$C$306,A223)&lt;&gt;1,"Update not registered","Valid input"))))))</x:f>
      </x:c>
    </x:row>
    <x:row r="224" ht="25" customHeight="1">
      <x:c r="A224" s="3"/>
      <x:c r="B224" s="3"/>
      <x:c r="C224" s="3"/>
      <x:c r="D224" s="25"/>
      <x:c r="E224" s="25"/>
      <x:c r="F224" s="3"/>
      <x:c r="G224" s="3"/>
      <x:c r="H224" s="3"/>
      <x:c r="I224" s="3"/>
      <x:c r="J224" s="3"/>
      <x:c r="K224" s="3"/>
      <x:c r="L224" s="20"/>
      <x:c r="M224" s="3"/>
      <x:c r="N224" s="19" t="str">
        <x:f>IF(A224="","",IF(COUNTIFS('Reviews'!$A$7:$A$306,A224)&lt;&gt;1,"Duplicate ID",IF(COUNTIFS('Cases overview'!$A$7:$A$306,B224)&lt;&gt;1,"Invalid case ref",IF(COUNTIFS('Plan versions'!$A$7:$A$306,C224,'Plan versions'!$B$7:$B$306,B224,'Plan versions'!$L$7:$L$306,"Frozen")&lt;&gt;1,"Invalid plan ref",IF(OR(NOT(ISNUMBER(D224)),NOT(ISNUMBER(E224)),F224="",G224="",H224="",M224=""),"Review info missing",IF(COUNTIFS('Update log'!$A$7:$A$306,J224,'Update log'!$B$7:$B$306,B224,'Update log'!$C$7:$C$306,A224)&lt;&gt;1,"Update not registered","Valid input"))))))</x:f>
      </x:c>
    </x:row>
    <x:row r="225" ht="25" customHeight="1">
      <x:c r="A225" s="3"/>
      <x:c r="B225" s="3"/>
      <x:c r="C225" s="3"/>
      <x:c r="D225" s="25"/>
      <x:c r="E225" s="25"/>
      <x:c r="F225" s="3"/>
      <x:c r="G225" s="3"/>
      <x:c r="H225" s="3"/>
      <x:c r="I225" s="3"/>
      <x:c r="J225" s="3"/>
      <x:c r="K225" s="3"/>
      <x:c r="L225" s="20"/>
      <x:c r="M225" s="3"/>
      <x:c r="N225" s="19" t="str">
        <x:f>IF(A225="","",IF(COUNTIFS('Reviews'!$A$7:$A$306,A225)&lt;&gt;1,"Duplicate ID",IF(COUNTIFS('Cases overview'!$A$7:$A$306,B225)&lt;&gt;1,"Invalid case ref",IF(COUNTIFS('Plan versions'!$A$7:$A$306,C225,'Plan versions'!$B$7:$B$306,B225,'Plan versions'!$L$7:$L$306,"Frozen")&lt;&gt;1,"Invalid plan ref",IF(OR(NOT(ISNUMBER(D225)),NOT(ISNUMBER(E225)),F225="",G225="",H225="",M225=""),"Review info missing",IF(COUNTIFS('Update log'!$A$7:$A$306,J225,'Update log'!$B$7:$B$306,B225,'Update log'!$C$7:$C$306,A225)&lt;&gt;1,"Update not registered","Valid input"))))))</x:f>
      </x:c>
    </x:row>
    <x:row r="226" ht="25" customHeight="1">
      <x:c r="A226" s="3"/>
      <x:c r="B226" s="3"/>
      <x:c r="C226" s="3"/>
      <x:c r="D226" s="25"/>
      <x:c r="E226" s="25"/>
      <x:c r="F226" s="3"/>
      <x:c r="G226" s="3"/>
      <x:c r="H226" s="3"/>
      <x:c r="I226" s="3"/>
      <x:c r="J226" s="3"/>
      <x:c r="K226" s="3"/>
      <x:c r="L226" s="20"/>
      <x:c r="M226" s="3"/>
      <x:c r="N226" s="19" t="str">
        <x:f>IF(A226="","",IF(COUNTIFS('Reviews'!$A$7:$A$306,A226)&lt;&gt;1,"Duplicate ID",IF(COUNTIFS('Cases overview'!$A$7:$A$306,B226)&lt;&gt;1,"Invalid case ref",IF(COUNTIFS('Plan versions'!$A$7:$A$306,C226,'Plan versions'!$B$7:$B$306,B226,'Plan versions'!$L$7:$L$306,"Frozen")&lt;&gt;1,"Invalid plan ref",IF(OR(NOT(ISNUMBER(D226)),NOT(ISNUMBER(E226)),F226="",G226="",H226="",M226=""),"Review info missing",IF(COUNTIFS('Update log'!$A$7:$A$306,J226,'Update log'!$B$7:$B$306,B226,'Update log'!$C$7:$C$306,A226)&lt;&gt;1,"Update not registered","Valid input"))))))</x:f>
      </x:c>
    </x:row>
    <x:row r="227" ht="25" customHeight="1">
      <x:c r="A227" s="3"/>
      <x:c r="B227" s="3"/>
      <x:c r="C227" s="3"/>
      <x:c r="D227" s="25"/>
      <x:c r="E227" s="25"/>
      <x:c r="F227" s="3"/>
      <x:c r="G227" s="3"/>
      <x:c r="H227" s="3"/>
      <x:c r="I227" s="3"/>
      <x:c r="J227" s="3"/>
      <x:c r="K227" s="3"/>
      <x:c r="L227" s="20"/>
      <x:c r="M227" s="3"/>
      <x:c r="N227" s="19" t="str">
        <x:f>IF(A227="","",IF(COUNTIFS('Reviews'!$A$7:$A$306,A227)&lt;&gt;1,"Duplicate ID",IF(COUNTIFS('Cases overview'!$A$7:$A$306,B227)&lt;&gt;1,"Invalid case ref",IF(COUNTIFS('Plan versions'!$A$7:$A$306,C227,'Plan versions'!$B$7:$B$306,B227,'Plan versions'!$L$7:$L$306,"Frozen")&lt;&gt;1,"Invalid plan ref",IF(OR(NOT(ISNUMBER(D227)),NOT(ISNUMBER(E227)),F227="",G227="",H227="",M227=""),"Review info missing",IF(COUNTIFS('Update log'!$A$7:$A$306,J227,'Update log'!$B$7:$B$306,B227,'Update log'!$C$7:$C$306,A227)&lt;&gt;1,"Update not registered","Valid input"))))))</x:f>
      </x:c>
    </x:row>
    <x:row r="228" ht="25" customHeight="1">
      <x:c r="A228" s="3"/>
      <x:c r="B228" s="3"/>
      <x:c r="C228" s="3"/>
      <x:c r="D228" s="25"/>
      <x:c r="E228" s="25"/>
      <x:c r="F228" s="3"/>
      <x:c r="G228" s="3"/>
      <x:c r="H228" s="3"/>
      <x:c r="I228" s="3"/>
      <x:c r="J228" s="3"/>
      <x:c r="K228" s="3"/>
      <x:c r="L228" s="20"/>
      <x:c r="M228" s="3"/>
      <x:c r="N228" s="19" t="str">
        <x:f>IF(A228="","",IF(COUNTIFS('Reviews'!$A$7:$A$306,A228)&lt;&gt;1,"Duplicate ID",IF(COUNTIFS('Cases overview'!$A$7:$A$306,B228)&lt;&gt;1,"Invalid case ref",IF(COUNTIFS('Plan versions'!$A$7:$A$306,C228,'Plan versions'!$B$7:$B$306,B228,'Plan versions'!$L$7:$L$306,"Frozen")&lt;&gt;1,"Invalid plan ref",IF(OR(NOT(ISNUMBER(D228)),NOT(ISNUMBER(E228)),F228="",G228="",H228="",M228=""),"Review info missing",IF(COUNTIFS('Update log'!$A$7:$A$306,J228,'Update log'!$B$7:$B$306,B228,'Update log'!$C$7:$C$306,A228)&lt;&gt;1,"Update not registered","Valid input"))))))</x:f>
      </x:c>
    </x:row>
    <x:row r="229" ht="25" customHeight="1">
      <x:c r="A229" s="3"/>
      <x:c r="B229" s="3"/>
      <x:c r="C229" s="3"/>
      <x:c r="D229" s="25"/>
      <x:c r="E229" s="25"/>
      <x:c r="F229" s="3"/>
      <x:c r="G229" s="3"/>
      <x:c r="H229" s="3"/>
      <x:c r="I229" s="3"/>
      <x:c r="J229" s="3"/>
      <x:c r="K229" s="3"/>
      <x:c r="L229" s="20"/>
      <x:c r="M229" s="3"/>
      <x:c r="N229" s="19" t="str">
        <x:f>IF(A229="","",IF(COUNTIFS('Reviews'!$A$7:$A$306,A229)&lt;&gt;1,"Duplicate ID",IF(COUNTIFS('Cases overview'!$A$7:$A$306,B229)&lt;&gt;1,"Invalid case ref",IF(COUNTIFS('Plan versions'!$A$7:$A$306,C229,'Plan versions'!$B$7:$B$306,B229,'Plan versions'!$L$7:$L$306,"Frozen")&lt;&gt;1,"Invalid plan ref",IF(OR(NOT(ISNUMBER(D229)),NOT(ISNUMBER(E229)),F229="",G229="",H229="",M229=""),"Review info missing",IF(COUNTIFS('Update log'!$A$7:$A$306,J229,'Update log'!$B$7:$B$306,B229,'Update log'!$C$7:$C$306,A229)&lt;&gt;1,"Update not registered","Valid input"))))))</x:f>
      </x:c>
    </x:row>
    <x:row r="230" ht="25" customHeight="1">
      <x:c r="A230" s="3"/>
      <x:c r="B230" s="3"/>
      <x:c r="C230" s="3"/>
      <x:c r="D230" s="25"/>
      <x:c r="E230" s="25"/>
      <x:c r="F230" s="3"/>
      <x:c r="G230" s="3"/>
      <x:c r="H230" s="3"/>
      <x:c r="I230" s="3"/>
      <x:c r="J230" s="3"/>
      <x:c r="K230" s="3"/>
      <x:c r="L230" s="20"/>
      <x:c r="M230" s="3"/>
      <x:c r="N230" s="19" t="str">
        <x:f>IF(A230="","",IF(COUNTIFS('Reviews'!$A$7:$A$306,A230)&lt;&gt;1,"Duplicate ID",IF(COUNTIFS('Cases overview'!$A$7:$A$306,B230)&lt;&gt;1,"Invalid case ref",IF(COUNTIFS('Plan versions'!$A$7:$A$306,C230,'Plan versions'!$B$7:$B$306,B230,'Plan versions'!$L$7:$L$306,"Frozen")&lt;&gt;1,"Invalid plan ref",IF(OR(NOT(ISNUMBER(D230)),NOT(ISNUMBER(E230)),F230="",G230="",H230="",M230=""),"Review info missing",IF(COUNTIFS('Update log'!$A$7:$A$306,J230,'Update log'!$B$7:$B$306,B230,'Update log'!$C$7:$C$306,A230)&lt;&gt;1,"Update not registered","Valid input"))))))</x:f>
      </x:c>
    </x:row>
    <x:row r="231" ht="25" customHeight="1">
      <x:c r="A231" s="3"/>
      <x:c r="B231" s="3"/>
      <x:c r="C231" s="3"/>
      <x:c r="D231" s="25"/>
      <x:c r="E231" s="25"/>
      <x:c r="F231" s="3"/>
      <x:c r="G231" s="3"/>
      <x:c r="H231" s="3"/>
      <x:c r="I231" s="3"/>
      <x:c r="J231" s="3"/>
      <x:c r="K231" s="3"/>
      <x:c r="L231" s="20"/>
      <x:c r="M231" s="3"/>
      <x:c r="N231" s="19" t="str">
        <x:f>IF(A231="","",IF(COUNTIFS('Reviews'!$A$7:$A$306,A231)&lt;&gt;1,"Duplicate ID",IF(COUNTIFS('Cases overview'!$A$7:$A$306,B231)&lt;&gt;1,"Invalid case ref",IF(COUNTIFS('Plan versions'!$A$7:$A$306,C231,'Plan versions'!$B$7:$B$306,B231,'Plan versions'!$L$7:$L$306,"Frozen")&lt;&gt;1,"Invalid plan ref",IF(OR(NOT(ISNUMBER(D231)),NOT(ISNUMBER(E231)),F231="",G231="",H231="",M231=""),"Review info missing",IF(COUNTIFS('Update log'!$A$7:$A$306,J231,'Update log'!$B$7:$B$306,B231,'Update log'!$C$7:$C$306,A231)&lt;&gt;1,"Update not registered","Valid input"))))))</x:f>
      </x:c>
    </x:row>
    <x:row r="232" ht="25" customHeight="1">
      <x:c r="A232" s="3"/>
      <x:c r="B232" s="3"/>
      <x:c r="C232" s="3"/>
      <x:c r="D232" s="25"/>
      <x:c r="E232" s="25"/>
      <x:c r="F232" s="3"/>
      <x:c r="G232" s="3"/>
      <x:c r="H232" s="3"/>
      <x:c r="I232" s="3"/>
      <x:c r="J232" s="3"/>
      <x:c r="K232" s="3"/>
      <x:c r="L232" s="20"/>
      <x:c r="M232" s="3"/>
      <x:c r="N232" s="19" t="str">
        <x:f>IF(A232="","",IF(COUNTIFS('Reviews'!$A$7:$A$306,A232)&lt;&gt;1,"Duplicate ID",IF(COUNTIFS('Cases overview'!$A$7:$A$306,B232)&lt;&gt;1,"Invalid case ref",IF(COUNTIFS('Plan versions'!$A$7:$A$306,C232,'Plan versions'!$B$7:$B$306,B232,'Plan versions'!$L$7:$L$306,"Frozen")&lt;&gt;1,"Invalid plan ref",IF(OR(NOT(ISNUMBER(D232)),NOT(ISNUMBER(E232)),F232="",G232="",H232="",M232=""),"Review info missing",IF(COUNTIFS('Update log'!$A$7:$A$306,J232,'Update log'!$B$7:$B$306,B232,'Update log'!$C$7:$C$306,A232)&lt;&gt;1,"Update not registered","Valid input"))))))</x:f>
      </x:c>
    </x:row>
    <x:row r="233" ht="25" customHeight="1">
      <x:c r="A233" s="3"/>
      <x:c r="B233" s="3"/>
      <x:c r="C233" s="3"/>
      <x:c r="D233" s="25"/>
      <x:c r="E233" s="25"/>
      <x:c r="F233" s="3"/>
      <x:c r="G233" s="3"/>
      <x:c r="H233" s="3"/>
      <x:c r="I233" s="3"/>
      <x:c r="J233" s="3"/>
      <x:c r="K233" s="3"/>
      <x:c r="L233" s="20"/>
      <x:c r="M233" s="3"/>
      <x:c r="N233" s="19" t="str">
        <x:f>IF(A233="","",IF(COUNTIFS('Reviews'!$A$7:$A$306,A233)&lt;&gt;1,"Duplicate ID",IF(COUNTIFS('Cases overview'!$A$7:$A$306,B233)&lt;&gt;1,"Invalid case ref",IF(COUNTIFS('Plan versions'!$A$7:$A$306,C233,'Plan versions'!$B$7:$B$306,B233,'Plan versions'!$L$7:$L$306,"Frozen")&lt;&gt;1,"Invalid plan ref",IF(OR(NOT(ISNUMBER(D233)),NOT(ISNUMBER(E233)),F233="",G233="",H233="",M233=""),"Review info missing",IF(COUNTIFS('Update log'!$A$7:$A$306,J233,'Update log'!$B$7:$B$306,B233,'Update log'!$C$7:$C$306,A233)&lt;&gt;1,"Update not registered","Valid input"))))))</x:f>
      </x:c>
    </x:row>
    <x:row r="234" ht="25" customHeight="1">
      <x:c r="A234" s="3"/>
      <x:c r="B234" s="3"/>
      <x:c r="C234" s="3"/>
      <x:c r="D234" s="25"/>
      <x:c r="E234" s="25"/>
      <x:c r="F234" s="3"/>
      <x:c r="G234" s="3"/>
      <x:c r="H234" s="3"/>
      <x:c r="I234" s="3"/>
      <x:c r="J234" s="3"/>
      <x:c r="K234" s="3"/>
      <x:c r="L234" s="20"/>
      <x:c r="M234" s="3"/>
      <x:c r="N234" s="19" t="str">
        <x:f>IF(A234="","",IF(COUNTIFS('Reviews'!$A$7:$A$306,A234)&lt;&gt;1,"Duplicate ID",IF(COUNTIFS('Cases overview'!$A$7:$A$306,B234)&lt;&gt;1,"Invalid case ref",IF(COUNTIFS('Plan versions'!$A$7:$A$306,C234,'Plan versions'!$B$7:$B$306,B234,'Plan versions'!$L$7:$L$306,"Frozen")&lt;&gt;1,"Invalid plan ref",IF(OR(NOT(ISNUMBER(D234)),NOT(ISNUMBER(E234)),F234="",G234="",H234="",M234=""),"Review info missing",IF(COUNTIFS('Update log'!$A$7:$A$306,J234,'Update log'!$B$7:$B$306,B234,'Update log'!$C$7:$C$306,A234)&lt;&gt;1,"Update not registered","Valid input"))))))</x:f>
      </x:c>
    </x:row>
    <x:row r="235" ht="25" customHeight="1">
      <x:c r="A235" s="3"/>
      <x:c r="B235" s="3"/>
      <x:c r="C235" s="3"/>
      <x:c r="D235" s="25"/>
      <x:c r="E235" s="25"/>
      <x:c r="F235" s="3"/>
      <x:c r="G235" s="3"/>
      <x:c r="H235" s="3"/>
      <x:c r="I235" s="3"/>
      <x:c r="J235" s="3"/>
      <x:c r="K235" s="3"/>
      <x:c r="L235" s="20"/>
      <x:c r="M235" s="3"/>
      <x:c r="N235" s="19" t="str">
        <x:f>IF(A235="","",IF(COUNTIFS('Reviews'!$A$7:$A$306,A235)&lt;&gt;1,"Duplicate ID",IF(COUNTIFS('Cases overview'!$A$7:$A$306,B235)&lt;&gt;1,"Invalid case ref",IF(COUNTIFS('Plan versions'!$A$7:$A$306,C235,'Plan versions'!$B$7:$B$306,B235,'Plan versions'!$L$7:$L$306,"Frozen")&lt;&gt;1,"Invalid plan ref",IF(OR(NOT(ISNUMBER(D235)),NOT(ISNUMBER(E235)),F235="",G235="",H235="",M235=""),"Review info missing",IF(COUNTIFS('Update log'!$A$7:$A$306,J235,'Update log'!$B$7:$B$306,B235,'Update log'!$C$7:$C$306,A235)&lt;&gt;1,"Update not registered","Valid input"))))))</x:f>
      </x:c>
    </x:row>
    <x:row r="236" ht="25" customHeight="1">
      <x:c r="A236" s="3"/>
      <x:c r="B236" s="3"/>
      <x:c r="C236" s="3"/>
      <x:c r="D236" s="25"/>
      <x:c r="E236" s="25"/>
      <x:c r="F236" s="3"/>
      <x:c r="G236" s="3"/>
      <x:c r="H236" s="3"/>
      <x:c r="I236" s="3"/>
      <x:c r="J236" s="3"/>
      <x:c r="K236" s="3"/>
      <x:c r="L236" s="20"/>
      <x:c r="M236" s="3"/>
      <x:c r="N236" s="19" t="str">
        <x:f>IF(A236="","",IF(COUNTIFS('Reviews'!$A$7:$A$306,A236)&lt;&gt;1,"Duplicate ID",IF(COUNTIFS('Cases overview'!$A$7:$A$306,B236)&lt;&gt;1,"Invalid case ref",IF(COUNTIFS('Plan versions'!$A$7:$A$306,C236,'Plan versions'!$B$7:$B$306,B236,'Plan versions'!$L$7:$L$306,"Frozen")&lt;&gt;1,"Invalid plan ref",IF(OR(NOT(ISNUMBER(D236)),NOT(ISNUMBER(E236)),F236="",G236="",H236="",M236=""),"Review info missing",IF(COUNTIFS('Update log'!$A$7:$A$306,J236,'Update log'!$B$7:$B$306,B236,'Update log'!$C$7:$C$306,A236)&lt;&gt;1,"Update not registered","Valid input"))))))</x:f>
      </x:c>
    </x:row>
    <x:row r="237" ht="25" customHeight="1">
      <x:c r="A237" s="3"/>
      <x:c r="B237" s="3"/>
      <x:c r="C237" s="3"/>
      <x:c r="D237" s="25"/>
      <x:c r="E237" s="25"/>
      <x:c r="F237" s="3"/>
      <x:c r="G237" s="3"/>
      <x:c r="H237" s="3"/>
      <x:c r="I237" s="3"/>
      <x:c r="J237" s="3"/>
      <x:c r="K237" s="3"/>
      <x:c r="L237" s="20"/>
      <x:c r="M237" s="3"/>
      <x:c r="N237" s="19" t="str">
        <x:f>IF(A237="","",IF(COUNTIFS('Reviews'!$A$7:$A$306,A237)&lt;&gt;1,"Duplicate ID",IF(COUNTIFS('Cases overview'!$A$7:$A$306,B237)&lt;&gt;1,"Invalid case ref",IF(COUNTIFS('Plan versions'!$A$7:$A$306,C237,'Plan versions'!$B$7:$B$306,B237,'Plan versions'!$L$7:$L$306,"Frozen")&lt;&gt;1,"Invalid plan ref",IF(OR(NOT(ISNUMBER(D237)),NOT(ISNUMBER(E237)),F237="",G237="",H237="",M237=""),"Review info missing",IF(COUNTIFS('Update log'!$A$7:$A$306,J237,'Update log'!$B$7:$B$306,B237,'Update log'!$C$7:$C$306,A237)&lt;&gt;1,"Update not registered","Valid input"))))))</x:f>
      </x:c>
    </x:row>
    <x:row r="238" ht="25" customHeight="1">
      <x:c r="A238" s="3"/>
      <x:c r="B238" s="3"/>
      <x:c r="C238" s="3"/>
      <x:c r="D238" s="25"/>
      <x:c r="E238" s="25"/>
      <x:c r="F238" s="3"/>
      <x:c r="G238" s="3"/>
      <x:c r="H238" s="3"/>
      <x:c r="I238" s="3"/>
      <x:c r="J238" s="3"/>
      <x:c r="K238" s="3"/>
      <x:c r="L238" s="20"/>
      <x:c r="M238" s="3"/>
      <x:c r="N238" s="19" t="str">
        <x:f>IF(A238="","",IF(COUNTIFS('Reviews'!$A$7:$A$306,A238)&lt;&gt;1,"Duplicate ID",IF(COUNTIFS('Cases overview'!$A$7:$A$306,B238)&lt;&gt;1,"Invalid case ref",IF(COUNTIFS('Plan versions'!$A$7:$A$306,C238,'Plan versions'!$B$7:$B$306,B238,'Plan versions'!$L$7:$L$306,"Frozen")&lt;&gt;1,"Invalid plan ref",IF(OR(NOT(ISNUMBER(D238)),NOT(ISNUMBER(E238)),F238="",G238="",H238="",M238=""),"Review info missing",IF(COUNTIFS('Update log'!$A$7:$A$306,J238,'Update log'!$B$7:$B$306,B238,'Update log'!$C$7:$C$306,A238)&lt;&gt;1,"Update not registered","Valid input"))))))</x:f>
      </x:c>
    </x:row>
    <x:row r="239" ht="25" customHeight="1">
      <x:c r="A239" s="3"/>
      <x:c r="B239" s="3"/>
      <x:c r="C239" s="3"/>
      <x:c r="D239" s="25"/>
      <x:c r="E239" s="25"/>
      <x:c r="F239" s="3"/>
      <x:c r="G239" s="3"/>
      <x:c r="H239" s="3"/>
      <x:c r="I239" s="3"/>
      <x:c r="J239" s="3"/>
      <x:c r="K239" s="3"/>
      <x:c r="L239" s="20"/>
      <x:c r="M239" s="3"/>
      <x:c r="N239" s="19" t="str">
        <x:f>IF(A239="","",IF(COUNTIFS('Reviews'!$A$7:$A$306,A239)&lt;&gt;1,"Duplicate ID",IF(COUNTIFS('Cases overview'!$A$7:$A$306,B239)&lt;&gt;1,"Invalid case ref",IF(COUNTIFS('Plan versions'!$A$7:$A$306,C239,'Plan versions'!$B$7:$B$306,B239,'Plan versions'!$L$7:$L$306,"Frozen")&lt;&gt;1,"Invalid plan ref",IF(OR(NOT(ISNUMBER(D239)),NOT(ISNUMBER(E239)),F239="",G239="",H239="",M239=""),"Review info missing",IF(COUNTIFS('Update log'!$A$7:$A$306,J239,'Update log'!$B$7:$B$306,B239,'Update log'!$C$7:$C$306,A239)&lt;&gt;1,"Update not registered","Valid input"))))))</x:f>
      </x:c>
    </x:row>
    <x:row r="240" ht="25" customHeight="1">
      <x:c r="A240" s="3"/>
      <x:c r="B240" s="3"/>
      <x:c r="C240" s="3"/>
      <x:c r="D240" s="25"/>
      <x:c r="E240" s="25"/>
      <x:c r="F240" s="3"/>
      <x:c r="G240" s="3"/>
      <x:c r="H240" s="3"/>
      <x:c r="I240" s="3"/>
      <x:c r="J240" s="3"/>
      <x:c r="K240" s="3"/>
      <x:c r="L240" s="20"/>
      <x:c r="M240" s="3"/>
      <x:c r="N240" s="19" t="str">
        <x:f>IF(A240="","",IF(COUNTIFS('Reviews'!$A$7:$A$306,A240)&lt;&gt;1,"Duplicate ID",IF(COUNTIFS('Cases overview'!$A$7:$A$306,B240)&lt;&gt;1,"Invalid case ref",IF(COUNTIFS('Plan versions'!$A$7:$A$306,C240,'Plan versions'!$B$7:$B$306,B240,'Plan versions'!$L$7:$L$306,"Frozen")&lt;&gt;1,"Invalid plan ref",IF(OR(NOT(ISNUMBER(D240)),NOT(ISNUMBER(E240)),F240="",G240="",H240="",M240=""),"Review info missing",IF(COUNTIFS('Update log'!$A$7:$A$306,J240,'Update log'!$B$7:$B$306,B240,'Update log'!$C$7:$C$306,A240)&lt;&gt;1,"Update not registered","Valid input"))))))</x:f>
      </x:c>
    </x:row>
    <x:row r="241" ht="25" customHeight="1">
      <x:c r="A241" s="3"/>
      <x:c r="B241" s="3"/>
      <x:c r="C241" s="3"/>
      <x:c r="D241" s="25"/>
      <x:c r="E241" s="25"/>
      <x:c r="F241" s="3"/>
      <x:c r="G241" s="3"/>
      <x:c r="H241" s="3"/>
      <x:c r="I241" s="3"/>
      <x:c r="J241" s="3"/>
      <x:c r="K241" s="3"/>
      <x:c r="L241" s="20"/>
      <x:c r="M241" s="3"/>
      <x:c r="N241" s="19" t="str">
        <x:f>IF(A241="","",IF(COUNTIFS('Reviews'!$A$7:$A$306,A241)&lt;&gt;1,"Duplicate ID",IF(COUNTIFS('Cases overview'!$A$7:$A$306,B241)&lt;&gt;1,"Invalid case ref",IF(COUNTIFS('Plan versions'!$A$7:$A$306,C241,'Plan versions'!$B$7:$B$306,B241,'Plan versions'!$L$7:$L$306,"Frozen")&lt;&gt;1,"Invalid plan ref",IF(OR(NOT(ISNUMBER(D241)),NOT(ISNUMBER(E241)),F241="",G241="",H241="",M241=""),"Review info missing",IF(COUNTIFS('Update log'!$A$7:$A$306,J241,'Update log'!$B$7:$B$306,B241,'Update log'!$C$7:$C$306,A241)&lt;&gt;1,"Update not registered","Valid input"))))))</x:f>
      </x:c>
    </x:row>
    <x:row r="242" ht="25" customHeight="1">
      <x:c r="A242" s="3"/>
      <x:c r="B242" s="3"/>
      <x:c r="C242" s="3"/>
      <x:c r="D242" s="25"/>
      <x:c r="E242" s="25"/>
      <x:c r="F242" s="3"/>
      <x:c r="G242" s="3"/>
      <x:c r="H242" s="3"/>
      <x:c r="I242" s="3"/>
      <x:c r="J242" s="3"/>
      <x:c r="K242" s="3"/>
      <x:c r="L242" s="20"/>
      <x:c r="M242" s="3"/>
      <x:c r="N242" s="19" t="str">
        <x:f>IF(A242="","",IF(COUNTIFS('Reviews'!$A$7:$A$306,A242)&lt;&gt;1,"Duplicate ID",IF(COUNTIFS('Cases overview'!$A$7:$A$306,B242)&lt;&gt;1,"Invalid case ref",IF(COUNTIFS('Plan versions'!$A$7:$A$306,C242,'Plan versions'!$B$7:$B$306,B242,'Plan versions'!$L$7:$L$306,"Frozen")&lt;&gt;1,"Invalid plan ref",IF(OR(NOT(ISNUMBER(D242)),NOT(ISNUMBER(E242)),F242="",G242="",H242="",M242=""),"Review info missing",IF(COUNTIFS('Update log'!$A$7:$A$306,J242,'Update log'!$B$7:$B$306,B242,'Update log'!$C$7:$C$306,A242)&lt;&gt;1,"Update not registered","Valid input"))))))</x:f>
      </x:c>
    </x:row>
    <x:row r="243" ht="25" customHeight="1">
      <x:c r="A243" s="3"/>
      <x:c r="B243" s="3"/>
      <x:c r="C243" s="3"/>
      <x:c r="D243" s="25"/>
      <x:c r="E243" s="25"/>
      <x:c r="F243" s="3"/>
      <x:c r="G243" s="3"/>
      <x:c r="H243" s="3"/>
      <x:c r="I243" s="3"/>
      <x:c r="J243" s="3"/>
      <x:c r="K243" s="3"/>
      <x:c r="L243" s="20"/>
      <x:c r="M243" s="3"/>
      <x:c r="N243" s="19" t="str">
        <x:f>IF(A243="","",IF(COUNTIFS('Reviews'!$A$7:$A$306,A243)&lt;&gt;1,"Duplicate ID",IF(COUNTIFS('Cases overview'!$A$7:$A$306,B243)&lt;&gt;1,"Invalid case ref",IF(COUNTIFS('Plan versions'!$A$7:$A$306,C243,'Plan versions'!$B$7:$B$306,B243,'Plan versions'!$L$7:$L$306,"Frozen")&lt;&gt;1,"Invalid plan ref",IF(OR(NOT(ISNUMBER(D243)),NOT(ISNUMBER(E243)),F243="",G243="",H243="",M243=""),"Review info missing",IF(COUNTIFS('Update log'!$A$7:$A$306,J243,'Update log'!$B$7:$B$306,B243,'Update log'!$C$7:$C$306,A243)&lt;&gt;1,"Update not registered","Valid input"))))))</x:f>
      </x:c>
    </x:row>
    <x:row r="244" ht="25" customHeight="1">
      <x:c r="A244" s="3"/>
      <x:c r="B244" s="3"/>
      <x:c r="C244" s="3"/>
      <x:c r="D244" s="25"/>
      <x:c r="E244" s="25"/>
      <x:c r="F244" s="3"/>
      <x:c r="G244" s="3"/>
      <x:c r="H244" s="3"/>
      <x:c r="I244" s="3"/>
      <x:c r="J244" s="3"/>
      <x:c r="K244" s="3"/>
      <x:c r="L244" s="20"/>
      <x:c r="M244" s="3"/>
      <x:c r="N244" s="19" t="str">
        <x:f>IF(A244="","",IF(COUNTIFS('Reviews'!$A$7:$A$306,A244)&lt;&gt;1,"Duplicate ID",IF(COUNTIFS('Cases overview'!$A$7:$A$306,B244)&lt;&gt;1,"Invalid case ref",IF(COUNTIFS('Plan versions'!$A$7:$A$306,C244,'Plan versions'!$B$7:$B$306,B244,'Plan versions'!$L$7:$L$306,"Frozen")&lt;&gt;1,"Invalid plan ref",IF(OR(NOT(ISNUMBER(D244)),NOT(ISNUMBER(E244)),F244="",G244="",H244="",M244=""),"Review info missing",IF(COUNTIFS('Update log'!$A$7:$A$306,J244,'Update log'!$B$7:$B$306,B244,'Update log'!$C$7:$C$306,A244)&lt;&gt;1,"Update not registered","Valid input"))))))</x:f>
      </x:c>
    </x:row>
    <x:row r="245" ht="25" customHeight="1">
      <x:c r="A245" s="3"/>
      <x:c r="B245" s="3"/>
      <x:c r="C245" s="3"/>
      <x:c r="D245" s="25"/>
      <x:c r="E245" s="25"/>
      <x:c r="F245" s="3"/>
      <x:c r="G245" s="3"/>
      <x:c r="H245" s="3"/>
      <x:c r="I245" s="3"/>
      <x:c r="J245" s="3"/>
      <x:c r="K245" s="3"/>
      <x:c r="L245" s="20"/>
      <x:c r="M245" s="3"/>
      <x:c r="N245" s="19" t="str">
        <x:f>IF(A245="","",IF(COUNTIFS('Reviews'!$A$7:$A$306,A245)&lt;&gt;1,"Duplicate ID",IF(COUNTIFS('Cases overview'!$A$7:$A$306,B245)&lt;&gt;1,"Invalid case ref",IF(COUNTIFS('Plan versions'!$A$7:$A$306,C245,'Plan versions'!$B$7:$B$306,B245,'Plan versions'!$L$7:$L$306,"Frozen")&lt;&gt;1,"Invalid plan ref",IF(OR(NOT(ISNUMBER(D245)),NOT(ISNUMBER(E245)),F245="",G245="",H245="",M245=""),"Review info missing",IF(COUNTIFS('Update log'!$A$7:$A$306,J245,'Update log'!$B$7:$B$306,B245,'Update log'!$C$7:$C$306,A245)&lt;&gt;1,"Update not registered","Valid input"))))))</x:f>
      </x:c>
    </x:row>
    <x:row r="246" ht="25" customHeight="1">
      <x:c r="A246" s="3"/>
      <x:c r="B246" s="3"/>
      <x:c r="C246" s="3"/>
      <x:c r="D246" s="25"/>
      <x:c r="E246" s="25"/>
      <x:c r="F246" s="3"/>
      <x:c r="G246" s="3"/>
      <x:c r="H246" s="3"/>
      <x:c r="I246" s="3"/>
      <x:c r="J246" s="3"/>
      <x:c r="K246" s="3"/>
      <x:c r="L246" s="20"/>
      <x:c r="M246" s="3"/>
      <x:c r="N246" s="19" t="str">
        <x:f>IF(A246="","",IF(COUNTIFS('Reviews'!$A$7:$A$306,A246)&lt;&gt;1,"Duplicate ID",IF(COUNTIFS('Cases overview'!$A$7:$A$306,B246)&lt;&gt;1,"Invalid case ref",IF(COUNTIFS('Plan versions'!$A$7:$A$306,C246,'Plan versions'!$B$7:$B$306,B246,'Plan versions'!$L$7:$L$306,"Frozen")&lt;&gt;1,"Invalid plan ref",IF(OR(NOT(ISNUMBER(D246)),NOT(ISNUMBER(E246)),F246="",G246="",H246="",M246=""),"Review info missing",IF(COUNTIFS('Update log'!$A$7:$A$306,J246,'Update log'!$B$7:$B$306,B246,'Update log'!$C$7:$C$306,A246)&lt;&gt;1,"Update not registered","Valid input"))))))</x:f>
      </x:c>
    </x:row>
    <x:row r="247" ht="25" customHeight="1">
      <x:c r="A247" s="3"/>
      <x:c r="B247" s="3"/>
      <x:c r="C247" s="3"/>
      <x:c r="D247" s="25"/>
      <x:c r="E247" s="25"/>
      <x:c r="F247" s="3"/>
      <x:c r="G247" s="3"/>
      <x:c r="H247" s="3"/>
      <x:c r="I247" s="3"/>
      <x:c r="J247" s="3"/>
      <x:c r="K247" s="3"/>
      <x:c r="L247" s="20"/>
      <x:c r="M247" s="3"/>
      <x:c r="N247" s="19" t="str">
        <x:f>IF(A247="","",IF(COUNTIFS('Reviews'!$A$7:$A$306,A247)&lt;&gt;1,"Duplicate ID",IF(COUNTIFS('Cases overview'!$A$7:$A$306,B247)&lt;&gt;1,"Invalid case ref",IF(COUNTIFS('Plan versions'!$A$7:$A$306,C247,'Plan versions'!$B$7:$B$306,B247,'Plan versions'!$L$7:$L$306,"Frozen")&lt;&gt;1,"Invalid plan ref",IF(OR(NOT(ISNUMBER(D247)),NOT(ISNUMBER(E247)),F247="",G247="",H247="",M247=""),"Review info missing",IF(COUNTIFS('Update log'!$A$7:$A$306,J247,'Update log'!$B$7:$B$306,B247,'Update log'!$C$7:$C$306,A247)&lt;&gt;1,"Update not registered","Valid input"))))))</x:f>
      </x:c>
    </x:row>
    <x:row r="248" ht="25" customHeight="1">
      <x:c r="A248" s="3"/>
      <x:c r="B248" s="3"/>
      <x:c r="C248" s="3"/>
      <x:c r="D248" s="25"/>
      <x:c r="E248" s="25"/>
      <x:c r="F248" s="3"/>
      <x:c r="G248" s="3"/>
      <x:c r="H248" s="3"/>
      <x:c r="I248" s="3"/>
      <x:c r="J248" s="3"/>
      <x:c r="K248" s="3"/>
      <x:c r="L248" s="20"/>
      <x:c r="M248" s="3"/>
      <x:c r="N248" s="19" t="str">
        <x:f>IF(A248="","",IF(COUNTIFS('Reviews'!$A$7:$A$306,A248)&lt;&gt;1,"Duplicate ID",IF(COUNTIFS('Cases overview'!$A$7:$A$306,B248)&lt;&gt;1,"Invalid case ref",IF(COUNTIFS('Plan versions'!$A$7:$A$306,C248,'Plan versions'!$B$7:$B$306,B248,'Plan versions'!$L$7:$L$306,"Frozen")&lt;&gt;1,"Invalid plan ref",IF(OR(NOT(ISNUMBER(D248)),NOT(ISNUMBER(E248)),F248="",G248="",H248="",M248=""),"Review info missing",IF(COUNTIFS('Update log'!$A$7:$A$306,J248,'Update log'!$B$7:$B$306,B248,'Update log'!$C$7:$C$306,A248)&lt;&gt;1,"Update not registered","Valid input"))))))</x:f>
      </x:c>
    </x:row>
    <x:row r="249" ht="25" customHeight="1">
      <x:c r="A249" s="3"/>
      <x:c r="B249" s="3"/>
      <x:c r="C249" s="3"/>
      <x:c r="D249" s="25"/>
      <x:c r="E249" s="25"/>
      <x:c r="F249" s="3"/>
      <x:c r="G249" s="3"/>
      <x:c r="H249" s="3"/>
      <x:c r="I249" s="3"/>
      <x:c r="J249" s="3"/>
      <x:c r="K249" s="3"/>
      <x:c r="L249" s="20"/>
      <x:c r="M249" s="3"/>
      <x:c r="N249" s="19" t="str">
        <x:f>IF(A249="","",IF(COUNTIFS('Reviews'!$A$7:$A$306,A249)&lt;&gt;1,"Duplicate ID",IF(COUNTIFS('Cases overview'!$A$7:$A$306,B249)&lt;&gt;1,"Invalid case ref",IF(COUNTIFS('Plan versions'!$A$7:$A$306,C249,'Plan versions'!$B$7:$B$306,B249,'Plan versions'!$L$7:$L$306,"Frozen")&lt;&gt;1,"Invalid plan ref",IF(OR(NOT(ISNUMBER(D249)),NOT(ISNUMBER(E249)),F249="",G249="",H249="",M249=""),"Review info missing",IF(COUNTIFS('Update log'!$A$7:$A$306,J249,'Update log'!$B$7:$B$306,B249,'Update log'!$C$7:$C$306,A249)&lt;&gt;1,"Update not registered","Valid input"))))))</x:f>
      </x:c>
    </x:row>
    <x:row r="250" ht="25" customHeight="1">
      <x:c r="A250" s="3"/>
      <x:c r="B250" s="3"/>
      <x:c r="C250" s="3"/>
      <x:c r="D250" s="25"/>
      <x:c r="E250" s="25"/>
      <x:c r="F250" s="3"/>
      <x:c r="G250" s="3"/>
      <x:c r="H250" s="3"/>
      <x:c r="I250" s="3"/>
      <x:c r="J250" s="3"/>
      <x:c r="K250" s="3"/>
      <x:c r="L250" s="20"/>
      <x:c r="M250" s="3"/>
      <x:c r="N250" s="19" t="str">
        <x:f>IF(A250="","",IF(COUNTIFS('Reviews'!$A$7:$A$306,A250)&lt;&gt;1,"Duplicate ID",IF(COUNTIFS('Cases overview'!$A$7:$A$306,B250)&lt;&gt;1,"Invalid case ref",IF(COUNTIFS('Plan versions'!$A$7:$A$306,C250,'Plan versions'!$B$7:$B$306,B250,'Plan versions'!$L$7:$L$306,"Frozen")&lt;&gt;1,"Invalid plan ref",IF(OR(NOT(ISNUMBER(D250)),NOT(ISNUMBER(E250)),F250="",G250="",H250="",M250=""),"Review info missing",IF(COUNTIFS('Update log'!$A$7:$A$306,J250,'Update log'!$B$7:$B$306,B250,'Update log'!$C$7:$C$306,A250)&lt;&gt;1,"Update not registered","Valid input"))))))</x:f>
      </x:c>
    </x:row>
    <x:row r="251" ht="25" customHeight="1">
      <x:c r="A251" s="3"/>
      <x:c r="B251" s="3"/>
      <x:c r="C251" s="3"/>
      <x:c r="D251" s="25"/>
      <x:c r="E251" s="25"/>
      <x:c r="F251" s="3"/>
      <x:c r="G251" s="3"/>
      <x:c r="H251" s="3"/>
      <x:c r="I251" s="3"/>
      <x:c r="J251" s="3"/>
      <x:c r="K251" s="3"/>
      <x:c r="L251" s="20"/>
      <x:c r="M251" s="3"/>
      <x:c r="N251" s="19" t="str">
        <x:f>IF(A251="","",IF(COUNTIFS('Reviews'!$A$7:$A$306,A251)&lt;&gt;1,"Duplicate ID",IF(COUNTIFS('Cases overview'!$A$7:$A$306,B251)&lt;&gt;1,"Invalid case ref",IF(COUNTIFS('Plan versions'!$A$7:$A$306,C251,'Plan versions'!$B$7:$B$306,B251,'Plan versions'!$L$7:$L$306,"Frozen")&lt;&gt;1,"Invalid plan ref",IF(OR(NOT(ISNUMBER(D251)),NOT(ISNUMBER(E251)),F251="",G251="",H251="",M251=""),"Review info missing",IF(COUNTIFS('Update log'!$A$7:$A$306,J251,'Update log'!$B$7:$B$306,B251,'Update log'!$C$7:$C$306,A251)&lt;&gt;1,"Update not registered","Valid input"))))))</x:f>
      </x:c>
    </x:row>
    <x:row r="252" ht="25" customHeight="1">
      <x:c r="A252" s="3"/>
      <x:c r="B252" s="3"/>
      <x:c r="C252" s="3"/>
      <x:c r="D252" s="25"/>
      <x:c r="E252" s="25"/>
      <x:c r="F252" s="3"/>
      <x:c r="G252" s="3"/>
      <x:c r="H252" s="3"/>
      <x:c r="I252" s="3"/>
      <x:c r="J252" s="3"/>
      <x:c r="K252" s="3"/>
      <x:c r="L252" s="20"/>
      <x:c r="M252" s="3"/>
      <x:c r="N252" s="19" t="str">
        <x:f>IF(A252="","",IF(COUNTIFS('Reviews'!$A$7:$A$306,A252)&lt;&gt;1,"Duplicate ID",IF(COUNTIFS('Cases overview'!$A$7:$A$306,B252)&lt;&gt;1,"Invalid case ref",IF(COUNTIFS('Plan versions'!$A$7:$A$306,C252,'Plan versions'!$B$7:$B$306,B252,'Plan versions'!$L$7:$L$306,"Frozen")&lt;&gt;1,"Invalid plan ref",IF(OR(NOT(ISNUMBER(D252)),NOT(ISNUMBER(E252)),F252="",G252="",H252="",M252=""),"Review info missing",IF(COUNTIFS('Update log'!$A$7:$A$306,J252,'Update log'!$B$7:$B$306,B252,'Update log'!$C$7:$C$306,A252)&lt;&gt;1,"Update not registered","Valid input"))))))</x:f>
      </x:c>
    </x:row>
    <x:row r="253" ht="25" customHeight="1">
      <x:c r="A253" s="3"/>
      <x:c r="B253" s="3"/>
      <x:c r="C253" s="3"/>
      <x:c r="D253" s="25"/>
      <x:c r="E253" s="25"/>
      <x:c r="F253" s="3"/>
      <x:c r="G253" s="3"/>
      <x:c r="H253" s="3"/>
      <x:c r="I253" s="3"/>
      <x:c r="J253" s="3"/>
      <x:c r="K253" s="3"/>
      <x:c r="L253" s="20"/>
      <x:c r="M253" s="3"/>
      <x:c r="N253" s="19" t="str">
        <x:f>IF(A253="","",IF(COUNTIFS('Reviews'!$A$7:$A$306,A253)&lt;&gt;1,"Duplicate ID",IF(COUNTIFS('Cases overview'!$A$7:$A$306,B253)&lt;&gt;1,"Invalid case ref",IF(COUNTIFS('Plan versions'!$A$7:$A$306,C253,'Plan versions'!$B$7:$B$306,B253,'Plan versions'!$L$7:$L$306,"Frozen")&lt;&gt;1,"Invalid plan ref",IF(OR(NOT(ISNUMBER(D253)),NOT(ISNUMBER(E253)),F253="",G253="",H253="",M253=""),"Review info missing",IF(COUNTIFS('Update log'!$A$7:$A$306,J253,'Update log'!$B$7:$B$306,B253,'Update log'!$C$7:$C$306,A253)&lt;&gt;1,"Update not registered","Valid input"))))))</x:f>
      </x:c>
    </x:row>
    <x:row r="254" ht="25" customHeight="1">
      <x:c r="A254" s="3"/>
      <x:c r="B254" s="3"/>
      <x:c r="C254" s="3"/>
      <x:c r="D254" s="25"/>
      <x:c r="E254" s="25"/>
      <x:c r="F254" s="3"/>
      <x:c r="G254" s="3"/>
      <x:c r="H254" s="3"/>
      <x:c r="I254" s="3"/>
      <x:c r="J254" s="3"/>
      <x:c r="K254" s="3"/>
      <x:c r="L254" s="20"/>
      <x:c r="M254" s="3"/>
      <x:c r="N254" s="19" t="str">
        <x:f>IF(A254="","",IF(COUNTIFS('Reviews'!$A$7:$A$306,A254)&lt;&gt;1,"Duplicate ID",IF(COUNTIFS('Cases overview'!$A$7:$A$306,B254)&lt;&gt;1,"Invalid case ref",IF(COUNTIFS('Plan versions'!$A$7:$A$306,C254,'Plan versions'!$B$7:$B$306,B254,'Plan versions'!$L$7:$L$306,"Frozen")&lt;&gt;1,"Invalid plan ref",IF(OR(NOT(ISNUMBER(D254)),NOT(ISNUMBER(E254)),F254="",G254="",H254="",M254=""),"Review info missing",IF(COUNTIFS('Update log'!$A$7:$A$306,J254,'Update log'!$B$7:$B$306,B254,'Update log'!$C$7:$C$306,A254)&lt;&gt;1,"Update not registered","Valid input"))))))</x:f>
      </x:c>
    </x:row>
    <x:row r="255" ht="25" customHeight="1">
      <x:c r="A255" s="3"/>
      <x:c r="B255" s="3"/>
      <x:c r="C255" s="3"/>
      <x:c r="D255" s="25"/>
      <x:c r="E255" s="25"/>
      <x:c r="F255" s="3"/>
      <x:c r="G255" s="3"/>
      <x:c r="H255" s="3"/>
      <x:c r="I255" s="3"/>
      <x:c r="J255" s="3"/>
      <x:c r="K255" s="3"/>
      <x:c r="L255" s="20"/>
      <x:c r="M255" s="3"/>
      <x:c r="N255" s="19" t="str">
        <x:f>IF(A255="","",IF(COUNTIFS('Reviews'!$A$7:$A$306,A255)&lt;&gt;1,"Duplicate ID",IF(COUNTIFS('Cases overview'!$A$7:$A$306,B255)&lt;&gt;1,"Invalid case ref",IF(COUNTIFS('Plan versions'!$A$7:$A$306,C255,'Plan versions'!$B$7:$B$306,B255,'Plan versions'!$L$7:$L$306,"Frozen")&lt;&gt;1,"Invalid plan ref",IF(OR(NOT(ISNUMBER(D255)),NOT(ISNUMBER(E255)),F255="",G255="",H255="",M255=""),"Review info missing",IF(COUNTIFS('Update log'!$A$7:$A$306,J255,'Update log'!$B$7:$B$306,B255,'Update log'!$C$7:$C$306,A255)&lt;&gt;1,"Update not registered","Valid input"))))))</x:f>
      </x:c>
    </x:row>
    <x:row r="256" ht="25" customHeight="1">
      <x:c r="A256" s="3"/>
      <x:c r="B256" s="3"/>
      <x:c r="C256" s="3"/>
      <x:c r="D256" s="25"/>
      <x:c r="E256" s="25"/>
      <x:c r="F256" s="3"/>
      <x:c r="G256" s="3"/>
      <x:c r="H256" s="3"/>
      <x:c r="I256" s="3"/>
      <x:c r="J256" s="3"/>
      <x:c r="K256" s="3"/>
      <x:c r="L256" s="20"/>
      <x:c r="M256" s="3"/>
      <x:c r="N256" s="19" t="str">
        <x:f>IF(A256="","",IF(COUNTIFS('Reviews'!$A$7:$A$306,A256)&lt;&gt;1,"Duplicate ID",IF(COUNTIFS('Cases overview'!$A$7:$A$306,B256)&lt;&gt;1,"Invalid case ref",IF(COUNTIFS('Plan versions'!$A$7:$A$306,C256,'Plan versions'!$B$7:$B$306,B256,'Plan versions'!$L$7:$L$306,"Frozen")&lt;&gt;1,"Invalid plan ref",IF(OR(NOT(ISNUMBER(D256)),NOT(ISNUMBER(E256)),F256="",G256="",H256="",M256=""),"Review info missing",IF(COUNTIFS('Update log'!$A$7:$A$306,J256,'Update log'!$B$7:$B$306,B256,'Update log'!$C$7:$C$306,A256)&lt;&gt;1,"Update not registered","Valid input"))))))</x:f>
      </x:c>
    </x:row>
    <x:row r="257" ht="25" customHeight="1">
      <x:c r="A257" s="3"/>
      <x:c r="B257" s="3"/>
      <x:c r="C257" s="3"/>
      <x:c r="D257" s="25"/>
      <x:c r="E257" s="25"/>
      <x:c r="F257" s="3"/>
      <x:c r="G257" s="3"/>
      <x:c r="H257" s="3"/>
      <x:c r="I257" s="3"/>
      <x:c r="J257" s="3"/>
      <x:c r="K257" s="3"/>
      <x:c r="L257" s="20"/>
      <x:c r="M257" s="3"/>
      <x:c r="N257" s="19" t="str">
        <x:f>IF(A257="","",IF(COUNTIFS('Reviews'!$A$7:$A$306,A257)&lt;&gt;1,"Duplicate ID",IF(COUNTIFS('Cases overview'!$A$7:$A$306,B257)&lt;&gt;1,"Invalid case ref",IF(COUNTIFS('Plan versions'!$A$7:$A$306,C257,'Plan versions'!$B$7:$B$306,B257,'Plan versions'!$L$7:$L$306,"Frozen")&lt;&gt;1,"Invalid plan ref",IF(OR(NOT(ISNUMBER(D257)),NOT(ISNUMBER(E257)),F257="",G257="",H257="",M257=""),"Review info missing",IF(COUNTIFS('Update log'!$A$7:$A$306,J257,'Update log'!$B$7:$B$306,B257,'Update log'!$C$7:$C$306,A257)&lt;&gt;1,"Update not registered","Valid input"))))))</x:f>
      </x:c>
    </x:row>
    <x:row r="258" ht="25" customHeight="1">
      <x:c r="A258" s="3"/>
      <x:c r="B258" s="3"/>
      <x:c r="C258" s="3"/>
      <x:c r="D258" s="25"/>
      <x:c r="E258" s="25"/>
      <x:c r="F258" s="3"/>
      <x:c r="G258" s="3"/>
      <x:c r="H258" s="3"/>
      <x:c r="I258" s="3"/>
      <x:c r="J258" s="3"/>
      <x:c r="K258" s="3"/>
      <x:c r="L258" s="20"/>
      <x:c r="M258" s="3"/>
      <x:c r="N258" s="19" t="str">
        <x:f>IF(A258="","",IF(COUNTIFS('Reviews'!$A$7:$A$306,A258)&lt;&gt;1,"Duplicate ID",IF(COUNTIFS('Cases overview'!$A$7:$A$306,B258)&lt;&gt;1,"Invalid case ref",IF(COUNTIFS('Plan versions'!$A$7:$A$306,C258,'Plan versions'!$B$7:$B$306,B258,'Plan versions'!$L$7:$L$306,"Frozen")&lt;&gt;1,"Invalid plan ref",IF(OR(NOT(ISNUMBER(D258)),NOT(ISNUMBER(E258)),F258="",G258="",H258="",M258=""),"Review info missing",IF(COUNTIFS('Update log'!$A$7:$A$306,J258,'Update log'!$B$7:$B$306,B258,'Update log'!$C$7:$C$306,A258)&lt;&gt;1,"Update not registered","Valid input"))))))</x:f>
      </x:c>
    </x:row>
    <x:row r="259" ht="25" customHeight="1">
      <x:c r="A259" s="3"/>
      <x:c r="B259" s="3"/>
      <x:c r="C259" s="3"/>
      <x:c r="D259" s="25"/>
      <x:c r="E259" s="25"/>
      <x:c r="F259" s="3"/>
      <x:c r="G259" s="3"/>
      <x:c r="H259" s="3"/>
      <x:c r="I259" s="3"/>
      <x:c r="J259" s="3"/>
      <x:c r="K259" s="3"/>
      <x:c r="L259" s="20"/>
      <x:c r="M259" s="3"/>
      <x:c r="N259" s="19" t="str">
        <x:f>IF(A259="","",IF(COUNTIFS('Reviews'!$A$7:$A$306,A259)&lt;&gt;1,"Duplicate ID",IF(COUNTIFS('Cases overview'!$A$7:$A$306,B259)&lt;&gt;1,"Invalid case ref",IF(COUNTIFS('Plan versions'!$A$7:$A$306,C259,'Plan versions'!$B$7:$B$306,B259,'Plan versions'!$L$7:$L$306,"Frozen")&lt;&gt;1,"Invalid plan ref",IF(OR(NOT(ISNUMBER(D259)),NOT(ISNUMBER(E259)),F259="",G259="",H259="",M259=""),"Review info missing",IF(COUNTIFS('Update log'!$A$7:$A$306,J259,'Update log'!$B$7:$B$306,B259,'Update log'!$C$7:$C$306,A259)&lt;&gt;1,"Update not registered","Valid input"))))))</x:f>
      </x:c>
    </x:row>
    <x:row r="260" ht="25" customHeight="1">
      <x:c r="A260" s="3"/>
      <x:c r="B260" s="3"/>
      <x:c r="C260" s="3"/>
      <x:c r="D260" s="25"/>
      <x:c r="E260" s="25"/>
      <x:c r="F260" s="3"/>
      <x:c r="G260" s="3"/>
      <x:c r="H260" s="3"/>
      <x:c r="I260" s="3"/>
      <x:c r="J260" s="3"/>
      <x:c r="K260" s="3"/>
      <x:c r="L260" s="20"/>
      <x:c r="M260" s="3"/>
      <x:c r="N260" s="19" t="str">
        <x:f>IF(A260="","",IF(COUNTIFS('Reviews'!$A$7:$A$306,A260)&lt;&gt;1,"Duplicate ID",IF(COUNTIFS('Cases overview'!$A$7:$A$306,B260)&lt;&gt;1,"Invalid case ref",IF(COUNTIFS('Plan versions'!$A$7:$A$306,C260,'Plan versions'!$B$7:$B$306,B260,'Plan versions'!$L$7:$L$306,"Frozen")&lt;&gt;1,"Invalid plan ref",IF(OR(NOT(ISNUMBER(D260)),NOT(ISNUMBER(E260)),F260="",G260="",H260="",M260=""),"Review info missing",IF(COUNTIFS('Update log'!$A$7:$A$306,J260,'Update log'!$B$7:$B$306,B260,'Update log'!$C$7:$C$306,A260)&lt;&gt;1,"Update not registered","Valid input"))))))</x:f>
      </x:c>
    </x:row>
    <x:row r="261" ht="25" customHeight="1">
      <x:c r="A261" s="3"/>
      <x:c r="B261" s="3"/>
      <x:c r="C261" s="3"/>
      <x:c r="D261" s="25"/>
      <x:c r="E261" s="25"/>
      <x:c r="F261" s="3"/>
      <x:c r="G261" s="3"/>
      <x:c r="H261" s="3"/>
      <x:c r="I261" s="3"/>
      <x:c r="J261" s="3"/>
      <x:c r="K261" s="3"/>
      <x:c r="L261" s="20"/>
      <x:c r="M261" s="3"/>
      <x:c r="N261" s="19" t="str">
        <x:f>IF(A261="","",IF(COUNTIFS('Reviews'!$A$7:$A$306,A261)&lt;&gt;1,"Duplicate ID",IF(COUNTIFS('Cases overview'!$A$7:$A$306,B261)&lt;&gt;1,"Invalid case ref",IF(COUNTIFS('Plan versions'!$A$7:$A$306,C261,'Plan versions'!$B$7:$B$306,B261,'Plan versions'!$L$7:$L$306,"Frozen")&lt;&gt;1,"Invalid plan ref",IF(OR(NOT(ISNUMBER(D261)),NOT(ISNUMBER(E261)),F261="",G261="",H261="",M261=""),"Review info missing",IF(COUNTIFS('Update log'!$A$7:$A$306,J261,'Update log'!$B$7:$B$306,B261,'Update log'!$C$7:$C$306,A261)&lt;&gt;1,"Update not registered","Valid input"))))))</x:f>
      </x:c>
    </x:row>
    <x:row r="262" ht="25" customHeight="1">
      <x:c r="A262" s="3"/>
      <x:c r="B262" s="3"/>
      <x:c r="C262" s="3"/>
      <x:c r="D262" s="25"/>
      <x:c r="E262" s="25"/>
      <x:c r="F262" s="3"/>
      <x:c r="G262" s="3"/>
      <x:c r="H262" s="3"/>
      <x:c r="I262" s="3"/>
      <x:c r="J262" s="3"/>
      <x:c r="K262" s="3"/>
      <x:c r="L262" s="20"/>
      <x:c r="M262" s="3"/>
      <x:c r="N262" s="19" t="str">
        <x:f>IF(A262="","",IF(COUNTIFS('Reviews'!$A$7:$A$306,A262)&lt;&gt;1,"Duplicate ID",IF(COUNTIFS('Cases overview'!$A$7:$A$306,B262)&lt;&gt;1,"Invalid case ref",IF(COUNTIFS('Plan versions'!$A$7:$A$306,C262,'Plan versions'!$B$7:$B$306,B262,'Plan versions'!$L$7:$L$306,"Frozen")&lt;&gt;1,"Invalid plan ref",IF(OR(NOT(ISNUMBER(D262)),NOT(ISNUMBER(E262)),F262="",G262="",H262="",M262=""),"Review info missing",IF(COUNTIFS('Update log'!$A$7:$A$306,J262,'Update log'!$B$7:$B$306,B262,'Update log'!$C$7:$C$306,A262)&lt;&gt;1,"Update not registered","Valid input"))))))</x:f>
      </x:c>
    </x:row>
    <x:row r="263" ht="25" customHeight="1">
      <x:c r="A263" s="3"/>
      <x:c r="B263" s="3"/>
      <x:c r="C263" s="3"/>
      <x:c r="D263" s="25"/>
      <x:c r="E263" s="25"/>
      <x:c r="F263" s="3"/>
      <x:c r="G263" s="3"/>
      <x:c r="H263" s="3"/>
      <x:c r="I263" s="3"/>
      <x:c r="J263" s="3"/>
      <x:c r="K263" s="3"/>
      <x:c r="L263" s="20"/>
      <x:c r="M263" s="3"/>
      <x:c r="N263" s="19" t="str">
        <x:f>IF(A263="","",IF(COUNTIFS('Reviews'!$A$7:$A$306,A263)&lt;&gt;1,"Duplicate ID",IF(COUNTIFS('Cases overview'!$A$7:$A$306,B263)&lt;&gt;1,"Invalid case ref",IF(COUNTIFS('Plan versions'!$A$7:$A$306,C263,'Plan versions'!$B$7:$B$306,B263,'Plan versions'!$L$7:$L$306,"Frozen")&lt;&gt;1,"Invalid plan ref",IF(OR(NOT(ISNUMBER(D263)),NOT(ISNUMBER(E263)),F263="",G263="",H263="",M263=""),"Review info missing",IF(COUNTIFS('Update log'!$A$7:$A$306,J263,'Update log'!$B$7:$B$306,B263,'Update log'!$C$7:$C$306,A263)&lt;&gt;1,"Update not registered","Valid input"))))))</x:f>
      </x:c>
    </x:row>
    <x:row r="264" ht="25" customHeight="1">
      <x:c r="A264" s="3"/>
      <x:c r="B264" s="3"/>
      <x:c r="C264" s="3"/>
      <x:c r="D264" s="25"/>
      <x:c r="E264" s="25"/>
      <x:c r="F264" s="3"/>
      <x:c r="G264" s="3"/>
      <x:c r="H264" s="3"/>
      <x:c r="I264" s="3"/>
      <x:c r="J264" s="3"/>
      <x:c r="K264" s="3"/>
      <x:c r="L264" s="20"/>
      <x:c r="M264" s="3"/>
      <x:c r="N264" s="19" t="str">
        <x:f>IF(A264="","",IF(COUNTIFS('Reviews'!$A$7:$A$306,A264)&lt;&gt;1,"Duplicate ID",IF(COUNTIFS('Cases overview'!$A$7:$A$306,B264)&lt;&gt;1,"Invalid case ref",IF(COUNTIFS('Plan versions'!$A$7:$A$306,C264,'Plan versions'!$B$7:$B$306,B264,'Plan versions'!$L$7:$L$306,"Frozen")&lt;&gt;1,"Invalid plan ref",IF(OR(NOT(ISNUMBER(D264)),NOT(ISNUMBER(E264)),F264="",G264="",H264="",M264=""),"Review info missing",IF(COUNTIFS('Update log'!$A$7:$A$306,J264,'Update log'!$B$7:$B$306,B264,'Update log'!$C$7:$C$306,A264)&lt;&gt;1,"Update not registered","Valid input"))))))</x:f>
      </x:c>
    </x:row>
    <x:row r="265" ht="25" customHeight="1">
      <x:c r="A265" s="3"/>
      <x:c r="B265" s="3"/>
      <x:c r="C265" s="3"/>
      <x:c r="D265" s="25"/>
      <x:c r="E265" s="25"/>
      <x:c r="F265" s="3"/>
      <x:c r="G265" s="3"/>
      <x:c r="H265" s="3"/>
      <x:c r="I265" s="3"/>
      <x:c r="J265" s="3"/>
      <x:c r="K265" s="3"/>
      <x:c r="L265" s="20"/>
      <x:c r="M265" s="3"/>
      <x:c r="N265" s="19" t="str">
        <x:f>IF(A265="","",IF(COUNTIFS('Reviews'!$A$7:$A$306,A265)&lt;&gt;1,"Duplicate ID",IF(COUNTIFS('Cases overview'!$A$7:$A$306,B265)&lt;&gt;1,"Invalid case ref",IF(COUNTIFS('Plan versions'!$A$7:$A$306,C265,'Plan versions'!$B$7:$B$306,B265,'Plan versions'!$L$7:$L$306,"Frozen")&lt;&gt;1,"Invalid plan ref",IF(OR(NOT(ISNUMBER(D265)),NOT(ISNUMBER(E265)),F265="",G265="",H265="",M265=""),"Review info missing",IF(COUNTIFS('Update log'!$A$7:$A$306,J265,'Update log'!$B$7:$B$306,B265,'Update log'!$C$7:$C$306,A265)&lt;&gt;1,"Update not registered","Valid input"))))))</x:f>
      </x:c>
    </x:row>
    <x:row r="266" ht="25" customHeight="1">
      <x:c r="A266" s="3"/>
      <x:c r="B266" s="3"/>
      <x:c r="C266" s="3"/>
      <x:c r="D266" s="25"/>
      <x:c r="E266" s="25"/>
      <x:c r="F266" s="3"/>
      <x:c r="G266" s="3"/>
      <x:c r="H266" s="3"/>
      <x:c r="I266" s="3"/>
      <x:c r="J266" s="3"/>
      <x:c r="K266" s="3"/>
      <x:c r="L266" s="20"/>
      <x:c r="M266" s="3"/>
      <x:c r="N266" s="19" t="str">
        <x:f>IF(A266="","",IF(COUNTIFS('Reviews'!$A$7:$A$306,A266)&lt;&gt;1,"Duplicate ID",IF(COUNTIFS('Cases overview'!$A$7:$A$306,B266)&lt;&gt;1,"Invalid case ref",IF(COUNTIFS('Plan versions'!$A$7:$A$306,C266,'Plan versions'!$B$7:$B$306,B266,'Plan versions'!$L$7:$L$306,"Frozen")&lt;&gt;1,"Invalid plan ref",IF(OR(NOT(ISNUMBER(D266)),NOT(ISNUMBER(E266)),F266="",G266="",H266="",M266=""),"Review info missing",IF(COUNTIFS('Update log'!$A$7:$A$306,J266,'Update log'!$B$7:$B$306,B266,'Update log'!$C$7:$C$306,A266)&lt;&gt;1,"Update not registered","Valid input"))))))</x:f>
      </x:c>
    </x:row>
    <x:row r="267" ht="25" customHeight="1">
      <x:c r="A267" s="3"/>
      <x:c r="B267" s="3"/>
      <x:c r="C267" s="3"/>
      <x:c r="D267" s="25"/>
      <x:c r="E267" s="25"/>
      <x:c r="F267" s="3"/>
      <x:c r="G267" s="3"/>
      <x:c r="H267" s="3"/>
      <x:c r="I267" s="3"/>
      <x:c r="J267" s="3"/>
      <x:c r="K267" s="3"/>
      <x:c r="L267" s="20"/>
      <x:c r="M267" s="3"/>
      <x:c r="N267" s="19" t="str">
        <x:f>IF(A267="","",IF(COUNTIFS('Reviews'!$A$7:$A$306,A267)&lt;&gt;1,"Duplicate ID",IF(COUNTIFS('Cases overview'!$A$7:$A$306,B267)&lt;&gt;1,"Invalid case ref",IF(COUNTIFS('Plan versions'!$A$7:$A$306,C267,'Plan versions'!$B$7:$B$306,B267,'Plan versions'!$L$7:$L$306,"Frozen")&lt;&gt;1,"Invalid plan ref",IF(OR(NOT(ISNUMBER(D267)),NOT(ISNUMBER(E267)),F267="",G267="",H267="",M267=""),"Review info missing",IF(COUNTIFS('Update log'!$A$7:$A$306,J267,'Update log'!$B$7:$B$306,B267,'Update log'!$C$7:$C$306,A267)&lt;&gt;1,"Update not registered","Valid input"))))))</x:f>
      </x:c>
    </x:row>
    <x:row r="268" ht="25" customHeight="1">
      <x:c r="A268" s="3"/>
      <x:c r="B268" s="3"/>
      <x:c r="C268" s="3"/>
      <x:c r="D268" s="25"/>
      <x:c r="E268" s="25"/>
      <x:c r="F268" s="3"/>
      <x:c r="G268" s="3"/>
      <x:c r="H268" s="3"/>
      <x:c r="I268" s="3"/>
      <x:c r="J268" s="3"/>
      <x:c r="K268" s="3"/>
      <x:c r="L268" s="20"/>
      <x:c r="M268" s="3"/>
      <x:c r="N268" s="19" t="str">
        <x:f>IF(A268="","",IF(COUNTIFS('Reviews'!$A$7:$A$306,A268)&lt;&gt;1,"Duplicate ID",IF(COUNTIFS('Cases overview'!$A$7:$A$306,B268)&lt;&gt;1,"Invalid case ref",IF(COUNTIFS('Plan versions'!$A$7:$A$306,C268,'Plan versions'!$B$7:$B$306,B268,'Plan versions'!$L$7:$L$306,"Frozen")&lt;&gt;1,"Invalid plan ref",IF(OR(NOT(ISNUMBER(D268)),NOT(ISNUMBER(E268)),F268="",G268="",H268="",M268=""),"Review info missing",IF(COUNTIFS('Update log'!$A$7:$A$306,J268,'Update log'!$B$7:$B$306,B268,'Update log'!$C$7:$C$306,A268)&lt;&gt;1,"Update not registered","Valid input"))))))</x:f>
      </x:c>
    </x:row>
    <x:row r="269" ht="25" customHeight="1">
      <x:c r="A269" s="3"/>
      <x:c r="B269" s="3"/>
      <x:c r="C269" s="3"/>
      <x:c r="D269" s="25"/>
      <x:c r="E269" s="25"/>
      <x:c r="F269" s="3"/>
      <x:c r="G269" s="3"/>
      <x:c r="H269" s="3"/>
      <x:c r="I269" s="3"/>
      <x:c r="J269" s="3"/>
      <x:c r="K269" s="3"/>
      <x:c r="L269" s="20"/>
      <x:c r="M269" s="3"/>
      <x:c r="N269" s="19" t="str">
        <x:f>IF(A269="","",IF(COUNTIFS('Reviews'!$A$7:$A$306,A269)&lt;&gt;1,"Duplicate ID",IF(COUNTIFS('Cases overview'!$A$7:$A$306,B269)&lt;&gt;1,"Invalid case ref",IF(COUNTIFS('Plan versions'!$A$7:$A$306,C269,'Plan versions'!$B$7:$B$306,B269,'Plan versions'!$L$7:$L$306,"Frozen")&lt;&gt;1,"Invalid plan ref",IF(OR(NOT(ISNUMBER(D269)),NOT(ISNUMBER(E269)),F269="",G269="",H269="",M269=""),"Review info missing",IF(COUNTIFS('Update log'!$A$7:$A$306,J269,'Update log'!$B$7:$B$306,B269,'Update log'!$C$7:$C$306,A269)&lt;&gt;1,"Update not registered","Valid input"))))))</x:f>
      </x:c>
    </x:row>
    <x:row r="270" ht="25" customHeight="1">
      <x:c r="A270" s="3"/>
      <x:c r="B270" s="3"/>
      <x:c r="C270" s="3"/>
      <x:c r="D270" s="25"/>
      <x:c r="E270" s="25"/>
      <x:c r="F270" s="3"/>
      <x:c r="G270" s="3"/>
      <x:c r="H270" s="3"/>
      <x:c r="I270" s="3"/>
      <x:c r="J270" s="3"/>
      <x:c r="K270" s="3"/>
      <x:c r="L270" s="20"/>
      <x:c r="M270" s="3"/>
      <x:c r="N270" s="19" t="str">
        <x:f>IF(A270="","",IF(COUNTIFS('Reviews'!$A$7:$A$306,A270)&lt;&gt;1,"Duplicate ID",IF(COUNTIFS('Cases overview'!$A$7:$A$306,B270)&lt;&gt;1,"Invalid case ref",IF(COUNTIFS('Plan versions'!$A$7:$A$306,C270,'Plan versions'!$B$7:$B$306,B270,'Plan versions'!$L$7:$L$306,"Frozen")&lt;&gt;1,"Invalid plan ref",IF(OR(NOT(ISNUMBER(D270)),NOT(ISNUMBER(E270)),F270="",G270="",H270="",M270=""),"Review info missing",IF(COUNTIFS('Update log'!$A$7:$A$306,J270,'Update log'!$B$7:$B$306,B270,'Update log'!$C$7:$C$306,A270)&lt;&gt;1,"Update not registered","Valid input"))))))</x:f>
      </x:c>
    </x:row>
    <x:row r="271" ht="25" customHeight="1">
      <x:c r="A271" s="3"/>
      <x:c r="B271" s="3"/>
      <x:c r="C271" s="3"/>
      <x:c r="D271" s="25"/>
      <x:c r="E271" s="25"/>
      <x:c r="F271" s="3"/>
      <x:c r="G271" s="3"/>
      <x:c r="H271" s="3"/>
      <x:c r="I271" s="3"/>
      <x:c r="J271" s="3"/>
      <x:c r="K271" s="3"/>
      <x:c r="L271" s="20"/>
      <x:c r="M271" s="3"/>
      <x:c r="N271" s="19" t="str">
        <x:f>IF(A271="","",IF(COUNTIFS('Reviews'!$A$7:$A$306,A271)&lt;&gt;1,"Duplicate ID",IF(COUNTIFS('Cases overview'!$A$7:$A$306,B271)&lt;&gt;1,"Invalid case ref",IF(COUNTIFS('Plan versions'!$A$7:$A$306,C271,'Plan versions'!$B$7:$B$306,B271,'Plan versions'!$L$7:$L$306,"Frozen")&lt;&gt;1,"Invalid plan ref",IF(OR(NOT(ISNUMBER(D271)),NOT(ISNUMBER(E271)),F271="",G271="",H271="",M271=""),"Review info missing",IF(COUNTIFS('Update log'!$A$7:$A$306,J271,'Update log'!$B$7:$B$306,B271,'Update log'!$C$7:$C$306,A271)&lt;&gt;1,"Update not registered","Valid input"))))))</x:f>
      </x:c>
    </x:row>
    <x:row r="272" ht="25" customHeight="1">
      <x:c r="A272" s="3"/>
      <x:c r="B272" s="3"/>
      <x:c r="C272" s="3"/>
      <x:c r="D272" s="25"/>
      <x:c r="E272" s="25"/>
      <x:c r="F272" s="3"/>
      <x:c r="G272" s="3"/>
      <x:c r="H272" s="3"/>
      <x:c r="I272" s="3"/>
      <x:c r="J272" s="3"/>
      <x:c r="K272" s="3"/>
      <x:c r="L272" s="20"/>
      <x:c r="M272" s="3"/>
      <x:c r="N272" s="19" t="str">
        <x:f>IF(A272="","",IF(COUNTIFS('Reviews'!$A$7:$A$306,A272)&lt;&gt;1,"Duplicate ID",IF(COUNTIFS('Cases overview'!$A$7:$A$306,B272)&lt;&gt;1,"Invalid case ref",IF(COUNTIFS('Plan versions'!$A$7:$A$306,C272,'Plan versions'!$B$7:$B$306,B272,'Plan versions'!$L$7:$L$306,"Frozen")&lt;&gt;1,"Invalid plan ref",IF(OR(NOT(ISNUMBER(D272)),NOT(ISNUMBER(E272)),F272="",G272="",H272="",M272=""),"Review info missing",IF(COUNTIFS('Update log'!$A$7:$A$306,J272,'Update log'!$B$7:$B$306,B272,'Update log'!$C$7:$C$306,A272)&lt;&gt;1,"Update not registered","Valid input"))))))</x:f>
      </x:c>
    </x:row>
    <x:row r="273" ht="25" customHeight="1">
      <x:c r="A273" s="3"/>
      <x:c r="B273" s="3"/>
      <x:c r="C273" s="3"/>
      <x:c r="D273" s="25"/>
      <x:c r="E273" s="25"/>
      <x:c r="F273" s="3"/>
      <x:c r="G273" s="3"/>
      <x:c r="H273" s="3"/>
      <x:c r="I273" s="3"/>
      <x:c r="J273" s="3"/>
      <x:c r="K273" s="3"/>
      <x:c r="L273" s="20"/>
      <x:c r="M273" s="3"/>
      <x:c r="N273" s="19" t="str">
        <x:f>IF(A273="","",IF(COUNTIFS('Reviews'!$A$7:$A$306,A273)&lt;&gt;1,"Duplicate ID",IF(COUNTIFS('Cases overview'!$A$7:$A$306,B273)&lt;&gt;1,"Invalid case ref",IF(COUNTIFS('Plan versions'!$A$7:$A$306,C273,'Plan versions'!$B$7:$B$306,B273,'Plan versions'!$L$7:$L$306,"Frozen")&lt;&gt;1,"Invalid plan ref",IF(OR(NOT(ISNUMBER(D273)),NOT(ISNUMBER(E273)),F273="",G273="",H273="",M273=""),"Review info missing",IF(COUNTIFS('Update log'!$A$7:$A$306,J273,'Update log'!$B$7:$B$306,B273,'Update log'!$C$7:$C$306,A273)&lt;&gt;1,"Update not registered","Valid input"))))))</x:f>
      </x:c>
    </x:row>
    <x:row r="274" ht="25" customHeight="1">
      <x:c r="A274" s="3"/>
      <x:c r="B274" s="3"/>
      <x:c r="C274" s="3"/>
      <x:c r="D274" s="25"/>
      <x:c r="E274" s="25"/>
      <x:c r="F274" s="3"/>
      <x:c r="G274" s="3"/>
      <x:c r="H274" s="3"/>
      <x:c r="I274" s="3"/>
      <x:c r="J274" s="3"/>
      <x:c r="K274" s="3"/>
      <x:c r="L274" s="20"/>
      <x:c r="M274" s="3"/>
      <x:c r="N274" s="19" t="str">
        <x:f>IF(A274="","",IF(COUNTIFS('Reviews'!$A$7:$A$306,A274)&lt;&gt;1,"Duplicate ID",IF(COUNTIFS('Cases overview'!$A$7:$A$306,B274)&lt;&gt;1,"Invalid case ref",IF(COUNTIFS('Plan versions'!$A$7:$A$306,C274,'Plan versions'!$B$7:$B$306,B274,'Plan versions'!$L$7:$L$306,"Frozen")&lt;&gt;1,"Invalid plan ref",IF(OR(NOT(ISNUMBER(D274)),NOT(ISNUMBER(E274)),F274="",G274="",H274="",M274=""),"Review info missing",IF(COUNTIFS('Update log'!$A$7:$A$306,J274,'Update log'!$B$7:$B$306,B274,'Update log'!$C$7:$C$306,A274)&lt;&gt;1,"Update not registered","Valid input"))))))</x:f>
      </x:c>
    </x:row>
    <x:row r="275" ht="25" customHeight="1">
      <x:c r="A275" s="3"/>
      <x:c r="B275" s="3"/>
      <x:c r="C275" s="3"/>
      <x:c r="D275" s="25"/>
      <x:c r="E275" s="25"/>
      <x:c r="F275" s="3"/>
      <x:c r="G275" s="3"/>
      <x:c r="H275" s="3"/>
      <x:c r="I275" s="3"/>
      <x:c r="J275" s="3"/>
      <x:c r="K275" s="3"/>
      <x:c r="L275" s="20"/>
      <x:c r="M275" s="3"/>
      <x:c r="N275" s="19" t="str">
        <x:f>IF(A275="","",IF(COUNTIFS('Reviews'!$A$7:$A$306,A275)&lt;&gt;1,"Duplicate ID",IF(COUNTIFS('Cases overview'!$A$7:$A$306,B275)&lt;&gt;1,"Invalid case ref",IF(COUNTIFS('Plan versions'!$A$7:$A$306,C275,'Plan versions'!$B$7:$B$306,B275,'Plan versions'!$L$7:$L$306,"Frozen")&lt;&gt;1,"Invalid plan ref",IF(OR(NOT(ISNUMBER(D275)),NOT(ISNUMBER(E275)),F275="",G275="",H275="",M275=""),"Review info missing",IF(COUNTIFS('Update log'!$A$7:$A$306,J275,'Update log'!$B$7:$B$306,B275,'Update log'!$C$7:$C$306,A275)&lt;&gt;1,"Update not registered","Valid input"))))))</x:f>
      </x:c>
    </x:row>
    <x:row r="276" ht="25" customHeight="1">
      <x:c r="A276" s="3"/>
      <x:c r="B276" s="3"/>
      <x:c r="C276" s="3"/>
      <x:c r="D276" s="25"/>
      <x:c r="E276" s="25"/>
      <x:c r="F276" s="3"/>
      <x:c r="G276" s="3"/>
      <x:c r="H276" s="3"/>
      <x:c r="I276" s="3"/>
      <x:c r="J276" s="3"/>
      <x:c r="K276" s="3"/>
      <x:c r="L276" s="20"/>
      <x:c r="M276" s="3"/>
      <x:c r="N276" s="19" t="str">
        <x:f>IF(A276="","",IF(COUNTIFS('Reviews'!$A$7:$A$306,A276)&lt;&gt;1,"Duplicate ID",IF(COUNTIFS('Cases overview'!$A$7:$A$306,B276)&lt;&gt;1,"Invalid case ref",IF(COUNTIFS('Plan versions'!$A$7:$A$306,C276,'Plan versions'!$B$7:$B$306,B276,'Plan versions'!$L$7:$L$306,"Frozen")&lt;&gt;1,"Invalid plan ref",IF(OR(NOT(ISNUMBER(D276)),NOT(ISNUMBER(E276)),F276="",G276="",H276="",M276=""),"Review info missing",IF(COUNTIFS('Update log'!$A$7:$A$306,J276,'Update log'!$B$7:$B$306,B276,'Update log'!$C$7:$C$306,A276)&lt;&gt;1,"Update not registered","Valid input"))))))</x:f>
      </x:c>
    </x:row>
    <x:row r="277" ht="25" customHeight="1">
      <x:c r="A277" s="3"/>
      <x:c r="B277" s="3"/>
      <x:c r="C277" s="3"/>
      <x:c r="D277" s="25"/>
      <x:c r="E277" s="25"/>
      <x:c r="F277" s="3"/>
      <x:c r="G277" s="3"/>
      <x:c r="H277" s="3"/>
      <x:c r="I277" s="3"/>
      <x:c r="J277" s="3"/>
      <x:c r="K277" s="3"/>
      <x:c r="L277" s="20"/>
      <x:c r="M277" s="3"/>
      <x:c r="N277" s="19" t="str">
        <x:f>IF(A277="","",IF(COUNTIFS('Reviews'!$A$7:$A$306,A277)&lt;&gt;1,"Duplicate ID",IF(COUNTIFS('Cases overview'!$A$7:$A$306,B277)&lt;&gt;1,"Invalid case ref",IF(COUNTIFS('Plan versions'!$A$7:$A$306,C277,'Plan versions'!$B$7:$B$306,B277,'Plan versions'!$L$7:$L$306,"Frozen")&lt;&gt;1,"Invalid plan ref",IF(OR(NOT(ISNUMBER(D277)),NOT(ISNUMBER(E277)),F277="",G277="",H277="",M277=""),"Review info missing",IF(COUNTIFS('Update log'!$A$7:$A$306,J277,'Update log'!$B$7:$B$306,B277,'Update log'!$C$7:$C$306,A277)&lt;&gt;1,"Update not registered","Valid input"))))))</x:f>
      </x:c>
    </x:row>
    <x:row r="278" ht="25" customHeight="1">
      <x:c r="A278" s="3"/>
      <x:c r="B278" s="3"/>
      <x:c r="C278" s="3"/>
      <x:c r="D278" s="25"/>
      <x:c r="E278" s="25"/>
      <x:c r="F278" s="3"/>
      <x:c r="G278" s="3"/>
      <x:c r="H278" s="3"/>
      <x:c r="I278" s="3"/>
      <x:c r="J278" s="3"/>
      <x:c r="K278" s="3"/>
      <x:c r="L278" s="20"/>
      <x:c r="M278" s="3"/>
      <x:c r="N278" s="19" t="str">
        <x:f>IF(A278="","",IF(COUNTIFS('Reviews'!$A$7:$A$306,A278)&lt;&gt;1,"Duplicate ID",IF(COUNTIFS('Cases overview'!$A$7:$A$306,B278)&lt;&gt;1,"Invalid case ref",IF(COUNTIFS('Plan versions'!$A$7:$A$306,C278,'Plan versions'!$B$7:$B$306,B278,'Plan versions'!$L$7:$L$306,"Frozen")&lt;&gt;1,"Invalid plan ref",IF(OR(NOT(ISNUMBER(D278)),NOT(ISNUMBER(E278)),F278="",G278="",H278="",M278=""),"Review info missing",IF(COUNTIFS('Update log'!$A$7:$A$306,J278,'Update log'!$B$7:$B$306,B278,'Update log'!$C$7:$C$306,A278)&lt;&gt;1,"Update not registered","Valid input"))))))</x:f>
      </x:c>
    </x:row>
    <x:row r="279" ht="25" customHeight="1">
      <x:c r="A279" s="3"/>
      <x:c r="B279" s="3"/>
      <x:c r="C279" s="3"/>
      <x:c r="D279" s="25"/>
      <x:c r="E279" s="25"/>
      <x:c r="F279" s="3"/>
      <x:c r="G279" s="3"/>
      <x:c r="H279" s="3"/>
      <x:c r="I279" s="3"/>
      <x:c r="J279" s="3"/>
      <x:c r="K279" s="3"/>
      <x:c r="L279" s="20"/>
      <x:c r="M279" s="3"/>
      <x:c r="N279" s="19" t="str">
        <x:f>IF(A279="","",IF(COUNTIFS('Reviews'!$A$7:$A$306,A279)&lt;&gt;1,"Duplicate ID",IF(COUNTIFS('Cases overview'!$A$7:$A$306,B279)&lt;&gt;1,"Invalid case ref",IF(COUNTIFS('Plan versions'!$A$7:$A$306,C279,'Plan versions'!$B$7:$B$306,B279,'Plan versions'!$L$7:$L$306,"Frozen")&lt;&gt;1,"Invalid plan ref",IF(OR(NOT(ISNUMBER(D279)),NOT(ISNUMBER(E279)),F279="",G279="",H279="",M279=""),"Review info missing",IF(COUNTIFS('Update log'!$A$7:$A$306,J279,'Update log'!$B$7:$B$306,B279,'Update log'!$C$7:$C$306,A279)&lt;&gt;1,"Update not registered","Valid input"))))))</x:f>
      </x:c>
    </x:row>
    <x:row r="280" ht="25" customHeight="1">
      <x:c r="A280" s="3"/>
      <x:c r="B280" s="3"/>
      <x:c r="C280" s="3"/>
      <x:c r="D280" s="25"/>
      <x:c r="E280" s="25"/>
      <x:c r="F280" s="3"/>
      <x:c r="G280" s="3"/>
      <x:c r="H280" s="3"/>
      <x:c r="I280" s="3"/>
      <x:c r="J280" s="3"/>
      <x:c r="K280" s="3"/>
      <x:c r="L280" s="20"/>
      <x:c r="M280" s="3"/>
      <x:c r="N280" s="19" t="str">
        <x:f>IF(A280="","",IF(COUNTIFS('Reviews'!$A$7:$A$306,A280)&lt;&gt;1,"Duplicate ID",IF(COUNTIFS('Cases overview'!$A$7:$A$306,B280)&lt;&gt;1,"Invalid case ref",IF(COUNTIFS('Plan versions'!$A$7:$A$306,C280,'Plan versions'!$B$7:$B$306,B280,'Plan versions'!$L$7:$L$306,"Frozen")&lt;&gt;1,"Invalid plan ref",IF(OR(NOT(ISNUMBER(D280)),NOT(ISNUMBER(E280)),F280="",G280="",H280="",M280=""),"Review info missing",IF(COUNTIFS('Update log'!$A$7:$A$306,J280,'Update log'!$B$7:$B$306,B280,'Update log'!$C$7:$C$306,A280)&lt;&gt;1,"Update not registered","Valid input"))))))</x:f>
      </x:c>
    </x:row>
    <x:row r="281" ht="25" customHeight="1">
      <x:c r="A281" s="3"/>
      <x:c r="B281" s="3"/>
      <x:c r="C281" s="3"/>
      <x:c r="D281" s="25"/>
      <x:c r="E281" s="25"/>
      <x:c r="F281" s="3"/>
      <x:c r="G281" s="3"/>
      <x:c r="H281" s="3"/>
      <x:c r="I281" s="3"/>
      <x:c r="J281" s="3"/>
      <x:c r="K281" s="3"/>
      <x:c r="L281" s="20"/>
      <x:c r="M281" s="3"/>
      <x:c r="N281" s="19" t="str">
        <x:f>IF(A281="","",IF(COUNTIFS('Reviews'!$A$7:$A$306,A281)&lt;&gt;1,"Duplicate ID",IF(COUNTIFS('Cases overview'!$A$7:$A$306,B281)&lt;&gt;1,"Invalid case ref",IF(COUNTIFS('Plan versions'!$A$7:$A$306,C281,'Plan versions'!$B$7:$B$306,B281,'Plan versions'!$L$7:$L$306,"Frozen")&lt;&gt;1,"Invalid plan ref",IF(OR(NOT(ISNUMBER(D281)),NOT(ISNUMBER(E281)),F281="",G281="",H281="",M281=""),"Review info missing",IF(COUNTIFS('Update log'!$A$7:$A$306,J281,'Update log'!$B$7:$B$306,B281,'Update log'!$C$7:$C$306,A281)&lt;&gt;1,"Update not registered","Valid input"))))))</x:f>
      </x:c>
    </x:row>
    <x:row r="282" ht="25" customHeight="1">
      <x:c r="A282" s="3"/>
      <x:c r="B282" s="3"/>
      <x:c r="C282" s="3"/>
      <x:c r="D282" s="25"/>
      <x:c r="E282" s="25"/>
      <x:c r="F282" s="3"/>
      <x:c r="G282" s="3"/>
      <x:c r="H282" s="3"/>
      <x:c r="I282" s="3"/>
      <x:c r="J282" s="3"/>
      <x:c r="K282" s="3"/>
      <x:c r="L282" s="20"/>
      <x:c r="M282" s="3"/>
      <x:c r="N282" s="19" t="str">
        <x:f>IF(A282="","",IF(COUNTIFS('Reviews'!$A$7:$A$306,A282)&lt;&gt;1,"Duplicate ID",IF(COUNTIFS('Cases overview'!$A$7:$A$306,B282)&lt;&gt;1,"Invalid case ref",IF(COUNTIFS('Plan versions'!$A$7:$A$306,C282,'Plan versions'!$B$7:$B$306,B282,'Plan versions'!$L$7:$L$306,"Frozen")&lt;&gt;1,"Invalid plan ref",IF(OR(NOT(ISNUMBER(D282)),NOT(ISNUMBER(E282)),F282="",G282="",H282="",M282=""),"Review info missing",IF(COUNTIFS('Update log'!$A$7:$A$306,J282,'Update log'!$B$7:$B$306,B282,'Update log'!$C$7:$C$306,A282)&lt;&gt;1,"Update not registered","Valid input"))))))</x:f>
      </x:c>
    </x:row>
    <x:row r="283" ht="25" customHeight="1">
      <x:c r="A283" s="3"/>
      <x:c r="B283" s="3"/>
      <x:c r="C283" s="3"/>
      <x:c r="D283" s="25"/>
      <x:c r="E283" s="25"/>
      <x:c r="F283" s="3"/>
      <x:c r="G283" s="3"/>
      <x:c r="H283" s="3"/>
      <x:c r="I283" s="3"/>
      <x:c r="J283" s="3"/>
      <x:c r="K283" s="3"/>
      <x:c r="L283" s="20"/>
      <x:c r="M283" s="3"/>
      <x:c r="N283" s="19" t="str">
        <x:f>IF(A283="","",IF(COUNTIFS('Reviews'!$A$7:$A$306,A283)&lt;&gt;1,"Duplicate ID",IF(COUNTIFS('Cases overview'!$A$7:$A$306,B283)&lt;&gt;1,"Invalid case ref",IF(COUNTIFS('Plan versions'!$A$7:$A$306,C283,'Plan versions'!$B$7:$B$306,B283,'Plan versions'!$L$7:$L$306,"Frozen")&lt;&gt;1,"Invalid plan ref",IF(OR(NOT(ISNUMBER(D283)),NOT(ISNUMBER(E283)),F283="",G283="",H283="",M283=""),"Review info missing",IF(COUNTIFS('Update log'!$A$7:$A$306,J283,'Update log'!$B$7:$B$306,B283,'Update log'!$C$7:$C$306,A283)&lt;&gt;1,"Update not registered","Valid input"))))))</x:f>
      </x:c>
    </x:row>
    <x:row r="284" ht="25" customHeight="1">
      <x:c r="A284" s="3"/>
      <x:c r="B284" s="3"/>
      <x:c r="C284" s="3"/>
      <x:c r="D284" s="25"/>
      <x:c r="E284" s="25"/>
      <x:c r="F284" s="3"/>
      <x:c r="G284" s="3"/>
      <x:c r="H284" s="3"/>
      <x:c r="I284" s="3"/>
      <x:c r="J284" s="3"/>
      <x:c r="K284" s="3"/>
      <x:c r="L284" s="20"/>
      <x:c r="M284" s="3"/>
      <x:c r="N284" s="19" t="str">
        <x:f>IF(A284="","",IF(COUNTIFS('Reviews'!$A$7:$A$306,A284)&lt;&gt;1,"Duplicate ID",IF(COUNTIFS('Cases overview'!$A$7:$A$306,B284)&lt;&gt;1,"Invalid case ref",IF(COUNTIFS('Plan versions'!$A$7:$A$306,C284,'Plan versions'!$B$7:$B$306,B284,'Plan versions'!$L$7:$L$306,"Frozen")&lt;&gt;1,"Invalid plan ref",IF(OR(NOT(ISNUMBER(D284)),NOT(ISNUMBER(E284)),F284="",G284="",H284="",M284=""),"Review info missing",IF(COUNTIFS('Update log'!$A$7:$A$306,J284,'Update log'!$B$7:$B$306,B284,'Update log'!$C$7:$C$306,A284)&lt;&gt;1,"Update not registered","Valid input"))))))</x:f>
      </x:c>
    </x:row>
    <x:row r="285" ht="25" customHeight="1">
      <x:c r="A285" s="3"/>
      <x:c r="B285" s="3"/>
      <x:c r="C285" s="3"/>
      <x:c r="D285" s="25"/>
      <x:c r="E285" s="25"/>
      <x:c r="F285" s="3"/>
      <x:c r="G285" s="3"/>
      <x:c r="H285" s="3"/>
      <x:c r="I285" s="3"/>
      <x:c r="J285" s="3"/>
      <x:c r="K285" s="3"/>
      <x:c r="L285" s="20"/>
      <x:c r="M285" s="3"/>
      <x:c r="N285" s="19" t="str">
        <x:f>IF(A285="","",IF(COUNTIFS('Reviews'!$A$7:$A$306,A285)&lt;&gt;1,"Duplicate ID",IF(COUNTIFS('Cases overview'!$A$7:$A$306,B285)&lt;&gt;1,"Invalid case ref",IF(COUNTIFS('Plan versions'!$A$7:$A$306,C285,'Plan versions'!$B$7:$B$306,B285,'Plan versions'!$L$7:$L$306,"Frozen")&lt;&gt;1,"Invalid plan ref",IF(OR(NOT(ISNUMBER(D285)),NOT(ISNUMBER(E285)),F285="",G285="",H285="",M285=""),"Review info missing",IF(COUNTIFS('Update log'!$A$7:$A$306,J285,'Update log'!$B$7:$B$306,B285,'Update log'!$C$7:$C$306,A285)&lt;&gt;1,"Update not registered","Valid input"))))))</x:f>
      </x:c>
    </x:row>
    <x:row r="286" ht="25" customHeight="1">
      <x:c r="A286" s="3"/>
      <x:c r="B286" s="3"/>
      <x:c r="C286" s="3"/>
      <x:c r="D286" s="25"/>
      <x:c r="E286" s="25"/>
      <x:c r="F286" s="3"/>
      <x:c r="G286" s="3"/>
      <x:c r="H286" s="3"/>
      <x:c r="I286" s="3"/>
      <x:c r="J286" s="3"/>
      <x:c r="K286" s="3"/>
      <x:c r="L286" s="20"/>
      <x:c r="M286" s="3"/>
      <x:c r="N286" s="19" t="str">
        <x:f>IF(A286="","",IF(COUNTIFS('Reviews'!$A$7:$A$306,A286)&lt;&gt;1,"Duplicate ID",IF(COUNTIFS('Cases overview'!$A$7:$A$306,B286)&lt;&gt;1,"Invalid case ref",IF(COUNTIFS('Plan versions'!$A$7:$A$306,C286,'Plan versions'!$B$7:$B$306,B286,'Plan versions'!$L$7:$L$306,"Frozen")&lt;&gt;1,"Invalid plan ref",IF(OR(NOT(ISNUMBER(D286)),NOT(ISNUMBER(E286)),F286="",G286="",H286="",M286=""),"Review info missing",IF(COUNTIFS('Update log'!$A$7:$A$306,J286,'Update log'!$B$7:$B$306,B286,'Update log'!$C$7:$C$306,A286)&lt;&gt;1,"Update not registered","Valid input"))))))</x:f>
      </x:c>
    </x:row>
    <x:row r="287" ht="25" customHeight="1">
      <x:c r="A287" s="3"/>
      <x:c r="B287" s="3"/>
      <x:c r="C287" s="3"/>
      <x:c r="D287" s="25"/>
      <x:c r="E287" s="25"/>
      <x:c r="F287" s="3"/>
      <x:c r="G287" s="3"/>
      <x:c r="H287" s="3"/>
      <x:c r="I287" s="3"/>
      <x:c r="J287" s="3"/>
      <x:c r="K287" s="3"/>
      <x:c r="L287" s="20"/>
      <x:c r="M287" s="3"/>
      <x:c r="N287" s="19" t="str">
        <x:f>IF(A287="","",IF(COUNTIFS('Reviews'!$A$7:$A$306,A287)&lt;&gt;1,"Duplicate ID",IF(COUNTIFS('Cases overview'!$A$7:$A$306,B287)&lt;&gt;1,"Invalid case ref",IF(COUNTIFS('Plan versions'!$A$7:$A$306,C287,'Plan versions'!$B$7:$B$306,B287,'Plan versions'!$L$7:$L$306,"Frozen")&lt;&gt;1,"Invalid plan ref",IF(OR(NOT(ISNUMBER(D287)),NOT(ISNUMBER(E287)),F287="",G287="",H287="",M287=""),"Review info missing",IF(COUNTIFS('Update log'!$A$7:$A$306,J287,'Update log'!$B$7:$B$306,B287,'Update log'!$C$7:$C$306,A287)&lt;&gt;1,"Update not registered","Valid input"))))))</x:f>
      </x:c>
    </x:row>
    <x:row r="288" ht="25" customHeight="1">
      <x:c r="A288" s="3"/>
      <x:c r="B288" s="3"/>
      <x:c r="C288" s="3"/>
      <x:c r="D288" s="25"/>
      <x:c r="E288" s="25"/>
      <x:c r="F288" s="3"/>
      <x:c r="G288" s="3"/>
      <x:c r="H288" s="3"/>
      <x:c r="I288" s="3"/>
      <x:c r="J288" s="3"/>
      <x:c r="K288" s="3"/>
      <x:c r="L288" s="20"/>
      <x:c r="M288" s="3"/>
      <x:c r="N288" s="19" t="str">
        <x:f>IF(A288="","",IF(COUNTIFS('Reviews'!$A$7:$A$306,A288)&lt;&gt;1,"Duplicate ID",IF(COUNTIFS('Cases overview'!$A$7:$A$306,B288)&lt;&gt;1,"Invalid case ref",IF(COUNTIFS('Plan versions'!$A$7:$A$306,C288,'Plan versions'!$B$7:$B$306,B288,'Plan versions'!$L$7:$L$306,"Frozen")&lt;&gt;1,"Invalid plan ref",IF(OR(NOT(ISNUMBER(D288)),NOT(ISNUMBER(E288)),F288="",G288="",H288="",M288=""),"Review info missing",IF(COUNTIFS('Update log'!$A$7:$A$306,J288,'Update log'!$B$7:$B$306,B288,'Update log'!$C$7:$C$306,A288)&lt;&gt;1,"Update not registered","Valid input"))))))</x:f>
      </x:c>
    </x:row>
    <x:row r="289" ht="25" customHeight="1">
      <x:c r="A289" s="3"/>
      <x:c r="B289" s="3"/>
      <x:c r="C289" s="3"/>
      <x:c r="D289" s="25"/>
      <x:c r="E289" s="25"/>
      <x:c r="F289" s="3"/>
      <x:c r="G289" s="3"/>
      <x:c r="H289" s="3"/>
      <x:c r="I289" s="3"/>
      <x:c r="J289" s="3"/>
      <x:c r="K289" s="3"/>
      <x:c r="L289" s="20"/>
      <x:c r="M289" s="3"/>
      <x:c r="N289" s="19" t="str">
        <x:f>IF(A289="","",IF(COUNTIFS('Reviews'!$A$7:$A$306,A289)&lt;&gt;1,"Duplicate ID",IF(COUNTIFS('Cases overview'!$A$7:$A$306,B289)&lt;&gt;1,"Invalid case ref",IF(COUNTIFS('Plan versions'!$A$7:$A$306,C289,'Plan versions'!$B$7:$B$306,B289,'Plan versions'!$L$7:$L$306,"Frozen")&lt;&gt;1,"Invalid plan ref",IF(OR(NOT(ISNUMBER(D289)),NOT(ISNUMBER(E289)),F289="",G289="",H289="",M289=""),"Review info missing",IF(COUNTIFS('Update log'!$A$7:$A$306,J289,'Update log'!$B$7:$B$306,B289,'Update log'!$C$7:$C$306,A289)&lt;&gt;1,"Update not registered","Valid input"))))))</x:f>
      </x:c>
    </x:row>
    <x:row r="290" ht="25" customHeight="1">
      <x:c r="A290" s="3"/>
      <x:c r="B290" s="3"/>
      <x:c r="C290" s="3"/>
      <x:c r="D290" s="25"/>
      <x:c r="E290" s="25"/>
      <x:c r="F290" s="3"/>
      <x:c r="G290" s="3"/>
      <x:c r="H290" s="3"/>
      <x:c r="I290" s="3"/>
      <x:c r="J290" s="3"/>
      <x:c r="K290" s="3"/>
      <x:c r="L290" s="20"/>
      <x:c r="M290" s="3"/>
      <x:c r="N290" s="19" t="str">
        <x:f>IF(A290="","",IF(COUNTIFS('Reviews'!$A$7:$A$306,A290)&lt;&gt;1,"Duplicate ID",IF(COUNTIFS('Cases overview'!$A$7:$A$306,B290)&lt;&gt;1,"Invalid case ref",IF(COUNTIFS('Plan versions'!$A$7:$A$306,C290,'Plan versions'!$B$7:$B$306,B290,'Plan versions'!$L$7:$L$306,"Frozen")&lt;&gt;1,"Invalid plan ref",IF(OR(NOT(ISNUMBER(D290)),NOT(ISNUMBER(E290)),F290="",G290="",H290="",M290=""),"Review info missing",IF(COUNTIFS('Update log'!$A$7:$A$306,J290,'Update log'!$B$7:$B$306,B290,'Update log'!$C$7:$C$306,A290)&lt;&gt;1,"Update not registered","Valid input"))))))</x:f>
      </x:c>
    </x:row>
    <x:row r="291" ht="25" customHeight="1">
      <x:c r="A291" s="3"/>
      <x:c r="B291" s="3"/>
      <x:c r="C291" s="3"/>
      <x:c r="D291" s="25"/>
      <x:c r="E291" s="25"/>
      <x:c r="F291" s="3"/>
      <x:c r="G291" s="3"/>
      <x:c r="H291" s="3"/>
      <x:c r="I291" s="3"/>
      <x:c r="J291" s="3"/>
      <x:c r="K291" s="3"/>
      <x:c r="L291" s="20"/>
      <x:c r="M291" s="3"/>
      <x:c r="N291" s="19" t="str">
        <x:f>IF(A291="","",IF(COUNTIFS('Reviews'!$A$7:$A$306,A291)&lt;&gt;1,"Duplicate ID",IF(COUNTIFS('Cases overview'!$A$7:$A$306,B291)&lt;&gt;1,"Invalid case ref",IF(COUNTIFS('Plan versions'!$A$7:$A$306,C291,'Plan versions'!$B$7:$B$306,B291,'Plan versions'!$L$7:$L$306,"Frozen")&lt;&gt;1,"Invalid plan ref",IF(OR(NOT(ISNUMBER(D291)),NOT(ISNUMBER(E291)),F291="",G291="",H291="",M291=""),"Review info missing",IF(COUNTIFS('Update log'!$A$7:$A$306,J291,'Update log'!$B$7:$B$306,B291,'Update log'!$C$7:$C$306,A291)&lt;&gt;1,"Update not registered","Valid input"))))))</x:f>
      </x:c>
    </x:row>
    <x:row r="292" ht="25" customHeight="1">
      <x:c r="A292" s="3"/>
      <x:c r="B292" s="3"/>
      <x:c r="C292" s="3"/>
      <x:c r="D292" s="25"/>
      <x:c r="E292" s="25"/>
      <x:c r="F292" s="3"/>
      <x:c r="G292" s="3"/>
      <x:c r="H292" s="3"/>
      <x:c r="I292" s="3"/>
      <x:c r="J292" s="3"/>
      <x:c r="K292" s="3"/>
      <x:c r="L292" s="20"/>
      <x:c r="M292" s="3"/>
      <x:c r="N292" s="19" t="str">
        <x:f>IF(A292="","",IF(COUNTIFS('Reviews'!$A$7:$A$306,A292)&lt;&gt;1,"Duplicate ID",IF(COUNTIFS('Cases overview'!$A$7:$A$306,B292)&lt;&gt;1,"Invalid case ref",IF(COUNTIFS('Plan versions'!$A$7:$A$306,C292,'Plan versions'!$B$7:$B$306,B292,'Plan versions'!$L$7:$L$306,"Frozen")&lt;&gt;1,"Invalid plan ref",IF(OR(NOT(ISNUMBER(D292)),NOT(ISNUMBER(E292)),F292="",G292="",H292="",M292=""),"Review info missing",IF(COUNTIFS('Update log'!$A$7:$A$306,J292,'Update log'!$B$7:$B$306,B292,'Update log'!$C$7:$C$306,A292)&lt;&gt;1,"Update not registered","Valid input"))))))</x:f>
      </x:c>
    </x:row>
    <x:row r="293" ht="25" customHeight="1">
      <x:c r="A293" s="3"/>
      <x:c r="B293" s="3"/>
      <x:c r="C293" s="3"/>
      <x:c r="D293" s="25"/>
      <x:c r="E293" s="25"/>
      <x:c r="F293" s="3"/>
      <x:c r="G293" s="3"/>
      <x:c r="H293" s="3"/>
      <x:c r="I293" s="3"/>
      <x:c r="J293" s="3"/>
      <x:c r="K293" s="3"/>
      <x:c r="L293" s="20"/>
      <x:c r="M293" s="3"/>
      <x:c r="N293" s="19" t="str">
        <x:f>IF(A293="","",IF(COUNTIFS('Reviews'!$A$7:$A$306,A293)&lt;&gt;1,"Duplicate ID",IF(COUNTIFS('Cases overview'!$A$7:$A$306,B293)&lt;&gt;1,"Invalid case ref",IF(COUNTIFS('Plan versions'!$A$7:$A$306,C293,'Plan versions'!$B$7:$B$306,B293,'Plan versions'!$L$7:$L$306,"Frozen")&lt;&gt;1,"Invalid plan ref",IF(OR(NOT(ISNUMBER(D293)),NOT(ISNUMBER(E293)),F293="",G293="",H293="",M293=""),"Review info missing",IF(COUNTIFS('Update log'!$A$7:$A$306,J293,'Update log'!$B$7:$B$306,B293,'Update log'!$C$7:$C$306,A293)&lt;&gt;1,"Update not registered","Valid input"))))))</x:f>
      </x:c>
    </x:row>
    <x:row r="294" ht="25" customHeight="1">
      <x:c r="A294" s="3"/>
      <x:c r="B294" s="3"/>
      <x:c r="C294" s="3"/>
      <x:c r="D294" s="25"/>
      <x:c r="E294" s="25"/>
      <x:c r="F294" s="3"/>
      <x:c r="G294" s="3"/>
      <x:c r="H294" s="3"/>
      <x:c r="I294" s="3"/>
      <x:c r="J294" s="3"/>
      <x:c r="K294" s="3"/>
      <x:c r="L294" s="20"/>
      <x:c r="M294" s="3"/>
      <x:c r="N294" s="19" t="str">
        <x:f>IF(A294="","",IF(COUNTIFS('Reviews'!$A$7:$A$306,A294)&lt;&gt;1,"Duplicate ID",IF(COUNTIFS('Cases overview'!$A$7:$A$306,B294)&lt;&gt;1,"Invalid case ref",IF(COUNTIFS('Plan versions'!$A$7:$A$306,C294,'Plan versions'!$B$7:$B$306,B294,'Plan versions'!$L$7:$L$306,"Frozen")&lt;&gt;1,"Invalid plan ref",IF(OR(NOT(ISNUMBER(D294)),NOT(ISNUMBER(E294)),F294="",G294="",H294="",M294=""),"Review info missing",IF(COUNTIFS('Update log'!$A$7:$A$306,J294,'Update log'!$B$7:$B$306,B294,'Update log'!$C$7:$C$306,A294)&lt;&gt;1,"Update not registered","Valid input"))))))</x:f>
      </x:c>
    </x:row>
    <x:row r="295" ht="25" customHeight="1">
      <x:c r="A295" s="3"/>
      <x:c r="B295" s="3"/>
      <x:c r="C295" s="3"/>
      <x:c r="D295" s="25"/>
      <x:c r="E295" s="25"/>
      <x:c r="F295" s="3"/>
      <x:c r="G295" s="3"/>
      <x:c r="H295" s="3"/>
      <x:c r="I295" s="3"/>
      <x:c r="J295" s="3"/>
      <x:c r="K295" s="3"/>
      <x:c r="L295" s="20"/>
      <x:c r="M295" s="3"/>
      <x:c r="N295" s="19" t="str">
        <x:f>IF(A295="","",IF(COUNTIFS('Reviews'!$A$7:$A$306,A295)&lt;&gt;1,"Duplicate ID",IF(COUNTIFS('Cases overview'!$A$7:$A$306,B295)&lt;&gt;1,"Invalid case ref",IF(COUNTIFS('Plan versions'!$A$7:$A$306,C295,'Plan versions'!$B$7:$B$306,B295,'Plan versions'!$L$7:$L$306,"Frozen")&lt;&gt;1,"Invalid plan ref",IF(OR(NOT(ISNUMBER(D295)),NOT(ISNUMBER(E295)),F295="",G295="",H295="",M295=""),"Review info missing",IF(COUNTIFS('Update log'!$A$7:$A$306,J295,'Update log'!$B$7:$B$306,B295,'Update log'!$C$7:$C$306,A295)&lt;&gt;1,"Update not registered","Valid input"))))))</x:f>
      </x:c>
    </x:row>
    <x:row r="296" ht="25" customHeight="1">
      <x:c r="A296" s="3"/>
      <x:c r="B296" s="3"/>
      <x:c r="C296" s="3"/>
      <x:c r="D296" s="25"/>
      <x:c r="E296" s="25"/>
      <x:c r="F296" s="3"/>
      <x:c r="G296" s="3"/>
      <x:c r="H296" s="3"/>
      <x:c r="I296" s="3"/>
      <x:c r="J296" s="3"/>
      <x:c r="K296" s="3"/>
      <x:c r="L296" s="20"/>
      <x:c r="M296" s="3"/>
      <x:c r="N296" s="19" t="str">
        <x:f>IF(A296="","",IF(COUNTIFS('Reviews'!$A$7:$A$306,A296)&lt;&gt;1,"Duplicate ID",IF(COUNTIFS('Cases overview'!$A$7:$A$306,B296)&lt;&gt;1,"Invalid case ref",IF(COUNTIFS('Plan versions'!$A$7:$A$306,C296,'Plan versions'!$B$7:$B$306,B296,'Plan versions'!$L$7:$L$306,"Frozen")&lt;&gt;1,"Invalid plan ref",IF(OR(NOT(ISNUMBER(D296)),NOT(ISNUMBER(E296)),F296="",G296="",H296="",M296=""),"Review info missing",IF(COUNTIFS('Update log'!$A$7:$A$306,J296,'Update log'!$B$7:$B$306,B296,'Update log'!$C$7:$C$306,A296)&lt;&gt;1,"Update not registered","Valid input"))))))</x:f>
      </x:c>
    </x:row>
    <x:row r="297" ht="25" customHeight="1">
      <x:c r="A297" s="3"/>
      <x:c r="B297" s="3"/>
      <x:c r="C297" s="3"/>
      <x:c r="D297" s="25"/>
      <x:c r="E297" s="25"/>
      <x:c r="F297" s="3"/>
      <x:c r="G297" s="3"/>
      <x:c r="H297" s="3"/>
      <x:c r="I297" s="3"/>
      <x:c r="J297" s="3"/>
      <x:c r="K297" s="3"/>
      <x:c r="L297" s="20"/>
      <x:c r="M297" s="3"/>
      <x:c r="N297" s="19" t="str">
        <x:f>IF(A297="","",IF(COUNTIFS('Reviews'!$A$7:$A$306,A297)&lt;&gt;1,"Duplicate ID",IF(COUNTIFS('Cases overview'!$A$7:$A$306,B297)&lt;&gt;1,"Invalid case ref",IF(COUNTIFS('Plan versions'!$A$7:$A$306,C297,'Plan versions'!$B$7:$B$306,B297,'Plan versions'!$L$7:$L$306,"Frozen")&lt;&gt;1,"Invalid plan ref",IF(OR(NOT(ISNUMBER(D297)),NOT(ISNUMBER(E297)),F297="",G297="",H297="",M297=""),"Review info missing",IF(COUNTIFS('Update log'!$A$7:$A$306,J297,'Update log'!$B$7:$B$306,B297,'Update log'!$C$7:$C$306,A297)&lt;&gt;1,"Update not registered","Valid input"))))))</x:f>
      </x:c>
    </x:row>
    <x:row r="298" ht="25" customHeight="1">
      <x:c r="A298" s="3"/>
      <x:c r="B298" s="3"/>
      <x:c r="C298" s="3"/>
      <x:c r="D298" s="25"/>
      <x:c r="E298" s="25"/>
      <x:c r="F298" s="3"/>
      <x:c r="G298" s="3"/>
      <x:c r="H298" s="3"/>
      <x:c r="I298" s="3"/>
      <x:c r="J298" s="3"/>
      <x:c r="K298" s="3"/>
      <x:c r="L298" s="20"/>
      <x:c r="M298" s="3"/>
      <x:c r="N298" s="19" t="str">
        <x:f>IF(A298="","",IF(COUNTIFS('Reviews'!$A$7:$A$306,A298)&lt;&gt;1,"Duplicate ID",IF(COUNTIFS('Cases overview'!$A$7:$A$306,B298)&lt;&gt;1,"Invalid case ref",IF(COUNTIFS('Plan versions'!$A$7:$A$306,C298,'Plan versions'!$B$7:$B$306,B298,'Plan versions'!$L$7:$L$306,"Frozen")&lt;&gt;1,"Invalid plan ref",IF(OR(NOT(ISNUMBER(D298)),NOT(ISNUMBER(E298)),F298="",G298="",H298="",M298=""),"Review info missing",IF(COUNTIFS('Update log'!$A$7:$A$306,J298,'Update log'!$B$7:$B$306,B298,'Update log'!$C$7:$C$306,A298)&lt;&gt;1,"Update not registered","Valid input"))))))</x:f>
      </x:c>
    </x:row>
    <x:row r="299" ht="25" customHeight="1">
      <x:c r="A299" s="3"/>
      <x:c r="B299" s="3"/>
      <x:c r="C299" s="3"/>
      <x:c r="D299" s="25"/>
      <x:c r="E299" s="25"/>
      <x:c r="F299" s="3"/>
      <x:c r="G299" s="3"/>
      <x:c r="H299" s="3"/>
      <x:c r="I299" s="3"/>
      <x:c r="J299" s="3"/>
      <x:c r="K299" s="3"/>
      <x:c r="L299" s="20"/>
      <x:c r="M299" s="3"/>
      <x:c r="N299" s="19" t="str">
        <x:f>IF(A299="","",IF(COUNTIFS('Reviews'!$A$7:$A$306,A299)&lt;&gt;1,"Duplicate ID",IF(COUNTIFS('Cases overview'!$A$7:$A$306,B299)&lt;&gt;1,"Invalid case ref",IF(COUNTIFS('Plan versions'!$A$7:$A$306,C299,'Plan versions'!$B$7:$B$306,B299,'Plan versions'!$L$7:$L$306,"Frozen")&lt;&gt;1,"Invalid plan ref",IF(OR(NOT(ISNUMBER(D299)),NOT(ISNUMBER(E299)),F299="",G299="",H299="",M299=""),"Review info missing",IF(COUNTIFS('Update log'!$A$7:$A$306,J299,'Update log'!$B$7:$B$306,B299,'Update log'!$C$7:$C$306,A299)&lt;&gt;1,"Update not registered","Valid input"))))))</x:f>
      </x:c>
    </x:row>
    <x:row r="300" ht="25" customHeight="1">
      <x:c r="A300" s="3"/>
      <x:c r="B300" s="3"/>
      <x:c r="C300" s="3"/>
      <x:c r="D300" s="25"/>
      <x:c r="E300" s="25"/>
      <x:c r="F300" s="3"/>
      <x:c r="G300" s="3"/>
      <x:c r="H300" s="3"/>
      <x:c r="I300" s="3"/>
      <x:c r="J300" s="3"/>
      <x:c r="K300" s="3"/>
      <x:c r="L300" s="20"/>
      <x:c r="M300" s="3"/>
      <x:c r="N300" s="19" t="str">
        <x:f>IF(A300="","",IF(COUNTIFS('Reviews'!$A$7:$A$306,A300)&lt;&gt;1,"Duplicate ID",IF(COUNTIFS('Cases overview'!$A$7:$A$306,B300)&lt;&gt;1,"Invalid case ref",IF(COUNTIFS('Plan versions'!$A$7:$A$306,C300,'Plan versions'!$B$7:$B$306,B300,'Plan versions'!$L$7:$L$306,"Frozen")&lt;&gt;1,"Invalid plan ref",IF(OR(NOT(ISNUMBER(D300)),NOT(ISNUMBER(E300)),F300="",G300="",H300="",M300=""),"Review info missing",IF(COUNTIFS('Update log'!$A$7:$A$306,J300,'Update log'!$B$7:$B$306,B300,'Update log'!$C$7:$C$306,A300)&lt;&gt;1,"Update not registered","Valid input"))))))</x:f>
      </x:c>
    </x:row>
    <x:row r="301" ht="25" customHeight="1">
      <x:c r="A301" s="3"/>
      <x:c r="B301" s="3"/>
      <x:c r="C301" s="3"/>
      <x:c r="D301" s="25"/>
      <x:c r="E301" s="25"/>
      <x:c r="F301" s="3"/>
      <x:c r="G301" s="3"/>
      <x:c r="H301" s="3"/>
      <x:c r="I301" s="3"/>
      <x:c r="J301" s="3"/>
      <x:c r="K301" s="3"/>
      <x:c r="L301" s="20"/>
      <x:c r="M301" s="3"/>
      <x:c r="N301" s="19" t="str">
        <x:f>IF(A301="","",IF(COUNTIFS('Reviews'!$A$7:$A$306,A301)&lt;&gt;1,"Duplicate ID",IF(COUNTIFS('Cases overview'!$A$7:$A$306,B301)&lt;&gt;1,"Invalid case ref",IF(COUNTIFS('Plan versions'!$A$7:$A$306,C301,'Plan versions'!$B$7:$B$306,B301,'Plan versions'!$L$7:$L$306,"Frozen")&lt;&gt;1,"Invalid plan ref",IF(OR(NOT(ISNUMBER(D301)),NOT(ISNUMBER(E301)),F301="",G301="",H301="",M301=""),"Review info missing",IF(COUNTIFS('Update log'!$A$7:$A$306,J301,'Update log'!$B$7:$B$306,B301,'Update log'!$C$7:$C$306,A301)&lt;&gt;1,"Update not registered","Valid input"))))))</x:f>
      </x:c>
    </x:row>
    <x:row r="302" ht="25" customHeight="1">
      <x:c r="A302" s="3"/>
      <x:c r="B302" s="3"/>
      <x:c r="C302" s="3"/>
      <x:c r="D302" s="25"/>
      <x:c r="E302" s="25"/>
      <x:c r="F302" s="3"/>
      <x:c r="G302" s="3"/>
      <x:c r="H302" s="3"/>
      <x:c r="I302" s="3"/>
      <x:c r="J302" s="3"/>
      <x:c r="K302" s="3"/>
      <x:c r="L302" s="20"/>
      <x:c r="M302" s="3"/>
      <x:c r="N302" s="19" t="str">
        <x:f>IF(A302="","",IF(COUNTIFS('Reviews'!$A$7:$A$306,A302)&lt;&gt;1,"Duplicate ID",IF(COUNTIFS('Cases overview'!$A$7:$A$306,B302)&lt;&gt;1,"Invalid case ref",IF(COUNTIFS('Plan versions'!$A$7:$A$306,C302,'Plan versions'!$B$7:$B$306,B302,'Plan versions'!$L$7:$L$306,"Frozen")&lt;&gt;1,"Invalid plan ref",IF(OR(NOT(ISNUMBER(D302)),NOT(ISNUMBER(E302)),F302="",G302="",H302="",M302=""),"Review info missing",IF(COUNTIFS('Update log'!$A$7:$A$306,J302,'Update log'!$B$7:$B$306,B302,'Update log'!$C$7:$C$306,A302)&lt;&gt;1,"Update not registered","Valid input"))))))</x:f>
      </x:c>
    </x:row>
    <x:row r="303" ht="25" customHeight="1">
      <x:c r="A303" s="3"/>
      <x:c r="B303" s="3"/>
      <x:c r="C303" s="3"/>
      <x:c r="D303" s="25"/>
      <x:c r="E303" s="25"/>
      <x:c r="F303" s="3"/>
      <x:c r="G303" s="3"/>
      <x:c r="H303" s="3"/>
      <x:c r="I303" s="3"/>
      <x:c r="J303" s="3"/>
      <x:c r="K303" s="3"/>
      <x:c r="L303" s="20"/>
      <x:c r="M303" s="3"/>
      <x:c r="N303" s="19" t="str">
        <x:f>IF(A303="","",IF(COUNTIFS('Reviews'!$A$7:$A$306,A303)&lt;&gt;1,"Duplicate ID",IF(COUNTIFS('Cases overview'!$A$7:$A$306,B303)&lt;&gt;1,"Invalid case ref",IF(COUNTIFS('Plan versions'!$A$7:$A$306,C303,'Plan versions'!$B$7:$B$306,B303,'Plan versions'!$L$7:$L$306,"Frozen")&lt;&gt;1,"Invalid plan ref",IF(OR(NOT(ISNUMBER(D303)),NOT(ISNUMBER(E303)),F303="",G303="",H303="",M303=""),"Review info missing",IF(COUNTIFS('Update log'!$A$7:$A$306,J303,'Update log'!$B$7:$B$306,B303,'Update log'!$C$7:$C$306,A303)&lt;&gt;1,"Update not registered","Valid input"))))))</x:f>
      </x:c>
    </x:row>
    <x:row r="304" ht="25" customHeight="1">
      <x:c r="A304" s="3"/>
      <x:c r="B304" s="3"/>
      <x:c r="C304" s="3"/>
      <x:c r="D304" s="25"/>
      <x:c r="E304" s="25"/>
      <x:c r="F304" s="3"/>
      <x:c r="G304" s="3"/>
      <x:c r="H304" s="3"/>
      <x:c r="I304" s="3"/>
      <x:c r="J304" s="3"/>
      <x:c r="K304" s="3"/>
      <x:c r="L304" s="20"/>
      <x:c r="M304" s="3"/>
      <x:c r="N304" s="19" t="str">
        <x:f>IF(A304="","",IF(COUNTIFS('Reviews'!$A$7:$A$306,A304)&lt;&gt;1,"Duplicate ID",IF(COUNTIFS('Cases overview'!$A$7:$A$306,B304)&lt;&gt;1,"Invalid case ref",IF(COUNTIFS('Plan versions'!$A$7:$A$306,C304,'Plan versions'!$B$7:$B$306,B304,'Plan versions'!$L$7:$L$306,"Frozen")&lt;&gt;1,"Invalid plan ref",IF(OR(NOT(ISNUMBER(D304)),NOT(ISNUMBER(E304)),F304="",G304="",H304="",M304=""),"Review info missing",IF(COUNTIFS('Update log'!$A$7:$A$306,J304,'Update log'!$B$7:$B$306,B304,'Update log'!$C$7:$C$306,A304)&lt;&gt;1,"Update not registered","Valid input"))))))</x:f>
      </x:c>
    </x:row>
    <x:row r="305" ht="25" customHeight="1">
      <x:c r="A305" s="3"/>
      <x:c r="B305" s="3"/>
      <x:c r="C305" s="3"/>
      <x:c r="D305" s="25"/>
      <x:c r="E305" s="25"/>
      <x:c r="F305" s="3"/>
      <x:c r="G305" s="3"/>
      <x:c r="H305" s="3"/>
      <x:c r="I305" s="3"/>
      <x:c r="J305" s="3"/>
      <x:c r="K305" s="3"/>
      <x:c r="L305" s="20"/>
      <x:c r="M305" s="3"/>
      <x:c r="N305" s="19" t="str">
        <x:f>IF(A305="","",IF(COUNTIFS('Reviews'!$A$7:$A$306,A305)&lt;&gt;1,"Duplicate ID",IF(COUNTIFS('Cases overview'!$A$7:$A$306,B305)&lt;&gt;1,"Invalid case ref",IF(COUNTIFS('Plan versions'!$A$7:$A$306,C305,'Plan versions'!$B$7:$B$306,B305,'Plan versions'!$L$7:$L$306,"Frozen")&lt;&gt;1,"Invalid plan ref",IF(OR(NOT(ISNUMBER(D305)),NOT(ISNUMBER(E305)),F305="",G305="",H305="",M305=""),"Review info missing",IF(COUNTIFS('Update log'!$A$7:$A$306,J305,'Update log'!$B$7:$B$306,B305,'Update log'!$C$7:$C$306,A305)&lt;&gt;1,"Update not registered","Valid input"))))))</x:f>
      </x:c>
    </x:row>
    <x:row r="306" ht="25" customHeight="1">
      <x:c r="A306" s="3"/>
      <x:c r="B306" s="3"/>
      <x:c r="C306" s="3"/>
      <x:c r="D306" s="25"/>
      <x:c r="E306" s="25"/>
      <x:c r="F306" s="3"/>
      <x:c r="G306" s="3"/>
      <x:c r="H306" s="3"/>
      <x:c r="I306" s="3"/>
      <x:c r="J306" s="3"/>
      <x:c r="K306" s="3"/>
      <x:c r="L306" s="20"/>
      <x:c r="M306" s="3"/>
      <x:c r="N306" s="19" t="str">
        <x:f>IF(A306="","",IF(COUNTIFS('Reviews'!$A$7:$A$306,A306)&lt;&gt;1,"Duplicate ID",IF(COUNTIFS('Cases overview'!$A$7:$A$306,B306)&lt;&gt;1,"Invalid case ref",IF(COUNTIFS('Plan versions'!$A$7:$A$306,C306,'Plan versions'!$B$7:$B$306,B306,'Plan versions'!$L$7:$L$306,"Frozen")&lt;&gt;1,"Invalid plan ref",IF(OR(NOT(ISNUMBER(D306)),NOT(ISNUMBER(E306)),F306="",G306="",H306="",M306=""),"Review info missing",IF(COUNTIFS('Update log'!$A$7:$A$306,J306,'Update log'!$B$7:$B$306,B306,'Update log'!$C$7:$C$306,A306)&lt;&gt;1,"Update not registered","Valid input"))))))</x:f>
      </x:c>
    </x:row>
  </x:sheetData>
  <x:conditionalFormatting sqref="N7:N306">
    <x:cfRule type="expression" dxfId="5" priority="1">
      <x:formula>AND($A7&lt;&gt;"",N7&lt;&gt;"Valid input")</x:formula>
    </x:cfRule>
  </x:conditionalFormatting>
  <x:dataValidations count="3">
    <x:dataValidation type="list" sqref="F7:F306">
      <x:formula1>"Achieved,Not achieved,Partially achieved,Not due,Undeterminable"</x:formula1>
    </x:dataValidation>
    <x:dataValidation type="list" sqref="H7:H306">
      <x:formula1>"Observed change,Mechanism support,Limited causal support,Insufficient evidence"</x:formula1>
    </x:dataValidation>
    <x:dataValidation type="list" sqref="K7:K306">
      <x:formula1>"Observe,Probe,Build-up,Maintain,Scale up,Withdraw"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363e09a8e414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0" hidden="0" customWidth="1"/>
    <x:col min="8" max="8" width="29" hidden="0" customWidth="1"/>
    <x:col min="9" max="9" width="29" hidden="0" customWidth="1"/>
    <x:col min="10" max="10" width="23" hidden="0" customWidth="1"/>
    <x:col min="11" max="11" width="20" hidden="0" customWidth="1"/>
    <x:col min="12" max="12" width="23" hidden="0" customWidth="1"/>
    <x:col min="13" max="13" width="29" hidden="0" customWidth="1"/>
    <x:col min="14" max="14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16" t="str">
        <x:v>Update log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5" customHeight="1">
      <x:c r="A3" s="18" t="str">
        <x:v>One row per update. Details go in the document body; "keep unchanged" also records rationale and next verification.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A6" s="12" t="str">
        <x:v>Update ID</x:v>
      </x:c>
      <x:c r="B6" s="13" t="str">
        <x:v>Case ID</x:v>
      </x:c>
      <x:c r="C6" s="13" t="str">
        <x:v>Triggering review ID</x:v>
      </x:c>
      <x:c r="D6" s="13" t="str">
        <x:v>Update target</x:v>
      </x:c>
      <x:c r="E6" s="13" t="str">
        <x:v>Old value or version</x:v>
      </x:c>
      <x:c r="F6" s="13" t="str">
        <x:v>New value or version</x:v>
      </x:c>
      <x:c r="G6" s="13" t="str">
        <x:v>Acceptance status</x:v>
      </x:c>
      <x:c r="H6" s="13" t="str">
        <x:v>Rationale</x:v>
      </x:c>
      <x:c r="I6" s="13" t="str">
        <x:v>Evidence OB refs</x:v>
      </x:c>
      <x:c r="J6" s="13" t="str">
        <x:v>Effective time</x:v>
      </x:c>
      <x:c r="K6" s="13" t="str">
        <x:v>Decider</x:v>
      </x:c>
      <x:c r="L6" s="13" t="str">
        <x:v>Next verification</x:v>
      </x:c>
      <x:c r="M6" s="13" t="str">
        <x:v>Update file</x:v>
      </x:c>
      <x:c r="N6" s="14" t="str">
        <x:v>Input check</x:v>
      </x:c>
    </x:row>
    <x:row r="7" ht="25" customHeight="1">
      <x:c r="A7" s="3"/>
      <x:c r="B7" s="3"/>
      <x:c r="C7" s="3"/>
      <x:c r="D7" s="3"/>
      <x:c r="E7" s="3"/>
      <x:c r="F7" s="3"/>
      <x:c r="G7" s="3"/>
      <x:c r="H7" s="3"/>
      <x:c r="I7" s="3"/>
      <x:c r="J7" s="25"/>
      <x:c r="K7" s="3"/>
      <x:c r="L7" s="20"/>
      <x:c r="M7" s="3"/>
      <x:c r="N7" s="19" t="str">
        <x:f>IF(A7="","",IF(COUNTIFS('Update log'!$A$7:$A$306,A7)&lt;&gt;1,"Duplicate ID",IF(COUNTIFS('Cases overview'!$A$7:$A$306,B7)&lt;&gt;1,"Invalid case ref",IF(COUNTIFS('Reviews'!$A$7:$A$306,C7,'Reviews'!$B$7:$B$306,B7)&lt;&gt;1,"Invalid review ref",IF(OR(D7="",E7="",F7="",G7="",H7="",M7=""),"Update info missing",IF(AND(OR(G7="Adopted (update)",G7="Keep unchanged"),OR(NOT(ISNUMBER(J7)),K7="")),"Adoption basis missing","Valid input"))))))</x:f>
      </x:c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3"/>
      <x:c r="J8" s="25"/>
      <x:c r="K8" s="3"/>
      <x:c r="L8" s="20"/>
      <x:c r="M8" s="3"/>
      <x:c r="N8" s="19" t="str">
        <x:f>IF(A8="","",IF(COUNTIFS('Update log'!$A$7:$A$306,A8)&lt;&gt;1,"Duplicate ID",IF(COUNTIFS('Cases overview'!$A$7:$A$306,B8)&lt;&gt;1,"Invalid case ref",IF(COUNTIFS('Reviews'!$A$7:$A$306,C8,'Reviews'!$B$7:$B$306,B8)&lt;&gt;1,"Invalid review ref",IF(OR(D8="",E8="",F8="",G8="",H8="",M8=""),"Update info missing",IF(AND(OR(G8="Adopted (update)",G8="Keep unchanged"),OR(NOT(ISNUMBER(J8)),K8="")),"Adoption basis missing","Valid input"))))))</x:f>
      </x:c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3"/>
      <x:c r="J9" s="25"/>
      <x:c r="K9" s="3"/>
      <x:c r="L9" s="20"/>
      <x:c r="M9" s="3"/>
      <x:c r="N9" s="19" t="str">
        <x:f>IF(A9="","",IF(COUNTIFS('Update log'!$A$7:$A$306,A9)&lt;&gt;1,"Duplicate ID",IF(COUNTIFS('Cases overview'!$A$7:$A$306,B9)&lt;&gt;1,"Invalid case ref",IF(COUNTIFS('Reviews'!$A$7:$A$306,C9,'Reviews'!$B$7:$B$306,B9)&lt;&gt;1,"Invalid review ref",IF(OR(D9="",E9="",F9="",G9="",H9="",M9=""),"Update info missing",IF(AND(OR(G9="Adopted (update)",G9="Keep unchanged"),OR(NOT(ISNUMBER(J9)),K9="")),"Adoption basis missing","Valid input"))))))</x:f>
      </x:c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25"/>
      <x:c r="K10" s="3"/>
      <x:c r="L10" s="20"/>
      <x:c r="M10" s="3"/>
      <x:c r="N10" s="19" t="str">
        <x:f>IF(A10="","",IF(COUNTIFS('Update log'!$A$7:$A$306,A10)&lt;&gt;1,"Duplicate ID",IF(COUNTIFS('Cases overview'!$A$7:$A$306,B10)&lt;&gt;1,"Invalid case ref",IF(COUNTIFS('Reviews'!$A$7:$A$306,C10,'Reviews'!$B$7:$B$306,B10)&lt;&gt;1,"Invalid review ref",IF(OR(D10="",E10="",F10="",G10="",H10="",M10=""),"Update info missing",IF(AND(OR(G10="Adopted (update)",G10="Keep unchanged"),OR(NOT(ISNUMBER(J10)),K10="")),"Adoption basis missing","Valid input"))))))</x:f>
      </x:c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25"/>
      <x:c r="K11" s="3"/>
      <x:c r="L11" s="20"/>
      <x:c r="M11" s="3"/>
      <x:c r="N11" s="19" t="str">
        <x:f>IF(A11="","",IF(COUNTIFS('Update log'!$A$7:$A$306,A11)&lt;&gt;1,"Duplicate ID",IF(COUNTIFS('Cases overview'!$A$7:$A$306,B11)&lt;&gt;1,"Invalid case ref",IF(COUNTIFS('Reviews'!$A$7:$A$306,C11,'Reviews'!$B$7:$B$306,B11)&lt;&gt;1,"Invalid review ref",IF(OR(D11="",E11="",F11="",G11="",H11="",M11=""),"Update info missing",IF(AND(OR(G11="Adopted (update)",G11="Keep unchanged"),OR(NOT(ISNUMBER(J11)),K11="")),"Adoption basis missing","Valid input"))))))</x:f>
      </x:c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25"/>
      <x:c r="K12" s="3"/>
      <x:c r="L12" s="20"/>
      <x:c r="M12" s="3"/>
      <x:c r="N12" s="19" t="str">
        <x:f>IF(A12="","",IF(COUNTIFS('Update log'!$A$7:$A$306,A12)&lt;&gt;1,"Duplicate ID",IF(COUNTIFS('Cases overview'!$A$7:$A$306,B12)&lt;&gt;1,"Invalid case ref",IF(COUNTIFS('Reviews'!$A$7:$A$306,C12,'Reviews'!$B$7:$B$306,B12)&lt;&gt;1,"Invalid review ref",IF(OR(D12="",E12="",F12="",G12="",H12="",M12=""),"Update info missing",IF(AND(OR(G12="Adopted (update)",G12="Keep unchanged"),OR(NOT(ISNUMBER(J12)),K12="")),"Adoption basis missing","Valid input"))))))</x:f>
      </x:c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25"/>
      <x:c r="K13" s="3"/>
      <x:c r="L13" s="20"/>
      <x:c r="M13" s="3"/>
      <x:c r="N13" s="19" t="str">
        <x:f>IF(A13="","",IF(COUNTIFS('Update log'!$A$7:$A$306,A13)&lt;&gt;1,"Duplicate ID",IF(COUNTIFS('Cases overview'!$A$7:$A$306,B13)&lt;&gt;1,"Invalid case ref",IF(COUNTIFS('Reviews'!$A$7:$A$306,C13,'Reviews'!$B$7:$B$306,B13)&lt;&gt;1,"Invalid review ref",IF(OR(D13="",E13="",F13="",G13="",H13="",M13=""),"Update info missing",IF(AND(OR(G13="Adopted (update)",G13="Keep unchanged"),OR(NOT(ISNUMBER(J13)),K13="")),"Adoption basis missing","Valid input"))))))</x:f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25"/>
      <x:c r="K14" s="3"/>
      <x:c r="L14" s="20"/>
      <x:c r="M14" s="3"/>
      <x:c r="N14" s="19" t="str">
        <x:f>IF(A14="","",IF(COUNTIFS('Update log'!$A$7:$A$306,A14)&lt;&gt;1,"Duplicate ID",IF(COUNTIFS('Cases overview'!$A$7:$A$306,B14)&lt;&gt;1,"Invalid case ref",IF(COUNTIFS('Reviews'!$A$7:$A$306,C14,'Reviews'!$B$7:$B$306,B14)&lt;&gt;1,"Invalid review ref",IF(OR(D14="",E14="",F14="",G14="",H14="",M14=""),"Update info missing",IF(AND(OR(G14="Adopted (update)",G14="Keep unchanged"),OR(NOT(ISNUMBER(J14)),K14="")),"Adoption basis missing","Valid input"))))))</x:f>
      </x:c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25"/>
      <x:c r="K15" s="3"/>
      <x:c r="L15" s="20"/>
      <x:c r="M15" s="3"/>
      <x:c r="N15" s="19" t="str">
        <x:f>IF(A15="","",IF(COUNTIFS('Update log'!$A$7:$A$306,A15)&lt;&gt;1,"Duplicate ID",IF(COUNTIFS('Cases overview'!$A$7:$A$306,B15)&lt;&gt;1,"Invalid case ref",IF(COUNTIFS('Reviews'!$A$7:$A$306,C15,'Reviews'!$B$7:$B$306,B15)&lt;&gt;1,"Invalid review ref",IF(OR(D15="",E15="",F15="",G15="",H15="",M15=""),"Update info missing",IF(AND(OR(G15="Adopted (update)",G15="Keep unchanged"),OR(NOT(ISNUMBER(J15)),K15="")),"Adoption basis missing","Valid input"))))))</x:f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25"/>
      <x:c r="K16" s="3"/>
      <x:c r="L16" s="20"/>
      <x:c r="M16" s="3"/>
      <x:c r="N16" s="19" t="str">
        <x:f>IF(A16="","",IF(COUNTIFS('Update log'!$A$7:$A$306,A16)&lt;&gt;1,"Duplicate ID",IF(COUNTIFS('Cases overview'!$A$7:$A$306,B16)&lt;&gt;1,"Invalid case ref",IF(COUNTIFS('Reviews'!$A$7:$A$306,C16,'Reviews'!$B$7:$B$306,B16)&lt;&gt;1,"Invalid review ref",IF(OR(D16="",E16="",F16="",G16="",H16="",M16=""),"Update info missing",IF(AND(OR(G16="Adopted (update)",G16="Keep unchanged"),OR(NOT(ISNUMBER(J16)),K16="")),"Adoption basis missing","Valid input"))))))</x:f>
      </x:c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25"/>
      <x:c r="K17" s="3"/>
      <x:c r="L17" s="20"/>
      <x:c r="M17" s="3"/>
      <x:c r="N17" s="19" t="str">
        <x:f>IF(A17="","",IF(COUNTIFS('Update log'!$A$7:$A$306,A17)&lt;&gt;1,"Duplicate ID",IF(COUNTIFS('Cases overview'!$A$7:$A$306,B17)&lt;&gt;1,"Invalid case ref",IF(COUNTIFS('Reviews'!$A$7:$A$306,C17,'Reviews'!$B$7:$B$306,B17)&lt;&gt;1,"Invalid review ref",IF(OR(D17="",E17="",F17="",G17="",H17="",M17=""),"Update info missing",IF(AND(OR(G17="Adopted (update)",G17="Keep unchanged"),OR(NOT(ISNUMBER(J17)),K17="")),"Adoption basis missing","Valid input"))))))</x:f>
      </x:c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25"/>
      <x:c r="K18" s="3"/>
      <x:c r="L18" s="20"/>
      <x:c r="M18" s="3"/>
      <x:c r="N18" s="19" t="str">
        <x:f>IF(A18="","",IF(COUNTIFS('Update log'!$A$7:$A$306,A18)&lt;&gt;1,"Duplicate ID",IF(COUNTIFS('Cases overview'!$A$7:$A$306,B18)&lt;&gt;1,"Invalid case ref",IF(COUNTIFS('Reviews'!$A$7:$A$306,C18,'Reviews'!$B$7:$B$306,B18)&lt;&gt;1,"Invalid review ref",IF(OR(D18="",E18="",F18="",G18="",H18="",M18=""),"Update info missing",IF(AND(OR(G18="Adopted (update)",G18="Keep unchanged"),OR(NOT(ISNUMBER(J18)),K18="")),"Adoption basis missing","Valid input"))))))</x:f>
      </x:c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25"/>
      <x:c r="K19" s="3"/>
      <x:c r="L19" s="20"/>
      <x:c r="M19" s="3"/>
      <x:c r="N19" s="19" t="str">
        <x:f>IF(A19="","",IF(COUNTIFS('Update log'!$A$7:$A$306,A19)&lt;&gt;1,"Duplicate ID",IF(COUNTIFS('Cases overview'!$A$7:$A$306,B19)&lt;&gt;1,"Invalid case ref",IF(COUNTIFS('Reviews'!$A$7:$A$306,C19,'Reviews'!$B$7:$B$306,B19)&lt;&gt;1,"Invalid review ref",IF(OR(D19="",E19="",F19="",G19="",H19="",M19=""),"Update info missing",IF(AND(OR(G19="Adopted (update)",G19="Keep unchanged"),OR(NOT(ISNUMBER(J19)),K19="")),"Adoption basis missing","Valid input"))))))</x:f>
      </x:c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25"/>
      <x:c r="K20" s="3"/>
      <x:c r="L20" s="20"/>
      <x:c r="M20" s="3"/>
      <x:c r="N20" s="19" t="str">
        <x:f>IF(A20="","",IF(COUNTIFS('Update log'!$A$7:$A$306,A20)&lt;&gt;1,"Duplicate ID",IF(COUNTIFS('Cases overview'!$A$7:$A$306,B20)&lt;&gt;1,"Invalid case ref",IF(COUNTIFS('Reviews'!$A$7:$A$306,C20,'Reviews'!$B$7:$B$306,B20)&lt;&gt;1,"Invalid review ref",IF(OR(D20="",E20="",F20="",G20="",H20="",M20=""),"Update info missing",IF(AND(OR(G20="Adopted (update)",G20="Keep unchanged"),OR(NOT(ISNUMBER(J20)),K20="")),"Adoption basis missing","Valid input"))))))</x:f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25"/>
      <x:c r="K21" s="3"/>
      <x:c r="L21" s="20"/>
      <x:c r="M21" s="3"/>
      <x:c r="N21" s="19" t="str">
        <x:f>IF(A21="","",IF(COUNTIFS('Update log'!$A$7:$A$306,A21)&lt;&gt;1,"Duplicate ID",IF(COUNTIFS('Cases overview'!$A$7:$A$306,B21)&lt;&gt;1,"Invalid case ref",IF(COUNTIFS('Reviews'!$A$7:$A$306,C21,'Reviews'!$B$7:$B$306,B21)&lt;&gt;1,"Invalid review ref",IF(OR(D21="",E21="",F21="",G21="",H21="",M21=""),"Update info missing",IF(AND(OR(G21="Adopted (update)",G21="Keep unchanged"),OR(NOT(ISNUMBER(J21)),K21="")),"Adoption basis missing","Valid input"))))))</x:f>
      </x:c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25"/>
      <x:c r="K22" s="3"/>
      <x:c r="L22" s="20"/>
      <x:c r="M22" s="3"/>
      <x:c r="N22" s="19" t="str">
        <x:f>IF(A22="","",IF(COUNTIFS('Update log'!$A$7:$A$306,A22)&lt;&gt;1,"Duplicate ID",IF(COUNTIFS('Cases overview'!$A$7:$A$306,B22)&lt;&gt;1,"Invalid case ref",IF(COUNTIFS('Reviews'!$A$7:$A$306,C22,'Reviews'!$B$7:$B$306,B22)&lt;&gt;1,"Invalid review ref",IF(OR(D22="",E22="",F22="",G22="",H22="",M22=""),"Update info missing",IF(AND(OR(G22="Adopted (update)",G22="Keep unchanged"),OR(NOT(ISNUMBER(J22)),K22="")),"Adoption basis missing","Valid input"))))))</x:f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25"/>
      <x:c r="K23" s="3"/>
      <x:c r="L23" s="20"/>
      <x:c r="M23" s="3"/>
      <x:c r="N23" s="19" t="str">
        <x:f>IF(A23="","",IF(COUNTIFS('Update log'!$A$7:$A$306,A23)&lt;&gt;1,"Duplicate ID",IF(COUNTIFS('Cases overview'!$A$7:$A$306,B23)&lt;&gt;1,"Invalid case ref",IF(COUNTIFS('Reviews'!$A$7:$A$306,C23,'Reviews'!$B$7:$B$306,B23)&lt;&gt;1,"Invalid review ref",IF(OR(D23="",E23="",F23="",G23="",H23="",M23=""),"Update info missing",IF(AND(OR(G23="Adopted (update)",G23="Keep unchanged"),OR(NOT(ISNUMBER(J23)),K23="")),"Adoption basis missing","Valid input"))))))</x:f>
      </x:c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25"/>
      <x:c r="K24" s="3"/>
      <x:c r="L24" s="20"/>
      <x:c r="M24" s="3"/>
      <x:c r="N24" s="19" t="str">
        <x:f>IF(A24="","",IF(COUNTIFS('Update log'!$A$7:$A$306,A24)&lt;&gt;1,"Duplicate ID",IF(COUNTIFS('Cases overview'!$A$7:$A$306,B24)&lt;&gt;1,"Invalid case ref",IF(COUNTIFS('Reviews'!$A$7:$A$306,C24,'Reviews'!$B$7:$B$306,B24)&lt;&gt;1,"Invalid review ref",IF(OR(D24="",E24="",F24="",G24="",H24="",M24=""),"Update info missing",IF(AND(OR(G24="Adopted (update)",G24="Keep unchanged"),OR(NOT(ISNUMBER(J24)),K24="")),"Adoption basis missing","Valid input"))))))</x:f>
      </x:c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25"/>
      <x:c r="K25" s="3"/>
      <x:c r="L25" s="20"/>
      <x:c r="M25" s="3"/>
      <x:c r="N25" s="19" t="str">
        <x:f>IF(A25="","",IF(COUNTIFS('Update log'!$A$7:$A$306,A25)&lt;&gt;1,"Duplicate ID",IF(COUNTIFS('Cases overview'!$A$7:$A$306,B25)&lt;&gt;1,"Invalid case ref",IF(COUNTIFS('Reviews'!$A$7:$A$306,C25,'Reviews'!$B$7:$B$306,B25)&lt;&gt;1,"Invalid review ref",IF(OR(D25="",E25="",F25="",G25="",H25="",M25=""),"Update info missing",IF(AND(OR(G25="Adopted (update)",G25="Keep unchanged"),OR(NOT(ISNUMBER(J25)),K25="")),"Adoption basis missing","Valid input"))))))</x:f>
      </x:c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25"/>
      <x:c r="K26" s="3"/>
      <x:c r="L26" s="20"/>
      <x:c r="M26" s="3"/>
      <x:c r="N26" s="19" t="str">
        <x:f>IF(A26="","",IF(COUNTIFS('Update log'!$A$7:$A$306,A26)&lt;&gt;1,"Duplicate ID",IF(COUNTIFS('Cases overview'!$A$7:$A$306,B26)&lt;&gt;1,"Invalid case ref",IF(COUNTIFS('Reviews'!$A$7:$A$306,C26,'Reviews'!$B$7:$B$306,B26)&lt;&gt;1,"Invalid review ref",IF(OR(D26="",E26="",F26="",G26="",H26="",M26=""),"Update info missing",IF(AND(OR(G26="Adopted (update)",G26="Keep unchanged"),OR(NOT(ISNUMBER(J26)),K26="")),"Adoption basis missing","Valid input"))))))</x:f>
      </x:c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25"/>
      <x:c r="K27" s="3"/>
      <x:c r="L27" s="20"/>
      <x:c r="M27" s="3"/>
      <x:c r="N27" s="19" t="str">
        <x:f>IF(A27="","",IF(COUNTIFS('Update log'!$A$7:$A$306,A27)&lt;&gt;1,"Duplicate ID",IF(COUNTIFS('Cases overview'!$A$7:$A$306,B27)&lt;&gt;1,"Invalid case ref",IF(COUNTIFS('Reviews'!$A$7:$A$306,C27,'Reviews'!$B$7:$B$306,B27)&lt;&gt;1,"Invalid review ref",IF(OR(D27="",E27="",F27="",G27="",H27="",M27=""),"Update info missing",IF(AND(OR(G27="Adopted (update)",G27="Keep unchanged"),OR(NOT(ISNUMBER(J27)),K27="")),"Adoption basis missing","Valid input"))))))</x:f>
      </x:c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25"/>
      <x:c r="K28" s="3"/>
      <x:c r="L28" s="20"/>
      <x:c r="M28" s="3"/>
      <x:c r="N28" s="19" t="str">
        <x:f>IF(A28="","",IF(COUNTIFS('Update log'!$A$7:$A$306,A28)&lt;&gt;1,"Duplicate ID",IF(COUNTIFS('Cases overview'!$A$7:$A$306,B28)&lt;&gt;1,"Invalid case ref",IF(COUNTIFS('Reviews'!$A$7:$A$306,C28,'Reviews'!$B$7:$B$306,B28)&lt;&gt;1,"Invalid review ref",IF(OR(D28="",E28="",F28="",G28="",H28="",M28=""),"Update info missing",IF(AND(OR(G28="Adopted (update)",G28="Keep unchanged"),OR(NOT(ISNUMBER(J28)),K28="")),"Adoption basis missing","Valid input"))))))</x:f>
      </x:c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25"/>
      <x:c r="K29" s="3"/>
      <x:c r="L29" s="20"/>
      <x:c r="M29" s="3"/>
      <x:c r="N29" s="19" t="str">
        <x:f>IF(A29="","",IF(COUNTIFS('Update log'!$A$7:$A$306,A29)&lt;&gt;1,"Duplicate ID",IF(COUNTIFS('Cases overview'!$A$7:$A$306,B29)&lt;&gt;1,"Invalid case ref",IF(COUNTIFS('Reviews'!$A$7:$A$306,C29,'Reviews'!$B$7:$B$306,B29)&lt;&gt;1,"Invalid review ref",IF(OR(D29="",E29="",F29="",G29="",H29="",M29=""),"Update info missing",IF(AND(OR(G29="Adopted (update)",G29="Keep unchanged"),OR(NOT(ISNUMBER(J29)),K29="")),"Adoption basis missing","Valid input"))))))</x:f>
      </x:c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25"/>
      <x:c r="K30" s="3"/>
      <x:c r="L30" s="20"/>
      <x:c r="M30" s="3"/>
      <x:c r="N30" s="19" t="str">
        <x:f>IF(A30="","",IF(COUNTIFS('Update log'!$A$7:$A$306,A30)&lt;&gt;1,"Duplicate ID",IF(COUNTIFS('Cases overview'!$A$7:$A$306,B30)&lt;&gt;1,"Invalid case ref",IF(COUNTIFS('Reviews'!$A$7:$A$306,C30,'Reviews'!$B$7:$B$306,B30)&lt;&gt;1,"Invalid review ref",IF(OR(D30="",E30="",F30="",G30="",H30="",M30=""),"Update info missing",IF(AND(OR(G30="Adopted (update)",G30="Keep unchanged"),OR(NOT(ISNUMBER(J30)),K30="")),"Adoption basis missing","Valid input"))))))</x:f>
      </x:c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25"/>
      <x:c r="K31" s="3"/>
      <x:c r="L31" s="20"/>
      <x:c r="M31" s="3"/>
      <x:c r="N31" s="19" t="str">
        <x:f>IF(A31="","",IF(COUNTIFS('Update log'!$A$7:$A$306,A31)&lt;&gt;1,"Duplicate ID",IF(COUNTIFS('Cases overview'!$A$7:$A$306,B31)&lt;&gt;1,"Invalid case ref",IF(COUNTIFS('Reviews'!$A$7:$A$306,C31,'Reviews'!$B$7:$B$306,B31)&lt;&gt;1,"Invalid review ref",IF(OR(D31="",E31="",F31="",G31="",H31="",M31=""),"Update info missing",IF(AND(OR(G31="Adopted (update)",G31="Keep unchanged"),OR(NOT(ISNUMBER(J31)),K31="")),"Adoption basis missing","Valid input"))))))</x:f>
      </x:c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25"/>
      <x:c r="K32" s="3"/>
      <x:c r="L32" s="20"/>
      <x:c r="M32" s="3"/>
      <x:c r="N32" s="19" t="str">
        <x:f>IF(A32="","",IF(COUNTIFS('Update log'!$A$7:$A$306,A32)&lt;&gt;1,"Duplicate ID",IF(COUNTIFS('Cases overview'!$A$7:$A$306,B32)&lt;&gt;1,"Invalid case ref",IF(COUNTIFS('Reviews'!$A$7:$A$306,C32,'Reviews'!$B$7:$B$306,B32)&lt;&gt;1,"Invalid review ref",IF(OR(D32="",E32="",F32="",G32="",H32="",M32=""),"Update info missing",IF(AND(OR(G32="Adopted (update)",G32="Keep unchanged"),OR(NOT(ISNUMBER(J32)),K32="")),"Adoption basis missing","Valid input"))))))</x:f>
      </x:c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25"/>
      <x:c r="K33" s="3"/>
      <x:c r="L33" s="20"/>
      <x:c r="M33" s="3"/>
      <x:c r="N33" s="19" t="str">
        <x:f>IF(A33="","",IF(COUNTIFS('Update log'!$A$7:$A$306,A33)&lt;&gt;1,"Duplicate ID",IF(COUNTIFS('Cases overview'!$A$7:$A$306,B33)&lt;&gt;1,"Invalid case ref",IF(COUNTIFS('Reviews'!$A$7:$A$306,C33,'Reviews'!$B$7:$B$306,B33)&lt;&gt;1,"Invalid review ref",IF(OR(D33="",E33="",F33="",G33="",H33="",M33=""),"Update info missing",IF(AND(OR(G33="Adopted (update)",G33="Keep unchanged"),OR(NOT(ISNUMBER(J33)),K33="")),"Adoption basis missing","Valid input"))))))</x:f>
      </x:c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25"/>
      <x:c r="K34" s="3"/>
      <x:c r="L34" s="20"/>
      <x:c r="M34" s="3"/>
      <x:c r="N34" s="19" t="str">
        <x:f>IF(A34="","",IF(COUNTIFS('Update log'!$A$7:$A$306,A34)&lt;&gt;1,"Duplicate ID",IF(COUNTIFS('Cases overview'!$A$7:$A$306,B34)&lt;&gt;1,"Invalid case ref",IF(COUNTIFS('Reviews'!$A$7:$A$306,C34,'Reviews'!$B$7:$B$306,B34)&lt;&gt;1,"Invalid review ref",IF(OR(D34="",E34="",F34="",G34="",H34="",M34=""),"Update info missing",IF(AND(OR(G34="Adopted (update)",G34="Keep unchanged"),OR(NOT(ISNUMBER(J34)),K34="")),"Adoption basis missing","Valid input"))))))</x:f>
      </x:c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25"/>
      <x:c r="K35" s="3"/>
      <x:c r="L35" s="20"/>
      <x:c r="M35" s="3"/>
      <x:c r="N35" s="19" t="str">
        <x:f>IF(A35="","",IF(COUNTIFS('Update log'!$A$7:$A$306,A35)&lt;&gt;1,"Duplicate ID",IF(COUNTIFS('Cases overview'!$A$7:$A$306,B35)&lt;&gt;1,"Invalid case ref",IF(COUNTIFS('Reviews'!$A$7:$A$306,C35,'Reviews'!$B$7:$B$306,B35)&lt;&gt;1,"Invalid review ref",IF(OR(D35="",E35="",F35="",G35="",H35="",M35=""),"Update info missing",IF(AND(OR(G35="Adopted (update)",G35="Keep unchanged"),OR(NOT(ISNUMBER(J35)),K35="")),"Adoption basis missing","Valid input"))))))</x:f>
      </x:c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25"/>
      <x:c r="K36" s="3"/>
      <x:c r="L36" s="20"/>
      <x:c r="M36" s="3"/>
      <x:c r="N36" s="19" t="str">
        <x:f>IF(A36="","",IF(COUNTIFS('Update log'!$A$7:$A$306,A36)&lt;&gt;1,"Duplicate ID",IF(COUNTIFS('Cases overview'!$A$7:$A$306,B36)&lt;&gt;1,"Invalid case ref",IF(COUNTIFS('Reviews'!$A$7:$A$306,C36,'Reviews'!$B$7:$B$306,B36)&lt;&gt;1,"Invalid review ref",IF(OR(D36="",E36="",F36="",G36="",H36="",M36=""),"Update info missing",IF(AND(OR(G36="Adopted (update)",G36="Keep unchanged"),OR(NOT(ISNUMBER(J36)),K36="")),"Adoption basis missing","Valid input"))))))</x:f>
      </x:c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25"/>
      <x:c r="K37" s="3"/>
      <x:c r="L37" s="20"/>
      <x:c r="M37" s="3"/>
      <x:c r="N37" s="19" t="str">
        <x:f>IF(A37="","",IF(COUNTIFS('Update log'!$A$7:$A$306,A37)&lt;&gt;1,"Duplicate ID",IF(COUNTIFS('Cases overview'!$A$7:$A$306,B37)&lt;&gt;1,"Invalid case ref",IF(COUNTIFS('Reviews'!$A$7:$A$306,C37,'Reviews'!$B$7:$B$306,B37)&lt;&gt;1,"Invalid review ref",IF(OR(D37="",E37="",F37="",G37="",H37="",M37=""),"Update info missing",IF(AND(OR(G37="Adopted (update)",G37="Keep unchanged"),OR(NOT(ISNUMBER(J37)),K37="")),"Adoption basis missing","Valid input"))))))</x:f>
      </x:c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25"/>
      <x:c r="K38" s="3"/>
      <x:c r="L38" s="20"/>
      <x:c r="M38" s="3"/>
      <x:c r="N38" s="19" t="str">
        <x:f>IF(A38="","",IF(COUNTIFS('Update log'!$A$7:$A$306,A38)&lt;&gt;1,"Duplicate ID",IF(COUNTIFS('Cases overview'!$A$7:$A$306,B38)&lt;&gt;1,"Invalid case ref",IF(COUNTIFS('Reviews'!$A$7:$A$306,C38,'Reviews'!$B$7:$B$306,B38)&lt;&gt;1,"Invalid review ref",IF(OR(D38="",E38="",F38="",G38="",H38="",M38=""),"Update info missing",IF(AND(OR(G38="Adopted (update)",G38="Keep unchanged"),OR(NOT(ISNUMBER(J38)),K38="")),"Adoption basis missing","Valid input"))))))</x:f>
      </x:c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25"/>
      <x:c r="K39" s="3"/>
      <x:c r="L39" s="20"/>
      <x:c r="M39" s="3"/>
      <x:c r="N39" s="19" t="str">
        <x:f>IF(A39="","",IF(COUNTIFS('Update log'!$A$7:$A$306,A39)&lt;&gt;1,"Duplicate ID",IF(COUNTIFS('Cases overview'!$A$7:$A$306,B39)&lt;&gt;1,"Invalid case ref",IF(COUNTIFS('Reviews'!$A$7:$A$306,C39,'Reviews'!$B$7:$B$306,B39)&lt;&gt;1,"Invalid review ref",IF(OR(D39="",E39="",F39="",G39="",H39="",M39=""),"Update info missing",IF(AND(OR(G39="Adopted (update)",G39="Keep unchanged"),OR(NOT(ISNUMBER(J39)),K39="")),"Adoption basis missing","Valid input"))))))</x:f>
      </x:c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25"/>
      <x:c r="K40" s="3"/>
      <x:c r="L40" s="20"/>
      <x:c r="M40" s="3"/>
      <x:c r="N40" s="19" t="str">
        <x:f>IF(A40="","",IF(COUNTIFS('Update log'!$A$7:$A$306,A40)&lt;&gt;1,"Duplicate ID",IF(COUNTIFS('Cases overview'!$A$7:$A$306,B40)&lt;&gt;1,"Invalid case ref",IF(COUNTIFS('Reviews'!$A$7:$A$306,C40,'Reviews'!$B$7:$B$306,B40)&lt;&gt;1,"Invalid review ref",IF(OR(D40="",E40="",F40="",G40="",H40="",M40=""),"Update info missing",IF(AND(OR(G40="Adopted (update)",G40="Keep unchanged"),OR(NOT(ISNUMBER(J40)),K40="")),"Adoption basis missing","Valid input"))))))</x:f>
      </x:c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25"/>
      <x:c r="K41" s="3"/>
      <x:c r="L41" s="20"/>
      <x:c r="M41" s="3"/>
      <x:c r="N41" s="19" t="str">
        <x:f>IF(A41="","",IF(COUNTIFS('Update log'!$A$7:$A$306,A41)&lt;&gt;1,"Duplicate ID",IF(COUNTIFS('Cases overview'!$A$7:$A$306,B41)&lt;&gt;1,"Invalid case ref",IF(COUNTIFS('Reviews'!$A$7:$A$306,C41,'Reviews'!$B$7:$B$306,B41)&lt;&gt;1,"Invalid review ref",IF(OR(D41="",E41="",F41="",G41="",H41="",M41=""),"Update info missing",IF(AND(OR(G41="Adopted (update)",G41="Keep unchanged"),OR(NOT(ISNUMBER(J41)),K41="")),"Adoption basis missing","Valid input"))))))</x:f>
      </x:c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25"/>
      <x:c r="K42" s="3"/>
      <x:c r="L42" s="20"/>
      <x:c r="M42" s="3"/>
      <x:c r="N42" s="19" t="str">
        <x:f>IF(A42="","",IF(COUNTIFS('Update log'!$A$7:$A$306,A42)&lt;&gt;1,"Duplicate ID",IF(COUNTIFS('Cases overview'!$A$7:$A$306,B42)&lt;&gt;1,"Invalid case ref",IF(COUNTIFS('Reviews'!$A$7:$A$306,C42,'Reviews'!$B$7:$B$306,B42)&lt;&gt;1,"Invalid review ref",IF(OR(D42="",E42="",F42="",G42="",H42="",M42=""),"Update info missing",IF(AND(OR(G42="Adopted (update)",G42="Keep unchanged"),OR(NOT(ISNUMBER(J42)),K42="")),"Adoption basis missing","Valid input"))))))</x:f>
      </x:c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25"/>
      <x:c r="K43" s="3"/>
      <x:c r="L43" s="20"/>
      <x:c r="M43" s="3"/>
      <x:c r="N43" s="19" t="str">
        <x:f>IF(A43="","",IF(COUNTIFS('Update log'!$A$7:$A$306,A43)&lt;&gt;1,"Duplicate ID",IF(COUNTIFS('Cases overview'!$A$7:$A$306,B43)&lt;&gt;1,"Invalid case ref",IF(COUNTIFS('Reviews'!$A$7:$A$306,C43,'Reviews'!$B$7:$B$306,B43)&lt;&gt;1,"Invalid review ref",IF(OR(D43="",E43="",F43="",G43="",H43="",M43=""),"Update info missing",IF(AND(OR(G43="Adopted (update)",G43="Keep unchanged"),OR(NOT(ISNUMBER(J43)),K43="")),"Adoption basis missing","Valid input"))))))</x:f>
      </x:c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25"/>
      <x:c r="K44" s="3"/>
      <x:c r="L44" s="20"/>
      <x:c r="M44" s="3"/>
      <x:c r="N44" s="19" t="str">
        <x:f>IF(A44="","",IF(COUNTIFS('Update log'!$A$7:$A$306,A44)&lt;&gt;1,"Duplicate ID",IF(COUNTIFS('Cases overview'!$A$7:$A$306,B44)&lt;&gt;1,"Invalid case ref",IF(COUNTIFS('Reviews'!$A$7:$A$306,C44,'Reviews'!$B$7:$B$306,B44)&lt;&gt;1,"Invalid review ref",IF(OR(D44="",E44="",F44="",G44="",H44="",M44=""),"Update info missing",IF(AND(OR(G44="Adopted (update)",G44="Keep unchanged"),OR(NOT(ISNUMBER(J44)),K44="")),"Adoption basis missing","Valid input"))))))</x:f>
      </x:c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25"/>
      <x:c r="K45" s="3"/>
      <x:c r="L45" s="20"/>
      <x:c r="M45" s="3"/>
      <x:c r="N45" s="19" t="str">
        <x:f>IF(A45="","",IF(COUNTIFS('Update log'!$A$7:$A$306,A45)&lt;&gt;1,"Duplicate ID",IF(COUNTIFS('Cases overview'!$A$7:$A$306,B45)&lt;&gt;1,"Invalid case ref",IF(COUNTIFS('Reviews'!$A$7:$A$306,C45,'Reviews'!$B$7:$B$306,B45)&lt;&gt;1,"Invalid review ref",IF(OR(D45="",E45="",F45="",G45="",H45="",M45=""),"Update info missing",IF(AND(OR(G45="Adopted (update)",G45="Keep unchanged"),OR(NOT(ISNUMBER(J45)),K45="")),"Adoption basis missing","Valid input"))))))</x:f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25"/>
      <x:c r="K46" s="3"/>
      <x:c r="L46" s="20"/>
      <x:c r="M46" s="3"/>
      <x:c r="N46" s="19" t="str">
        <x:f>IF(A46="","",IF(COUNTIFS('Update log'!$A$7:$A$306,A46)&lt;&gt;1,"Duplicate ID",IF(COUNTIFS('Cases overview'!$A$7:$A$306,B46)&lt;&gt;1,"Invalid case ref",IF(COUNTIFS('Reviews'!$A$7:$A$306,C46,'Reviews'!$B$7:$B$306,B46)&lt;&gt;1,"Invalid review ref",IF(OR(D46="",E46="",F46="",G46="",H46="",M46=""),"Update info missing",IF(AND(OR(G46="Adopted (update)",G46="Keep unchanged"),OR(NOT(ISNUMBER(J46)),K46="")),"Adoption basis missing","Valid input"))))))</x:f>
      </x:c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25"/>
      <x:c r="K47" s="3"/>
      <x:c r="L47" s="20"/>
      <x:c r="M47" s="3"/>
      <x:c r="N47" s="19" t="str">
        <x:f>IF(A47="","",IF(COUNTIFS('Update log'!$A$7:$A$306,A47)&lt;&gt;1,"Duplicate ID",IF(COUNTIFS('Cases overview'!$A$7:$A$306,B47)&lt;&gt;1,"Invalid case ref",IF(COUNTIFS('Reviews'!$A$7:$A$306,C47,'Reviews'!$B$7:$B$306,B47)&lt;&gt;1,"Invalid review ref",IF(OR(D47="",E47="",F47="",G47="",H47="",M47=""),"Update info missing",IF(AND(OR(G47="Adopted (update)",G47="Keep unchanged"),OR(NOT(ISNUMBER(J47)),K47="")),"Adoption basis missing","Valid input"))))))</x:f>
      </x:c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25"/>
      <x:c r="K48" s="3"/>
      <x:c r="L48" s="20"/>
      <x:c r="M48" s="3"/>
      <x:c r="N48" s="19" t="str">
        <x:f>IF(A48="","",IF(COUNTIFS('Update log'!$A$7:$A$306,A48)&lt;&gt;1,"Duplicate ID",IF(COUNTIFS('Cases overview'!$A$7:$A$306,B48)&lt;&gt;1,"Invalid case ref",IF(COUNTIFS('Reviews'!$A$7:$A$306,C48,'Reviews'!$B$7:$B$306,B48)&lt;&gt;1,"Invalid review ref",IF(OR(D48="",E48="",F48="",G48="",H48="",M48=""),"Update info missing",IF(AND(OR(G48="Adopted (update)",G48="Keep unchanged"),OR(NOT(ISNUMBER(J48)),K48="")),"Adoption basis missing","Valid input"))))))</x:f>
      </x:c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25"/>
      <x:c r="K49" s="3"/>
      <x:c r="L49" s="20"/>
      <x:c r="M49" s="3"/>
      <x:c r="N49" s="19" t="str">
        <x:f>IF(A49="","",IF(COUNTIFS('Update log'!$A$7:$A$306,A49)&lt;&gt;1,"Duplicate ID",IF(COUNTIFS('Cases overview'!$A$7:$A$306,B49)&lt;&gt;1,"Invalid case ref",IF(COUNTIFS('Reviews'!$A$7:$A$306,C49,'Reviews'!$B$7:$B$306,B49)&lt;&gt;1,"Invalid review ref",IF(OR(D49="",E49="",F49="",G49="",H49="",M49=""),"Update info missing",IF(AND(OR(G49="Adopted (update)",G49="Keep unchanged"),OR(NOT(ISNUMBER(J49)),K49="")),"Adoption basis missing","Valid input"))))))</x:f>
      </x:c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25"/>
      <x:c r="K50" s="3"/>
      <x:c r="L50" s="20"/>
      <x:c r="M50" s="3"/>
      <x:c r="N50" s="19" t="str">
        <x:f>IF(A50="","",IF(COUNTIFS('Update log'!$A$7:$A$306,A50)&lt;&gt;1,"Duplicate ID",IF(COUNTIFS('Cases overview'!$A$7:$A$306,B50)&lt;&gt;1,"Invalid case ref",IF(COUNTIFS('Reviews'!$A$7:$A$306,C50,'Reviews'!$B$7:$B$306,B50)&lt;&gt;1,"Invalid review ref",IF(OR(D50="",E50="",F50="",G50="",H50="",M50=""),"Update info missing",IF(AND(OR(G50="Adopted (update)",G50="Keep unchanged"),OR(NOT(ISNUMBER(J50)),K50="")),"Adoption basis missing","Valid input"))))))</x:f>
      </x:c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25"/>
      <x:c r="K51" s="3"/>
      <x:c r="L51" s="20"/>
      <x:c r="M51" s="3"/>
      <x:c r="N51" s="19" t="str">
        <x:f>IF(A51="","",IF(COUNTIFS('Update log'!$A$7:$A$306,A51)&lt;&gt;1,"Duplicate ID",IF(COUNTIFS('Cases overview'!$A$7:$A$306,B51)&lt;&gt;1,"Invalid case ref",IF(COUNTIFS('Reviews'!$A$7:$A$306,C51,'Reviews'!$B$7:$B$306,B51)&lt;&gt;1,"Invalid review ref",IF(OR(D51="",E51="",F51="",G51="",H51="",M51=""),"Update info missing",IF(AND(OR(G51="Adopted (update)",G51="Keep unchanged"),OR(NOT(ISNUMBER(J51)),K51="")),"Adoption basis missing","Valid input"))))))</x:f>
      </x:c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25"/>
      <x:c r="K52" s="3"/>
      <x:c r="L52" s="20"/>
      <x:c r="M52" s="3"/>
      <x:c r="N52" s="19" t="str">
        <x:f>IF(A52="","",IF(COUNTIFS('Update log'!$A$7:$A$306,A52)&lt;&gt;1,"Duplicate ID",IF(COUNTIFS('Cases overview'!$A$7:$A$306,B52)&lt;&gt;1,"Invalid case ref",IF(COUNTIFS('Reviews'!$A$7:$A$306,C52,'Reviews'!$B$7:$B$306,B52)&lt;&gt;1,"Invalid review ref",IF(OR(D52="",E52="",F52="",G52="",H52="",M52=""),"Update info missing",IF(AND(OR(G52="Adopted (update)",G52="Keep unchanged"),OR(NOT(ISNUMBER(J52)),K52="")),"Adoption basis missing","Valid input"))))))</x:f>
      </x:c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25"/>
      <x:c r="K53" s="3"/>
      <x:c r="L53" s="20"/>
      <x:c r="M53" s="3"/>
      <x:c r="N53" s="19" t="str">
        <x:f>IF(A53="","",IF(COUNTIFS('Update log'!$A$7:$A$306,A53)&lt;&gt;1,"Duplicate ID",IF(COUNTIFS('Cases overview'!$A$7:$A$306,B53)&lt;&gt;1,"Invalid case ref",IF(COUNTIFS('Reviews'!$A$7:$A$306,C53,'Reviews'!$B$7:$B$306,B53)&lt;&gt;1,"Invalid review ref",IF(OR(D53="",E53="",F53="",G53="",H53="",M53=""),"Update info missing",IF(AND(OR(G53="Adopted (update)",G53="Keep unchanged"),OR(NOT(ISNUMBER(J53)),K53="")),"Adoption basis missing","Valid input"))))))</x:f>
      </x:c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25"/>
      <x:c r="K54" s="3"/>
      <x:c r="L54" s="20"/>
      <x:c r="M54" s="3"/>
      <x:c r="N54" s="19" t="str">
        <x:f>IF(A54="","",IF(COUNTIFS('Update log'!$A$7:$A$306,A54)&lt;&gt;1,"Duplicate ID",IF(COUNTIFS('Cases overview'!$A$7:$A$306,B54)&lt;&gt;1,"Invalid case ref",IF(COUNTIFS('Reviews'!$A$7:$A$306,C54,'Reviews'!$B$7:$B$306,B54)&lt;&gt;1,"Invalid review ref",IF(OR(D54="",E54="",F54="",G54="",H54="",M54=""),"Update info missing",IF(AND(OR(G54="Adopted (update)",G54="Keep unchanged"),OR(NOT(ISNUMBER(J54)),K54="")),"Adoption basis missing","Valid input"))))))</x:f>
      </x:c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25"/>
      <x:c r="K55" s="3"/>
      <x:c r="L55" s="20"/>
      <x:c r="M55" s="3"/>
      <x:c r="N55" s="19" t="str">
        <x:f>IF(A55="","",IF(COUNTIFS('Update log'!$A$7:$A$306,A55)&lt;&gt;1,"Duplicate ID",IF(COUNTIFS('Cases overview'!$A$7:$A$306,B55)&lt;&gt;1,"Invalid case ref",IF(COUNTIFS('Reviews'!$A$7:$A$306,C55,'Reviews'!$B$7:$B$306,B55)&lt;&gt;1,"Invalid review ref",IF(OR(D55="",E55="",F55="",G55="",H55="",M55=""),"Update info missing",IF(AND(OR(G55="Adopted (update)",G55="Keep unchanged"),OR(NOT(ISNUMBER(J55)),K55="")),"Adoption basis missing","Valid input"))))))</x:f>
      </x:c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25"/>
      <x:c r="K56" s="3"/>
      <x:c r="L56" s="20"/>
      <x:c r="M56" s="3"/>
      <x:c r="N56" s="19" t="str">
        <x:f>IF(A56="","",IF(COUNTIFS('Update log'!$A$7:$A$306,A56)&lt;&gt;1,"Duplicate ID",IF(COUNTIFS('Cases overview'!$A$7:$A$306,B56)&lt;&gt;1,"Invalid case ref",IF(COUNTIFS('Reviews'!$A$7:$A$306,C56,'Reviews'!$B$7:$B$306,B56)&lt;&gt;1,"Invalid review ref",IF(OR(D56="",E56="",F56="",G56="",H56="",M56=""),"Update info missing",IF(AND(OR(G56="Adopted (update)",G56="Keep unchanged"),OR(NOT(ISNUMBER(J56)),K56="")),"Adoption basis missing","Valid input"))))))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25"/>
      <x:c r="K57" s="3"/>
      <x:c r="L57" s="20"/>
      <x:c r="M57" s="3"/>
      <x:c r="N57" s="19" t="str">
        <x:f>IF(A57="","",IF(COUNTIFS('Update log'!$A$7:$A$306,A57)&lt;&gt;1,"Duplicate ID",IF(COUNTIFS('Cases overview'!$A$7:$A$306,B57)&lt;&gt;1,"Invalid case ref",IF(COUNTIFS('Reviews'!$A$7:$A$306,C57,'Reviews'!$B$7:$B$306,B57)&lt;&gt;1,"Invalid review ref",IF(OR(D57="",E57="",F57="",G57="",H57="",M57=""),"Update info missing",IF(AND(OR(G57="Adopted (update)",G57="Keep unchanged"),OR(NOT(ISNUMBER(J57)),K57="")),"Adoption basis missing","Valid input"))))))</x:f>
      </x:c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25"/>
      <x:c r="K58" s="3"/>
      <x:c r="L58" s="20"/>
      <x:c r="M58" s="3"/>
      <x:c r="N58" s="19" t="str">
        <x:f>IF(A58="","",IF(COUNTIFS('Update log'!$A$7:$A$306,A58)&lt;&gt;1,"Duplicate ID",IF(COUNTIFS('Cases overview'!$A$7:$A$306,B58)&lt;&gt;1,"Invalid case ref",IF(COUNTIFS('Reviews'!$A$7:$A$306,C58,'Reviews'!$B$7:$B$306,B58)&lt;&gt;1,"Invalid review ref",IF(OR(D58="",E58="",F58="",G58="",H58="",M58=""),"Update info missing",IF(AND(OR(G58="Adopted (update)",G58="Keep unchanged"),OR(NOT(ISNUMBER(J58)),K58="")),"Adoption basis missing","Valid input"))))))</x:f>
      </x:c>
    </x:row>
    <x:row r="59" ht="2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25"/>
      <x:c r="K59" s="3"/>
      <x:c r="L59" s="20"/>
      <x:c r="M59" s="3"/>
      <x:c r="N59" s="19" t="str">
        <x:f>IF(A59="","",IF(COUNTIFS('Update log'!$A$7:$A$306,A59)&lt;&gt;1,"Duplicate ID",IF(COUNTIFS('Cases overview'!$A$7:$A$306,B59)&lt;&gt;1,"Invalid case ref",IF(COUNTIFS('Reviews'!$A$7:$A$306,C59,'Reviews'!$B$7:$B$306,B59)&lt;&gt;1,"Invalid review ref",IF(OR(D59="",E59="",F59="",G59="",H59="",M59=""),"Update info missing",IF(AND(OR(G59="Adopted (update)",G59="Keep unchanged"),OR(NOT(ISNUMBER(J59)),K59="")),"Adoption basis missing","Valid input"))))))</x:f>
      </x:c>
    </x:row>
    <x:row r="60" ht="2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25"/>
      <x:c r="K60" s="3"/>
      <x:c r="L60" s="20"/>
      <x:c r="M60" s="3"/>
      <x:c r="N60" s="19" t="str">
        <x:f>IF(A60="","",IF(COUNTIFS('Update log'!$A$7:$A$306,A60)&lt;&gt;1,"Duplicate ID",IF(COUNTIFS('Cases overview'!$A$7:$A$306,B60)&lt;&gt;1,"Invalid case ref",IF(COUNTIFS('Reviews'!$A$7:$A$306,C60,'Reviews'!$B$7:$B$306,B60)&lt;&gt;1,"Invalid review ref",IF(OR(D60="",E60="",F60="",G60="",H60="",M60=""),"Update info missing",IF(AND(OR(G60="Adopted (update)",G60="Keep unchanged"),OR(NOT(ISNUMBER(J60)),K60="")),"Adoption basis missing","Valid input"))))))</x:f>
      </x:c>
    </x:row>
    <x:row r="61" ht="2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25"/>
      <x:c r="K61" s="3"/>
      <x:c r="L61" s="20"/>
      <x:c r="M61" s="3"/>
      <x:c r="N61" s="19" t="str">
        <x:f>IF(A61="","",IF(COUNTIFS('Update log'!$A$7:$A$306,A61)&lt;&gt;1,"Duplicate ID",IF(COUNTIFS('Cases overview'!$A$7:$A$306,B61)&lt;&gt;1,"Invalid case ref",IF(COUNTIFS('Reviews'!$A$7:$A$306,C61,'Reviews'!$B$7:$B$306,B61)&lt;&gt;1,"Invalid review ref",IF(OR(D61="",E61="",F61="",G61="",H61="",M61=""),"Update info missing",IF(AND(OR(G61="Adopted (update)",G61="Keep unchanged"),OR(NOT(ISNUMBER(J61)),K61="")),"Adoption basis missing","Valid input"))))))</x:f>
      </x:c>
    </x:row>
    <x:row r="62" ht="2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25"/>
      <x:c r="K62" s="3"/>
      <x:c r="L62" s="20"/>
      <x:c r="M62" s="3"/>
      <x:c r="N62" s="19" t="str">
        <x:f>IF(A62="","",IF(COUNTIFS('Update log'!$A$7:$A$306,A62)&lt;&gt;1,"Duplicate ID",IF(COUNTIFS('Cases overview'!$A$7:$A$306,B62)&lt;&gt;1,"Invalid case ref",IF(COUNTIFS('Reviews'!$A$7:$A$306,C62,'Reviews'!$B$7:$B$306,B62)&lt;&gt;1,"Invalid review ref",IF(OR(D62="",E62="",F62="",G62="",H62="",M62=""),"Update info missing",IF(AND(OR(G62="Adopted (update)",G62="Keep unchanged"),OR(NOT(ISNUMBER(J62)),K62="")),"Adoption basis missing","Valid input"))))))</x:f>
      </x:c>
    </x:row>
    <x:row r="63" ht="2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25"/>
      <x:c r="K63" s="3"/>
      <x:c r="L63" s="20"/>
      <x:c r="M63" s="3"/>
      <x:c r="N63" s="19" t="str">
        <x:f>IF(A63="","",IF(COUNTIFS('Update log'!$A$7:$A$306,A63)&lt;&gt;1,"Duplicate ID",IF(COUNTIFS('Cases overview'!$A$7:$A$306,B63)&lt;&gt;1,"Invalid case ref",IF(COUNTIFS('Reviews'!$A$7:$A$306,C63,'Reviews'!$B$7:$B$306,B63)&lt;&gt;1,"Invalid review ref",IF(OR(D63="",E63="",F63="",G63="",H63="",M63=""),"Update info missing",IF(AND(OR(G63="Adopted (update)",G63="Keep unchanged"),OR(NOT(ISNUMBER(J63)),K63="")),"Adoption basis missing","Valid input"))))))</x:f>
      </x:c>
    </x:row>
    <x:row r="64" ht="2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25"/>
      <x:c r="K64" s="3"/>
      <x:c r="L64" s="20"/>
      <x:c r="M64" s="3"/>
      <x:c r="N64" s="19" t="str">
        <x:f>IF(A64="","",IF(COUNTIFS('Update log'!$A$7:$A$306,A64)&lt;&gt;1,"Duplicate ID",IF(COUNTIFS('Cases overview'!$A$7:$A$306,B64)&lt;&gt;1,"Invalid case ref",IF(COUNTIFS('Reviews'!$A$7:$A$306,C64,'Reviews'!$B$7:$B$306,B64)&lt;&gt;1,"Invalid review ref",IF(OR(D64="",E64="",F64="",G64="",H64="",M64=""),"Update info missing",IF(AND(OR(G64="Adopted (update)",G64="Keep unchanged"),OR(NOT(ISNUMBER(J64)),K64="")),"Adoption basis missing","Valid input"))))))</x:f>
      </x:c>
    </x:row>
    <x:row r="65" ht="2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25"/>
      <x:c r="K65" s="3"/>
      <x:c r="L65" s="20"/>
      <x:c r="M65" s="3"/>
      <x:c r="N65" s="19" t="str">
        <x:f>IF(A65="","",IF(COUNTIFS('Update log'!$A$7:$A$306,A65)&lt;&gt;1,"Duplicate ID",IF(COUNTIFS('Cases overview'!$A$7:$A$306,B65)&lt;&gt;1,"Invalid case ref",IF(COUNTIFS('Reviews'!$A$7:$A$306,C65,'Reviews'!$B$7:$B$306,B65)&lt;&gt;1,"Invalid review ref",IF(OR(D65="",E65="",F65="",G65="",H65="",M65=""),"Update info missing",IF(AND(OR(G65="Adopted (update)",G65="Keep unchanged"),OR(NOT(ISNUMBER(J65)),K65="")),"Adoption basis missing","Valid input"))))))</x:f>
      </x:c>
    </x:row>
    <x:row r="66" ht="2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25"/>
      <x:c r="K66" s="3"/>
      <x:c r="L66" s="20"/>
      <x:c r="M66" s="3"/>
      <x:c r="N66" s="19" t="str">
        <x:f>IF(A66="","",IF(COUNTIFS('Update log'!$A$7:$A$306,A66)&lt;&gt;1,"Duplicate ID",IF(COUNTIFS('Cases overview'!$A$7:$A$306,B66)&lt;&gt;1,"Invalid case ref",IF(COUNTIFS('Reviews'!$A$7:$A$306,C66,'Reviews'!$B$7:$B$306,B66)&lt;&gt;1,"Invalid review ref",IF(OR(D66="",E66="",F66="",G66="",H66="",M66=""),"Update info missing",IF(AND(OR(G66="Adopted (update)",G66="Keep unchanged"),OR(NOT(ISNUMBER(J66)),K66="")),"Adoption basis missing","Valid input"))))))</x:f>
      </x:c>
    </x:row>
    <x:row r="67" ht="2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25"/>
      <x:c r="K67" s="3"/>
      <x:c r="L67" s="20"/>
      <x:c r="M67" s="3"/>
      <x:c r="N67" s="19" t="str">
        <x:f>IF(A67="","",IF(COUNTIFS('Update log'!$A$7:$A$306,A67)&lt;&gt;1,"Duplicate ID",IF(COUNTIFS('Cases overview'!$A$7:$A$306,B67)&lt;&gt;1,"Invalid case ref",IF(COUNTIFS('Reviews'!$A$7:$A$306,C67,'Reviews'!$B$7:$B$306,B67)&lt;&gt;1,"Invalid review ref",IF(OR(D67="",E67="",F67="",G67="",H67="",M67=""),"Update info missing",IF(AND(OR(G67="Adopted (update)",G67="Keep unchanged"),OR(NOT(ISNUMBER(J67)),K67="")),"Adoption basis missing","Valid input"))))))</x:f>
      </x:c>
    </x:row>
    <x:row r="68" ht="2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25"/>
      <x:c r="K68" s="3"/>
      <x:c r="L68" s="20"/>
      <x:c r="M68" s="3"/>
      <x:c r="N68" s="19" t="str">
        <x:f>IF(A68="","",IF(COUNTIFS('Update log'!$A$7:$A$306,A68)&lt;&gt;1,"Duplicate ID",IF(COUNTIFS('Cases overview'!$A$7:$A$306,B68)&lt;&gt;1,"Invalid case ref",IF(COUNTIFS('Reviews'!$A$7:$A$306,C68,'Reviews'!$B$7:$B$306,B68)&lt;&gt;1,"Invalid review ref",IF(OR(D68="",E68="",F68="",G68="",H68="",M68=""),"Update info missing",IF(AND(OR(G68="Adopted (update)",G68="Keep unchanged"),OR(NOT(ISNUMBER(J68)),K68="")),"Adoption basis missing","Valid input"))))))</x:f>
      </x:c>
    </x:row>
    <x:row r="69" ht="2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25"/>
      <x:c r="K69" s="3"/>
      <x:c r="L69" s="20"/>
      <x:c r="M69" s="3"/>
      <x:c r="N69" s="19" t="str">
        <x:f>IF(A69="","",IF(COUNTIFS('Update log'!$A$7:$A$306,A69)&lt;&gt;1,"Duplicate ID",IF(COUNTIFS('Cases overview'!$A$7:$A$306,B69)&lt;&gt;1,"Invalid case ref",IF(COUNTIFS('Reviews'!$A$7:$A$306,C69,'Reviews'!$B$7:$B$306,B69)&lt;&gt;1,"Invalid review ref",IF(OR(D69="",E69="",F69="",G69="",H69="",M69=""),"Update info missing",IF(AND(OR(G69="Adopted (update)",G69="Keep unchanged"),OR(NOT(ISNUMBER(J69)),K69="")),"Adoption basis missing","Valid input"))))))</x:f>
      </x:c>
    </x:row>
    <x:row r="70" ht="2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25"/>
      <x:c r="K70" s="3"/>
      <x:c r="L70" s="20"/>
      <x:c r="M70" s="3"/>
      <x:c r="N70" s="19" t="str">
        <x:f>IF(A70="","",IF(COUNTIFS('Update log'!$A$7:$A$306,A70)&lt;&gt;1,"Duplicate ID",IF(COUNTIFS('Cases overview'!$A$7:$A$306,B70)&lt;&gt;1,"Invalid case ref",IF(COUNTIFS('Reviews'!$A$7:$A$306,C70,'Reviews'!$B$7:$B$306,B70)&lt;&gt;1,"Invalid review ref",IF(OR(D70="",E70="",F70="",G70="",H70="",M70=""),"Update info missing",IF(AND(OR(G70="Adopted (update)",G70="Keep unchanged"),OR(NOT(ISNUMBER(J70)),K70="")),"Adoption basis missing","Valid input"))))))</x:f>
      </x:c>
    </x:row>
    <x:row r="71" ht="2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25"/>
      <x:c r="K71" s="3"/>
      <x:c r="L71" s="20"/>
      <x:c r="M71" s="3"/>
      <x:c r="N71" s="19" t="str">
        <x:f>IF(A71="","",IF(COUNTIFS('Update log'!$A$7:$A$306,A71)&lt;&gt;1,"Duplicate ID",IF(COUNTIFS('Cases overview'!$A$7:$A$306,B71)&lt;&gt;1,"Invalid case ref",IF(COUNTIFS('Reviews'!$A$7:$A$306,C71,'Reviews'!$B$7:$B$306,B71)&lt;&gt;1,"Invalid review ref",IF(OR(D71="",E71="",F71="",G71="",H71="",M71=""),"Update info missing",IF(AND(OR(G71="Adopted (update)",G71="Keep unchanged"),OR(NOT(ISNUMBER(J71)),K71="")),"Adoption basis missing","Valid input"))))))</x:f>
      </x:c>
    </x:row>
    <x:row r="72" ht="2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25"/>
      <x:c r="K72" s="3"/>
      <x:c r="L72" s="20"/>
      <x:c r="M72" s="3"/>
      <x:c r="N72" s="19" t="str">
        <x:f>IF(A72="","",IF(COUNTIFS('Update log'!$A$7:$A$306,A72)&lt;&gt;1,"Duplicate ID",IF(COUNTIFS('Cases overview'!$A$7:$A$306,B72)&lt;&gt;1,"Invalid case ref",IF(COUNTIFS('Reviews'!$A$7:$A$306,C72,'Reviews'!$B$7:$B$306,B72)&lt;&gt;1,"Invalid review ref",IF(OR(D72="",E72="",F72="",G72="",H72="",M72=""),"Update info missing",IF(AND(OR(G72="Adopted (update)",G72="Keep unchanged"),OR(NOT(ISNUMBER(J72)),K72="")),"Adoption basis missing","Valid input"))))))</x:f>
      </x:c>
    </x:row>
    <x:row r="73" ht="2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25"/>
      <x:c r="K73" s="3"/>
      <x:c r="L73" s="20"/>
      <x:c r="M73" s="3"/>
      <x:c r="N73" s="19" t="str">
        <x:f>IF(A73="","",IF(COUNTIFS('Update log'!$A$7:$A$306,A73)&lt;&gt;1,"Duplicate ID",IF(COUNTIFS('Cases overview'!$A$7:$A$306,B73)&lt;&gt;1,"Invalid case ref",IF(COUNTIFS('Reviews'!$A$7:$A$306,C73,'Reviews'!$B$7:$B$306,B73)&lt;&gt;1,"Invalid review ref",IF(OR(D73="",E73="",F73="",G73="",H73="",M73=""),"Update info missing",IF(AND(OR(G73="Adopted (update)",G73="Keep unchanged"),OR(NOT(ISNUMBER(J73)),K73="")),"Adoption basis missing","Valid input"))))))</x:f>
      </x:c>
    </x:row>
    <x:row r="74" ht="2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25"/>
      <x:c r="K74" s="3"/>
      <x:c r="L74" s="20"/>
      <x:c r="M74" s="3"/>
      <x:c r="N74" s="19" t="str">
        <x:f>IF(A74="","",IF(COUNTIFS('Update log'!$A$7:$A$306,A74)&lt;&gt;1,"Duplicate ID",IF(COUNTIFS('Cases overview'!$A$7:$A$306,B74)&lt;&gt;1,"Invalid case ref",IF(COUNTIFS('Reviews'!$A$7:$A$306,C74,'Reviews'!$B$7:$B$306,B74)&lt;&gt;1,"Invalid review ref",IF(OR(D74="",E74="",F74="",G74="",H74="",M74=""),"Update info missing",IF(AND(OR(G74="Adopted (update)",G74="Keep unchanged"),OR(NOT(ISNUMBER(J74)),K74="")),"Adoption basis missing","Valid input"))))))</x:f>
      </x:c>
    </x:row>
    <x:row r="75" ht="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25"/>
      <x:c r="K75" s="3"/>
      <x:c r="L75" s="20"/>
      <x:c r="M75" s="3"/>
      <x:c r="N75" s="19" t="str">
        <x:f>IF(A75="","",IF(COUNTIFS('Update log'!$A$7:$A$306,A75)&lt;&gt;1,"Duplicate ID",IF(COUNTIFS('Cases overview'!$A$7:$A$306,B75)&lt;&gt;1,"Invalid case ref",IF(COUNTIFS('Reviews'!$A$7:$A$306,C75,'Reviews'!$B$7:$B$306,B75)&lt;&gt;1,"Invalid review ref",IF(OR(D75="",E75="",F75="",G75="",H75="",M75=""),"Update info missing",IF(AND(OR(G75="Adopted (update)",G75="Keep unchanged"),OR(NOT(ISNUMBER(J75)),K75="")),"Adoption basis missing","Valid input"))))))</x:f>
      </x:c>
    </x:row>
    <x:row r="76" ht="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25"/>
      <x:c r="K76" s="3"/>
      <x:c r="L76" s="20"/>
      <x:c r="M76" s="3"/>
      <x:c r="N76" s="19" t="str">
        <x:f>IF(A76="","",IF(COUNTIFS('Update log'!$A$7:$A$306,A76)&lt;&gt;1,"Duplicate ID",IF(COUNTIFS('Cases overview'!$A$7:$A$306,B76)&lt;&gt;1,"Invalid case ref",IF(COUNTIFS('Reviews'!$A$7:$A$306,C76,'Reviews'!$B$7:$B$306,B76)&lt;&gt;1,"Invalid review ref",IF(OR(D76="",E76="",F76="",G76="",H76="",M76=""),"Update info missing",IF(AND(OR(G76="Adopted (update)",G76="Keep unchanged"),OR(NOT(ISNUMBER(J76)),K76="")),"Adoption basis missing","Valid input"))))))</x:f>
      </x:c>
    </x:row>
    <x:row r="77" ht="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25"/>
      <x:c r="K77" s="3"/>
      <x:c r="L77" s="20"/>
      <x:c r="M77" s="3"/>
      <x:c r="N77" s="19" t="str">
        <x:f>IF(A77="","",IF(COUNTIFS('Update log'!$A$7:$A$306,A77)&lt;&gt;1,"Duplicate ID",IF(COUNTIFS('Cases overview'!$A$7:$A$306,B77)&lt;&gt;1,"Invalid case ref",IF(COUNTIFS('Reviews'!$A$7:$A$306,C77,'Reviews'!$B$7:$B$306,B77)&lt;&gt;1,"Invalid review ref",IF(OR(D77="",E77="",F77="",G77="",H77="",M77=""),"Update info missing",IF(AND(OR(G77="Adopted (update)",G77="Keep unchanged"),OR(NOT(ISNUMBER(J77)),K77="")),"Adoption basis missing","Valid input"))))))</x:f>
      </x:c>
    </x:row>
    <x:row r="78" ht="2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25"/>
      <x:c r="K78" s="3"/>
      <x:c r="L78" s="20"/>
      <x:c r="M78" s="3"/>
      <x:c r="N78" s="19" t="str">
        <x:f>IF(A78="","",IF(COUNTIFS('Update log'!$A$7:$A$306,A78)&lt;&gt;1,"Duplicate ID",IF(COUNTIFS('Cases overview'!$A$7:$A$306,B78)&lt;&gt;1,"Invalid case ref",IF(COUNTIFS('Reviews'!$A$7:$A$306,C78,'Reviews'!$B$7:$B$306,B78)&lt;&gt;1,"Invalid review ref",IF(OR(D78="",E78="",F78="",G78="",H78="",M78=""),"Update info missing",IF(AND(OR(G78="Adopted (update)",G78="Keep unchanged"),OR(NOT(ISNUMBER(J78)),K78="")),"Adoption basis missing","Valid input"))))))</x:f>
      </x:c>
    </x:row>
    <x:row r="79" ht="2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25"/>
      <x:c r="K79" s="3"/>
      <x:c r="L79" s="20"/>
      <x:c r="M79" s="3"/>
      <x:c r="N79" s="19" t="str">
        <x:f>IF(A79="","",IF(COUNTIFS('Update log'!$A$7:$A$306,A79)&lt;&gt;1,"Duplicate ID",IF(COUNTIFS('Cases overview'!$A$7:$A$306,B79)&lt;&gt;1,"Invalid case ref",IF(COUNTIFS('Reviews'!$A$7:$A$306,C79,'Reviews'!$B$7:$B$306,B79)&lt;&gt;1,"Invalid review ref",IF(OR(D79="",E79="",F79="",G79="",H79="",M79=""),"Update info missing",IF(AND(OR(G79="Adopted (update)",G79="Keep unchanged"),OR(NOT(ISNUMBER(J79)),K79="")),"Adoption basis missing","Valid input"))))))</x:f>
      </x:c>
    </x:row>
    <x:row r="80" ht="2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25"/>
      <x:c r="K80" s="3"/>
      <x:c r="L80" s="20"/>
      <x:c r="M80" s="3"/>
      <x:c r="N80" s="19" t="str">
        <x:f>IF(A80="","",IF(COUNTIFS('Update log'!$A$7:$A$306,A80)&lt;&gt;1,"Duplicate ID",IF(COUNTIFS('Cases overview'!$A$7:$A$306,B80)&lt;&gt;1,"Invalid case ref",IF(COUNTIFS('Reviews'!$A$7:$A$306,C80,'Reviews'!$B$7:$B$306,B80)&lt;&gt;1,"Invalid review ref",IF(OR(D80="",E80="",F80="",G80="",H80="",M80=""),"Update info missing",IF(AND(OR(G80="Adopted (update)",G80="Keep unchanged"),OR(NOT(ISNUMBER(J80)),K80="")),"Adoption basis missing","Valid input"))))))</x:f>
      </x:c>
    </x:row>
    <x:row r="81" ht="2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25"/>
      <x:c r="K81" s="3"/>
      <x:c r="L81" s="20"/>
      <x:c r="M81" s="3"/>
      <x:c r="N81" s="19" t="str">
        <x:f>IF(A81="","",IF(COUNTIFS('Update log'!$A$7:$A$306,A81)&lt;&gt;1,"Duplicate ID",IF(COUNTIFS('Cases overview'!$A$7:$A$306,B81)&lt;&gt;1,"Invalid case ref",IF(COUNTIFS('Reviews'!$A$7:$A$306,C81,'Reviews'!$B$7:$B$306,B81)&lt;&gt;1,"Invalid review ref",IF(OR(D81="",E81="",F81="",G81="",H81="",M81=""),"Update info missing",IF(AND(OR(G81="Adopted (update)",G81="Keep unchanged"),OR(NOT(ISNUMBER(J81)),K81="")),"Adoption basis missing","Valid input"))))))</x:f>
      </x:c>
    </x:row>
    <x:row r="82" ht="2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25"/>
      <x:c r="K82" s="3"/>
      <x:c r="L82" s="20"/>
      <x:c r="M82" s="3"/>
      <x:c r="N82" s="19" t="str">
        <x:f>IF(A82="","",IF(COUNTIFS('Update log'!$A$7:$A$306,A82)&lt;&gt;1,"Duplicate ID",IF(COUNTIFS('Cases overview'!$A$7:$A$306,B82)&lt;&gt;1,"Invalid case ref",IF(COUNTIFS('Reviews'!$A$7:$A$306,C82,'Reviews'!$B$7:$B$306,B82)&lt;&gt;1,"Invalid review ref",IF(OR(D82="",E82="",F82="",G82="",H82="",M82=""),"Update info missing",IF(AND(OR(G82="Adopted (update)",G82="Keep unchanged"),OR(NOT(ISNUMBER(J82)),K82="")),"Adoption basis missing","Valid input"))))))</x:f>
      </x:c>
    </x:row>
    <x:row r="83" ht="2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25"/>
      <x:c r="K83" s="3"/>
      <x:c r="L83" s="20"/>
      <x:c r="M83" s="3"/>
      <x:c r="N83" s="19" t="str">
        <x:f>IF(A83="","",IF(COUNTIFS('Update log'!$A$7:$A$306,A83)&lt;&gt;1,"Duplicate ID",IF(COUNTIFS('Cases overview'!$A$7:$A$306,B83)&lt;&gt;1,"Invalid case ref",IF(COUNTIFS('Reviews'!$A$7:$A$306,C83,'Reviews'!$B$7:$B$306,B83)&lt;&gt;1,"Invalid review ref",IF(OR(D83="",E83="",F83="",G83="",H83="",M83=""),"Update info missing",IF(AND(OR(G83="Adopted (update)",G83="Keep unchanged"),OR(NOT(ISNUMBER(J83)),K83="")),"Adoption basis missing","Valid input"))))))</x:f>
      </x:c>
    </x:row>
    <x:row r="84" ht="2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25"/>
      <x:c r="K84" s="3"/>
      <x:c r="L84" s="20"/>
      <x:c r="M84" s="3"/>
      <x:c r="N84" s="19" t="str">
        <x:f>IF(A84="","",IF(COUNTIFS('Update log'!$A$7:$A$306,A84)&lt;&gt;1,"Duplicate ID",IF(COUNTIFS('Cases overview'!$A$7:$A$306,B84)&lt;&gt;1,"Invalid case ref",IF(COUNTIFS('Reviews'!$A$7:$A$306,C84,'Reviews'!$B$7:$B$306,B84)&lt;&gt;1,"Invalid review ref",IF(OR(D84="",E84="",F84="",G84="",H84="",M84=""),"Update info missing",IF(AND(OR(G84="Adopted (update)",G84="Keep unchanged"),OR(NOT(ISNUMBER(J84)),K84="")),"Adoption basis missing","Valid input"))))))</x:f>
      </x:c>
    </x:row>
    <x:row r="85" ht="2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25"/>
      <x:c r="K85" s="3"/>
      <x:c r="L85" s="20"/>
      <x:c r="M85" s="3"/>
      <x:c r="N85" s="19" t="str">
        <x:f>IF(A85="","",IF(COUNTIFS('Update log'!$A$7:$A$306,A85)&lt;&gt;1,"Duplicate ID",IF(COUNTIFS('Cases overview'!$A$7:$A$306,B85)&lt;&gt;1,"Invalid case ref",IF(COUNTIFS('Reviews'!$A$7:$A$306,C85,'Reviews'!$B$7:$B$306,B85)&lt;&gt;1,"Invalid review ref",IF(OR(D85="",E85="",F85="",G85="",H85="",M85=""),"Update info missing",IF(AND(OR(G85="Adopted (update)",G85="Keep unchanged"),OR(NOT(ISNUMBER(J85)),K85="")),"Adoption basis missing","Valid input"))))))</x:f>
      </x:c>
    </x:row>
    <x:row r="86" ht="2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25"/>
      <x:c r="K86" s="3"/>
      <x:c r="L86" s="20"/>
      <x:c r="M86" s="3"/>
      <x:c r="N86" s="19" t="str">
        <x:f>IF(A86="","",IF(COUNTIFS('Update log'!$A$7:$A$306,A86)&lt;&gt;1,"Duplicate ID",IF(COUNTIFS('Cases overview'!$A$7:$A$306,B86)&lt;&gt;1,"Invalid case ref",IF(COUNTIFS('Reviews'!$A$7:$A$306,C86,'Reviews'!$B$7:$B$306,B86)&lt;&gt;1,"Invalid review ref",IF(OR(D86="",E86="",F86="",G86="",H86="",M86=""),"Update info missing",IF(AND(OR(G86="Adopted (update)",G86="Keep unchanged"),OR(NOT(ISNUMBER(J86)),K86="")),"Adoption basis missing","Valid input"))))))</x:f>
      </x:c>
    </x:row>
    <x:row r="87" ht="2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25"/>
      <x:c r="K87" s="3"/>
      <x:c r="L87" s="20"/>
      <x:c r="M87" s="3"/>
      <x:c r="N87" s="19" t="str">
        <x:f>IF(A87="","",IF(COUNTIFS('Update log'!$A$7:$A$306,A87)&lt;&gt;1,"Duplicate ID",IF(COUNTIFS('Cases overview'!$A$7:$A$306,B87)&lt;&gt;1,"Invalid case ref",IF(COUNTIFS('Reviews'!$A$7:$A$306,C87,'Reviews'!$B$7:$B$306,B87)&lt;&gt;1,"Invalid review ref",IF(OR(D87="",E87="",F87="",G87="",H87="",M87=""),"Update info missing",IF(AND(OR(G87="Adopted (update)",G87="Keep unchanged"),OR(NOT(ISNUMBER(J87)),K87="")),"Adoption basis missing","Valid input"))))))</x:f>
      </x:c>
    </x:row>
    <x:row r="88" ht="2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25"/>
      <x:c r="K88" s="3"/>
      <x:c r="L88" s="20"/>
      <x:c r="M88" s="3"/>
      <x:c r="N88" s="19" t="str">
        <x:f>IF(A88="","",IF(COUNTIFS('Update log'!$A$7:$A$306,A88)&lt;&gt;1,"Duplicate ID",IF(COUNTIFS('Cases overview'!$A$7:$A$306,B88)&lt;&gt;1,"Invalid case ref",IF(COUNTIFS('Reviews'!$A$7:$A$306,C88,'Reviews'!$B$7:$B$306,B88)&lt;&gt;1,"Invalid review ref",IF(OR(D88="",E88="",F88="",G88="",H88="",M88=""),"Update info missing",IF(AND(OR(G88="Adopted (update)",G88="Keep unchanged"),OR(NOT(ISNUMBER(J88)),K88="")),"Adoption basis missing","Valid input"))))))</x:f>
      </x:c>
    </x:row>
    <x:row r="89" ht="2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25"/>
      <x:c r="K89" s="3"/>
      <x:c r="L89" s="20"/>
      <x:c r="M89" s="3"/>
      <x:c r="N89" s="19" t="str">
        <x:f>IF(A89="","",IF(COUNTIFS('Update log'!$A$7:$A$306,A89)&lt;&gt;1,"Duplicate ID",IF(COUNTIFS('Cases overview'!$A$7:$A$306,B89)&lt;&gt;1,"Invalid case ref",IF(COUNTIFS('Reviews'!$A$7:$A$306,C89,'Reviews'!$B$7:$B$306,B89)&lt;&gt;1,"Invalid review ref",IF(OR(D89="",E89="",F89="",G89="",H89="",M89=""),"Update info missing",IF(AND(OR(G89="Adopted (update)",G89="Keep unchanged"),OR(NOT(ISNUMBER(J89)),K89="")),"Adoption basis missing","Valid input"))))))</x:f>
      </x:c>
    </x:row>
    <x:row r="90" ht="2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25"/>
      <x:c r="K90" s="3"/>
      <x:c r="L90" s="20"/>
      <x:c r="M90" s="3"/>
      <x:c r="N90" s="19" t="str">
        <x:f>IF(A90="","",IF(COUNTIFS('Update log'!$A$7:$A$306,A90)&lt;&gt;1,"Duplicate ID",IF(COUNTIFS('Cases overview'!$A$7:$A$306,B90)&lt;&gt;1,"Invalid case ref",IF(COUNTIFS('Reviews'!$A$7:$A$306,C90,'Reviews'!$B$7:$B$306,B90)&lt;&gt;1,"Invalid review ref",IF(OR(D90="",E90="",F90="",G90="",H90="",M90=""),"Update info missing",IF(AND(OR(G90="Adopted (update)",G90="Keep unchanged"),OR(NOT(ISNUMBER(J90)),K90="")),"Adoption basis missing","Valid input"))))))</x:f>
      </x:c>
    </x:row>
    <x:row r="91" ht="2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25"/>
      <x:c r="K91" s="3"/>
      <x:c r="L91" s="20"/>
      <x:c r="M91" s="3"/>
      <x:c r="N91" s="19" t="str">
        <x:f>IF(A91="","",IF(COUNTIFS('Update log'!$A$7:$A$306,A91)&lt;&gt;1,"Duplicate ID",IF(COUNTIFS('Cases overview'!$A$7:$A$306,B91)&lt;&gt;1,"Invalid case ref",IF(COUNTIFS('Reviews'!$A$7:$A$306,C91,'Reviews'!$B$7:$B$306,B91)&lt;&gt;1,"Invalid review ref",IF(OR(D91="",E91="",F91="",G91="",H91="",M91=""),"Update info missing",IF(AND(OR(G91="Adopted (update)",G91="Keep unchanged"),OR(NOT(ISNUMBER(J91)),K91="")),"Adoption basis missing","Valid input"))))))</x:f>
      </x:c>
    </x:row>
    <x:row r="92" ht="2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25"/>
      <x:c r="K92" s="3"/>
      <x:c r="L92" s="20"/>
      <x:c r="M92" s="3"/>
      <x:c r="N92" s="19" t="str">
        <x:f>IF(A92="","",IF(COUNTIFS('Update log'!$A$7:$A$306,A92)&lt;&gt;1,"Duplicate ID",IF(COUNTIFS('Cases overview'!$A$7:$A$306,B92)&lt;&gt;1,"Invalid case ref",IF(COUNTIFS('Reviews'!$A$7:$A$306,C92,'Reviews'!$B$7:$B$306,B92)&lt;&gt;1,"Invalid review ref",IF(OR(D92="",E92="",F92="",G92="",H92="",M92=""),"Update info missing",IF(AND(OR(G92="Adopted (update)",G92="Keep unchanged"),OR(NOT(ISNUMBER(J92)),K92="")),"Adoption basis missing","Valid input"))))))</x:f>
      </x:c>
    </x:row>
    <x:row r="93" ht="2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25"/>
      <x:c r="K93" s="3"/>
      <x:c r="L93" s="20"/>
      <x:c r="M93" s="3"/>
      <x:c r="N93" s="19" t="str">
        <x:f>IF(A93="","",IF(COUNTIFS('Update log'!$A$7:$A$306,A93)&lt;&gt;1,"Duplicate ID",IF(COUNTIFS('Cases overview'!$A$7:$A$306,B93)&lt;&gt;1,"Invalid case ref",IF(COUNTIFS('Reviews'!$A$7:$A$306,C93,'Reviews'!$B$7:$B$306,B93)&lt;&gt;1,"Invalid review ref",IF(OR(D93="",E93="",F93="",G93="",H93="",M93=""),"Update info missing",IF(AND(OR(G93="Adopted (update)",G93="Keep unchanged"),OR(NOT(ISNUMBER(J93)),K93="")),"Adoption basis missing","Valid input"))))))</x:f>
      </x:c>
    </x:row>
    <x:row r="94" ht="2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25"/>
      <x:c r="K94" s="3"/>
      <x:c r="L94" s="20"/>
      <x:c r="M94" s="3"/>
      <x:c r="N94" s="19" t="str">
        <x:f>IF(A94="","",IF(COUNTIFS('Update log'!$A$7:$A$306,A94)&lt;&gt;1,"Duplicate ID",IF(COUNTIFS('Cases overview'!$A$7:$A$306,B94)&lt;&gt;1,"Invalid case ref",IF(COUNTIFS('Reviews'!$A$7:$A$306,C94,'Reviews'!$B$7:$B$306,B94)&lt;&gt;1,"Invalid review ref",IF(OR(D94="",E94="",F94="",G94="",H94="",M94=""),"Update info missing",IF(AND(OR(G94="Adopted (update)",G94="Keep unchanged"),OR(NOT(ISNUMBER(J94)),K94="")),"Adoption basis missing","Valid input"))))))</x:f>
      </x:c>
    </x:row>
    <x:row r="95" ht="2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25"/>
      <x:c r="K95" s="3"/>
      <x:c r="L95" s="20"/>
      <x:c r="M95" s="3"/>
      <x:c r="N95" s="19" t="str">
        <x:f>IF(A95="","",IF(COUNTIFS('Update log'!$A$7:$A$306,A95)&lt;&gt;1,"Duplicate ID",IF(COUNTIFS('Cases overview'!$A$7:$A$306,B95)&lt;&gt;1,"Invalid case ref",IF(COUNTIFS('Reviews'!$A$7:$A$306,C95,'Reviews'!$B$7:$B$306,B95)&lt;&gt;1,"Invalid review ref",IF(OR(D95="",E95="",F95="",G95="",H95="",M95=""),"Update info missing",IF(AND(OR(G95="Adopted (update)",G95="Keep unchanged"),OR(NOT(ISNUMBER(J95)),K95="")),"Adoption basis missing","Valid input"))))))</x:f>
      </x:c>
    </x:row>
    <x:row r="96" ht="2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25"/>
      <x:c r="K96" s="3"/>
      <x:c r="L96" s="20"/>
      <x:c r="M96" s="3"/>
      <x:c r="N96" s="19" t="str">
        <x:f>IF(A96="","",IF(COUNTIFS('Update log'!$A$7:$A$306,A96)&lt;&gt;1,"Duplicate ID",IF(COUNTIFS('Cases overview'!$A$7:$A$306,B96)&lt;&gt;1,"Invalid case ref",IF(COUNTIFS('Reviews'!$A$7:$A$306,C96,'Reviews'!$B$7:$B$306,B96)&lt;&gt;1,"Invalid review ref",IF(OR(D96="",E96="",F96="",G96="",H96="",M96=""),"Update info missing",IF(AND(OR(G96="Adopted (update)",G96="Keep unchanged"),OR(NOT(ISNUMBER(J96)),K96="")),"Adoption basis missing","Valid input"))))))</x:f>
      </x:c>
    </x:row>
    <x:row r="97" ht="2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25"/>
      <x:c r="K97" s="3"/>
      <x:c r="L97" s="20"/>
      <x:c r="M97" s="3"/>
      <x:c r="N97" s="19" t="str">
        <x:f>IF(A97="","",IF(COUNTIFS('Update log'!$A$7:$A$306,A97)&lt;&gt;1,"Duplicate ID",IF(COUNTIFS('Cases overview'!$A$7:$A$306,B97)&lt;&gt;1,"Invalid case ref",IF(COUNTIFS('Reviews'!$A$7:$A$306,C97,'Reviews'!$B$7:$B$306,B97)&lt;&gt;1,"Invalid review ref",IF(OR(D97="",E97="",F97="",G97="",H97="",M97=""),"Update info missing",IF(AND(OR(G97="Adopted (update)",G97="Keep unchanged"),OR(NOT(ISNUMBER(J97)),K97="")),"Adoption basis missing","Valid input"))))))</x:f>
      </x:c>
    </x:row>
    <x:row r="98" ht="2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25"/>
      <x:c r="K98" s="3"/>
      <x:c r="L98" s="20"/>
      <x:c r="M98" s="3"/>
      <x:c r="N98" s="19" t="str">
        <x:f>IF(A98="","",IF(COUNTIFS('Update log'!$A$7:$A$306,A98)&lt;&gt;1,"Duplicate ID",IF(COUNTIFS('Cases overview'!$A$7:$A$306,B98)&lt;&gt;1,"Invalid case ref",IF(COUNTIFS('Reviews'!$A$7:$A$306,C98,'Reviews'!$B$7:$B$306,B98)&lt;&gt;1,"Invalid review ref",IF(OR(D98="",E98="",F98="",G98="",H98="",M98=""),"Update info missing",IF(AND(OR(G98="Adopted (update)",G98="Keep unchanged"),OR(NOT(ISNUMBER(J98)),K98="")),"Adoption basis missing","Valid input"))))))</x:f>
      </x:c>
    </x:row>
    <x:row r="99" ht="2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25"/>
      <x:c r="K99" s="3"/>
      <x:c r="L99" s="20"/>
      <x:c r="M99" s="3"/>
      <x:c r="N99" s="19" t="str">
        <x:f>IF(A99="","",IF(COUNTIFS('Update log'!$A$7:$A$306,A99)&lt;&gt;1,"Duplicate ID",IF(COUNTIFS('Cases overview'!$A$7:$A$306,B99)&lt;&gt;1,"Invalid case ref",IF(COUNTIFS('Reviews'!$A$7:$A$306,C99,'Reviews'!$B$7:$B$306,B99)&lt;&gt;1,"Invalid review ref",IF(OR(D99="",E99="",F99="",G99="",H99="",M99=""),"Update info missing",IF(AND(OR(G99="Adopted (update)",G99="Keep unchanged"),OR(NOT(ISNUMBER(J99)),K99="")),"Adoption basis missing","Valid input"))))))</x:f>
      </x:c>
    </x:row>
    <x:row r="100" ht="2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25"/>
      <x:c r="K100" s="3"/>
      <x:c r="L100" s="20"/>
      <x:c r="M100" s="3"/>
      <x:c r="N100" s="19" t="str">
        <x:f>IF(A100="","",IF(COUNTIFS('Update log'!$A$7:$A$306,A100)&lt;&gt;1,"Duplicate ID",IF(COUNTIFS('Cases overview'!$A$7:$A$306,B100)&lt;&gt;1,"Invalid case ref",IF(COUNTIFS('Reviews'!$A$7:$A$306,C100,'Reviews'!$B$7:$B$306,B100)&lt;&gt;1,"Invalid review ref",IF(OR(D100="",E100="",F100="",G100="",H100="",M100=""),"Update info missing",IF(AND(OR(G100="Adopted (update)",G100="Keep unchanged"),OR(NOT(ISNUMBER(J100)),K100="")),"Adoption basis missing","Valid input"))))))</x:f>
      </x:c>
    </x:row>
    <x:row r="101" ht="2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25"/>
      <x:c r="K101" s="3"/>
      <x:c r="L101" s="20"/>
      <x:c r="M101" s="3"/>
      <x:c r="N101" s="19" t="str">
        <x:f>IF(A101="","",IF(COUNTIFS('Update log'!$A$7:$A$306,A101)&lt;&gt;1,"Duplicate ID",IF(COUNTIFS('Cases overview'!$A$7:$A$306,B101)&lt;&gt;1,"Invalid case ref",IF(COUNTIFS('Reviews'!$A$7:$A$306,C101,'Reviews'!$B$7:$B$306,B101)&lt;&gt;1,"Invalid review ref",IF(OR(D101="",E101="",F101="",G101="",H101="",M101=""),"Update info missing",IF(AND(OR(G101="Adopted (update)",G101="Keep unchanged"),OR(NOT(ISNUMBER(J101)),K101="")),"Adoption basis missing","Valid input"))))))</x:f>
      </x:c>
    </x:row>
    <x:row r="102" ht="2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25"/>
      <x:c r="K102" s="3"/>
      <x:c r="L102" s="20"/>
      <x:c r="M102" s="3"/>
      <x:c r="N102" s="19" t="str">
        <x:f>IF(A102="","",IF(COUNTIFS('Update log'!$A$7:$A$306,A102)&lt;&gt;1,"Duplicate ID",IF(COUNTIFS('Cases overview'!$A$7:$A$306,B102)&lt;&gt;1,"Invalid case ref",IF(COUNTIFS('Reviews'!$A$7:$A$306,C102,'Reviews'!$B$7:$B$306,B102)&lt;&gt;1,"Invalid review ref",IF(OR(D102="",E102="",F102="",G102="",H102="",M102=""),"Update info missing",IF(AND(OR(G102="Adopted (update)",G102="Keep unchanged"),OR(NOT(ISNUMBER(J102)),K102="")),"Adoption basis missing","Valid input"))))))</x:f>
      </x:c>
    </x:row>
    <x:row r="103" ht="2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25"/>
      <x:c r="K103" s="3"/>
      <x:c r="L103" s="20"/>
      <x:c r="M103" s="3"/>
      <x:c r="N103" s="19" t="str">
        <x:f>IF(A103="","",IF(COUNTIFS('Update log'!$A$7:$A$306,A103)&lt;&gt;1,"Duplicate ID",IF(COUNTIFS('Cases overview'!$A$7:$A$306,B103)&lt;&gt;1,"Invalid case ref",IF(COUNTIFS('Reviews'!$A$7:$A$306,C103,'Reviews'!$B$7:$B$306,B103)&lt;&gt;1,"Invalid review ref",IF(OR(D103="",E103="",F103="",G103="",H103="",M103=""),"Update info missing",IF(AND(OR(G103="Adopted (update)",G103="Keep unchanged"),OR(NOT(ISNUMBER(J103)),K103="")),"Adoption basis missing","Valid input"))))))</x:f>
      </x:c>
    </x:row>
    <x:row r="104" ht="2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25"/>
      <x:c r="K104" s="3"/>
      <x:c r="L104" s="20"/>
      <x:c r="M104" s="3"/>
      <x:c r="N104" s="19" t="str">
        <x:f>IF(A104="","",IF(COUNTIFS('Update log'!$A$7:$A$306,A104)&lt;&gt;1,"Duplicate ID",IF(COUNTIFS('Cases overview'!$A$7:$A$306,B104)&lt;&gt;1,"Invalid case ref",IF(COUNTIFS('Reviews'!$A$7:$A$306,C104,'Reviews'!$B$7:$B$306,B104)&lt;&gt;1,"Invalid review ref",IF(OR(D104="",E104="",F104="",G104="",H104="",M104=""),"Update info missing",IF(AND(OR(G104="Adopted (update)",G104="Keep unchanged"),OR(NOT(ISNUMBER(J104)),K104="")),"Adoption basis missing","Valid input"))))))</x:f>
      </x:c>
    </x:row>
    <x:row r="105" ht="2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25"/>
      <x:c r="K105" s="3"/>
      <x:c r="L105" s="20"/>
      <x:c r="M105" s="3"/>
      <x:c r="N105" s="19" t="str">
        <x:f>IF(A105="","",IF(COUNTIFS('Update log'!$A$7:$A$306,A105)&lt;&gt;1,"Duplicate ID",IF(COUNTIFS('Cases overview'!$A$7:$A$306,B105)&lt;&gt;1,"Invalid case ref",IF(COUNTIFS('Reviews'!$A$7:$A$306,C105,'Reviews'!$B$7:$B$306,B105)&lt;&gt;1,"Invalid review ref",IF(OR(D105="",E105="",F105="",G105="",H105="",M105=""),"Update info missing",IF(AND(OR(G105="Adopted (update)",G105="Keep unchanged"),OR(NOT(ISNUMBER(J105)),K105="")),"Adoption basis missing","Valid input"))))))</x:f>
      </x:c>
    </x:row>
    <x:row r="106" ht="2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25"/>
      <x:c r="K106" s="3"/>
      <x:c r="L106" s="20"/>
      <x:c r="M106" s="3"/>
      <x:c r="N106" s="19" t="str">
        <x:f>IF(A106="","",IF(COUNTIFS('Update log'!$A$7:$A$306,A106)&lt;&gt;1,"Duplicate ID",IF(COUNTIFS('Cases overview'!$A$7:$A$306,B106)&lt;&gt;1,"Invalid case ref",IF(COUNTIFS('Reviews'!$A$7:$A$306,C106,'Reviews'!$B$7:$B$306,B106)&lt;&gt;1,"Invalid review ref",IF(OR(D106="",E106="",F106="",G106="",H106="",M106=""),"Update info missing",IF(AND(OR(G106="Adopted (update)",G106="Keep unchanged"),OR(NOT(ISNUMBER(J106)),K106="")),"Adoption basis missing","Valid input"))))))</x:f>
      </x:c>
    </x:row>
    <x:row r="107" ht="2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25"/>
      <x:c r="K107" s="3"/>
      <x:c r="L107" s="20"/>
      <x:c r="M107" s="3"/>
      <x:c r="N107" s="19" t="str">
        <x:f>IF(A107="","",IF(COUNTIFS('Update log'!$A$7:$A$306,A107)&lt;&gt;1,"Duplicate ID",IF(COUNTIFS('Cases overview'!$A$7:$A$306,B107)&lt;&gt;1,"Invalid case ref",IF(COUNTIFS('Reviews'!$A$7:$A$306,C107,'Reviews'!$B$7:$B$306,B107)&lt;&gt;1,"Invalid review ref",IF(OR(D107="",E107="",F107="",G107="",H107="",M107=""),"Update info missing",IF(AND(OR(G107="Adopted (update)",G107="Keep unchanged"),OR(NOT(ISNUMBER(J107)),K107="")),"Adoption basis missing","Valid input"))))))</x:f>
      </x:c>
    </x:row>
    <x:row r="108" ht="2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25"/>
      <x:c r="K108" s="3"/>
      <x:c r="L108" s="20"/>
      <x:c r="M108" s="3"/>
      <x:c r="N108" s="19" t="str">
        <x:f>IF(A108="","",IF(COUNTIFS('Update log'!$A$7:$A$306,A108)&lt;&gt;1,"Duplicate ID",IF(COUNTIFS('Cases overview'!$A$7:$A$306,B108)&lt;&gt;1,"Invalid case ref",IF(COUNTIFS('Reviews'!$A$7:$A$306,C108,'Reviews'!$B$7:$B$306,B108)&lt;&gt;1,"Invalid review ref",IF(OR(D108="",E108="",F108="",G108="",H108="",M108=""),"Update info missing",IF(AND(OR(G108="Adopted (update)",G108="Keep unchanged"),OR(NOT(ISNUMBER(J108)),K108="")),"Adoption basis missing","Valid input"))))))</x:f>
      </x:c>
    </x:row>
    <x:row r="109" ht="2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25"/>
      <x:c r="K109" s="3"/>
      <x:c r="L109" s="20"/>
      <x:c r="M109" s="3"/>
      <x:c r="N109" s="19" t="str">
        <x:f>IF(A109="","",IF(COUNTIFS('Update log'!$A$7:$A$306,A109)&lt;&gt;1,"Duplicate ID",IF(COUNTIFS('Cases overview'!$A$7:$A$306,B109)&lt;&gt;1,"Invalid case ref",IF(COUNTIFS('Reviews'!$A$7:$A$306,C109,'Reviews'!$B$7:$B$306,B109)&lt;&gt;1,"Invalid review ref",IF(OR(D109="",E109="",F109="",G109="",H109="",M109=""),"Update info missing",IF(AND(OR(G109="Adopted (update)",G109="Keep unchanged"),OR(NOT(ISNUMBER(J109)),K109="")),"Adoption basis missing","Valid input"))))))</x:f>
      </x:c>
    </x:row>
    <x:row r="110" ht="2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25"/>
      <x:c r="K110" s="3"/>
      <x:c r="L110" s="20"/>
      <x:c r="M110" s="3"/>
      <x:c r="N110" s="19" t="str">
        <x:f>IF(A110="","",IF(COUNTIFS('Update log'!$A$7:$A$306,A110)&lt;&gt;1,"Duplicate ID",IF(COUNTIFS('Cases overview'!$A$7:$A$306,B110)&lt;&gt;1,"Invalid case ref",IF(COUNTIFS('Reviews'!$A$7:$A$306,C110,'Reviews'!$B$7:$B$306,B110)&lt;&gt;1,"Invalid review ref",IF(OR(D110="",E110="",F110="",G110="",H110="",M110=""),"Update info missing",IF(AND(OR(G110="Adopted (update)",G110="Keep unchanged"),OR(NOT(ISNUMBER(J110)),K110="")),"Adoption basis missing","Valid input"))))))</x:f>
      </x:c>
    </x:row>
    <x:row r="111" ht="2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25"/>
      <x:c r="K111" s="3"/>
      <x:c r="L111" s="20"/>
      <x:c r="M111" s="3"/>
      <x:c r="N111" s="19" t="str">
        <x:f>IF(A111="","",IF(COUNTIFS('Update log'!$A$7:$A$306,A111)&lt;&gt;1,"Duplicate ID",IF(COUNTIFS('Cases overview'!$A$7:$A$306,B111)&lt;&gt;1,"Invalid case ref",IF(COUNTIFS('Reviews'!$A$7:$A$306,C111,'Reviews'!$B$7:$B$306,B111)&lt;&gt;1,"Invalid review ref",IF(OR(D111="",E111="",F111="",G111="",H111="",M111=""),"Update info missing",IF(AND(OR(G111="Adopted (update)",G111="Keep unchanged"),OR(NOT(ISNUMBER(J111)),K111="")),"Adoption basis missing","Valid input"))))))</x:f>
      </x:c>
    </x:row>
    <x:row r="112" ht="2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25"/>
      <x:c r="K112" s="3"/>
      <x:c r="L112" s="20"/>
      <x:c r="M112" s="3"/>
      <x:c r="N112" s="19" t="str">
        <x:f>IF(A112="","",IF(COUNTIFS('Update log'!$A$7:$A$306,A112)&lt;&gt;1,"Duplicate ID",IF(COUNTIFS('Cases overview'!$A$7:$A$306,B112)&lt;&gt;1,"Invalid case ref",IF(COUNTIFS('Reviews'!$A$7:$A$306,C112,'Reviews'!$B$7:$B$306,B112)&lt;&gt;1,"Invalid review ref",IF(OR(D112="",E112="",F112="",G112="",H112="",M112=""),"Update info missing",IF(AND(OR(G112="Adopted (update)",G112="Keep unchanged"),OR(NOT(ISNUMBER(J112)),K112="")),"Adoption basis missing","Valid input"))))))</x:f>
      </x:c>
    </x:row>
    <x:row r="113" ht="2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25"/>
      <x:c r="K113" s="3"/>
      <x:c r="L113" s="20"/>
      <x:c r="M113" s="3"/>
      <x:c r="N113" s="19" t="str">
        <x:f>IF(A113="","",IF(COUNTIFS('Update log'!$A$7:$A$306,A113)&lt;&gt;1,"Duplicate ID",IF(COUNTIFS('Cases overview'!$A$7:$A$306,B113)&lt;&gt;1,"Invalid case ref",IF(COUNTIFS('Reviews'!$A$7:$A$306,C113,'Reviews'!$B$7:$B$306,B113)&lt;&gt;1,"Invalid review ref",IF(OR(D113="",E113="",F113="",G113="",H113="",M113=""),"Update info missing",IF(AND(OR(G113="Adopted (update)",G113="Keep unchanged"),OR(NOT(ISNUMBER(J113)),K113="")),"Adoption basis missing","Valid input"))))))</x:f>
      </x:c>
    </x:row>
    <x:row r="114" ht="2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25"/>
      <x:c r="K114" s="3"/>
      <x:c r="L114" s="20"/>
      <x:c r="M114" s="3"/>
      <x:c r="N114" s="19" t="str">
        <x:f>IF(A114="","",IF(COUNTIFS('Update log'!$A$7:$A$306,A114)&lt;&gt;1,"Duplicate ID",IF(COUNTIFS('Cases overview'!$A$7:$A$306,B114)&lt;&gt;1,"Invalid case ref",IF(COUNTIFS('Reviews'!$A$7:$A$306,C114,'Reviews'!$B$7:$B$306,B114)&lt;&gt;1,"Invalid review ref",IF(OR(D114="",E114="",F114="",G114="",H114="",M114=""),"Update info missing",IF(AND(OR(G114="Adopted (update)",G114="Keep unchanged"),OR(NOT(ISNUMBER(J114)),K114="")),"Adoption basis missing","Valid input"))))))</x:f>
      </x:c>
    </x:row>
    <x:row r="115" ht="2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25"/>
      <x:c r="K115" s="3"/>
      <x:c r="L115" s="20"/>
      <x:c r="M115" s="3"/>
      <x:c r="N115" s="19" t="str">
        <x:f>IF(A115="","",IF(COUNTIFS('Update log'!$A$7:$A$306,A115)&lt;&gt;1,"Duplicate ID",IF(COUNTIFS('Cases overview'!$A$7:$A$306,B115)&lt;&gt;1,"Invalid case ref",IF(COUNTIFS('Reviews'!$A$7:$A$306,C115,'Reviews'!$B$7:$B$306,B115)&lt;&gt;1,"Invalid review ref",IF(OR(D115="",E115="",F115="",G115="",H115="",M115=""),"Update info missing",IF(AND(OR(G115="Adopted (update)",G115="Keep unchanged"),OR(NOT(ISNUMBER(J115)),K115="")),"Adoption basis missing","Valid input"))))))</x:f>
      </x:c>
    </x:row>
    <x:row r="116" ht="2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25"/>
      <x:c r="K116" s="3"/>
      <x:c r="L116" s="20"/>
      <x:c r="M116" s="3"/>
      <x:c r="N116" s="19" t="str">
        <x:f>IF(A116="","",IF(COUNTIFS('Update log'!$A$7:$A$306,A116)&lt;&gt;1,"Duplicate ID",IF(COUNTIFS('Cases overview'!$A$7:$A$306,B116)&lt;&gt;1,"Invalid case ref",IF(COUNTIFS('Reviews'!$A$7:$A$306,C116,'Reviews'!$B$7:$B$306,B116)&lt;&gt;1,"Invalid review ref",IF(OR(D116="",E116="",F116="",G116="",H116="",M116=""),"Update info missing",IF(AND(OR(G116="Adopted (update)",G116="Keep unchanged"),OR(NOT(ISNUMBER(J116)),K116="")),"Adoption basis missing","Valid input"))))))</x:f>
      </x:c>
    </x:row>
    <x:row r="117" ht="2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25"/>
      <x:c r="K117" s="3"/>
      <x:c r="L117" s="20"/>
      <x:c r="M117" s="3"/>
      <x:c r="N117" s="19" t="str">
        <x:f>IF(A117="","",IF(COUNTIFS('Update log'!$A$7:$A$306,A117)&lt;&gt;1,"Duplicate ID",IF(COUNTIFS('Cases overview'!$A$7:$A$306,B117)&lt;&gt;1,"Invalid case ref",IF(COUNTIFS('Reviews'!$A$7:$A$306,C117,'Reviews'!$B$7:$B$306,B117)&lt;&gt;1,"Invalid review ref",IF(OR(D117="",E117="",F117="",G117="",H117="",M117=""),"Update info missing",IF(AND(OR(G117="Adopted (update)",G117="Keep unchanged"),OR(NOT(ISNUMBER(J117)),K117="")),"Adoption basis missing","Valid input"))))))</x:f>
      </x:c>
    </x:row>
    <x:row r="118" ht="2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25"/>
      <x:c r="K118" s="3"/>
      <x:c r="L118" s="20"/>
      <x:c r="M118" s="3"/>
      <x:c r="N118" s="19" t="str">
        <x:f>IF(A118="","",IF(COUNTIFS('Update log'!$A$7:$A$306,A118)&lt;&gt;1,"Duplicate ID",IF(COUNTIFS('Cases overview'!$A$7:$A$306,B118)&lt;&gt;1,"Invalid case ref",IF(COUNTIFS('Reviews'!$A$7:$A$306,C118,'Reviews'!$B$7:$B$306,B118)&lt;&gt;1,"Invalid review ref",IF(OR(D118="",E118="",F118="",G118="",H118="",M118=""),"Update info missing",IF(AND(OR(G118="Adopted (update)",G118="Keep unchanged"),OR(NOT(ISNUMBER(J118)),K118="")),"Adoption basis missing","Valid input"))))))</x:f>
      </x:c>
    </x:row>
    <x:row r="119" ht="2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25"/>
      <x:c r="K119" s="3"/>
      <x:c r="L119" s="20"/>
      <x:c r="M119" s="3"/>
      <x:c r="N119" s="19" t="str">
        <x:f>IF(A119="","",IF(COUNTIFS('Update log'!$A$7:$A$306,A119)&lt;&gt;1,"Duplicate ID",IF(COUNTIFS('Cases overview'!$A$7:$A$306,B119)&lt;&gt;1,"Invalid case ref",IF(COUNTIFS('Reviews'!$A$7:$A$306,C119,'Reviews'!$B$7:$B$306,B119)&lt;&gt;1,"Invalid review ref",IF(OR(D119="",E119="",F119="",G119="",H119="",M119=""),"Update info missing",IF(AND(OR(G119="Adopted (update)",G119="Keep unchanged"),OR(NOT(ISNUMBER(J119)),K119="")),"Adoption basis missing","Valid input"))))))</x:f>
      </x:c>
    </x:row>
    <x:row r="120" ht="2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25"/>
      <x:c r="K120" s="3"/>
      <x:c r="L120" s="20"/>
      <x:c r="M120" s="3"/>
      <x:c r="N120" s="19" t="str">
        <x:f>IF(A120="","",IF(COUNTIFS('Update log'!$A$7:$A$306,A120)&lt;&gt;1,"Duplicate ID",IF(COUNTIFS('Cases overview'!$A$7:$A$306,B120)&lt;&gt;1,"Invalid case ref",IF(COUNTIFS('Reviews'!$A$7:$A$306,C120,'Reviews'!$B$7:$B$306,B120)&lt;&gt;1,"Invalid review ref",IF(OR(D120="",E120="",F120="",G120="",H120="",M120=""),"Update info missing",IF(AND(OR(G120="Adopted (update)",G120="Keep unchanged"),OR(NOT(ISNUMBER(J120)),K120="")),"Adoption basis missing","Valid input"))))))</x:f>
      </x:c>
    </x:row>
    <x:row r="121" ht="2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25"/>
      <x:c r="K121" s="3"/>
      <x:c r="L121" s="20"/>
      <x:c r="M121" s="3"/>
      <x:c r="N121" s="19" t="str">
        <x:f>IF(A121="","",IF(COUNTIFS('Update log'!$A$7:$A$306,A121)&lt;&gt;1,"Duplicate ID",IF(COUNTIFS('Cases overview'!$A$7:$A$306,B121)&lt;&gt;1,"Invalid case ref",IF(COUNTIFS('Reviews'!$A$7:$A$306,C121,'Reviews'!$B$7:$B$306,B121)&lt;&gt;1,"Invalid review ref",IF(OR(D121="",E121="",F121="",G121="",H121="",M121=""),"Update info missing",IF(AND(OR(G121="Adopted (update)",G121="Keep unchanged"),OR(NOT(ISNUMBER(J121)),K121="")),"Adoption basis missing","Valid input"))))))</x:f>
      </x:c>
    </x:row>
    <x:row r="122" ht="2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25"/>
      <x:c r="K122" s="3"/>
      <x:c r="L122" s="20"/>
      <x:c r="M122" s="3"/>
      <x:c r="N122" s="19" t="str">
        <x:f>IF(A122="","",IF(COUNTIFS('Update log'!$A$7:$A$306,A122)&lt;&gt;1,"Duplicate ID",IF(COUNTIFS('Cases overview'!$A$7:$A$306,B122)&lt;&gt;1,"Invalid case ref",IF(COUNTIFS('Reviews'!$A$7:$A$306,C122,'Reviews'!$B$7:$B$306,B122)&lt;&gt;1,"Invalid review ref",IF(OR(D122="",E122="",F122="",G122="",H122="",M122=""),"Update info missing",IF(AND(OR(G122="Adopted (update)",G122="Keep unchanged"),OR(NOT(ISNUMBER(J122)),K122="")),"Adoption basis missing","Valid input"))))))</x:f>
      </x:c>
    </x:row>
    <x:row r="123" ht="2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25"/>
      <x:c r="K123" s="3"/>
      <x:c r="L123" s="20"/>
      <x:c r="M123" s="3"/>
      <x:c r="N123" s="19" t="str">
        <x:f>IF(A123="","",IF(COUNTIFS('Update log'!$A$7:$A$306,A123)&lt;&gt;1,"Duplicate ID",IF(COUNTIFS('Cases overview'!$A$7:$A$306,B123)&lt;&gt;1,"Invalid case ref",IF(COUNTIFS('Reviews'!$A$7:$A$306,C123,'Reviews'!$B$7:$B$306,B123)&lt;&gt;1,"Invalid review ref",IF(OR(D123="",E123="",F123="",G123="",H123="",M123=""),"Update info missing",IF(AND(OR(G123="Adopted (update)",G123="Keep unchanged"),OR(NOT(ISNUMBER(J123)),K123="")),"Adoption basis missing","Valid input"))))))</x:f>
      </x:c>
    </x:row>
    <x:row r="124" ht="2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25"/>
      <x:c r="K124" s="3"/>
      <x:c r="L124" s="20"/>
      <x:c r="M124" s="3"/>
      <x:c r="N124" s="19" t="str">
        <x:f>IF(A124="","",IF(COUNTIFS('Update log'!$A$7:$A$306,A124)&lt;&gt;1,"Duplicate ID",IF(COUNTIFS('Cases overview'!$A$7:$A$306,B124)&lt;&gt;1,"Invalid case ref",IF(COUNTIFS('Reviews'!$A$7:$A$306,C124,'Reviews'!$B$7:$B$306,B124)&lt;&gt;1,"Invalid review ref",IF(OR(D124="",E124="",F124="",G124="",H124="",M124=""),"Update info missing",IF(AND(OR(G124="Adopted (update)",G124="Keep unchanged"),OR(NOT(ISNUMBER(J124)),K124="")),"Adoption basis missing","Valid input"))))))</x:f>
      </x:c>
    </x:row>
    <x:row r="125" ht="2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25"/>
      <x:c r="K125" s="3"/>
      <x:c r="L125" s="20"/>
      <x:c r="M125" s="3"/>
      <x:c r="N125" s="19" t="str">
        <x:f>IF(A125="","",IF(COUNTIFS('Update log'!$A$7:$A$306,A125)&lt;&gt;1,"Duplicate ID",IF(COUNTIFS('Cases overview'!$A$7:$A$306,B125)&lt;&gt;1,"Invalid case ref",IF(COUNTIFS('Reviews'!$A$7:$A$306,C125,'Reviews'!$B$7:$B$306,B125)&lt;&gt;1,"Invalid review ref",IF(OR(D125="",E125="",F125="",G125="",H125="",M125=""),"Update info missing",IF(AND(OR(G125="Adopted (update)",G125="Keep unchanged"),OR(NOT(ISNUMBER(J125)),K125="")),"Adoption basis missing","Valid input"))))))</x:f>
      </x:c>
    </x:row>
    <x:row r="126" ht="2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25"/>
      <x:c r="K126" s="3"/>
      <x:c r="L126" s="20"/>
      <x:c r="M126" s="3"/>
      <x:c r="N126" s="19" t="str">
        <x:f>IF(A126="","",IF(COUNTIFS('Update log'!$A$7:$A$306,A126)&lt;&gt;1,"Duplicate ID",IF(COUNTIFS('Cases overview'!$A$7:$A$306,B126)&lt;&gt;1,"Invalid case ref",IF(COUNTIFS('Reviews'!$A$7:$A$306,C126,'Reviews'!$B$7:$B$306,B126)&lt;&gt;1,"Invalid review ref",IF(OR(D126="",E126="",F126="",G126="",H126="",M126=""),"Update info missing",IF(AND(OR(G126="Adopted (update)",G126="Keep unchanged"),OR(NOT(ISNUMBER(J126)),K126="")),"Adoption basis missing","Valid input"))))))</x:f>
      </x:c>
    </x:row>
    <x:row r="127" ht="2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25"/>
      <x:c r="K127" s="3"/>
      <x:c r="L127" s="20"/>
      <x:c r="M127" s="3"/>
      <x:c r="N127" s="19" t="str">
        <x:f>IF(A127="","",IF(COUNTIFS('Update log'!$A$7:$A$306,A127)&lt;&gt;1,"Duplicate ID",IF(COUNTIFS('Cases overview'!$A$7:$A$306,B127)&lt;&gt;1,"Invalid case ref",IF(COUNTIFS('Reviews'!$A$7:$A$306,C127,'Reviews'!$B$7:$B$306,B127)&lt;&gt;1,"Invalid review ref",IF(OR(D127="",E127="",F127="",G127="",H127="",M127=""),"Update info missing",IF(AND(OR(G127="Adopted (update)",G127="Keep unchanged"),OR(NOT(ISNUMBER(J127)),K127="")),"Adoption basis missing","Valid input"))))))</x:f>
      </x:c>
    </x:row>
    <x:row r="128" ht="2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25"/>
      <x:c r="K128" s="3"/>
      <x:c r="L128" s="20"/>
      <x:c r="M128" s="3"/>
      <x:c r="N128" s="19" t="str">
        <x:f>IF(A128="","",IF(COUNTIFS('Update log'!$A$7:$A$306,A128)&lt;&gt;1,"Duplicate ID",IF(COUNTIFS('Cases overview'!$A$7:$A$306,B128)&lt;&gt;1,"Invalid case ref",IF(COUNTIFS('Reviews'!$A$7:$A$306,C128,'Reviews'!$B$7:$B$306,B128)&lt;&gt;1,"Invalid review ref",IF(OR(D128="",E128="",F128="",G128="",H128="",M128=""),"Update info missing",IF(AND(OR(G128="Adopted (update)",G128="Keep unchanged"),OR(NOT(ISNUMBER(J128)),K128="")),"Adoption basis missing","Valid input"))))))</x:f>
      </x:c>
    </x:row>
    <x:row r="129" ht="2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25"/>
      <x:c r="K129" s="3"/>
      <x:c r="L129" s="20"/>
      <x:c r="M129" s="3"/>
      <x:c r="N129" s="19" t="str">
        <x:f>IF(A129="","",IF(COUNTIFS('Update log'!$A$7:$A$306,A129)&lt;&gt;1,"Duplicate ID",IF(COUNTIFS('Cases overview'!$A$7:$A$306,B129)&lt;&gt;1,"Invalid case ref",IF(COUNTIFS('Reviews'!$A$7:$A$306,C129,'Reviews'!$B$7:$B$306,B129)&lt;&gt;1,"Invalid review ref",IF(OR(D129="",E129="",F129="",G129="",H129="",M129=""),"Update info missing",IF(AND(OR(G129="Adopted (update)",G129="Keep unchanged"),OR(NOT(ISNUMBER(J129)),K129="")),"Adoption basis missing","Valid input"))))))</x:f>
      </x:c>
    </x:row>
    <x:row r="130" ht="2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25"/>
      <x:c r="K130" s="3"/>
      <x:c r="L130" s="20"/>
      <x:c r="M130" s="3"/>
      <x:c r="N130" s="19" t="str">
        <x:f>IF(A130="","",IF(COUNTIFS('Update log'!$A$7:$A$306,A130)&lt;&gt;1,"Duplicate ID",IF(COUNTIFS('Cases overview'!$A$7:$A$306,B130)&lt;&gt;1,"Invalid case ref",IF(COUNTIFS('Reviews'!$A$7:$A$306,C130,'Reviews'!$B$7:$B$306,B130)&lt;&gt;1,"Invalid review ref",IF(OR(D130="",E130="",F130="",G130="",H130="",M130=""),"Update info missing",IF(AND(OR(G130="Adopted (update)",G130="Keep unchanged"),OR(NOT(ISNUMBER(J130)),K130="")),"Adoption basis missing","Valid input"))))))</x:f>
      </x:c>
    </x:row>
    <x:row r="131" ht="2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25"/>
      <x:c r="K131" s="3"/>
      <x:c r="L131" s="20"/>
      <x:c r="M131" s="3"/>
      <x:c r="N131" s="19" t="str">
        <x:f>IF(A131="","",IF(COUNTIFS('Update log'!$A$7:$A$306,A131)&lt;&gt;1,"Duplicate ID",IF(COUNTIFS('Cases overview'!$A$7:$A$306,B131)&lt;&gt;1,"Invalid case ref",IF(COUNTIFS('Reviews'!$A$7:$A$306,C131,'Reviews'!$B$7:$B$306,B131)&lt;&gt;1,"Invalid review ref",IF(OR(D131="",E131="",F131="",G131="",H131="",M131=""),"Update info missing",IF(AND(OR(G131="Adopted (update)",G131="Keep unchanged"),OR(NOT(ISNUMBER(J131)),K131="")),"Adoption basis missing","Valid input"))))))</x:f>
      </x:c>
    </x:row>
    <x:row r="132" ht="2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25"/>
      <x:c r="K132" s="3"/>
      <x:c r="L132" s="20"/>
      <x:c r="M132" s="3"/>
      <x:c r="N132" s="19" t="str">
        <x:f>IF(A132="","",IF(COUNTIFS('Update log'!$A$7:$A$306,A132)&lt;&gt;1,"Duplicate ID",IF(COUNTIFS('Cases overview'!$A$7:$A$306,B132)&lt;&gt;1,"Invalid case ref",IF(COUNTIFS('Reviews'!$A$7:$A$306,C132,'Reviews'!$B$7:$B$306,B132)&lt;&gt;1,"Invalid review ref",IF(OR(D132="",E132="",F132="",G132="",H132="",M132=""),"Update info missing",IF(AND(OR(G132="Adopted (update)",G132="Keep unchanged"),OR(NOT(ISNUMBER(J132)),K132="")),"Adoption basis missing","Valid input"))))))</x:f>
      </x:c>
    </x:row>
    <x:row r="133" ht="2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25"/>
      <x:c r="K133" s="3"/>
      <x:c r="L133" s="20"/>
      <x:c r="M133" s="3"/>
      <x:c r="N133" s="19" t="str">
        <x:f>IF(A133="","",IF(COUNTIFS('Update log'!$A$7:$A$306,A133)&lt;&gt;1,"Duplicate ID",IF(COUNTIFS('Cases overview'!$A$7:$A$306,B133)&lt;&gt;1,"Invalid case ref",IF(COUNTIFS('Reviews'!$A$7:$A$306,C133,'Reviews'!$B$7:$B$306,B133)&lt;&gt;1,"Invalid review ref",IF(OR(D133="",E133="",F133="",G133="",H133="",M133=""),"Update info missing",IF(AND(OR(G133="Adopted (update)",G133="Keep unchanged"),OR(NOT(ISNUMBER(J133)),K133="")),"Adoption basis missing","Valid input"))))))</x:f>
      </x:c>
    </x:row>
    <x:row r="134" ht="2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25"/>
      <x:c r="K134" s="3"/>
      <x:c r="L134" s="20"/>
      <x:c r="M134" s="3"/>
      <x:c r="N134" s="19" t="str">
        <x:f>IF(A134="","",IF(COUNTIFS('Update log'!$A$7:$A$306,A134)&lt;&gt;1,"Duplicate ID",IF(COUNTIFS('Cases overview'!$A$7:$A$306,B134)&lt;&gt;1,"Invalid case ref",IF(COUNTIFS('Reviews'!$A$7:$A$306,C134,'Reviews'!$B$7:$B$306,B134)&lt;&gt;1,"Invalid review ref",IF(OR(D134="",E134="",F134="",G134="",H134="",M134=""),"Update info missing",IF(AND(OR(G134="Adopted (update)",G134="Keep unchanged"),OR(NOT(ISNUMBER(J134)),K134="")),"Adoption basis missing","Valid input"))))))</x:f>
      </x:c>
    </x:row>
    <x:row r="135" ht="2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25"/>
      <x:c r="K135" s="3"/>
      <x:c r="L135" s="20"/>
      <x:c r="M135" s="3"/>
      <x:c r="N135" s="19" t="str">
        <x:f>IF(A135="","",IF(COUNTIFS('Update log'!$A$7:$A$306,A135)&lt;&gt;1,"Duplicate ID",IF(COUNTIFS('Cases overview'!$A$7:$A$306,B135)&lt;&gt;1,"Invalid case ref",IF(COUNTIFS('Reviews'!$A$7:$A$306,C135,'Reviews'!$B$7:$B$306,B135)&lt;&gt;1,"Invalid review ref",IF(OR(D135="",E135="",F135="",G135="",H135="",M135=""),"Update info missing",IF(AND(OR(G135="Adopted (update)",G135="Keep unchanged"),OR(NOT(ISNUMBER(J135)),K135="")),"Adoption basis missing","Valid input"))))))</x:f>
      </x:c>
    </x:row>
    <x:row r="136" ht="2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25"/>
      <x:c r="K136" s="3"/>
      <x:c r="L136" s="20"/>
      <x:c r="M136" s="3"/>
      <x:c r="N136" s="19" t="str">
        <x:f>IF(A136="","",IF(COUNTIFS('Update log'!$A$7:$A$306,A136)&lt;&gt;1,"Duplicate ID",IF(COUNTIFS('Cases overview'!$A$7:$A$306,B136)&lt;&gt;1,"Invalid case ref",IF(COUNTIFS('Reviews'!$A$7:$A$306,C136,'Reviews'!$B$7:$B$306,B136)&lt;&gt;1,"Invalid review ref",IF(OR(D136="",E136="",F136="",G136="",H136="",M136=""),"Update info missing",IF(AND(OR(G136="Adopted (update)",G136="Keep unchanged"),OR(NOT(ISNUMBER(J136)),K136="")),"Adoption basis missing","Valid input"))))))</x:f>
      </x:c>
    </x:row>
    <x:row r="137" ht="2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25"/>
      <x:c r="K137" s="3"/>
      <x:c r="L137" s="20"/>
      <x:c r="M137" s="3"/>
      <x:c r="N137" s="19" t="str">
        <x:f>IF(A137="","",IF(COUNTIFS('Update log'!$A$7:$A$306,A137)&lt;&gt;1,"Duplicate ID",IF(COUNTIFS('Cases overview'!$A$7:$A$306,B137)&lt;&gt;1,"Invalid case ref",IF(COUNTIFS('Reviews'!$A$7:$A$306,C137,'Reviews'!$B$7:$B$306,B137)&lt;&gt;1,"Invalid review ref",IF(OR(D137="",E137="",F137="",G137="",H137="",M137=""),"Update info missing",IF(AND(OR(G137="Adopted (update)",G137="Keep unchanged"),OR(NOT(ISNUMBER(J137)),K137="")),"Adoption basis missing","Valid input"))))))</x:f>
      </x:c>
    </x:row>
    <x:row r="138" ht="2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25"/>
      <x:c r="K138" s="3"/>
      <x:c r="L138" s="20"/>
      <x:c r="M138" s="3"/>
      <x:c r="N138" s="19" t="str">
        <x:f>IF(A138="","",IF(COUNTIFS('Update log'!$A$7:$A$306,A138)&lt;&gt;1,"Duplicate ID",IF(COUNTIFS('Cases overview'!$A$7:$A$306,B138)&lt;&gt;1,"Invalid case ref",IF(COUNTIFS('Reviews'!$A$7:$A$306,C138,'Reviews'!$B$7:$B$306,B138)&lt;&gt;1,"Invalid review ref",IF(OR(D138="",E138="",F138="",G138="",H138="",M138=""),"Update info missing",IF(AND(OR(G138="Adopted (update)",G138="Keep unchanged"),OR(NOT(ISNUMBER(J138)),K138="")),"Adoption basis missing","Valid input"))))))</x:f>
      </x:c>
    </x:row>
    <x:row r="139" ht="2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25"/>
      <x:c r="K139" s="3"/>
      <x:c r="L139" s="20"/>
      <x:c r="M139" s="3"/>
      <x:c r="N139" s="19" t="str">
        <x:f>IF(A139="","",IF(COUNTIFS('Update log'!$A$7:$A$306,A139)&lt;&gt;1,"Duplicate ID",IF(COUNTIFS('Cases overview'!$A$7:$A$306,B139)&lt;&gt;1,"Invalid case ref",IF(COUNTIFS('Reviews'!$A$7:$A$306,C139,'Reviews'!$B$7:$B$306,B139)&lt;&gt;1,"Invalid review ref",IF(OR(D139="",E139="",F139="",G139="",H139="",M139=""),"Update info missing",IF(AND(OR(G139="Adopted (update)",G139="Keep unchanged"),OR(NOT(ISNUMBER(J139)),K139="")),"Adoption basis missing","Valid input"))))))</x:f>
      </x:c>
    </x:row>
    <x:row r="140" ht="2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25"/>
      <x:c r="K140" s="3"/>
      <x:c r="L140" s="20"/>
      <x:c r="M140" s="3"/>
      <x:c r="N140" s="19" t="str">
        <x:f>IF(A140="","",IF(COUNTIFS('Update log'!$A$7:$A$306,A140)&lt;&gt;1,"Duplicate ID",IF(COUNTIFS('Cases overview'!$A$7:$A$306,B140)&lt;&gt;1,"Invalid case ref",IF(COUNTIFS('Reviews'!$A$7:$A$306,C140,'Reviews'!$B$7:$B$306,B140)&lt;&gt;1,"Invalid review ref",IF(OR(D140="",E140="",F140="",G140="",H140="",M140=""),"Update info missing",IF(AND(OR(G140="Adopted (update)",G140="Keep unchanged"),OR(NOT(ISNUMBER(J140)),K140="")),"Adoption basis missing","Valid input"))))))</x:f>
      </x:c>
    </x:row>
    <x:row r="141" ht="2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25"/>
      <x:c r="K141" s="3"/>
      <x:c r="L141" s="20"/>
      <x:c r="M141" s="3"/>
      <x:c r="N141" s="19" t="str">
        <x:f>IF(A141="","",IF(COUNTIFS('Update log'!$A$7:$A$306,A141)&lt;&gt;1,"Duplicate ID",IF(COUNTIFS('Cases overview'!$A$7:$A$306,B141)&lt;&gt;1,"Invalid case ref",IF(COUNTIFS('Reviews'!$A$7:$A$306,C141,'Reviews'!$B$7:$B$306,B141)&lt;&gt;1,"Invalid review ref",IF(OR(D141="",E141="",F141="",G141="",H141="",M141=""),"Update info missing",IF(AND(OR(G141="Adopted (update)",G141="Keep unchanged"),OR(NOT(ISNUMBER(J141)),K141="")),"Adoption basis missing","Valid input"))))))</x:f>
      </x:c>
    </x:row>
    <x:row r="142" ht="2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25"/>
      <x:c r="K142" s="3"/>
      <x:c r="L142" s="20"/>
      <x:c r="M142" s="3"/>
      <x:c r="N142" s="19" t="str">
        <x:f>IF(A142="","",IF(COUNTIFS('Update log'!$A$7:$A$306,A142)&lt;&gt;1,"Duplicate ID",IF(COUNTIFS('Cases overview'!$A$7:$A$306,B142)&lt;&gt;1,"Invalid case ref",IF(COUNTIFS('Reviews'!$A$7:$A$306,C142,'Reviews'!$B$7:$B$306,B142)&lt;&gt;1,"Invalid review ref",IF(OR(D142="",E142="",F142="",G142="",H142="",M142=""),"Update info missing",IF(AND(OR(G142="Adopted (update)",G142="Keep unchanged"),OR(NOT(ISNUMBER(J142)),K142="")),"Adoption basis missing","Valid input"))))))</x:f>
      </x:c>
    </x:row>
    <x:row r="143" ht="2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25"/>
      <x:c r="K143" s="3"/>
      <x:c r="L143" s="20"/>
      <x:c r="M143" s="3"/>
      <x:c r="N143" s="19" t="str">
        <x:f>IF(A143="","",IF(COUNTIFS('Update log'!$A$7:$A$306,A143)&lt;&gt;1,"Duplicate ID",IF(COUNTIFS('Cases overview'!$A$7:$A$306,B143)&lt;&gt;1,"Invalid case ref",IF(COUNTIFS('Reviews'!$A$7:$A$306,C143,'Reviews'!$B$7:$B$306,B143)&lt;&gt;1,"Invalid review ref",IF(OR(D143="",E143="",F143="",G143="",H143="",M143=""),"Update info missing",IF(AND(OR(G143="Adopted (update)",G143="Keep unchanged"),OR(NOT(ISNUMBER(J143)),K143="")),"Adoption basis missing","Valid input"))))))</x:f>
      </x:c>
    </x:row>
    <x:row r="144" ht="2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25"/>
      <x:c r="K144" s="3"/>
      <x:c r="L144" s="20"/>
      <x:c r="M144" s="3"/>
      <x:c r="N144" s="19" t="str">
        <x:f>IF(A144="","",IF(COUNTIFS('Update log'!$A$7:$A$306,A144)&lt;&gt;1,"Duplicate ID",IF(COUNTIFS('Cases overview'!$A$7:$A$306,B144)&lt;&gt;1,"Invalid case ref",IF(COUNTIFS('Reviews'!$A$7:$A$306,C144,'Reviews'!$B$7:$B$306,B144)&lt;&gt;1,"Invalid review ref",IF(OR(D144="",E144="",F144="",G144="",H144="",M144=""),"Update info missing",IF(AND(OR(G144="Adopted (update)",G144="Keep unchanged"),OR(NOT(ISNUMBER(J144)),K144="")),"Adoption basis missing","Valid input"))))))</x:f>
      </x:c>
    </x:row>
    <x:row r="145" ht="2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25"/>
      <x:c r="K145" s="3"/>
      <x:c r="L145" s="20"/>
      <x:c r="M145" s="3"/>
      <x:c r="N145" s="19" t="str">
        <x:f>IF(A145="","",IF(COUNTIFS('Update log'!$A$7:$A$306,A145)&lt;&gt;1,"Duplicate ID",IF(COUNTIFS('Cases overview'!$A$7:$A$306,B145)&lt;&gt;1,"Invalid case ref",IF(COUNTIFS('Reviews'!$A$7:$A$306,C145,'Reviews'!$B$7:$B$306,B145)&lt;&gt;1,"Invalid review ref",IF(OR(D145="",E145="",F145="",G145="",H145="",M145=""),"Update info missing",IF(AND(OR(G145="Adopted (update)",G145="Keep unchanged"),OR(NOT(ISNUMBER(J145)),K145="")),"Adoption basis missing","Valid input"))))))</x:f>
      </x:c>
    </x:row>
    <x:row r="146" ht="2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25"/>
      <x:c r="K146" s="3"/>
      <x:c r="L146" s="20"/>
      <x:c r="M146" s="3"/>
      <x:c r="N146" s="19" t="str">
        <x:f>IF(A146="","",IF(COUNTIFS('Update log'!$A$7:$A$306,A146)&lt;&gt;1,"Duplicate ID",IF(COUNTIFS('Cases overview'!$A$7:$A$306,B146)&lt;&gt;1,"Invalid case ref",IF(COUNTIFS('Reviews'!$A$7:$A$306,C146,'Reviews'!$B$7:$B$306,B146)&lt;&gt;1,"Invalid review ref",IF(OR(D146="",E146="",F146="",G146="",H146="",M146=""),"Update info missing",IF(AND(OR(G146="Adopted (update)",G146="Keep unchanged"),OR(NOT(ISNUMBER(J146)),K146="")),"Adoption basis missing","Valid input"))))))</x:f>
      </x:c>
    </x:row>
    <x:row r="147" ht="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25"/>
      <x:c r="K147" s="3"/>
      <x:c r="L147" s="20"/>
      <x:c r="M147" s="3"/>
      <x:c r="N147" s="19" t="str">
        <x:f>IF(A147="","",IF(COUNTIFS('Update log'!$A$7:$A$306,A147)&lt;&gt;1,"Duplicate ID",IF(COUNTIFS('Cases overview'!$A$7:$A$306,B147)&lt;&gt;1,"Invalid case ref",IF(COUNTIFS('Reviews'!$A$7:$A$306,C147,'Reviews'!$B$7:$B$306,B147)&lt;&gt;1,"Invalid review ref",IF(OR(D147="",E147="",F147="",G147="",H147="",M147=""),"Update info missing",IF(AND(OR(G147="Adopted (update)",G147="Keep unchanged"),OR(NOT(ISNUMBER(J147)),K147="")),"Adoption basis missing","Valid input"))))))</x:f>
      </x:c>
    </x:row>
    <x:row r="148" ht="2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25"/>
      <x:c r="K148" s="3"/>
      <x:c r="L148" s="20"/>
      <x:c r="M148" s="3"/>
      <x:c r="N148" s="19" t="str">
        <x:f>IF(A148="","",IF(COUNTIFS('Update log'!$A$7:$A$306,A148)&lt;&gt;1,"Duplicate ID",IF(COUNTIFS('Cases overview'!$A$7:$A$306,B148)&lt;&gt;1,"Invalid case ref",IF(COUNTIFS('Reviews'!$A$7:$A$306,C148,'Reviews'!$B$7:$B$306,B148)&lt;&gt;1,"Invalid review ref",IF(OR(D148="",E148="",F148="",G148="",H148="",M148=""),"Update info missing",IF(AND(OR(G148="Adopted (update)",G148="Keep unchanged"),OR(NOT(ISNUMBER(J148)),K148="")),"Adoption basis missing","Valid input"))))))</x:f>
      </x:c>
    </x:row>
    <x:row r="149" ht="2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25"/>
      <x:c r="K149" s="3"/>
      <x:c r="L149" s="20"/>
      <x:c r="M149" s="3"/>
      <x:c r="N149" s="19" t="str">
        <x:f>IF(A149="","",IF(COUNTIFS('Update log'!$A$7:$A$306,A149)&lt;&gt;1,"Duplicate ID",IF(COUNTIFS('Cases overview'!$A$7:$A$306,B149)&lt;&gt;1,"Invalid case ref",IF(COUNTIFS('Reviews'!$A$7:$A$306,C149,'Reviews'!$B$7:$B$306,B149)&lt;&gt;1,"Invalid review ref",IF(OR(D149="",E149="",F149="",G149="",H149="",M149=""),"Update info missing",IF(AND(OR(G149="Adopted (update)",G149="Keep unchanged"),OR(NOT(ISNUMBER(J149)),K149="")),"Adoption basis missing","Valid input"))))))</x:f>
      </x:c>
    </x:row>
    <x:row r="150" ht="2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25"/>
      <x:c r="K150" s="3"/>
      <x:c r="L150" s="20"/>
      <x:c r="M150" s="3"/>
      <x:c r="N150" s="19" t="str">
        <x:f>IF(A150="","",IF(COUNTIFS('Update log'!$A$7:$A$306,A150)&lt;&gt;1,"Duplicate ID",IF(COUNTIFS('Cases overview'!$A$7:$A$306,B150)&lt;&gt;1,"Invalid case ref",IF(COUNTIFS('Reviews'!$A$7:$A$306,C150,'Reviews'!$B$7:$B$306,B150)&lt;&gt;1,"Invalid review ref",IF(OR(D150="",E150="",F150="",G150="",H150="",M150=""),"Update info missing",IF(AND(OR(G150="Adopted (update)",G150="Keep unchanged"),OR(NOT(ISNUMBER(J150)),K150="")),"Adoption basis missing","Valid input"))))))</x:f>
      </x:c>
    </x:row>
    <x:row r="151" ht="2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25"/>
      <x:c r="K151" s="3"/>
      <x:c r="L151" s="20"/>
      <x:c r="M151" s="3"/>
      <x:c r="N151" s="19" t="str">
        <x:f>IF(A151="","",IF(COUNTIFS('Update log'!$A$7:$A$306,A151)&lt;&gt;1,"Duplicate ID",IF(COUNTIFS('Cases overview'!$A$7:$A$306,B151)&lt;&gt;1,"Invalid case ref",IF(COUNTIFS('Reviews'!$A$7:$A$306,C151,'Reviews'!$B$7:$B$306,B151)&lt;&gt;1,"Invalid review ref",IF(OR(D151="",E151="",F151="",G151="",H151="",M151=""),"Update info missing",IF(AND(OR(G151="Adopted (update)",G151="Keep unchanged"),OR(NOT(ISNUMBER(J151)),K151="")),"Adoption basis missing","Valid input"))))))</x:f>
      </x:c>
    </x:row>
    <x:row r="152" ht="2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25"/>
      <x:c r="K152" s="3"/>
      <x:c r="L152" s="20"/>
      <x:c r="M152" s="3"/>
      <x:c r="N152" s="19" t="str">
        <x:f>IF(A152="","",IF(COUNTIFS('Update log'!$A$7:$A$306,A152)&lt;&gt;1,"Duplicate ID",IF(COUNTIFS('Cases overview'!$A$7:$A$306,B152)&lt;&gt;1,"Invalid case ref",IF(COUNTIFS('Reviews'!$A$7:$A$306,C152,'Reviews'!$B$7:$B$306,B152)&lt;&gt;1,"Invalid review ref",IF(OR(D152="",E152="",F152="",G152="",H152="",M152=""),"Update info missing",IF(AND(OR(G152="Adopted (update)",G152="Keep unchanged"),OR(NOT(ISNUMBER(J152)),K152="")),"Adoption basis missing","Valid input"))))))</x:f>
      </x:c>
    </x:row>
    <x:row r="153" ht="2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25"/>
      <x:c r="K153" s="3"/>
      <x:c r="L153" s="20"/>
      <x:c r="M153" s="3"/>
      <x:c r="N153" s="19" t="str">
        <x:f>IF(A153="","",IF(COUNTIFS('Update log'!$A$7:$A$306,A153)&lt;&gt;1,"Duplicate ID",IF(COUNTIFS('Cases overview'!$A$7:$A$306,B153)&lt;&gt;1,"Invalid case ref",IF(COUNTIFS('Reviews'!$A$7:$A$306,C153,'Reviews'!$B$7:$B$306,B153)&lt;&gt;1,"Invalid review ref",IF(OR(D153="",E153="",F153="",G153="",H153="",M153=""),"Update info missing",IF(AND(OR(G153="Adopted (update)",G153="Keep unchanged"),OR(NOT(ISNUMBER(J153)),K153="")),"Adoption basis missing","Valid input"))))))</x:f>
      </x:c>
    </x:row>
    <x:row r="154" ht="2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25"/>
      <x:c r="K154" s="3"/>
      <x:c r="L154" s="20"/>
      <x:c r="M154" s="3"/>
      <x:c r="N154" s="19" t="str">
        <x:f>IF(A154="","",IF(COUNTIFS('Update log'!$A$7:$A$306,A154)&lt;&gt;1,"Duplicate ID",IF(COUNTIFS('Cases overview'!$A$7:$A$306,B154)&lt;&gt;1,"Invalid case ref",IF(COUNTIFS('Reviews'!$A$7:$A$306,C154,'Reviews'!$B$7:$B$306,B154)&lt;&gt;1,"Invalid review ref",IF(OR(D154="",E154="",F154="",G154="",H154="",M154=""),"Update info missing",IF(AND(OR(G154="Adopted (update)",G154="Keep unchanged"),OR(NOT(ISNUMBER(J154)),K154="")),"Adoption basis missing","Valid input"))))))</x:f>
      </x:c>
    </x:row>
    <x:row r="155" ht="2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25"/>
      <x:c r="K155" s="3"/>
      <x:c r="L155" s="20"/>
      <x:c r="M155" s="3"/>
      <x:c r="N155" s="19" t="str">
        <x:f>IF(A155="","",IF(COUNTIFS('Update log'!$A$7:$A$306,A155)&lt;&gt;1,"Duplicate ID",IF(COUNTIFS('Cases overview'!$A$7:$A$306,B155)&lt;&gt;1,"Invalid case ref",IF(COUNTIFS('Reviews'!$A$7:$A$306,C155,'Reviews'!$B$7:$B$306,B155)&lt;&gt;1,"Invalid review ref",IF(OR(D155="",E155="",F155="",G155="",H155="",M155=""),"Update info missing",IF(AND(OR(G155="Adopted (update)",G155="Keep unchanged"),OR(NOT(ISNUMBER(J155)),K155="")),"Adoption basis missing","Valid input"))))))</x:f>
      </x:c>
    </x:row>
    <x:row r="156" ht="2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25"/>
      <x:c r="K156" s="3"/>
      <x:c r="L156" s="20"/>
      <x:c r="M156" s="3"/>
      <x:c r="N156" s="19" t="str">
        <x:f>IF(A156="","",IF(COUNTIFS('Update log'!$A$7:$A$306,A156)&lt;&gt;1,"Duplicate ID",IF(COUNTIFS('Cases overview'!$A$7:$A$306,B156)&lt;&gt;1,"Invalid case ref",IF(COUNTIFS('Reviews'!$A$7:$A$306,C156,'Reviews'!$B$7:$B$306,B156)&lt;&gt;1,"Invalid review ref",IF(OR(D156="",E156="",F156="",G156="",H156="",M156=""),"Update info missing",IF(AND(OR(G156="Adopted (update)",G156="Keep unchanged"),OR(NOT(ISNUMBER(J156)),K156="")),"Adoption basis missing","Valid input"))))))</x:f>
      </x:c>
    </x:row>
    <x:row r="157" ht="2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25"/>
      <x:c r="K157" s="3"/>
      <x:c r="L157" s="20"/>
      <x:c r="M157" s="3"/>
      <x:c r="N157" s="19" t="str">
        <x:f>IF(A157="","",IF(COUNTIFS('Update log'!$A$7:$A$306,A157)&lt;&gt;1,"Duplicate ID",IF(COUNTIFS('Cases overview'!$A$7:$A$306,B157)&lt;&gt;1,"Invalid case ref",IF(COUNTIFS('Reviews'!$A$7:$A$306,C157,'Reviews'!$B$7:$B$306,B157)&lt;&gt;1,"Invalid review ref",IF(OR(D157="",E157="",F157="",G157="",H157="",M157=""),"Update info missing",IF(AND(OR(G157="Adopted (update)",G157="Keep unchanged"),OR(NOT(ISNUMBER(J157)),K157="")),"Adoption basis missing","Valid input"))))))</x:f>
      </x:c>
    </x:row>
    <x:row r="158" ht="2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25"/>
      <x:c r="K158" s="3"/>
      <x:c r="L158" s="20"/>
      <x:c r="M158" s="3"/>
      <x:c r="N158" s="19" t="str">
        <x:f>IF(A158="","",IF(COUNTIFS('Update log'!$A$7:$A$306,A158)&lt;&gt;1,"Duplicate ID",IF(COUNTIFS('Cases overview'!$A$7:$A$306,B158)&lt;&gt;1,"Invalid case ref",IF(COUNTIFS('Reviews'!$A$7:$A$306,C158,'Reviews'!$B$7:$B$306,B158)&lt;&gt;1,"Invalid review ref",IF(OR(D158="",E158="",F158="",G158="",H158="",M158=""),"Update info missing",IF(AND(OR(G158="Adopted (update)",G158="Keep unchanged"),OR(NOT(ISNUMBER(J158)),K158="")),"Adoption basis missing","Valid input"))))))</x:f>
      </x:c>
    </x:row>
    <x:row r="159" ht="2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25"/>
      <x:c r="K159" s="3"/>
      <x:c r="L159" s="20"/>
      <x:c r="M159" s="3"/>
      <x:c r="N159" s="19" t="str">
        <x:f>IF(A159="","",IF(COUNTIFS('Update log'!$A$7:$A$306,A159)&lt;&gt;1,"Duplicate ID",IF(COUNTIFS('Cases overview'!$A$7:$A$306,B159)&lt;&gt;1,"Invalid case ref",IF(COUNTIFS('Reviews'!$A$7:$A$306,C159,'Reviews'!$B$7:$B$306,B159)&lt;&gt;1,"Invalid review ref",IF(OR(D159="",E159="",F159="",G159="",H159="",M159=""),"Update info missing",IF(AND(OR(G159="Adopted (update)",G159="Keep unchanged"),OR(NOT(ISNUMBER(J159)),K159="")),"Adoption basis missing","Valid input"))))))</x:f>
      </x:c>
    </x:row>
    <x:row r="160" ht="2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25"/>
      <x:c r="K160" s="3"/>
      <x:c r="L160" s="20"/>
      <x:c r="M160" s="3"/>
      <x:c r="N160" s="19" t="str">
        <x:f>IF(A160="","",IF(COUNTIFS('Update log'!$A$7:$A$306,A160)&lt;&gt;1,"Duplicate ID",IF(COUNTIFS('Cases overview'!$A$7:$A$306,B160)&lt;&gt;1,"Invalid case ref",IF(COUNTIFS('Reviews'!$A$7:$A$306,C160,'Reviews'!$B$7:$B$306,B160)&lt;&gt;1,"Invalid review ref",IF(OR(D160="",E160="",F160="",G160="",H160="",M160=""),"Update info missing",IF(AND(OR(G160="Adopted (update)",G160="Keep unchanged"),OR(NOT(ISNUMBER(J160)),K160="")),"Adoption basis missing","Valid input"))))))</x:f>
      </x:c>
    </x:row>
    <x:row r="161" ht="2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25"/>
      <x:c r="K161" s="3"/>
      <x:c r="L161" s="20"/>
      <x:c r="M161" s="3"/>
      <x:c r="N161" s="19" t="str">
        <x:f>IF(A161="","",IF(COUNTIFS('Update log'!$A$7:$A$306,A161)&lt;&gt;1,"Duplicate ID",IF(COUNTIFS('Cases overview'!$A$7:$A$306,B161)&lt;&gt;1,"Invalid case ref",IF(COUNTIFS('Reviews'!$A$7:$A$306,C161,'Reviews'!$B$7:$B$306,B161)&lt;&gt;1,"Invalid review ref",IF(OR(D161="",E161="",F161="",G161="",H161="",M161=""),"Update info missing",IF(AND(OR(G161="Adopted (update)",G161="Keep unchanged"),OR(NOT(ISNUMBER(J161)),K161="")),"Adoption basis missing","Valid input"))))))</x:f>
      </x:c>
    </x:row>
    <x:row r="162" ht="2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25"/>
      <x:c r="K162" s="3"/>
      <x:c r="L162" s="20"/>
      <x:c r="M162" s="3"/>
      <x:c r="N162" s="19" t="str">
        <x:f>IF(A162="","",IF(COUNTIFS('Update log'!$A$7:$A$306,A162)&lt;&gt;1,"Duplicate ID",IF(COUNTIFS('Cases overview'!$A$7:$A$306,B162)&lt;&gt;1,"Invalid case ref",IF(COUNTIFS('Reviews'!$A$7:$A$306,C162,'Reviews'!$B$7:$B$306,B162)&lt;&gt;1,"Invalid review ref",IF(OR(D162="",E162="",F162="",G162="",H162="",M162=""),"Update info missing",IF(AND(OR(G162="Adopted (update)",G162="Keep unchanged"),OR(NOT(ISNUMBER(J162)),K162="")),"Adoption basis missing","Valid input"))))))</x:f>
      </x:c>
    </x:row>
    <x:row r="163" ht="2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25"/>
      <x:c r="K163" s="3"/>
      <x:c r="L163" s="20"/>
      <x:c r="M163" s="3"/>
      <x:c r="N163" s="19" t="str">
        <x:f>IF(A163="","",IF(COUNTIFS('Update log'!$A$7:$A$306,A163)&lt;&gt;1,"Duplicate ID",IF(COUNTIFS('Cases overview'!$A$7:$A$306,B163)&lt;&gt;1,"Invalid case ref",IF(COUNTIFS('Reviews'!$A$7:$A$306,C163,'Reviews'!$B$7:$B$306,B163)&lt;&gt;1,"Invalid review ref",IF(OR(D163="",E163="",F163="",G163="",H163="",M163=""),"Update info missing",IF(AND(OR(G163="Adopted (update)",G163="Keep unchanged"),OR(NOT(ISNUMBER(J163)),K163="")),"Adoption basis missing","Valid input"))))))</x:f>
      </x:c>
    </x:row>
    <x:row r="164" ht="2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25"/>
      <x:c r="K164" s="3"/>
      <x:c r="L164" s="20"/>
      <x:c r="M164" s="3"/>
      <x:c r="N164" s="19" t="str">
        <x:f>IF(A164="","",IF(COUNTIFS('Update log'!$A$7:$A$306,A164)&lt;&gt;1,"Duplicate ID",IF(COUNTIFS('Cases overview'!$A$7:$A$306,B164)&lt;&gt;1,"Invalid case ref",IF(COUNTIFS('Reviews'!$A$7:$A$306,C164,'Reviews'!$B$7:$B$306,B164)&lt;&gt;1,"Invalid review ref",IF(OR(D164="",E164="",F164="",G164="",H164="",M164=""),"Update info missing",IF(AND(OR(G164="Adopted (update)",G164="Keep unchanged"),OR(NOT(ISNUMBER(J164)),K164="")),"Adoption basis missing","Valid input"))))))</x:f>
      </x:c>
    </x:row>
    <x:row r="165" ht="2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25"/>
      <x:c r="K165" s="3"/>
      <x:c r="L165" s="20"/>
      <x:c r="M165" s="3"/>
      <x:c r="N165" s="19" t="str">
        <x:f>IF(A165="","",IF(COUNTIFS('Update log'!$A$7:$A$306,A165)&lt;&gt;1,"Duplicate ID",IF(COUNTIFS('Cases overview'!$A$7:$A$306,B165)&lt;&gt;1,"Invalid case ref",IF(COUNTIFS('Reviews'!$A$7:$A$306,C165,'Reviews'!$B$7:$B$306,B165)&lt;&gt;1,"Invalid review ref",IF(OR(D165="",E165="",F165="",G165="",H165="",M165=""),"Update info missing",IF(AND(OR(G165="Adopted (update)",G165="Keep unchanged"),OR(NOT(ISNUMBER(J165)),K165="")),"Adoption basis missing","Valid input"))))))</x:f>
      </x:c>
    </x:row>
    <x:row r="166" ht="2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25"/>
      <x:c r="K166" s="3"/>
      <x:c r="L166" s="20"/>
      <x:c r="M166" s="3"/>
      <x:c r="N166" s="19" t="str">
        <x:f>IF(A166="","",IF(COUNTIFS('Update log'!$A$7:$A$306,A166)&lt;&gt;1,"Duplicate ID",IF(COUNTIFS('Cases overview'!$A$7:$A$306,B166)&lt;&gt;1,"Invalid case ref",IF(COUNTIFS('Reviews'!$A$7:$A$306,C166,'Reviews'!$B$7:$B$306,B166)&lt;&gt;1,"Invalid review ref",IF(OR(D166="",E166="",F166="",G166="",H166="",M166=""),"Update info missing",IF(AND(OR(G166="Adopted (update)",G166="Keep unchanged"),OR(NOT(ISNUMBER(J166)),K166="")),"Adoption basis missing","Valid input"))))))</x:f>
      </x:c>
    </x:row>
    <x:row r="167" ht="2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25"/>
      <x:c r="K167" s="3"/>
      <x:c r="L167" s="20"/>
      <x:c r="M167" s="3"/>
      <x:c r="N167" s="19" t="str">
        <x:f>IF(A167="","",IF(COUNTIFS('Update log'!$A$7:$A$306,A167)&lt;&gt;1,"Duplicate ID",IF(COUNTIFS('Cases overview'!$A$7:$A$306,B167)&lt;&gt;1,"Invalid case ref",IF(COUNTIFS('Reviews'!$A$7:$A$306,C167,'Reviews'!$B$7:$B$306,B167)&lt;&gt;1,"Invalid review ref",IF(OR(D167="",E167="",F167="",G167="",H167="",M167=""),"Update info missing",IF(AND(OR(G167="Adopted (update)",G167="Keep unchanged"),OR(NOT(ISNUMBER(J167)),K167="")),"Adoption basis missing","Valid input"))))))</x:f>
      </x:c>
    </x:row>
    <x:row r="168" ht="2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25"/>
      <x:c r="K168" s="3"/>
      <x:c r="L168" s="20"/>
      <x:c r="M168" s="3"/>
      <x:c r="N168" s="19" t="str">
        <x:f>IF(A168="","",IF(COUNTIFS('Update log'!$A$7:$A$306,A168)&lt;&gt;1,"Duplicate ID",IF(COUNTIFS('Cases overview'!$A$7:$A$306,B168)&lt;&gt;1,"Invalid case ref",IF(COUNTIFS('Reviews'!$A$7:$A$306,C168,'Reviews'!$B$7:$B$306,B168)&lt;&gt;1,"Invalid review ref",IF(OR(D168="",E168="",F168="",G168="",H168="",M168=""),"Update info missing",IF(AND(OR(G168="Adopted (update)",G168="Keep unchanged"),OR(NOT(ISNUMBER(J168)),K168="")),"Adoption basis missing","Valid input"))))))</x:f>
      </x:c>
    </x:row>
    <x:row r="169" ht="2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25"/>
      <x:c r="K169" s="3"/>
      <x:c r="L169" s="20"/>
      <x:c r="M169" s="3"/>
      <x:c r="N169" s="19" t="str">
        <x:f>IF(A169="","",IF(COUNTIFS('Update log'!$A$7:$A$306,A169)&lt;&gt;1,"Duplicate ID",IF(COUNTIFS('Cases overview'!$A$7:$A$306,B169)&lt;&gt;1,"Invalid case ref",IF(COUNTIFS('Reviews'!$A$7:$A$306,C169,'Reviews'!$B$7:$B$306,B169)&lt;&gt;1,"Invalid review ref",IF(OR(D169="",E169="",F169="",G169="",H169="",M169=""),"Update info missing",IF(AND(OR(G169="Adopted (update)",G169="Keep unchanged"),OR(NOT(ISNUMBER(J169)),K169="")),"Adoption basis missing","Valid input"))))))</x:f>
      </x:c>
    </x:row>
    <x:row r="170" ht="2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25"/>
      <x:c r="K170" s="3"/>
      <x:c r="L170" s="20"/>
      <x:c r="M170" s="3"/>
      <x:c r="N170" s="19" t="str">
        <x:f>IF(A170="","",IF(COUNTIFS('Update log'!$A$7:$A$306,A170)&lt;&gt;1,"Duplicate ID",IF(COUNTIFS('Cases overview'!$A$7:$A$306,B170)&lt;&gt;1,"Invalid case ref",IF(COUNTIFS('Reviews'!$A$7:$A$306,C170,'Reviews'!$B$7:$B$306,B170)&lt;&gt;1,"Invalid review ref",IF(OR(D170="",E170="",F170="",G170="",H170="",M170=""),"Update info missing",IF(AND(OR(G170="Adopted (update)",G170="Keep unchanged"),OR(NOT(ISNUMBER(J170)),K170="")),"Adoption basis missing","Valid input"))))))</x:f>
      </x:c>
    </x:row>
    <x:row r="171" ht="2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25"/>
      <x:c r="K171" s="3"/>
      <x:c r="L171" s="20"/>
      <x:c r="M171" s="3"/>
      <x:c r="N171" s="19" t="str">
        <x:f>IF(A171="","",IF(COUNTIFS('Update log'!$A$7:$A$306,A171)&lt;&gt;1,"Duplicate ID",IF(COUNTIFS('Cases overview'!$A$7:$A$306,B171)&lt;&gt;1,"Invalid case ref",IF(COUNTIFS('Reviews'!$A$7:$A$306,C171,'Reviews'!$B$7:$B$306,B171)&lt;&gt;1,"Invalid review ref",IF(OR(D171="",E171="",F171="",G171="",H171="",M171=""),"Update info missing",IF(AND(OR(G171="Adopted (update)",G171="Keep unchanged"),OR(NOT(ISNUMBER(J171)),K171="")),"Adoption basis missing","Valid input"))))))</x:f>
      </x:c>
    </x:row>
    <x:row r="172" ht="2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25"/>
      <x:c r="K172" s="3"/>
      <x:c r="L172" s="20"/>
      <x:c r="M172" s="3"/>
      <x:c r="N172" s="19" t="str">
        <x:f>IF(A172="","",IF(COUNTIFS('Update log'!$A$7:$A$306,A172)&lt;&gt;1,"Duplicate ID",IF(COUNTIFS('Cases overview'!$A$7:$A$306,B172)&lt;&gt;1,"Invalid case ref",IF(COUNTIFS('Reviews'!$A$7:$A$306,C172,'Reviews'!$B$7:$B$306,B172)&lt;&gt;1,"Invalid review ref",IF(OR(D172="",E172="",F172="",G172="",H172="",M172=""),"Update info missing",IF(AND(OR(G172="Adopted (update)",G172="Keep unchanged"),OR(NOT(ISNUMBER(J172)),K172="")),"Adoption basis missing","Valid input"))))))</x:f>
      </x:c>
    </x:row>
    <x:row r="173" ht="2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25"/>
      <x:c r="K173" s="3"/>
      <x:c r="L173" s="20"/>
      <x:c r="M173" s="3"/>
      <x:c r="N173" s="19" t="str">
        <x:f>IF(A173="","",IF(COUNTIFS('Update log'!$A$7:$A$306,A173)&lt;&gt;1,"Duplicate ID",IF(COUNTIFS('Cases overview'!$A$7:$A$306,B173)&lt;&gt;1,"Invalid case ref",IF(COUNTIFS('Reviews'!$A$7:$A$306,C173,'Reviews'!$B$7:$B$306,B173)&lt;&gt;1,"Invalid review ref",IF(OR(D173="",E173="",F173="",G173="",H173="",M173=""),"Update info missing",IF(AND(OR(G173="Adopted (update)",G173="Keep unchanged"),OR(NOT(ISNUMBER(J173)),K173="")),"Adoption basis missing","Valid input"))))))</x:f>
      </x:c>
    </x:row>
    <x:row r="174" ht="2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25"/>
      <x:c r="K174" s="3"/>
      <x:c r="L174" s="20"/>
      <x:c r="M174" s="3"/>
      <x:c r="N174" s="19" t="str">
        <x:f>IF(A174="","",IF(COUNTIFS('Update log'!$A$7:$A$306,A174)&lt;&gt;1,"Duplicate ID",IF(COUNTIFS('Cases overview'!$A$7:$A$306,B174)&lt;&gt;1,"Invalid case ref",IF(COUNTIFS('Reviews'!$A$7:$A$306,C174,'Reviews'!$B$7:$B$306,B174)&lt;&gt;1,"Invalid review ref",IF(OR(D174="",E174="",F174="",G174="",H174="",M174=""),"Update info missing",IF(AND(OR(G174="Adopted (update)",G174="Keep unchanged"),OR(NOT(ISNUMBER(J174)),K174="")),"Adoption basis missing","Valid input"))))))</x:f>
      </x:c>
    </x:row>
    <x:row r="175" ht="2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25"/>
      <x:c r="K175" s="3"/>
      <x:c r="L175" s="20"/>
      <x:c r="M175" s="3"/>
      <x:c r="N175" s="19" t="str">
        <x:f>IF(A175="","",IF(COUNTIFS('Update log'!$A$7:$A$306,A175)&lt;&gt;1,"Duplicate ID",IF(COUNTIFS('Cases overview'!$A$7:$A$306,B175)&lt;&gt;1,"Invalid case ref",IF(COUNTIFS('Reviews'!$A$7:$A$306,C175,'Reviews'!$B$7:$B$306,B175)&lt;&gt;1,"Invalid review ref",IF(OR(D175="",E175="",F175="",G175="",H175="",M175=""),"Update info missing",IF(AND(OR(G175="Adopted (update)",G175="Keep unchanged"),OR(NOT(ISNUMBER(J175)),K175="")),"Adoption basis missing","Valid input"))))))</x:f>
      </x:c>
    </x:row>
    <x:row r="176" ht="2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25"/>
      <x:c r="K176" s="3"/>
      <x:c r="L176" s="20"/>
      <x:c r="M176" s="3"/>
      <x:c r="N176" s="19" t="str">
        <x:f>IF(A176="","",IF(COUNTIFS('Update log'!$A$7:$A$306,A176)&lt;&gt;1,"Duplicate ID",IF(COUNTIFS('Cases overview'!$A$7:$A$306,B176)&lt;&gt;1,"Invalid case ref",IF(COUNTIFS('Reviews'!$A$7:$A$306,C176,'Reviews'!$B$7:$B$306,B176)&lt;&gt;1,"Invalid review ref",IF(OR(D176="",E176="",F176="",G176="",H176="",M176=""),"Update info missing",IF(AND(OR(G176="Adopted (update)",G176="Keep unchanged"),OR(NOT(ISNUMBER(J176)),K176="")),"Adoption basis missing","Valid input"))))))</x:f>
      </x:c>
    </x:row>
    <x:row r="177" ht="2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25"/>
      <x:c r="K177" s="3"/>
      <x:c r="L177" s="20"/>
      <x:c r="M177" s="3"/>
      <x:c r="N177" s="19" t="str">
        <x:f>IF(A177="","",IF(COUNTIFS('Update log'!$A$7:$A$306,A177)&lt;&gt;1,"Duplicate ID",IF(COUNTIFS('Cases overview'!$A$7:$A$306,B177)&lt;&gt;1,"Invalid case ref",IF(COUNTIFS('Reviews'!$A$7:$A$306,C177,'Reviews'!$B$7:$B$306,B177)&lt;&gt;1,"Invalid review ref",IF(OR(D177="",E177="",F177="",G177="",H177="",M177=""),"Update info missing",IF(AND(OR(G177="Adopted (update)",G177="Keep unchanged"),OR(NOT(ISNUMBER(J177)),K177="")),"Adoption basis missing","Valid input"))))))</x:f>
      </x:c>
    </x:row>
    <x:row r="178" ht="2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25"/>
      <x:c r="K178" s="3"/>
      <x:c r="L178" s="20"/>
      <x:c r="M178" s="3"/>
      <x:c r="N178" s="19" t="str">
        <x:f>IF(A178="","",IF(COUNTIFS('Update log'!$A$7:$A$306,A178)&lt;&gt;1,"Duplicate ID",IF(COUNTIFS('Cases overview'!$A$7:$A$306,B178)&lt;&gt;1,"Invalid case ref",IF(COUNTIFS('Reviews'!$A$7:$A$306,C178,'Reviews'!$B$7:$B$306,B178)&lt;&gt;1,"Invalid review ref",IF(OR(D178="",E178="",F178="",G178="",H178="",M178=""),"Update info missing",IF(AND(OR(G178="Adopted (update)",G178="Keep unchanged"),OR(NOT(ISNUMBER(J178)),K178="")),"Adoption basis missing","Valid input"))))))</x:f>
      </x:c>
    </x:row>
    <x:row r="179" ht="2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25"/>
      <x:c r="K179" s="3"/>
      <x:c r="L179" s="20"/>
      <x:c r="M179" s="3"/>
      <x:c r="N179" s="19" t="str">
        <x:f>IF(A179="","",IF(COUNTIFS('Update log'!$A$7:$A$306,A179)&lt;&gt;1,"Duplicate ID",IF(COUNTIFS('Cases overview'!$A$7:$A$306,B179)&lt;&gt;1,"Invalid case ref",IF(COUNTIFS('Reviews'!$A$7:$A$306,C179,'Reviews'!$B$7:$B$306,B179)&lt;&gt;1,"Invalid review ref",IF(OR(D179="",E179="",F179="",G179="",H179="",M179=""),"Update info missing",IF(AND(OR(G179="Adopted (update)",G179="Keep unchanged"),OR(NOT(ISNUMBER(J179)),K179="")),"Adoption basis missing","Valid input"))))))</x:f>
      </x:c>
    </x:row>
    <x:row r="180" ht="2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25"/>
      <x:c r="K180" s="3"/>
      <x:c r="L180" s="20"/>
      <x:c r="M180" s="3"/>
      <x:c r="N180" s="19" t="str">
        <x:f>IF(A180="","",IF(COUNTIFS('Update log'!$A$7:$A$306,A180)&lt;&gt;1,"Duplicate ID",IF(COUNTIFS('Cases overview'!$A$7:$A$306,B180)&lt;&gt;1,"Invalid case ref",IF(COUNTIFS('Reviews'!$A$7:$A$306,C180,'Reviews'!$B$7:$B$306,B180)&lt;&gt;1,"Invalid review ref",IF(OR(D180="",E180="",F180="",G180="",H180="",M180=""),"Update info missing",IF(AND(OR(G180="Adopted (update)",G180="Keep unchanged"),OR(NOT(ISNUMBER(J180)),K180="")),"Adoption basis missing","Valid input"))))))</x:f>
      </x:c>
    </x:row>
    <x:row r="181" ht="2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25"/>
      <x:c r="K181" s="3"/>
      <x:c r="L181" s="20"/>
      <x:c r="M181" s="3"/>
      <x:c r="N181" s="19" t="str">
        <x:f>IF(A181="","",IF(COUNTIFS('Update log'!$A$7:$A$306,A181)&lt;&gt;1,"Duplicate ID",IF(COUNTIFS('Cases overview'!$A$7:$A$306,B181)&lt;&gt;1,"Invalid case ref",IF(COUNTIFS('Reviews'!$A$7:$A$306,C181,'Reviews'!$B$7:$B$306,B181)&lt;&gt;1,"Invalid review ref",IF(OR(D181="",E181="",F181="",G181="",H181="",M181=""),"Update info missing",IF(AND(OR(G181="Adopted (update)",G181="Keep unchanged"),OR(NOT(ISNUMBER(J181)),K181="")),"Adoption basis missing","Valid input"))))))</x:f>
      </x:c>
    </x:row>
    <x:row r="182" ht="2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25"/>
      <x:c r="K182" s="3"/>
      <x:c r="L182" s="20"/>
      <x:c r="M182" s="3"/>
      <x:c r="N182" s="19" t="str">
        <x:f>IF(A182="","",IF(COUNTIFS('Update log'!$A$7:$A$306,A182)&lt;&gt;1,"Duplicate ID",IF(COUNTIFS('Cases overview'!$A$7:$A$306,B182)&lt;&gt;1,"Invalid case ref",IF(COUNTIFS('Reviews'!$A$7:$A$306,C182,'Reviews'!$B$7:$B$306,B182)&lt;&gt;1,"Invalid review ref",IF(OR(D182="",E182="",F182="",G182="",H182="",M182=""),"Update info missing",IF(AND(OR(G182="Adopted (update)",G182="Keep unchanged"),OR(NOT(ISNUMBER(J182)),K182="")),"Adoption basis missing","Valid input"))))))</x:f>
      </x:c>
    </x:row>
    <x:row r="183" ht="2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25"/>
      <x:c r="K183" s="3"/>
      <x:c r="L183" s="20"/>
      <x:c r="M183" s="3"/>
      <x:c r="N183" s="19" t="str">
        <x:f>IF(A183="","",IF(COUNTIFS('Update log'!$A$7:$A$306,A183)&lt;&gt;1,"Duplicate ID",IF(COUNTIFS('Cases overview'!$A$7:$A$306,B183)&lt;&gt;1,"Invalid case ref",IF(COUNTIFS('Reviews'!$A$7:$A$306,C183,'Reviews'!$B$7:$B$306,B183)&lt;&gt;1,"Invalid review ref",IF(OR(D183="",E183="",F183="",G183="",H183="",M183=""),"Update info missing",IF(AND(OR(G183="Adopted (update)",G183="Keep unchanged"),OR(NOT(ISNUMBER(J183)),K183="")),"Adoption basis missing","Valid input"))))))</x:f>
      </x:c>
    </x:row>
    <x:row r="184" ht="2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25"/>
      <x:c r="K184" s="3"/>
      <x:c r="L184" s="20"/>
      <x:c r="M184" s="3"/>
      <x:c r="N184" s="19" t="str">
        <x:f>IF(A184="","",IF(COUNTIFS('Update log'!$A$7:$A$306,A184)&lt;&gt;1,"Duplicate ID",IF(COUNTIFS('Cases overview'!$A$7:$A$306,B184)&lt;&gt;1,"Invalid case ref",IF(COUNTIFS('Reviews'!$A$7:$A$306,C184,'Reviews'!$B$7:$B$306,B184)&lt;&gt;1,"Invalid review ref",IF(OR(D184="",E184="",F184="",G184="",H184="",M184=""),"Update info missing",IF(AND(OR(G184="Adopted (update)",G184="Keep unchanged"),OR(NOT(ISNUMBER(J184)),K184="")),"Adoption basis missing","Valid input"))))))</x:f>
      </x:c>
    </x:row>
    <x:row r="185" ht="2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25"/>
      <x:c r="K185" s="3"/>
      <x:c r="L185" s="20"/>
      <x:c r="M185" s="3"/>
      <x:c r="N185" s="19" t="str">
        <x:f>IF(A185="","",IF(COUNTIFS('Update log'!$A$7:$A$306,A185)&lt;&gt;1,"Duplicate ID",IF(COUNTIFS('Cases overview'!$A$7:$A$306,B185)&lt;&gt;1,"Invalid case ref",IF(COUNTIFS('Reviews'!$A$7:$A$306,C185,'Reviews'!$B$7:$B$306,B185)&lt;&gt;1,"Invalid review ref",IF(OR(D185="",E185="",F185="",G185="",H185="",M185=""),"Update info missing",IF(AND(OR(G185="Adopted (update)",G185="Keep unchanged"),OR(NOT(ISNUMBER(J185)),K185="")),"Adoption basis missing","Valid input"))))))</x:f>
      </x:c>
    </x:row>
    <x:row r="186" ht="2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25"/>
      <x:c r="K186" s="3"/>
      <x:c r="L186" s="20"/>
      <x:c r="M186" s="3"/>
      <x:c r="N186" s="19" t="str">
        <x:f>IF(A186="","",IF(COUNTIFS('Update log'!$A$7:$A$306,A186)&lt;&gt;1,"Duplicate ID",IF(COUNTIFS('Cases overview'!$A$7:$A$306,B186)&lt;&gt;1,"Invalid case ref",IF(COUNTIFS('Reviews'!$A$7:$A$306,C186,'Reviews'!$B$7:$B$306,B186)&lt;&gt;1,"Invalid review ref",IF(OR(D186="",E186="",F186="",G186="",H186="",M186=""),"Update info missing",IF(AND(OR(G186="Adopted (update)",G186="Keep unchanged"),OR(NOT(ISNUMBER(J186)),K186="")),"Adoption basis missing","Valid input"))))))</x:f>
      </x:c>
    </x:row>
    <x:row r="187" ht="2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25"/>
      <x:c r="K187" s="3"/>
      <x:c r="L187" s="20"/>
      <x:c r="M187" s="3"/>
      <x:c r="N187" s="19" t="str">
        <x:f>IF(A187="","",IF(COUNTIFS('Update log'!$A$7:$A$306,A187)&lt;&gt;1,"Duplicate ID",IF(COUNTIFS('Cases overview'!$A$7:$A$306,B187)&lt;&gt;1,"Invalid case ref",IF(COUNTIFS('Reviews'!$A$7:$A$306,C187,'Reviews'!$B$7:$B$306,B187)&lt;&gt;1,"Invalid review ref",IF(OR(D187="",E187="",F187="",G187="",H187="",M187=""),"Update info missing",IF(AND(OR(G187="Adopted (update)",G187="Keep unchanged"),OR(NOT(ISNUMBER(J187)),K187="")),"Adoption basis missing","Valid input"))))))</x:f>
      </x:c>
    </x:row>
    <x:row r="188" ht="2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25"/>
      <x:c r="K188" s="3"/>
      <x:c r="L188" s="20"/>
      <x:c r="M188" s="3"/>
      <x:c r="N188" s="19" t="str">
        <x:f>IF(A188="","",IF(COUNTIFS('Update log'!$A$7:$A$306,A188)&lt;&gt;1,"Duplicate ID",IF(COUNTIFS('Cases overview'!$A$7:$A$306,B188)&lt;&gt;1,"Invalid case ref",IF(COUNTIFS('Reviews'!$A$7:$A$306,C188,'Reviews'!$B$7:$B$306,B188)&lt;&gt;1,"Invalid review ref",IF(OR(D188="",E188="",F188="",G188="",H188="",M188=""),"Update info missing",IF(AND(OR(G188="Adopted (update)",G188="Keep unchanged"),OR(NOT(ISNUMBER(J188)),K188="")),"Adoption basis missing","Valid input"))))))</x:f>
      </x:c>
    </x:row>
    <x:row r="189" ht="2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25"/>
      <x:c r="K189" s="3"/>
      <x:c r="L189" s="20"/>
      <x:c r="M189" s="3"/>
      <x:c r="N189" s="19" t="str">
        <x:f>IF(A189="","",IF(COUNTIFS('Update log'!$A$7:$A$306,A189)&lt;&gt;1,"Duplicate ID",IF(COUNTIFS('Cases overview'!$A$7:$A$306,B189)&lt;&gt;1,"Invalid case ref",IF(COUNTIFS('Reviews'!$A$7:$A$306,C189,'Reviews'!$B$7:$B$306,B189)&lt;&gt;1,"Invalid review ref",IF(OR(D189="",E189="",F189="",G189="",H189="",M189=""),"Update info missing",IF(AND(OR(G189="Adopted (update)",G189="Keep unchanged"),OR(NOT(ISNUMBER(J189)),K189="")),"Adoption basis missing","Valid input"))))))</x:f>
      </x:c>
    </x:row>
    <x:row r="190" ht="2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25"/>
      <x:c r="K190" s="3"/>
      <x:c r="L190" s="20"/>
      <x:c r="M190" s="3"/>
      <x:c r="N190" s="19" t="str">
        <x:f>IF(A190="","",IF(COUNTIFS('Update log'!$A$7:$A$306,A190)&lt;&gt;1,"Duplicate ID",IF(COUNTIFS('Cases overview'!$A$7:$A$306,B190)&lt;&gt;1,"Invalid case ref",IF(COUNTIFS('Reviews'!$A$7:$A$306,C190,'Reviews'!$B$7:$B$306,B190)&lt;&gt;1,"Invalid review ref",IF(OR(D190="",E190="",F190="",G190="",H190="",M190=""),"Update info missing",IF(AND(OR(G190="Adopted (update)",G190="Keep unchanged"),OR(NOT(ISNUMBER(J190)),K190="")),"Adoption basis missing","Valid input"))))))</x:f>
      </x:c>
    </x:row>
    <x:row r="191" ht="2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25"/>
      <x:c r="K191" s="3"/>
      <x:c r="L191" s="20"/>
      <x:c r="M191" s="3"/>
      <x:c r="N191" s="19" t="str">
        <x:f>IF(A191="","",IF(COUNTIFS('Update log'!$A$7:$A$306,A191)&lt;&gt;1,"Duplicate ID",IF(COUNTIFS('Cases overview'!$A$7:$A$306,B191)&lt;&gt;1,"Invalid case ref",IF(COUNTIFS('Reviews'!$A$7:$A$306,C191,'Reviews'!$B$7:$B$306,B191)&lt;&gt;1,"Invalid review ref",IF(OR(D191="",E191="",F191="",G191="",H191="",M191=""),"Update info missing",IF(AND(OR(G191="Adopted (update)",G191="Keep unchanged"),OR(NOT(ISNUMBER(J191)),K191="")),"Adoption basis missing","Valid input"))))))</x:f>
      </x:c>
    </x:row>
    <x:row r="192" ht="2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25"/>
      <x:c r="K192" s="3"/>
      <x:c r="L192" s="20"/>
      <x:c r="M192" s="3"/>
      <x:c r="N192" s="19" t="str">
        <x:f>IF(A192="","",IF(COUNTIFS('Update log'!$A$7:$A$306,A192)&lt;&gt;1,"Duplicate ID",IF(COUNTIFS('Cases overview'!$A$7:$A$306,B192)&lt;&gt;1,"Invalid case ref",IF(COUNTIFS('Reviews'!$A$7:$A$306,C192,'Reviews'!$B$7:$B$306,B192)&lt;&gt;1,"Invalid review ref",IF(OR(D192="",E192="",F192="",G192="",H192="",M192=""),"Update info missing",IF(AND(OR(G192="Adopted (update)",G192="Keep unchanged"),OR(NOT(ISNUMBER(J192)),K192="")),"Adoption basis missing","Valid input"))))))</x:f>
      </x:c>
    </x:row>
    <x:row r="193" ht="2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25"/>
      <x:c r="K193" s="3"/>
      <x:c r="L193" s="20"/>
      <x:c r="M193" s="3"/>
      <x:c r="N193" s="19" t="str">
        <x:f>IF(A193="","",IF(COUNTIFS('Update log'!$A$7:$A$306,A193)&lt;&gt;1,"Duplicate ID",IF(COUNTIFS('Cases overview'!$A$7:$A$306,B193)&lt;&gt;1,"Invalid case ref",IF(COUNTIFS('Reviews'!$A$7:$A$306,C193,'Reviews'!$B$7:$B$306,B193)&lt;&gt;1,"Invalid review ref",IF(OR(D193="",E193="",F193="",G193="",H193="",M193=""),"Update info missing",IF(AND(OR(G193="Adopted (update)",G193="Keep unchanged"),OR(NOT(ISNUMBER(J193)),K193="")),"Adoption basis missing","Valid input"))))))</x:f>
      </x:c>
    </x:row>
    <x:row r="194" ht="2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25"/>
      <x:c r="K194" s="3"/>
      <x:c r="L194" s="20"/>
      <x:c r="M194" s="3"/>
      <x:c r="N194" s="19" t="str">
        <x:f>IF(A194="","",IF(COUNTIFS('Update log'!$A$7:$A$306,A194)&lt;&gt;1,"Duplicate ID",IF(COUNTIFS('Cases overview'!$A$7:$A$306,B194)&lt;&gt;1,"Invalid case ref",IF(COUNTIFS('Reviews'!$A$7:$A$306,C194,'Reviews'!$B$7:$B$306,B194)&lt;&gt;1,"Invalid review ref",IF(OR(D194="",E194="",F194="",G194="",H194="",M194=""),"Update info missing",IF(AND(OR(G194="Adopted (update)",G194="Keep unchanged"),OR(NOT(ISNUMBER(J194)),K194="")),"Adoption basis missing","Valid input"))))))</x:f>
      </x:c>
    </x:row>
    <x:row r="195" ht="2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25"/>
      <x:c r="K195" s="3"/>
      <x:c r="L195" s="20"/>
      <x:c r="M195" s="3"/>
      <x:c r="N195" s="19" t="str">
        <x:f>IF(A195="","",IF(COUNTIFS('Update log'!$A$7:$A$306,A195)&lt;&gt;1,"Duplicate ID",IF(COUNTIFS('Cases overview'!$A$7:$A$306,B195)&lt;&gt;1,"Invalid case ref",IF(COUNTIFS('Reviews'!$A$7:$A$306,C195,'Reviews'!$B$7:$B$306,B195)&lt;&gt;1,"Invalid review ref",IF(OR(D195="",E195="",F195="",G195="",H195="",M195=""),"Update info missing",IF(AND(OR(G195="Adopted (update)",G195="Keep unchanged"),OR(NOT(ISNUMBER(J195)),K195="")),"Adoption basis missing","Valid input"))))))</x:f>
      </x:c>
    </x:row>
    <x:row r="196" ht="2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25"/>
      <x:c r="K196" s="3"/>
      <x:c r="L196" s="20"/>
      <x:c r="M196" s="3"/>
      <x:c r="N196" s="19" t="str">
        <x:f>IF(A196="","",IF(COUNTIFS('Update log'!$A$7:$A$306,A196)&lt;&gt;1,"Duplicate ID",IF(COUNTIFS('Cases overview'!$A$7:$A$306,B196)&lt;&gt;1,"Invalid case ref",IF(COUNTIFS('Reviews'!$A$7:$A$306,C196,'Reviews'!$B$7:$B$306,B196)&lt;&gt;1,"Invalid review ref",IF(OR(D196="",E196="",F196="",G196="",H196="",M196=""),"Update info missing",IF(AND(OR(G196="Adopted (update)",G196="Keep unchanged"),OR(NOT(ISNUMBER(J196)),K196="")),"Adoption basis missing","Valid input"))))))</x:f>
      </x:c>
    </x:row>
    <x:row r="197" ht="2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25"/>
      <x:c r="K197" s="3"/>
      <x:c r="L197" s="20"/>
      <x:c r="M197" s="3"/>
      <x:c r="N197" s="19" t="str">
        <x:f>IF(A197="","",IF(COUNTIFS('Update log'!$A$7:$A$306,A197)&lt;&gt;1,"Duplicate ID",IF(COUNTIFS('Cases overview'!$A$7:$A$306,B197)&lt;&gt;1,"Invalid case ref",IF(COUNTIFS('Reviews'!$A$7:$A$306,C197,'Reviews'!$B$7:$B$306,B197)&lt;&gt;1,"Invalid review ref",IF(OR(D197="",E197="",F197="",G197="",H197="",M197=""),"Update info missing",IF(AND(OR(G197="Adopted (update)",G197="Keep unchanged"),OR(NOT(ISNUMBER(J197)),K197="")),"Adoption basis missing","Valid input"))))))</x:f>
      </x:c>
    </x:row>
    <x:row r="198" ht="2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25"/>
      <x:c r="K198" s="3"/>
      <x:c r="L198" s="20"/>
      <x:c r="M198" s="3"/>
      <x:c r="N198" s="19" t="str">
        <x:f>IF(A198="","",IF(COUNTIFS('Update log'!$A$7:$A$306,A198)&lt;&gt;1,"Duplicate ID",IF(COUNTIFS('Cases overview'!$A$7:$A$306,B198)&lt;&gt;1,"Invalid case ref",IF(COUNTIFS('Reviews'!$A$7:$A$306,C198,'Reviews'!$B$7:$B$306,B198)&lt;&gt;1,"Invalid review ref",IF(OR(D198="",E198="",F198="",G198="",H198="",M198=""),"Update info missing",IF(AND(OR(G198="Adopted (update)",G198="Keep unchanged"),OR(NOT(ISNUMBER(J198)),K198="")),"Adoption basis missing","Valid input"))))))</x:f>
      </x:c>
    </x:row>
    <x:row r="199" ht="2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25"/>
      <x:c r="K199" s="3"/>
      <x:c r="L199" s="20"/>
      <x:c r="M199" s="3"/>
      <x:c r="N199" s="19" t="str">
        <x:f>IF(A199="","",IF(COUNTIFS('Update log'!$A$7:$A$306,A199)&lt;&gt;1,"Duplicate ID",IF(COUNTIFS('Cases overview'!$A$7:$A$306,B199)&lt;&gt;1,"Invalid case ref",IF(COUNTIFS('Reviews'!$A$7:$A$306,C199,'Reviews'!$B$7:$B$306,B199)&lt;&gt;1,"Invalid review ref",IF(OR(D199="",E199="",F199="",G199="",H199="",M199=""),"Update info missing",IF(AND(OR(G199="Adopted (update)",G199="Keep unchanged"),OR(NOT(ISNUMBER(J199)),K199="")),"Adoption basis missing","Valid input"))))))</x:f>
      </x:c>
    </x:row>
    <x:row r="200" ht="2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25"/>
      <x:c r="K200" s="3"/>
      <x:c r="L200" s="20"/>
      <x:c r="M200" s="3"/>
      <x:c r="N200" s="19" t="str">
        <x:f>IF(A200="","",IF(COUNTIFS('Update log'!$A$7:$A$306,A200)&lt;&gt;1,"Duplicate ID",IF(COUNTIFS('Cases overview'!$A$7:$A$306,B200)&lt;&gt;1,"Invalid case ref",IF(COUNTIFS('Reviews'!$A$7:$A$306,C200,'Reviews'!$B$7:$B$306,B200)&lt;&gt;1,"Invalid review ref",IF(OR(D200="",E200="",F200="",G200="",H200="",M200=""),"Update info missing",IF(AND(OR(G200="Adopted (update)",G200="Keep unchanged"),OR(NOT(ISNUMBER(J200)),K200="")),"Adoption basis missing","Valid input"))))))</x:f>
      </x:c>
    </x:row>
    <x:row r="201" ht="2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25"/>
      <x:c r="K201" s="3"/>
      <x:c r="L201" s="20"/>
      <x:c r="M201" s="3"/>
      <x:c r="N201" s="19" t="str">
        <x:f>IF(A201="","",IF(COUNTIFS('Update log'!$A$7:$A$306,A201)&lt;&gt;1,"Duplicate ID",IF(COUNTIFS('Cases overview'!$A$7:$A$306,B201)&lt;&gt;1,"Invalid case ref",IF(COUNTIFS('Reviews'!$A$7:$A$306,C201,'Reviews'!$B$7:$B$306,B201)&lt;&gt;1,"Invalid review ref",IF(OR(D201="",E201="",F201="",G201="",H201="",M201=""),"Update info missing",IF(AND(OR(G201="Adopted (update)",G201="Keep unchanged"),OR(NOT(ISNUMBER(J201)),K201="")),"Adoption basis missing","Valid input"))))))</x:f>
      </x:c>
    </x:row>
    <x:row r="202" ht="2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25"/>
      <x:c r="K202" s="3"/>
      <x:c r="L202" s="20"/>
      <x:c r="M202" s="3"/>
      <x:c r="N202" s="19" t="str">
        <x:f>IF(A202="","",IF(COUNTIFS('Update log'!$A$7:$A$306,A202)&lt;&gt;1,"Duplicate ID",IF(COUNTIFS('Cases overview'!$A$7:$A$306,B202)&lt;&gt;1,"Invalid case ref",IF(COUNTIFS('Reviews'!$A$7:$A$306,C202,'Reviews'!$B$7:$B$306,B202)&lt;&gt;1,"Invalid review ref",IF(OR(D202="",E202="",F202="",G202="",H202="",M202=""),"Update info missing",IF(AND(OR(G202="Adopted (update)",G202="Keep unchanged"),OR(NOT(ISNUMBER(J202)),K202="")),"Adoption basis missing","Valid input"))))))</x:f>
      </x:c>
    </x:row>
    <x:row r="203" ht="2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25"/>
      <x:c r="K203" s="3"/>
      <x:c r="L203" s="20"/>
      <x:c r="M203" s="3"/>
      <x:c r="N203" s="19" t="str">
        <x:f>IF(A203="","",IF(COUNTIFS('Update log'!$A$7:$A$306,A203)&lt;&gt;1,"Duplicate ID",IF(COUNTIFS('Cases overview'!$A$7:$A$306,B203)&lt;&gt;1,"Invalid case ref",IF(COUNTIFS('Reviews'!$A$7:$A$306,C203,'Reviews'!$B$7:$B$306,B203)&lt;&gt;1,"Invalid review ref",IF(OR(D203="",E203="",F203="",G203="",H203="",M203=""),"Update info missing",IF(AND(OR(G203="Adopted (update)",G203="Keep unchanged"),OR(NOT(ISNUMBER(J203)),K203="")),"Adoption basis missing","Valid input"))))))</x:f>
      </x:c>
    </x:row>
    <x:row r="204" ht="2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25"/>
      <x:c r="K204" s="3"/>
      <x:c r="L204" s="20"/>
      <x:c r="M204" s="3"/>
      <x:c r="N204" s="19" t="str">
        <x:f>IF(A204="","",IF(COUNTIFS('Update log'!$A$7:$A$306,A204)&lt;&gt;1,"Duplicate ID",IF(COUNTIFS('Cases overview'!$A$7:$A$306,B204)&lt;&gt;1,"Invalid case ref",IF(COUNTIFS('Reviews'!$A$7:$A$306,C204,'Reviews'!$B$7:$B$306,B204)&lt;&gt;1,"Invalid review ref",IF(OR(D204="",E204="",F204="",G204="",H204="",M204=""),"Update info missing",IF(AND(OR(G204="Adopted (update)",G204="Keep unchanged"),OR(NOT(ISNUMBER(J204)),K204="")),"Adoption basis missing","Valid input"))))))</x:f>
      </x:c>
    </x:row>
    <x:row r="205" ht="2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25"/>
      <x:c r="K205" s="3"/>
      <x:c r="L205" s="20"/>
      <x:c r="M205" s="3"/>
      <x:c r="N205" s="19" t="str">
        <x:f>IF(A205="","",IF(COUNTIFS('Update log'!$A$7:$A$306,A205)&lt;&gt;1,"Duplicate ID",IF(COUNTIFS('Cases overview'!$A$7:$A$306,B205)&lt;&gt;1,"Invalid case ref",IF(COUNTIFS('Reviews'!$A$7:$A$306,C205,'Reviews'!$B$7:$B$306,B205)&lt;&gt;1,"Invalid review ref",IF(OR(D205="",E205="",F205="",G205="",H205="",M205=""),"Update info missing",IF(AND(OR(G205="Adopted (update)",G205="Keep unchanged"),OR(NOT(ISNUMBER(J205)),K205="")),"Adoption basis missing","Valid input"))))))</x:f>
      </x:c>
    </x:row>
    <x:row r="206" ht="2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25"/>
      <x:c r="K206" s="3"/>
      <x:c r="L206" s="20"/>
      <x:c r="M206" s="3"/>
      <x:c r="N206" s="19" t="str">
        <x:f>IF(A206="","",IF(COUNTIFS('Update log'!$A$7:$A$306,A206)&lt;&gt;1,"Duplicate ID",IF(COUNTIFS('Cases overview'!$A$7:$A$306,B206)&lt;&gt;1,"Invalid case ref",IF(COUNTIFS('Reviews'!$A$7:$A$306,C206,'Reviews'!$B$7:$B$306,B206)&lt;&gt;1,"Invalid review ref",IF(OR(D206="",E206="",F206="",G206="",H206="",M206=""),"Update info missing",IF(AND(OR(G206="Adopted (update)",G206="Keep unchanged"),OR(NOT(ISNUMBER(J206)),K206="")),"Adoption basis missing","Valid input"))))))</x:f>
      </x:c>
    </x:row>
    <x:row r="207" ht="2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25"/>
      <x:c r="K207" s="3"/>
      <x:c r="L207" s="20"/>
      <x:c r="M207" s="3"/>
      <x:c r="N207" s="19" t="str">
        <x:f>IF(A207="","",IF(COUNTIFS('Update log'!$A$7:$A$306,A207)&lt;&gt;1,"Duplicate ID",IF(COUNTIFS('Cases overview'!$A$7:$A$306,B207)&lt;&gt;1,"Invalid case ref",IF(COUNTIFS('Reviews'!$A$7:$A$306,C207,'Reviews'!$B$7:$B$306,B207)&lt;&gt;1,"Invalid review ref",IF(OR(D207="",E207="",F207="",G207="",H207="",M207=""),"Update info missing",IF(AND(OR(G207="Adopted (update)",G207="Keep unchanged"),OR(NOT(ISNUMBER(J207)),K207="")),"Adoption basis missing","Valid input"))))))</x:f>
      </x:c>
    </x:row>
    <x:row r="208" ht="2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25"/>
      <x:c r="K208" s="3"/>
      <x:c r="L208" s="20"/>
      <x:c r="M208" s="3"/>
      <x:c r="N208" s="19" t="str">
        <x:f>IF(A208="","",IF(COUNTIFS('Update log'!$A$7:$A$306,A208)&lt;&gt;1,"Duplicate ID",IF(COUNTIFS('Cases overview'!$A$7:$A$306,B208)&lt;&gt;1,"Invalid case ref",IF(COUNTIFS('Reviews'!$A$7:$A$306,C208,'Reviews'!$B$7:$B$306,B208)&lt;&gt;1,"Invalid review ref",IF(OR(D208="",E208="",F208="",G208="",H208="",M208=""),"Update info missing",IF(AND(OR(G208="Adopted (update)",G208="Keep unchanged"),OR(NOT(ISNUMBER(J208)),K208="")),"Adoption basis missing","Valid input"))))))</x:f>
      </x:c>
    </x:row>
    <x:row r="209" ht="2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25"/>
      <x:c r="K209" s="3"/>
      <x:c r="L209" s="20"/>
      <x:c r="M209" s="3"/>
      <x:c r="N209" s="19" t="str">
        <x:f>IF(A209="","",IF(COUNTIFS('Update log'!$A$7:$A$306,A209)&lt;&gt;1,"Duplicate ID",IF(COUNTIFS('Cases overview'!$A$7:$A$306,B209)&lt;&gt;1,"Invalid case ref",IF(COUNTIFS('Reviews'!$A$7:$A$306,C209,'Reviews'!$B$7:$B$306,B209)&lt;&gt;1,"Invalid review ref",IF(OR(D209="",E209="",F209="",G209="",H209="",M209=""),"Update info missing",IF(AND(OR(G209="Adopted (update)",G209="Keep unchanged"),OR(NOT(ISNUMBER(J209)),K209="")),"Adoption basis missing","Valid input"))))))</x:f>
      </x:c>
    </x:row>
    <x:row r="210" ht="2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25"/>
      <x:c r="K210" s="3"/>
      <x:c r="L210" s="20"/>
      <x:c r="M210" s="3"/>
      <x:c r="N210" s="19" t="str">
        <x:f>IF(A210="","",IF(COUNTIFS('Update log'!$A$7:$A$306,A210)&lt;&gt;1,"Duplicate ID",IF(COUNTIFS('Cases overview'!$A$7:$A$306,B210)&lt;&gt;1,"Invalid case ref",IF(COUNTIFS('Reviews'!$A$7:$A$306,C210,'Reviews'!$B$7:$B$306,B210)&lt;&gt;1,"Invalid review ref",IF(OR(D210="",E210="",F210="",G210="",H210="",M210=""),"Update info missing",IF(AND(OR(G210="Adopted (update)",G210="Keep unchanged"),OR(NOT(ISNUMBER(J210)),K210="")),"Adoption basis missing","Valid input"))))))</x:f>
      </x:c>
    </x:row>
    <x:row r="211" ht="2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25"/>
      <x:c r="K211" s="3"/>
      <x:c r="L211" s="20"/>
      <x:c r="M211" s="3"/>
      <x:c r="N211" s="19" t="str">
        <x:f>IF(A211="","",IF(COUNTIFS('Update log'!$A$7:$A$306,A211)&lt;&gt;1,"Duplicate ID",IF(COUNTIFS('Cases overview'!$A$7:$A$306,B211)&lt;&gt;1,"Invalid case ref",IF(COUNTIFS('Reviews'!$A$7:$A$306,C211,'Reviews'!$B$7:$B$306,B211)&lt;&gt;1,"Invalid review ref",IF(OR(D211="",E211="",F211="",G211="",H211="",M211=""),"Update info missing",IF(AND(OR(G211="Adopted (update)",G211="Keep unchanged"),OR(NOT(ISNUMBER(J211)),K211="")),"Adoption basis missing","Valid input"))))))</x:f>
      </x:c>
    </x:row>
    <x:row r="212" ht="2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25"/>
      <x:c r="K212" s="3"/>
      <x:c r="L212" s="20"/>
      <x:c r="M212" s="3"/>
      <x:c r="N212" s="19" t="str">
        <x:f>IF(A212="","",IF(COUNTIFS('Update log'!$A$7:$A$306,A212)&lt;&gt;1,"Duplicate ID",IF(COUNTIFS('Cases overview'!$A$7:$A$306,B212)&lt;&gt;1,"Invalid case ref",IF(COUNTIFS('Reviews'!$A$7:$A$306,C212,'Reviews'!$B$7:$B$306,B212)&lt;&gt;1,"Invalid review ref",IF(OR(D212="",E212="",F212="",G212="",H212="",M212=""),"Update info missing",IF(AND(OR(G212="Adopted (update)",G212="Keep unchanged"),OR(NOT(ISNUMBER(J212)),K212="")),"Adoption basis missing","Valid input"))))))</x:f>
      </x:c>
    </x:row>
    <x:row r="213" ht="2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25"/>
      <x:c r="K213" s="3"/>
      <x:c r="L213" s="20"/>
      <x:c r="M213" s="3"/>
      <x:c r="N213" s="19" t="str">
        <x:f>IF(A213="","",IF(COUNTIFS('Update log'!$A$7:$A$306,A213)&lt;&gt;1,"Duplicate ID",IF(COUNTIFS('Cases overview'!$A$7:$A$306,B213)&lt;&gt;1,"Invalid case ref",IF(COUNTIFS('Reviews'!$A$7:$A$306,C213,'Reviews'!$B$7:$B$306,B213)&lt;&gt;1,"Invalid review ref",IF(OR(D213="",E213="",F213="",G213="",H213="",M213=""),"Update info missing",IF(AND(OR(G213="Adopted (update)",G213="Keep unchanged"),OR(NOT(ISNUMBER(J213)),K213="")),"Adoption basis missing","Valid input"))))))</x:f>
      </x:c>
    </x:row>
    <x:row r="214" ht="2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25"/>
      <x:c r="K214" s="3"/>
      <x:c r="L214" s="20"/>
      <x:c r="M214" s="3"/>
      <x:c r="N214" s="19" t="str">
        <x:f>IF(A214="","",IF(COUNTIFS('Update log'!$A$7:$A$306,A214)&lt;&gt;1,"Duplicate ID",IF(COUNTIFS('Cases overview'!$A$7:$A$306,B214)&lt;&gt;1,"Invalid case ref",IF(COUNTIFS('Reviews'!$A$7:$A$306,C214,'Reviews'!$B$7:$B$306,B214)&lt;&gt;1,"Invalid review ref",IF(OR(D214="",E214="",F214="",G214="",H214="",M214=""),"Update info missing",IF(AND(OR(G214="Adopted (update)",G214="Keep unchanged"),OR(NOT(ISNUMBER(J214)),K214="")),"Adoption basis missing","Valid input"))))))</x:f>
      </x:c>
    </x:row>
    <x:row r="215" ht="2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25"/>
      <x:c r="K215" s="3"/>
      <x:c r="L215" s="20"/>
      <x:c r="M215" s="3"/>
      <x:c r="N215" s="19" t="str">
        <x:f>IF(A215="","",IF(COUNTIFS('Update log'!$A$7:$A$306,A215)&lt;&gt;1,"Duplicate ID",IF(COUNTIFS('Cases overview'!$A$7:$A$306,B215)&lt;&gt;1,"Invalid case ref",IF(COUNTIFS('Reviews'!$A$7:$A$306,C215,'Reviews'!$B$7:$B$306,B215)&lt;&gt;1,"Invalid review ref",IF(OR(D215="",E215="",F215="",G215="",H215="",M215=""),"Update info missing",IF(AND(OR(G215="Adopted (update)",G215="Keep unchanged"),OR(NOT(ISNUMBER(J215)),K215="")),"Adoption basis missing","Valid input"))))))</x:f>
      </x:c>
    </x:row>
    <x:row r="216" ht="2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25"/>
      <x:c r="K216" s="3"/>
      <x:c r="L216" s="20"/>
      <x:c r="M216" s="3"/>
      <x:c r="N216" s="19" t="str">
        <x:f>IF(A216="","",IF(COUNTIFS('Update log'!$A$7:$A$306,A216)&lt;&gt;1,"Duplicate ID",IF(COUNTIFS('Cases overview'!$A$7:$A$306,B216)&lt;&gt;1,"Invalid case ref",IF(COUNTIFS('Reviews'!$A$7:$A$306,C216,'Reviews'!$B$7:$B$306,B216)&lt;&gt;1,"Invalid review ref",IF(OR(D216="",E216="",F216="",G216="",H216="",M216=""),"Update info missing",IF(AND(OR(G216="Adopted (update)",G216="Keep unchanged"),OR(NOT(ISNUMBER(J216)),K216="")),"Adoption basis missing","Valid input"))))))</x:f>
      </x:c>
    </x:row>
    <x:row r="217" ht="25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25"/>
      <x:c r="K217" s="3"/>
      <x:c r="L217" s="20"/>
      <x:c r="M217" s="3"/>
      <x:c r="N217" s="19" t="str">
        <x:f>IF(A217="","",IF(COUNTIFS('Update log'!$A$7:$A$306,A217)&lt;&gt;1,"Duplicate ID",IF(COUNTIFS('Cases overview'!$A$7:$A$306,B217)&lt;&gt;1,"Invalid case ref",IF(COUNTIFS('Reviews'!$A$7:$A$306,C217,'Reviews'!$B$7:$B$306,B217)&lt;&gt;1,"Invalid review ref",IF(OR(D217="",E217="",F217="",G217="",H217="",M217=""),"Update info missing",IF(AND(OR(G217="Adopted (update)",G217="Keep unchanged"),OR(NOT(ISNUMBER(J217)),K217="")),"Adoption basis missing","Valid input"))))))</x:f>
      </x:c>
    </x:row>
    <x:row r="218" ht="25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25"/>
      <x:c r="K218" s="3"/>
      <x:c r="L218" s="20"/>
      <x:c r="M218" s="3"/>
      <x:c r="N218" s="19" t="str">
        <x:f>IF(A218="","",IF(COUNTIFS('Update log'!$A$7:$A$306,A218)&lt;&gt;1,"Duplicate ID",IF(COUNTIFS('Cases overview'!$A$7:$A$306,B218)&lt;&gt;1,"Invalid case ref",IF(COUNTIFS('Reviews'!$A$7:$A$306,C218,'Reviews'!$B$7:$B$306,B218)&lt;&gt;1,"Invalid review ref",IF(OR(D218="",E218="",F218="",G218="",H218="",M218=""),"Update info missing",IF(AND(OR(G218="Adopted (update)",G218="Keep unchanged"),OR(NOT(ISNUMBER(J218)),K218="")),"Adoption basis missing","Valid input"))))))</x:f>
      </x:c>
    </x:row>
    <x:row r="219" ht="25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25"/>
      <x:c r="K219" s="3"/>
      <x:c r="L219" s="20"/>
      <x:c r="M219" s="3"/>
      <x:c r="N219" s="19" t="str">
        <x:f>IF(A219="","",IF(COUNTIFS('Update log'!$A$7:$A$306,A219)&lt;&gt;1,"Duplicate ID",IF(COUNTIFS('Cases overview'!$A$7:$A$306,B219)&lt;&gt;1,"Invalid case ref",IF(COUNTIFS('Reviews'!$A$7:$A$306,C219,'Reviews'!$B$7:$B$306,B219)&lt;&gt;1,"Invalid review ref",IF(OR(D219="",E219="",F219="",G219="",H219="",M219=""),"Update info missing",IF(AND(OR(G219="Adopted (update)",G219="Keep unchanged"),OR(NOT(ISNUMBER(J219)),K219="")),"Adoption basis missing","Valid input"))))))</x:f>
      </x:c>
    </x:row>
    <x:row r="220" ht="25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25"/>
      <x:c r="K220" s="3"/>
      <x:c r="L220" s="20"/>
      <x:c r="M220" s="3"/>
      <x:c r="N220" s="19" t="str">
        <x:f>IF(A220="","",IF(COUNTIFS('Update log'!$A$7:$A$306,A220)&lt;&gt;1,"Duplicate ID",IF(COUNTIFS('Cases overview'!$A$7:$A$306,B220)&lt;&gt;1,"Invalid case ref",IF(COUNTIFS('Reviews'!$A$7:$A$306,C220,'Reviews'!$B$7:$B$306,B220)&lt;&gt;1,"Invalid review ref",IF(OR(D220="",E220="",F220="",G220="",H220="",M220=""),"Update info missing",IF(AND(OR(G220="Adopted (update)",G220="Keep unchanged"),OR(NOT(ISNUMBER(J220)),K220="")),"Adoption basis missing","Valid input"))))))</x:f>
      </x:c>
    </x:row>
    <x:row r="221" ht="25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25"/>
      <x:c r="K221" s="3"/>
      <x:c r="L221" s="20"/>
      <x:c r="M221" s="3"/>
      <x:c r="N221" s="19" t="str">
        <x:f>IF(A221="","",IF(COUNTIFS('Update log'!$A$7:$A$306,A221)&lt;&gt;1,"Duplicate ID",IF(COUNTIFS('Cases overview'!$A$7:$A$306,B221)&lt;&gt;1,"Invalid case ref",IF(COUNTIFS('Reviews'!$A$7:$A$306,C221,'Reviews'!$B$7:$B$306,B221)&lt;&gt;1,"Invalid review ref",IF(OR(D221="",E221="",F221="",G221="",H221="",M221=""),"Update info missing",IF(AND(OR(G221="Adopted (update)",G221="Keep unchanged"),OR(NOT(ISNUMBER(J221)),K221="")),"Adoption basis missing","Valid input"))))))</x:f>
      </x:c>
    </x:row>
    <x:row r="222" ht="25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25"/>
      <x:c r="K222" s="3"/>
      <x:c r="L222" s="20"/>
      <x:c r="M222" s="3"/>
      <x:c r="N222" s="19" t="str">
        <x:f>IF(A222="","",IF(COUNTIFS('Update log'!$A$7:$A$306,A222)&lt;&gt;1,"Duplicate ID",IF(COUNTIFS('Cases overview'!$A$7:$A$306,B222)&lt;&gt;1,"Invalid case ref",IF(COUNTIFS('Reviews'!$A$7:$A$306,C222,'Reviews'!$B$7:$B$306,B222)&lt;&gt;1,"Invalid review ref",IF(OR(D222="",E222="",F222="",G222="",H222="",M222=""),"Update info missing",IF(AND(OR(G222="Adopted (update)",G222="Keep unchanged"),OR(NOT(ISNUMBER(J222)),K222="")),"Adoption basis missing","Valid input"))))))</x:f>
      </x:c>
    </x:row>
    <x:row r="223" ht="25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25"/>
      <x:c r="K223" s="3"/>
      <x:c r="L223" s="20"/>
      <x:c r="M223" s="3"/>
      <x:c r="N223" s="19" t="str">
        <x:f>IF(A223="","",IF(COUNTIFS('Update log'!$A$7:$A$306,A223)&lt;&gt;1,"Duplicate ID",IF(COUNTIFS('Cases overview'!$A$7:$A$306,B223)&lt;&gt;1,"Invalid case ref",IF(COUNTIFS('Reviews'!$A$7:$A$306,C223,'Reviews'!$B$7:$B$306,B223)&lt;&gt;1,"Invalid review ref",IF(OR(D223="",E223="",F223="",G223="",H223="",M223=""),"Update info missing",IF(AND(OR(G223="Adopted (update)",G223="Keep unchanged"),OR(NOT(ISNUMBER(J223)),K223="")),"Adoption basis missing","Valid input"))))))</x:f>
      </x:c>
    </x:row>
    <x:row r="224" ht="25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25"/>
      <x:c r="K224" s="3"/>
      <x:c r="L224" s="20"/>
      <x:c r="M224" s="3"/>
      <x:c r="N224" s="19" t="str">
        <x:f>IF(A224="","",IF(COUNTIFS('Update log'!$A$7:$A$306,A224)&lt;&gt;1,"Duplicate ID",IF(COUNTIFS('Cases overview'!$A$7:$A$306,B224)&lt;&gt;1,"Invalid case ref",IF(COUNTIFS('Reviews'!$A$7:$A$306,C224,'Reviews'!$B$7:$B$306,B224)&lt;&gt;1,"Invalid review ref",IF(OR(D224="",E224="",F224="",G224="",H224="",M224=""),"Update info missing",IF(AND(OR(G224="Adopted (update)",G224="Keep unchanged"),OR(NOT(ISNUMBER(J224)),K224="")),"Adoption basis missing","Valid input"))))))</x:f>
      </x:c>
    </x:row>
    <x:row r="225" ht="25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25"/>
      <x:c r="K225" s="3"/>
      <x:c r="L225" s="20"/>
      <x:c r="M225" s="3"/>
      <x:c r="N225" s="19" t="str">
        <x:f>IF(A225="","",IF(COUNTIFS('Update log'!$A$7:$A$306,A225)&lt;&gt;1,"Duplicate ID",IF(COUNTIFS('Cases overview'!$A$7:$A$306,B225)&lt;&gt;1,"Invalid case ref",IF(COUNTIFS('Reviews'!$A$7:$A$306,C225,'Reviews'!$B$7:$B$306,B225)&lt;&gt;1,"Invalid review ref",IF(OR(D225="",E225="",F225="",G225="",H225="",M225=""),"Update info missing",IF(AND(OR(G225="Adopted (update)",G225="Keep unchanged"),OR(NOT(ISNUMBER(J225)),K225="")),"Adoption basis missing","Valid input"))))))</x:f>
      </x:c>
    </x:row>
    <x:row r="226" ht="25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25"/>
      <x:c r="K226" s="3"/>
      <x:c r="L226" s="20"/>
      <x:c r="M226" s="3"/>
      <x:c r="N226" s="19" t="str">
        <x:f>IF(A226="","",IF(COUNTIFS('Update log'!$A$7:$A$306,A226)&lt;&gt;1,"Duplicate ID",IF(COUNTIFS('Cases overview'!$A$7:$A$306,B226)&lt;&gt;1,"Invalid case ref",IF(COUNTIFS('Reviews'!$A$7:$A$306,C226,'Reviews'!$B$7:$B$306,B226)&lt;&gt;1,"Invalid review ref",IF(OR(D226="",E226="",F226="",G226="",H226="",M226=""),"Update info missing",IF(AND(OR(G226="Adopted (update)",G226="Keep unchanged"),OR(NOT(ISNUMBER(J226)),K226="")),"Adoption basis missing","Valid input"))))))</x:f>
      </x:c>
    </x:row>
    <x:row r="227" ht="25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25"/>
      <x:c r="K227" s="3"/>
      <x:c r="L227" s="20"/>
      <x:c r="M227" s="3"/>
      <x:c r="N227" s="19" t="str">
        <x:f>IF(A227="","",IF(COUNTIFS('Update log'!$A$7:$A$306,A227)&lt;&gt;1,"Duplicate ID",IF(COUNTIFS('Cases overview'!$A$7:$A$306,B227)&lt;&gt;1,"Invalid case ref",IF(COUNTIFS('Reviews'!$A$7:$A$306,C227,'Reviews'!$B$7:$B$306,B227)&lt;&gt;1,"Invalid review ref",IF(OR(D227="",E227="",F227="",G227="",H227="",M227=""),"Update info missing",IF(AND(OR(G227="Adopted (update)",G227="Keep unchanged"),OR(NOT(ISNUMBER(J227)),K227="")),"Adoption basis missing","Valid input"))))))</x:f>
      </x:c>
    </x:row>
    <x:row r="228" ht="25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25"/>
      <x:c r="K228" s="3"/>
      <x:c r="L228" s="20"/>
      <x:c r="M228" s="3"/>
      <x:c r="N228" s="19" t="str">
        <x:f>IF(A228="","",IF(COUNTIFS('Update log'!$A$7:$A$306,A228)&lt;&gt;1,"Duplicate ID",IF(COUNTIFS('Cases overview'!$A$7:$A$306,B228)&lt;&gt;1,"Invalid case ref",IF(COUNTIFS('Reviews'!$A$7:$A$306,C228,'Reviews'!$B$7:$B$306,B228)&lt;&gt;1,"Invalid review ref",IF(OR(D228="",E228="",F228="",G228="",H228="",M228=""),"Update info missing",IF(AND(OR(G228="Adopted (update)",G228="Keep unchanged"),OR(NOT(ISNUMBER(J228)),K228="")),"Adoption basis missing","Valid input"))))))</x:f>
      </x:c>
    </x:row>
    <x:row r="229" ht="25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25"/>
      <x:c r="K229" s="3"/>
      <x:c r="L229" s="20"/>
      <x:c r="M229" s="3"/>
      <x:c r="N229" s="19" t="str">
        <x:f>IF(A229="","",IF(COUNTIFS('Update log'!$A$7:$A$306,A229)&lt;&gt;1,"Duplicate ID",IF(COUNTIFS('Cases overview'!$A$7:$A$306,B229)&lt;&gt;1,"Invalid case ref",IF(COUNTIFS('Reviews'!$A$7:$A$306,C229,'Reviews'!$B$7:$B$306,B229)&lt;&gt;1,"Invalid review ref",IF(OR(D229="",E229="",F229="",G229="",H229="",M229=""),"Update info missing",IF(AND(OR(G229="Adopted (update)",G229="Keep unchanged"),OR(NOT(ISNUMBER(J229)),K229="")),"Adoption basis missing","Valid input"))))))</x:f>
      </x:c>
    </x:row>
    <x:row r="230" ht="25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25"/>
      <x:c r="K230" s="3"/>
      <x:c r="L230" s="20"/>
      <x:c r="M230" s="3"/>
      <x:c r="N230" s="19" t="str">
        <x:f>IF(A230="","",IF(COUNTIFS('Update log'!$A$7:$A$306,A230)&lt;&gt;1,"Duplicate ID",IF(COUNTIFS('Cases overview'!$A$7:$A$306,B230)&lt;&gt;1,"Invalid case ref",IF(COUNTIFS('Reviews'!$A$7:$A$306,C230,'Reviews'!$B$7:$B$306,B230)&lt;&gt;1,"Invalid review ref",IF(OR(D230="",E230="",F230="",G230="",H230="",M230=""),"Update info missing",IF(AND(OR(G230="Adopted (update)",G230="Keep unchanged"),OR(NOT(ISNUMBER(J230)),K230="")),"Adoption basis missing","Valid input"))))))</x:f>
      </x:c>
    </x:row>
    <x:row r="231" ht="25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25"/>
      <x:c r="K231" s="3"/>
      <x:c r="L231" s="20"/>
      <x:c r="M231" s="3"/>
      <x:c r="N231" s="19" t="str">
        <x:f>IF(A231="","",IF(COUNTIFS('Update log'!$A$7:$A$306,A231)&lt;&gt;1,"Duplicate ID",IF(COUNTIFS('Cases overview'!$A$7:$A$306,B231)&lt;&gt;1,"Invalid case ref",IF(COUNTIFS('Reviews'!$A$7:$A$306,C231,'Reviews'!$B$7:$B$306,B231)&lt;&gt;1,"Invalid review ref",IF(OR(D231="",E231="",F231="",G231="",H231="",M231=""),"Update info missing",IF(AND(OR(G231="Adopted (update)",G231="Keep unchanged"),OR(NOT(ISNUMBER(J231)),K231="")),"Adoption basis missing","Valid input"))))))</x:f>
      </x:c>
    </x:row>
    <x:row r="232" ht="25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25"/>
      <x:c r="K232" s="3"/>
      <x:c r="L232" s="20"/>
      <x:c r="M232" s="3"/>
      <x:c r="N232" s="19" t="str">
        <x:f>IF(A232="","",IF(COUNTIFS('Update log'!$A$7:$A$306,A232)&lt;&gt;1,"Duplicate ID",IF(COUNTIFS('Cases overview'!$A$7:$A$306,B232)&lt;&gt;1,"Invalid case ref",IF(COUNTIFS('Reviews'!$A$7:$A$306,C232,'Reviews'!$B$7:$B$306,B232)&lt;&gt;1,"Invalid review ref",IF(OR(D232="",E232="",F232="",G232="",H232="",M232=""),"Update info missing",IF(AND(OR(G232="Adopted (update)",G232="Keep unchanged"),OR(NOT(ISNUMBER(J232)),K232="")),"Adoption basis missing","Valid input"))))))</x:f>
      </x:c>
    </x:row>
    <x:row r="233" ht="25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25"/>
      <x:c r="K233" s="3"/>
      <x:c r="L233" s="20"/>
      <x:c r="M233" s="3"/>
      <x:c r="N233" s="19" t="str">
        <x:f>IF(A233="","",IF(COUNTIFS('Update log'!$A$7:$A$306,A233)&lt;&gt;1,"Duplicate ID",IF(COUNTIFS('Cases overview'!$A$7:$A$306,B233)&lt;&gt;1,"Invalid case ref",IF(COUNTIFS('Reviews'!$A$7:$A$306,C233,'Reviews'!$B$7:$B$306,B233)&lt;&gt;1,"Invalid review ref",IF(OR(D233="",E233="",F233="",G233="",H233="",M233=""),"Update info missing",IF(AND(OR(G233="Adopted (update)",G233="Keep unchanged"),OR(NOT(ISNUMBER(J233)),K233="")),"Adoption basis missing","Valid input"))))))</x:f>
      </x:c>
    </x:row>
    <x:row r="234" ht="25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25"/>
      <x:c r="K234" s="3"/>
      <x:c r="L234" s="20"/>
      <x:c r="M234" s="3"/>
      <x:c r="N234" s="19" t="str">
        <x:f>IF(A234="","",IF(COUNTIFS('Update log'!$A$7:$A$306,A234)&lt;&gt;1,"Duplicate ID",IF(COUNTIFS('Cases overview'!$A$7:$A$306,B234)&lt;&gt;1,"Invalid case ref",IF(COUNTIFS('Reviews'!$A$7:$A$306,C234,'Reviews'!$B$7:$B$306,B234)&lt;&gt;1,"Invalid review ref",IF(OR(D234="",E234="",F234="",G234="",H234="",M234=""),"Update info missing",IF(AND(OR(G234="Adopted (update)",G234="Keep unchanged"),OR(NOT(ISNUMBER(J234)),K234="")),"Adoption basis missing","Valid input"))))))</x:f>
      </x:c>
    </x:row>
    <x:row r="235" ht="25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25"/>
      <x:c r="K235" s="3"/>
      <x:c r="L235" s="20"/>
      <x:c r="M235" s="3"/>
      <x:c r="N235" s="19" t="str">
        <x:f>IF(A235="","",IF(COUNTIFS('Update log'!$A$7:$A$306,A235)&lt;&gt;1,"Duplicate ID",IF(COUNTIFS('Cases overview'!$A$7:$A$306,B235)&lt;&gt;1,"Invalid case ref",IF(COUNTIFS('Reviews'!$A$7:$A$306,C235,'Reviews'!$B$7:$B$306,B235)&lt;&gt;1,"Invalid review ref",IF(OR(D235="",E235="",F235="",G235="",H235="",M235=""),"Update info missing",IF(AND(OR(G235="Adopted (update)",G235="Keep unchanged"),OR(NOT(ISNUMBER(J235)),K235="")),"Adoption basis missing","Valid input"))))))</x:f>
      </x:c>
    </x:row>
    <x:row r="236" ht="25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25"/>
      <x:c r="K236" s="3"/>
      <x:c r="L236" s="20"/>
      <x:c r="M236" s="3"/>
      <x:c r="N236" s="19" t="str">
        <x:f>IF(A236="","",IF(COUNTIFS('Update log'!$A$7:$A$306,A236)&lt;&gt;1,"Duplicate ID",IF(COUNTIFS('Cases overview'!$A$7:$A$306,B236)&lt;&gt;1,"Invalid case ref",IF(COUNTIFS('Reviews'!$A$7:$A$306,C236,'Reviews'!$B$7:$B$306,B236)&lt;&gt;1,"Invalid review ref",IF(OR(D236="",E236="",F236="",G236="",H236="",M236=""),"Update info missing",IF(AND(OR(G236="Adopted (update)",G236="Keep unchanged"),OR(NOT(ISNUMBER(J236)),K236="")),"Adoption basis missing","Valid input"))))))</x:f>
      </x:c>
    </x:row>
    <x:row r="237" ht="25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25"/>
      <x:c r="K237" s="3"/>
      <x:c r="L237" s="20"/>
      <x:c r="M237" s="3"/>
      <x:c r="N237" s="19" t="str">
        <x:f>IF(A237="","",IF(COUNTIFS('Update log'!$A$7:$A$306,A237)&lt;&gt;1,"Duplicate ID",IF(COUNTIFS('Cases overview'!$A$7:$A$306,B237)&lt;&gt;1,"Invalid case ref",IF(COUNTIFS('Reviews'!$A$7:$A$306,C237,'Reviews'!$B$7:$B$306,B237)&lt;&gt;1,"Invalid review ref",IF(OR(D237="",E237="",F237="",G237="",H237="",M237=""),"Update info missing",IF(AND(OR(G237="Adopted (update)",G237="Keep unchanged"),OR(NOT(ISNUMBER(J237)),K237="")),"Adoption basis missing","Valid input"))))))</x:f>
      </x:c>
    </x:row>
    <x:row r="238" ht="25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25"/>
      <x:c r="K238" s="3"/>
      <x:c r="L238" s="20"/>
      <x:c r="M238" s="3"/>
      <x:c r="N238" s="19" t="str">
        <x:f>IF(A238="","",IF(COUNTIFS('Update log'!$A$7:$A$306,A238)&lt;&gt;1,"Duplicate ID",IF(COUNTIFS('Cases overview'!$A$7:$A$306,B238)&lt;&gt;1,"Invalid case ref",IF(COUNTIFS('Reviews'!$A$7:$A$306,C238,'Reviews'!$B$7:$B$306,B238)&lt;&gt;1,"Invalid review ref",IF(OR(D238="",E238="",F238="",G238="",H238="",M238=""),"Update info missing",IF(AND(OR(G238="Adopted (update)",G238="Keep unchanged"),OR(NOT(ISNUMBER(J238)),K238="")),"Adoption basis missing","Valid input"))))))</x:f>
      </x:c>
    </x:row>
    <x:row r="239" ht="25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25"/>
      <x:c r="K239" s="3"/>
      <x:c r="L239" s="20"/>
      <x:c r="M239" s="3"/>
      <x:c r="N239" s="19" t="str">
        <x:f>IF(A239="","",IF(COUNTIFS('Update log'!$A$7:$A$306,A239)&lt;&gt;1,"Duplicate ID",IF(COUNTIFS('Cases overview'!$A$7:$A$306,B239)&lt;&gt;1,"Invalid case ref",IF(COUNTIFS('Reviews'!$A$7:$A$306,C239,'Reviews'!$B$7:$B$306,B239)&lt;&gt;1,"Invalid review ref",IF(OR(D239="",E239="",F239="",G239="",H239="",M239=""),"Update info missing",IF(AND(OR(G239="Adopted (update)",G239="Keep unchanged"),OR(NOT(ISNUMBER(J239)),K239="")),"Adoption basis missing","Valid input"))))))</x:f>
      </x:c>
    </x:row>
    <x:row r="240" ht="25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25"/>
      <x:c r="K240" s="3"/>
      <x:c r="L240" s="20"/>
      <x:c r="M240" s="3"/>
      <x:c r="N240" s="19" t="str">
        <x:f>IF(A240="","",IF(COUNTIFS('Update log'!$A$7:$A$306,A240)&lt;&gt;1,"Duplicate ID",IF(COUNTIFS('Cases overview'!$A$7:$A$306,B240)&lt;&gt;1,"Invalid case ref",IF(COUNTIFS('Reviews'!$A$7:$A$306,C240,'Reviews'!$B$7:$B$306,B240)&lt;&gt;1,"Invalid review ref",IF(OR(D240="",E240="",F240="",G240="",H240="",M240=""),"Update info missing",IF(AND(OR(G240="Adopted (update)",G240="Keep unchanged"),OR(NOT(ISNUMBER(J240)),K240="")),"Adoption basis missing","Valid input"))))))</x:f>
      </x:c>
    </x:row>
    <x:row r="241" ht="25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25"/>
      <x:c r="K241" s="3"/>
      <x:c r="L241" s="20"/>
      <x:c r="M241" s="3"/>
      <x:c r="N241" s="19" t="str">
        <x:f>IF(A241="","",IF(COUNTIFS('Update log'!$A$7:$A$306,A241)&lt;&gt;1,"Duplicate ID",IF(COUNTIFS('Cases overview'!$A$7:$A$306,B241)&lt;&gt;1,"Invalid case ref",IF(COUNTIFS('Reviews'!$A$7:$A$306,C241,'Reviews'!$B$7:$B$306,B241)&lt;&gt;1,"Invalid review ref",IF(OR(D241="",E241="",F241="",G241="",H241="",M241=""),"Update info missing",IF(AND(OR(G241="Adopted (update)",G241="Keep unchanged"),OR(NOT(ISNUMBER(J241)),K241="")),"Adoption basis missing","Valid input"))))))</x:f>
      </x:c>
    </x:row>
    <x:row r="242" ht="25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25"/>
      <x:c r="K242" s="3"/>
      <x:c r="L242" s="20"/>
      <x:c r="M242" s="3"/>
      <x:c r="N242" s="19" t="str">
        <x:f>IF(A242="","",IF(COUNTIFS('Update log'!$A$7:$A$306,A242)&lt;&gt;1,"Duplicate ID",IF(COUNTIFS('Cases overview'!$A$7:$A$306,B242)&lt;&gt;1,"Invalid case ref",IF(COUNTIFS('Reviews'!$A$7:$A$306,C242,'Reviews'!$B$7:$B$306,B242)&lt;&gt;1,"Invalid review ref",IF(OR(D242="",E242="",F242="",G242="",H242="",M242=""),"Update info missing",IF(AND(OR(G242="Adopted (update)",G242="Keep unchanged"),OR(NOT(ISNUMBER(J242)),K242="")),"Adoption basis missing","Valid input"))))))</x:f>
      </x:c>
    </x:row>
    <x:row r="243" ht="25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25"/>
      <x:c r="K243" s="3"/>
      <x:c r="L243" s="20"/>
      <x:c r="M243" s="3"/>
      <x:c r="N243" s="19" t="str">
        <x:f>IF(A243="","",IF(COUNTIFS('Update log'!$A$7:$A$306,A243)&lt;&gt;1,"Duplicate ID",IF(COUNTIFS('Cases overview'!$A$7:$A$306,B243)&lt;&gt;1,"Invalid case ref",IF(COUNTIFS('Reviews'!$A$7:$A$306,C243,'Reviews'!$B$7:$B$306,B243)&lt;&gt;1,"Invalid review ref",IF(OR(D243="",E243="",F243="",G243="",H243="",M243=""),"Update info missing",IF(AND(OR(G243="Adopted (update)",G243="Keep unchanged"),OR(NOT(ISNUMBER(J243)),K243="")),"Adoption basis missing","Valid input"))))))</x:f>
      </x:c>
    </x:row>
    <x:row r="244" ht="25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25"/>
      <x:c r="K244" s="3"/>
      <x:c r="L244" s="20"/>
      <x:c r="M244" s="3"/>
      <x:c r="N244" s="19" t="str">
        <x:f>IF(A244="","",IF(COUNTIFS('Update log'!$A$7:$A$306,A244)&lt;&gt;1,"Duplicate ID",IF(COUNTIFS('Cases overview'!$A$7:$A$306,B244)&lt;&gt;1,"Invalid case ref",IF(COUNTIFS('Reviews'!$A$7:$A$306,C244,'Reviews'!$B$7:$B$306,B244)&lt;&gt;1,"Invalid review ref",IF(OR(D244="",E244="",F244="",G244="",H244="",M244=""),"Update info missing",IF(AND(OR(G244="Adopted (update)",G244="Keep unchanged"),OR(NOT(ISNUMBER(J244)),K244="")),"Adoption basis missing","Valid input"))))))</x:f>
      </x:c>
    </x:row>
    <x:row r="245" ht="25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25"/>
      <x:c r="K245" s="3"/>
      <x:c r="L245" s="20"/>
      <x:c r="M245" s="3"/>
      <x:c r="N245" s="19" t="str">
        <x:f>IF(A245="","",IF(COUNTIFS('Update log'!$A$7:$A$306,A245)&lt;&gt;1,"Duplicate ID",IF(COUNTIFS('Cases overview'!$A$7:$A$306,B245)&lt;&gt;1,"Invalid case ref",IF(COUNTIFS('Reviews'!$A$7:$A$306,C245,'Reviews'!$B$7:$B$306,B245)&lt;&gt;1,"Invalid review ref",IF(OR(D245="",E245="",F245="",G245="",H245="",M245=""),"Update info missing",IF(AND(OR(G245="Adopted (update)",G245="Keep unchanged"),OR(NOT(ISNUMBER(J245)),K245="")),"Adoption basis missing","Valid input"))))))</x:f>
      </x:c>
    </x:row>
    <x:row r="246" ht="25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25"/>
      <x:c r="K246" s="3"/>
      <x:c r="L246" s="20"/>
      <x:c r="M246" s="3"/>
      <x:c r="N246" s="19" t="str">
        <x:f>IF(A246="","",IF(COUNTIFS('Update log'!$A$7:$A$306,A246)&lt;&gt;1,"Duplicate ID",IF(COUNTIFS('Cases overview'!$A$7:$A$306,B246)&lt;&gt;1,"Invalid case ref",IF(COUNTIFS('Reviews'!$A$7:$A$306,C246,'Reviews'!$B$7:$B$306,B246)&lt;&gt;1,"Invalid review ref",IF(OR(D246="",E246="",F246="",G246="",H246="",M246=""),"Update info missing",IF(AND(OR(G246="Adopted (update)",G246="Keep unchanged"),OR(NOT(ISNUMBER(J246)),K246="")),"Adoption basis missing","Valid input"))))))</x:f>
      </x:c>
    </x:row>
    <x:row r="247" ht="25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25"/>
      <x:c r="K247" s="3"/>
      <x:c r="L247" s="20"/>
      <x:c r="M247" s="3"/>
      <x:c r="N247" s="19" t="str">
        <x:f>IF(A247="","",IF(COUNTIFS('Update log'!$A$7:$A$306,A247)&lt;&gt;1,"Duplicate ID",IF(COUNTIFS('Cases overview'!$A$7:$A$306,B247)&lt;&gt;1,"Invalid case ref",IF(COUNTIFS('Reviews'!$A$7:$A$306,C247,'Reviews'!$B$7:$B$306,B247)&lt;&gt;1,"Invalid review ref",IF(OR(D247="",E247="",F247="",G247="",H247="",M247=""),"Update info missing",IF(AND(OR(G247="Adopted (update)",G247="Keep unchanged"),OR(NOT(ISNUMBER(J247)),K247="")),"Adoption basis missing","Valid input"))))))</x:f>
      </x:c>
    </x:row>
    <x:row r="248" ht="25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25"/>
      <x:c r="K248" s="3"/>
      <x:c r="L248" s="20"/>
      <x:c r="M248" s="3"/>
      <x:c r="N248" s="19" t="str">
        <x:f>IF(A248="","",IF(COUNTIFS('Update log'!$A$7:$A$306,A248)&lt;&gt;1,"Duplicate ID",IF(COUNTIFS('Cases overview'!$A$7:$A$306,B248)&lt;&gt;1,"Invalid case ref",IF(COUNTIFS('Reviews'!$A$7:$A$306,C248,'Reviews'!$B$7:$B$306,B248)&lt;&gt;1,"Invalid review ref",IF(OR(D248="",E248="",F248="",G248="",H248="",M248=""),"Update info missing",IF(AND(OR(G248="Adopted (update)",G248="Keep unchanged"),OR(NOT(ISNUMBER(J248)),K248="")),"Adoption basis missing","Valid input"))))))</x:f>
      </x:c>
    </x:row>
    <x:row r="249" ht="25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25"/>
      <x:c r="K249" s="3"/>
      <x:c r="L249" s="20"/>
      <x:c r="M249" s="3"/>
      <x:c r="N249" s="19" t="str">
        <x:f>IF(A249="","",IF(COUNTIFS('Update log'!$A$7:$A$306,A249)&lt;&gt;1,"Duplicate ID",IF(COUNTIFS('Cases overview'!$A$7:$A$306,B249)&lt;&gt;1,"Invalid case ref",IF(COUNTIFS('Reviews'!$A$7:$A$306,C249,'Reviews'!$B$7:$B$306,B249)&lt;&gt;1,"Invalid review ref",IF(OR(D249="",E249="",F249="",G249="",H249="",M249=""),"Update info missing",IF(AND(OR(G249="Adopted (update)",G249="Keep unchanged"),OR(NOT(ISNUMBER(J249)),K249="")),"Adoption basis missing","Valid input"))))))</x:f>
      </x:c>
    </x:row>
    <x:row r="250" ht="25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25"/>
      <x:c r="K250" s="3"/>
      <x:c r="L250" s="20"/>
      <x:c r="M250" s="3"/>
      <x:c r="N250" s="19" t="str">
        <x:f>IF(A250="","",IF(COUNTIFS('Update log'!$A$7:$A$306,A250)&lt;&gt;1,"Duplicate ID",IF(COUNTIFS('Cases overview'!$A$7:$A$306,B250)&lt;&gt;1,"Invalid case ref",IF(COUNTIFS('Reviews'!$A$7:$A$306,C250,'Reviews'!$B$7:$B$306,B250)&lt;&gt;1,"Invalid review ref",IF(OR(D250="",E250="",F250="",G250="",H250="",M250=""),"Update info missing",IF(AND(OR(G250="Adopted (update)",G250="Keep unchanged"),OR(NOT(ISNUMBER(J250)),K250="")),"Adoption basis missing","Valid input"))))))</x:f>
      </x:c>
    </x:row>
    <x:row r="251" ht="25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25"/>
      <x:c r="K251" s="3"/>
      <x:c r="L251" s="20"/>
      <x:c r="M251" s="3"/>
      <x:c r="N251" s="19" t="str">
        <x:f>IF(A251="","",IF(COUNTIFS('Update log'!$A$7:$A$306,A251)&lt;&gt;1,"Duplicate ID",IF(COUNTIFS('Cases overview'!$A$7:$A$306,B251)&lt;&gt;1,"Invalid case ref",IF(COUNTIFS('Reviews'!$A$7:$A$306,C251,'Reviews'!$B$7:$B$306,B251)&lt;&gt;1,"Invalid review ref",IF(OR(D251="",E251="",F251="",G251="",H251="",M251=""),"Update info missing",IF(AND(OR(G251="Adopted (update)",G251="Keep unchanged"),OR(NOT(ISNUMBER(J251)),K251="")),"Adoption basis missing","Valid input"))))))</x:f>
      </x:c>
    </x:row>
    <x:row r="252" ht="25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25"/>
      <x:c r="K252" s="3"/>
      <x:c r="L252" s="20"/>
      <x:c r="M252" s="3"/>
      <x:c r="N252" s="19" t="str">
        <x:f>IF(A252="","",IF(COUNTIFS('Update log'!$A$7:$A$306,A252)&lt;&gt;1,"Duplicate ID",IF(COUNTIFS('Cases overview'!$A$7:$A$306,B252)&lt;&gt;1,"Invalid case ref",IF(COUNTIFS('Reviews'!$A$7:$A$306,C252,'Reviews'!$B$7:$B$306,B252)&lt;&gt;1,"Invalid review ref",IF(OR(D252="",E252="",F252="",G252="",H252="",M252=""),"Update info missing",IF(AND(OR(G252="Adopted (update)",G252="Keep unchanged"),OR(NOT(ISNUMBER(J252)),K252="")),"Adoption basis missing","Valid input"))))))</x:f>
      </x:c>
    </x:row>
    <x:row r="253" ht="25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25"/>
      <x:c r="K253" s="3"/>
      <x:c r="L253" s="20"/>
      <x:c r="M253" s="3"/>
      <x:c r="N253" s="19" t="str">
        <x:f>IF(A253="","",IF(COUNTIFS('Update log'!$A$7:$A$306,A253)&lt;&gt;1,"Duplicate ID",IF(COUNTIFS('Cases overview'!$A$7:$A$306,B253)&lt;&gt;1,"Invalid case ref",IF(COUNTIFS('Reviews'!$A$7:$A$306,C253,'Reviews'!$B$7:$B$306,B253)&lt;&gt;1,"Invalid review ref",IF(OR(D253="",E253="",F253="",G253="",H253="",M253=""),"Update info missing",IF(AND(OR(G253="Adopted (update)",G253="Keep unchanged"),OR(NOT(ISNUMBER(J253)),K253="")),"Adoption basis missing","Valid input"))))))</x:f>
      </x:c>
    </x:row>
    <x:row r="254" ht="25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25"/>
      <x:c r="K254" s="3"/>
      <x:c r="L254" s="20"/>
      <x:c r="M254" s="3"/>
      <x:c r="N254" s="19" t="str">
        <x:f>IF(A254="","",IF(COUNTIFS('Update log'!$A$7:$A$306,A254)&lt;&gt;1,"Duplicate ID",IF(COUNTIFS('Cases overview'!$A$7:$A$306,B254)&lt;&gt;1,"Invalid case ref",IF(COUNTIFS('Reviews'!$A$7:$A$306,C254,'Reviews'!$B$7:$B$306,B254)&lt;&gt;1,"Invalid review ref",IF(OR(D254="",E254="",F254="",G254="",H254="",M254=""),"Update info missing",IF(AND(OR(G254="Adopted (update)",G254="Keep unchanged"),OR(NOT(ISNUMBER(J254)),K254="")),"Adoption basis missing","Valid input"))))))</x:f>
      </x:c>
    </x:row>
    <x:row r="255" ht="25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25"/>
      <x:c r="K255" s="3"/>
      <x:c r="L255" s="20"/>
      <x:c r="M255" s="3"/>
      <x:c r="N255" s="19" t="str">
        <x:f>IF(A255="","",IF(COUNTIFS('Update log'!$A$7:$A$306,A255)&lt;&gt;1,"Duplicate ID",IF(COUNTIFS('Cases overview'!$A$7:$A$306,B255)&lt;&gt;1,"Invalid case ref",IF(COUNTIFS('Reviews'!$A$7:$A$306,C255,'Reviews'!$B$7:$B$306,B255)&lt;&gt;1,"Invalid review ref",IF(OR(D255="",E255="",F255="",G255="",H255="",M255=""),"Update info missing",IF(AND(OR(G255="Adopted (update)",G255="Keep unchanged"),OR(NOT(ISNUMBER(J255)),K255="")),"Adoption basis missing","Valid input"))))))</x:f>
      </x:c>
    </x:row>
    <x:row r="256" ht="25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25"/>
      <x:c r="K256" s="3"/>
      <x:c r="L256" s="20"/>
      <x:c r="M256" s="3"/>
      <x:c r="N256" s="19" t="str">
        <x:f>IF(A256="","",IF(COUNTIFS('Update log'!$A$7:$A$306,A256)&lt;&gt;1,"Duplicate ID",IF(COUNTIFS('Cases overview'!$A$7:$A$306,B256)&lt;&gt;1,"Invalid case ref",IF(COUNTIFS('Reviews'!$A$7:$A$306,C256,'Reviews'!$B$7:$B$306,B256)&lt;&gt;1,"Invalid review ref",IF(OR(D256="",E256="",F256="",G256="",H256="",M256=""),"Update info missing",IF(AND(OR(G256="Adopted (update)",G256="Keep unchanged"),OR(NOT(ISNUMBER(J256)),K256="")),"Adoption basis missing","Valid input"))))))</x:f>
      </x:c>
    </x:row>
    <x:row r="257" ht="25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25"/>
      <x:c r="K257" s="3"/>
      <x:c r="L257" s="20"/>
      <x:c r="M257" s="3"/>
      <x:c r="N257" s="19" t="str">
        <x:f>IF(A257="","",IF(COUNTIFS('Update log'!$A$7:$A$306,A257)&lt;&gt;1,"Duplicate ID",IF(COUNTIFS('Cases overview'!$A$7:$A$306,B257)&lt;&gt;1,"Invalid case ref",IF(COUNTIFS('Reviews'!$A$7:$A$306,C257,'Reviews'!$B$7:$B$306,B257)&lt;&gt;1,"Invalid review ref",IF(OR(D257="",E257="",F257="",G257="",H257="",M257=""),"Update info missing",IF(AND(OR(G257="Adopted (update)",G257="Keep unchanged"),OR(NOT(ISNUMBER(J257)),K257="")),"Adoption basis missing","Valid input"))))))</x:f>
      </x:c>
    </x:row>
    <x:row r="258" ht="25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25"/>
      <x:c r="K258" s="3"/>
      <x:c r="L258" s="20"/>
      <x:c r="M258" s="3"/>
      <x:c r="N258" s="19" t="str">
        <x:f>IF(A258="","",IF(COUNTIFS('Update log'!$A$7:$A$306,A258)&lt;&gt;1,"Duplicate ID",IF(COUNTIFS('Cases overview'!$A$7:$A$306,B258)&lt;&gt;1,"Invalid case ref",IF(COUNTIFS('Reviews'!$A$7:$A$306,C258,'Reviews'!$B$7:$B$306,B258)&lt;&gt;1,"Invalid review ref",IF(OR(D258="",E258="",F258="",G258="",H258="",M258=""),"Update info missing",IF(AND(OR(G258="Adopted (update)",G258="Keep unchanged"),OR(NOT(ISNUMBER(J258)),K258="")),"Adoption basis missing","Valid input"))))))</x:f>
      </x:c>
    </x:row>
    <x:row r="259" ht="25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25"/>
      <x:c r="K259" s="3"/>
      <x:c r="L259" s="20"/>
      <x:c r="M259" s="3"/>
      <x:c r="N259" s="19" t="str">
        <x:f>IF(A259="","",IF(COUNTIFS('Update log'!$A$7:$A$306,A259)&lt;&gt;1,"Duplicate ID",IF(COUNTIFS('Cases overview'!$A$7:$A$306,B259)&lt;&gt;1,"Invalid case ref",IF(COUNTIFS('Reviews'!$A$7:$A$306,C259,'Reviews'!$B$7:$B$306,B259)&lt;&gt;1,"Invalid review ref",IF(OR(D259="",E259="",F259="",G259="",H259="",M259=""),"Update info missing",IF(AND(OR(G259="Adopted (update)",G259="Keep unchanged"),OR(NOT(ISNUMBER(J259)),K259="")),"Adoption basis missing","Valid input"))))))</x:f>
      </x:c>
    </x:row>
    <x:row r="260" ht="25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25"/>
      <x:c r="K260" s="3"/>
      <x:c r="L260" s="20"/>
      <x:c r="M260" s="3"/>
      <x:c r="N260" s="19" t="str">
        <x:f>IF(A260="","",IF(COUNTIFS('Update log'!$A$7:$A$306,A260)&lt;&gt;1,"Duplicate ID",IF(COUNTIFS('Cases overview'!$A$7:$A$306,B260)&lt;&gt;1,"Invalid case ref",IF(COUNTIFS('Reviews'!$A$7:$A$306,C260,'Reviews'!$B$7:$B$306,B260)&lt;&gt;1,"Invalid review ref",IF(OR(D260="",E260="",F260="",G260="",H260="",M260=""),"Update info missing",IF(AND(OR(G260="Adopted (update)",G260="Keep unchanged"),OR(NOT(ISNUMBER(J260)),K260="")),"Adoption basis missing","Valid input"))))))</x:f>
      </x:c>
    </x:row>
    <x:row r="261" ht="25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25"/>
      <x:c r="K261" s="3"/>
      <x:c r="L261" s="20"/>
      <x:c r="M261" s="3"/>
      <x:c r="N261" s="19" t="str">
        <x:f>IF(A261="","",IF(COUNTIFS('Update log'!$A$7:$A$306,A261)&lt;&gt;1,"Duplicate ID",IF(COUNTIFS('Cases overview'!$A$7:$A$306,B261)&lt;&gt;1,"Invalid case ref",IF(COUNTIFS('Reviews'!$A$7:$A$306,C261,'Reviews'!$B$7:$B$306,B261)&lt;&gt;1,"Invalid review ref",IF(OR(D261="",E261="",F261="",G261="",H261="",M261=""),"Update info missing",IF(AND(OR(G261="Adopted (update)",G261="Keep unchanged"),OR(NOT(ISNUMBER(J261)),K261="")),"Adoption basis missing","Valid input"))))))</x:f>
      </x:c>
    </x:row>
    <x:row r="262" ht="25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25"/>
      <x:c r="K262" s="3"/>
      <x:c r="L262" s="20"/>
      <x:c r="M262" s="3"/>
      <x:c r="N262" s="19" t="str">
        <x:f>IF(A262="","",IF(COUNTIFS('Update log'!$A$7:$A$306,A262)&lt;&gt;1,"Duplicate ID",IF(COUNTIFS('Cases overview'!$A$7:$A$306,B262)&lt;&gt;1,"Invalid case ref",IF(COUNTIFS('Reviews'!$A$7:$A$306,C262,'Reviews'!$B$7:$B$306,B262)&lt;&gt;1,"Invalid review ref",IF(OR(D262="",E262="",F262="",G262="",H262="",M262=""),"Update info missing",IF(AND(OR(G262="Adopted (update)",G262="Keep unchanged"),OR(NOT(ISNUMBER(J262)),K262="")),"Adoption basis missing","Valid input"))))))</x:f>
      </x:c>
    </x:row>
    <x:row r="263" ht="25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25"/>
      <x:c r="K263" s="3"/>
      <x:c r="L263" s="20"/>
      <x:c r="M263" s="3"/>
      <x:c r="N263" s="19" t="str">
        <x:f>IF(A263="","",IF(COUNTIFS('Update log'!$A$7:$A$306,A263)&lt;&gt;1,"Duplicate ID",IF(COUNTIFS('Cases overview'!$A$7:$A$306,B263)&lt;&gt;1,"Invalid case ref",IF(COUNTIFS('Reviews'!$A$7:$A$306,C263,'Reviews'!$B$7:$B$306,B263)&lt;&gt;1,"Invalid review ref",IF(OR(D263="",E263="",F263="",G263="",H263="",M263=""),"Update info missing",IF(AND(OR(G263="Adopted (update)",G263="Keep unchanged"),OR(NOT(ISNUMBER(J263)),K263="")),"Adoption basis missing","Valid input"))))))</x:f>
      </x:c>
    </x:row>
    <x:row r="264" ht="25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25"/>
      <x:c r="K264" s="3"/>
      <x:c r="L264" s="20"/>
      <x:c r="M264" s="3"/>
      <x:c r="N264" s="19" t="str">
        <x:f>IF(A264="","",IF(COUNTIFS('Update log'!$A$7:$A$306,A264)&lt;&gt;1,"Duplicate ID",IF(COUNTIFS('Cases overview'!$A$7:$A$306,B264)&lt;&gt;1,"Invalid case ref",IF(COUNTIFS('Reviews'!$A$7:$A$306,C264,'Reviews'!$B$7:$B$306,B264)&lt;&gt;1,"Invalid review ref",IF(OR(D264="",E264="",F264="",G264="",H264="",M264=""),"Update info missing",IF(AND(OR(G264="Adopted (update)",G264="Keep unchanged"),OR(NOT(ISNUMBER(J264)),K264="")),"Adoption basis missing","Valid input"))))))</x:f>
      </x:c>
    </x:row>
    <x:row r="265" ht="25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25"/>
      <x:c r="K265" s="3"/>
      <x:c r="L265" s="20"/>
      <x:c r="M265" s="3"/>
      <x:c r="N265" s="19" t="str">
        <x:f>IF(A265="","",IF(COUNTIFS('Update log'!$A$7:$A$306,A265)&lt;&gt;1,"Duplicate ID",IF(COUNTIFS('Cases overview'!$A$7:$A$306,B265)&lt;&gt;1,"Invalid case ref",IF(COUNTIFS('Reviews'!$A$7:$A$306,C265,'Reviews'!$B$7:$B$306,B265)&lt;&gt;1,"Invalid review ref",IF(OR(D265="",E265="",F265="",G265="",H265="",M265=""),"Update info missing",IF(AND(OR(G265="Adopted (update)",G265="Keep unchanged"),OR(NOT(ISNUMBER(J265)),K265="")),"Adoption basis missing","Valid input"))))))</x:f>
      </x:c>
    </x:row>
    <x:row r="266" ht="25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25"/>
      <x:c r="K266" s="3"/>
      <x:c r="L266" s="20"/>
      <x:c r="M266" s="3"/>
      <x:c r="N266" s="19" t="str">
        <x:f>IF(A266="","",IF(COUNTIFS('Update log'!$A$7:$A$306,A266)&lt;&gt;1,"Duplicate ID",IF(COUNTIFS('Cases overview'!$A$7:$A$306,B266)&lt;&gt;1,"Invalid case ref",IF(COUNTIFS('Reviews'!$A$7:$A$306,C266,'Reviews'!$B$7:$B$306,B266)&lt;&gt;1,"Invalid review ref",IF(OR(D266="",E266="",F266="",G266="",H266="",M266=""),"Update info missing",IF(AND(OR(G266="Adopted (update)",G266="Keep unchanged"),OR(NOT(ISNUMBER(J266)),K266="")),"Adoption basis missing","Valid input"))))))</x:f>
      </x:c>
    </x:row>
    <x:row r="267" ht="25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25"/>
      <x:c r="K267" s="3"/>
      <x:c r="L267" s="20"/>
      <x:c r="M267" s="3"/>
      <x:c r="N267" s="19" t="str">
        <x:f>IF(A267="","",IF(COUNTIFS('Update log'!$A$7:$A$306,A267)&lt;&gt;1,"Duplicate ID",IF(COUNTIFS('Cases overview'!$A$7:$A$306,B267)&lt;&gt;1,"Invalid case ref",IF(COUNTIFS('Reviews'!$A$7:$A$306,C267,'Reviews'!$B$7:$B$306,B267)&lt;&gt;1,"Invalid review ref",IF(OR(D267="",E267="",F267="",G267="",H267="",M267=""),"Update info missing",IF(AND(OR(G267="Adopted (update)",G267="Keep unchanged"),OR(NOT(ISNUMBER(J267)),K267="")),"Adoption basis missing","Valid input"))))))</x:f>
      </x:c>
    </x:row>
    <x:row r="268" ht="25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25"/>
      <x:c r="K268" s="3"/>
      <x:c r="L268" s="20"/>
      <x:c r="M268" s="3"/>
      <x:c r="N268" s="19" t="str">
        <x:f>IF(A268="","",IF(COUNTIFS('Update log'!$A$7:$A$306,A268)&lt;&gt;1,"Duplicate ID",IF(COUNTIFS('Cases overview'!$A$7:$A$306,B268)&lt;&gt;1,"Invalid case ref",IF(COUNTIFS('Reviews'!$A$7:$A$306,C268,'Reviews'!$B$7:$B$306,B268)&lt;&gt;1,"Invalid review ref",IF(OR(D268="",E268="",F268="",G268="",H268="",M268=""),"Update info missing",IF(AND(OR(G268="Adopted (update)",G268="Keep unchanged"),OR(NOT(ISNUMBER(J268)),K268="")),"Adoption basis missing","Valid input"))))))</x:f>
      </x:c>
    </x:row>
    <x:row r="269" ht="25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25"/>
      <x:c r="K269" s="3"/>
      <x:c r="L269" s="20"/>
      <x:c r="M269" s="3"/>
      <x:c r="N269" s="19" t="str">
        <x:f>IF(A269="","",IF(COUNTIFS('Update log'!$A$7:$A$306,A269)&lt;&gt;1,"Duplicate ID",IF(COUNTIFS('Cases overview'!$A$7:$A$306,B269)&lt;&gt;1,"Invalid case ref",IF(COUNTIFS('Reviews'!$A$7:$A$306,C269,'Reviews'!$B$7:$B$306,B269)&lt;&gt;1,"Invalid review ref",IF(OR(D269="",E269="",F269="",G269="",H269="",M269=""),"Update info missing",IF(AND(OR(G269="Adopted (update)",G269="Keep unchanged"),OR(NOT(ISNUMBER(J269)),K269="")),"Adoption basis missing","Valid input"))))))</x:f>
      </x:c>
    </x:row>
    <x:row r="270" ht="25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25"/>
      <x:c r="K270" s="3"/>
      <x:c r="L270" s="20"/>
      <x:c r="M270" s="3"/>
      <x:c r="N270" s="19" t="str">
        <x:f>IF(A270="","",IF(COUNTIFS('Update log'!$A$7:$A$306,A270)&lt;&gt;1,"Duplicate ID",IF(COUNTIFS('Cases overview'!$A$7:$A$306,B270)&lt;&gt;1,"Invalid case ref",IF(COUNTIFS('Reviews'!$A$7:$A$306,C270,'Reviews'!$B$7:$B$306,B270)&lt;&gt;1,"Invalid review ref",IF(OR(D270="",E270="",F270="",G270="",H270="",M270=""),"Update info missing",IF(AND(OR(G270="Adopted (update)",G270="Keep unchanged"),OR(NOT(ISNUMBER(J270)),K270="")),"Adoption basis missing","Valid input"))))))</x:f>
      </x:c>
    </x:row>
    <x:row r="271" ht="25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25"/>
      <x:c r="K271" s="3"/>
      <x:c r="L271" s="20"/>
      <x:c r="M271" s="3"/>
      <x:c r="N271" s="19" t="str">
        <x:f>IF(A271="","",IF(COUNTIFS('Update log'!$A$7:$A$306,A271)&lt;&gt;1,"Duplicate ID",IF(COUNTIFS('Cases overview'!$A$7:$A$306,B271)&lt;&gt;1,"Invalid case ref",IF(COUNTIFS('Reviews'!$A$7:$A$306,C271,'Reviews'!$B$7:$B$306,B271)&lt;&gt;1,"Invalid review ref",IF(OR(D271="",E271="",F271="",G271="",H271="",M271=""),"Update info missing",IF(AND(OR(G271="Adopted (update)",G271="Keep unchanged"),OR(NOT(ISNUMBER(J271)),K271="")),"Adoption basis missing","Valid input"))))))</x:f>
      </x:c>
    </x:row>
    <x:row r="272" ht="25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25"/>
      <x:c r="K272" s="3"/>
      <x:c r="L272" s="20"/>
      <x:c r="M272" s="3"/>
      <x:c r="N272" s="19" t="str">
        <x:f>IF(A272="","",IF(COUNTIFS('Update log'!$A$7:$A$306,A272)&lt;&gt;1,"Duplicate ID",IF(COUNTIFS('Cases overview'!$A$7:$A$306,B272)&lt;&gt;1,"Invalid case ref",IF(COUNTIFS('Reviews'!$A$7:$A$306,C272,'Reviews'!$B$7:$B$306,B272)&lt;&gt;1,"Invalid review ref",IF(OR(D272="",E272="",F272="",G272="",H272="",M272=""),"Update info missing",IF(AND(OR(G272="Adopted (update)",G272="Keep unchanged"),OR(NOT(ISNUMBER(J272)),K272="")),"Adoption basis missing","Valid input"))))))</x:f>
      </x:c>
    </x:row>
    <x:row r="273" ht="25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25"/>
      <x:c r="K273" s="3"/>
      <x:c r="L273" s="20"/>
      <x:c r="M273" s="3"/>
      <x:c r="N273" s="19" t="str">
        <x:f>IF(A273="","",IF(COUNTIFS('Update log'!$A$7:$A$306,A273)&lt;&gt;1,"Duplicate ID",IF(COUNTIFS('Cases overview'!$A$7:$A$306,B273)&lt;&gt;1,"Invalid case ref",IF(COUNTIFS('Reviews'!$A$7:$A$306,C273,'Reviews'!$B$7:$B$306,B273)&lt;&gt;1,"Invalid review ref",IF(OR(D273="",E273="",F273="",G273="",H273="",M273=""),"Update info missing",IF(AND(OR(G273="Adopted (update)",G273="Keep unchanged"),OR(NOT(ISNUMBER(J273)),K273="")),"Adoption basis missing","Valid input"))))))</x:f>
      </x:c>
    </x:row>
    <x:row r="274" ht="25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25"/>
      <x:c r="K274" s="3"/>
      <x:c r="L274" s="20"/>
      <x:c r="M274" s="3"/>
      <x:c r="N274" s="19" t="str">
        <x:f>IF(A274="","",IF(COUNTIFS('Update log'!$A$7:$A$306,A274)&lt;&gt;1,"Duplicate ID",IF(COUNTIFS('Cases overview'!$A$7:$A$306,B274)&lt;&gt;1,"Invalid case ref",IF(COUNTIFS('Reviews'!$A$7:$A$306,C274,'Reviews'!$B$7:$B$306,B274)&lt;&gt;1,"Invalid review ref",IF(OR(D274="",E274="",F274="",G274="",H274="",M274=""),"Update info missing",IF(AND(OR(G274="Adopted (update)",G274="Keep unchanged"),OR(NOT(ISNUMBER(J274)),K274="")),"Adoption basis missing","Valid input"))))))</x:f>
      </x:c>
    </x:row>
    <x:row r="275" ht="25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25"/>
      <x:c r="K275" s="3"/>
      <x:c r="L275" s="20"/>
      <x:c r="M275" s="3"/>
      <x:c r="N275" s="19" t="str">
        <x:f>IF(A275="","",IF(COUNTIFS('Update log'!$A$7:$A$306,A275)&lt;&gt;1,"Duplicate ID",IF(COUNTIFS('Cases overview'!$A$7:$A$306,B275)&lt;&gt;1,"Invalid case ref",IF(COUNTIFS('Reviews'!$A$7:$A$306,C275,'Reviews'!$B$7:$B$306,B275)&lt;&gt;1,"Invalid review ref",IF(OR(D275="",E275="",F275="",G275="",H275="",M275=""),"Update info missing",IF(AND(OR(G275="Adopted (update)",G275="Keep unchanged"),OR(NOT(ISNUMBER(J275)),K275="")),"Adoption basis missing","Valid input"))))))</x:f>
      </x:c>
    </x:row>
    <x:row r="276" ht="25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25"/>
      <x:c r="K276" s="3"/>
      <x:c r="L276" s="20"/>
      <x:c r="M276" s="3"/>
      <x:c r="N276" s="19" t="str">
        <x:f>IF(A276="","",IF(COUNTIFS('Update log'!$A$7:$A$306,A276)&lt;&gt;1,"Duplicate ID",IF(COUNTIFS('Cases overview'!$A$7:$A$306,B276)&lt;&gt;1,"Invalid case ref",IF(COUNTIFS('Reviews'!$A$7:$A$306,C276,'Reviews'!$B$7:$B$306,B276)&lt;&gt;1,"Invalid review ref",IF(OR(D276="",E276="",F276="",G276="",H276="",M276=""),"Update info missing",IF(AND(OR(G276="Adopted (update)",G276="Keep unchanged"),OR(NOT(ISNUMBER(J276)),K276="")),"Adoption basis missing","Valid input"))))))</x:f>
      </x:c>
    </x:row>
    <x:row r="277" ht="25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25"/>
      <x:c r="K277" s="3"/>
      <x:c r="L277" s="20"/>
      <x:c r="M277" s="3"/>
      <x:c r="N277" s="19" t="str">
        <x:f>IF(A277="","",IF(COUNTIFS('Update log'!$A$7:$A$306,A277)&lt;&gt;1,"Duplicate ID",IF(COUNTIFS('Cases overview'!$A$7:$A$306,B277)&lt;&gt;1,"Invalid case ref",IF(COUNTIFS('Reviews'!$A$7:$A$306,C277,'Reviews'!$B$7:$B$306,B277)&lt;&gt;1,"Invalid review ref",IF(OR(D277="",E277="",F277="",G277="",H277="",M277=""),"Update info missing",IF(AND(OR(G277="Adopted (update)",G277="Keep unchanged"),OR(NOT(ISNUMBER(J277)),K277="")),"Adoption basis missing","Valid input"))))))</x:f>
      </x:c>
    </x:row>
    <x:row r="278" ht="25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25"/>
      <x:c r="K278" s="3"/>
      <x:c r="L278" s="20"/>
      <x:c r="M278" s="3"/>
      <x:c r="N278" s="19" t="str">
        <x:f>IF(A278="","",IF(COUNTIFS('Update log'!$A$7:$A$306,A278)&lt;&gt;1,"Duplicate ID",IF(COUNTIFS('Cases overview'!$A$7:$A$306,B278)&lt;&gt;1,"Invalid case ref",IF(COUNTIFS('Reviews'!$A$7:$A$306,C278,'Reviews'!$B$7:$B$306,B278)&lt;&gt;1,"Invalid review ref",IF(OR(D278="",E278="",F278="",G278="",H278="",M278=""),"Update info missing",IF(AND(OR(G278="Adopted (update)",G278="Keep unchanged"),OR(NOT(ISNUMBER(J278)),K278="")),"Adoption basis missing","Valid input"))))))</x:f>
      </x:c>
    </x:row>
    <x:row r="279" ht="25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25"/>
      <x:c r="K279" s="3"/>
      <x:c r="L279" s="20"/>
      <x:c r="M279" s="3"/>
      <x:c r="N279" s="19" t="str">
        <x:f>IF(A279="","",IF(COUNTIFS('Update log'!$A$7:$A$306,A279)&lt;&gt;1,"Duplicate ID",IF(COUNTIFS('Cases overview'!$A$7:$A$306,B279)&lt;&gt;1,"Invalid case ref",IF(COUNTIFS('Reviews'!$A$7:$A$306,C279,'Reviews'!$B$7:$B$306,B279)&lt;&gt;1,"Invalid review ref",IF(OR(D279="",E279="",F279="",G279="",H279="",M279=""),"Update info missing",IF(AND(OR(G279="Adopted (update)",G279="Keep unchanged"),OR(NOT(ISNUMBER(J279)),K279="")),"Adoption basis missing","Valid input"))))))</x:f>
      </x:c>
    </x:row>
    <x:row r="280" ht="25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25"/>
      <x:c r="K280" s="3"/>
      <x:c r="L280" s="20"/>
      <x:c r="M280" s="3"/>
      <x:c r="N280" s="19" t="str">
        <x:f>IF(A280="","",IF(COUNTIFS('Update log'!$A$7:$A$306,A280)&lt;&gt;1,"Duplicate ID",IF(COUNTIFS('Cases overview'!$A$7:$A$306,B280)&lt;&gt;1,"Invalid case ref",IF(COUNTIFS('Reviews'!$A$7:$A$306,C280,'Reviews'!$B$7:$B$306,B280)&lt;&gt;1,"Invalid review ref",IF(OR(D280="",E280="",F280="",G280="",H280="",M280=""),"Update info missing",IF(AND(OR(G280="Adopted (update)",G280="Keep unchanged"),OR(NOT(ISNUMBER(J280)),K280="")),"Adoption basis missing","Valid input"))))))</x:f>
      </x:c>
    </x:row>
    <x:row r="281" ht="25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25"/>
      <x:c r="K281" s="3"/>
      <x:c r="L281" s="20"/>
      <x:c r="M281" s="3"/>
      <x:c r="N281" s="19" t="str">
        <x:f>IF(A281="","",IF(COUNTIFS('Update log'!$A$7:$A$306,A281)&lt;&gt;1,"Duplicate ID",IF(COUNTIFS('Cases overview'!$A$7:$A$306,B281)&lt;&gt;1,"Invalid case ref",IF(COUNTIFS('Reviews'!$A$7:$A$306,C281,'Reviews'!$B$7:$B$306,B281)&lt;&gt;1,"Invalid review ref",IF(OR(D281="",E281="",F281="",G281="",H281="",M281=""),"Update info missing",IF(AND(OR(G281="Adopted (update)",G281="Keep unchanged"),OR(NOT(ISNUMBER(J281)),K281="")),"Adoption basis missing","Valid input"))))))</x:f>
      </x:c>
    </x:row>
    <x:row r="282" ht="25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25"/>
      <x:c r="K282" s="3"/>
      <x:c r="L282" s="20"/>
      <x:c r="M282" s="3"/>
      <x:c r="N282" s="19" t="str">
        <x:f>IF(A282="","",IF(COUNTIFS('Update log'!$A$7:$A$306,A282)&lt;&gt;1,"Duplicate ID",IF(COUNTIFS('Cases overview'!$A$7:$A$306,B282)&lt;&gt;1,"Invalid case ref",IF(COUNTIFS('Reviews'!$A$7:$A$306,C282,'Reviews'!$B$7:$B$306,B282)&lt;&gt;1,"Invalid review ref",IF(OR(D282="",E282="",F282="",G282="",H282="",M282=""),"Update info missing",IF(AND(OR(G282="Adopted (update)",G282="Keep unchanged"),OR(NOT(ISNUMBER(J282)),K282="")),"Adoption basis missing","Valid input"))))))</x:f>
      </x:c>
    </x:row>
    <x:row r="283" ht="25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25"/>
      <x:c r="K283" s="3"/>
      <x:c r="L283" s="20"/>
      <x:c r="M283" s="3"/>
      <x:c r="N283" s="19" t="str">
        <x:f>IF(A283="","",IF(COUNTIFS('Update log'!$A$7:$A$306,A283)&lt;&gt;1,"Duplicate ID",IF(COUNTIFS('Cases overview'!$A$7:$A$306,B283)&lt;&gt;1,"Invalid case ref",IF(COUNTIFS('Reviews'!$A$7:$A$306,C283,'Reviews'!$B$7:$B$306,B283)&lt;&gt;1,"Invalid review ref",IF(OR(D283="",E283="",F283="",G283="",H283="",M283=""),"Update info missing",IF(AND(OR(G283="Adopted (update)",G283="Keep unchanged"),OR(NOT(ISNUMBER(J283)),K283="")),"Adoption basis missing","Valid input"))))))</x:f>
      </x:c>
    </x:row>
    <x:row r="284" ht="25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25"/>
      <x:c r="K284" s="3"/>
      <x:c r="L284" s="20"/>
      <x:c r="M284" s="3"/>
      <x:c r="N284" s="19" t="str">
        <x:f>IF(A284="","",IF(COUNTIFS('Update log'!$A$7:$A$306,A284)&lt;&gt;1,"Duplicate ID",IF(COUNTIFS('Cases overview'!$A$7:$A$306,B284)&lt;&gt;1,"Invalid case ref",IF(COUNTIFS('Reviews'!$A$7:$A$306,C284,'Reviews'!$B$7:$B$306,B284)&lt;&gt;1,"Invalid review ref",IF(OR(D284="",E284="",F284="",G284="",H284="",M284=""),"Update info missing",IF(AND(OR(G284="Adopted (update)",G284="Keep unchanged"),OR(NOT(ISNUMBER(J284)),K284="")),"Adoption basis missing","Valid input"))))))</x:f>
      </x:c>
    </x:row>
    <x:row r="285" ht="25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25"/>
      <x:c r="K285" s="3"/>
      <x:c r="L285" s="20"/>
      <x:c r="M285" s="3"/>
      <x:c r="N285" s="19" t="str">
        <x:f>IF(A285="","",IF(COUNTIFS('Update log'!$A$7:$A$306,A285)&lt;&gt;1,"Duplicate ID",IF(COUNTIFS('Cases overview'!$A$7:$A$306,B285)&lt;&gt;1,"Invalid case ref",IF(COUNTIFS('Reviews'!$A$7:$A$306,C285,'Reviews'!$B$7:$B$306,B285)&lt;&gt;1,"Invalid review ref",IF(OR(D285="",E285="",F285="",G285="",H285="",M285=""),"Update info missing",IF(AND(OR(G285="Adopted (update)",G285="Keep unchanged"),OR(NOT(ISNUMBER(J285)),K285="")),"Adoption basis missing","Valid input"))))))</x:f>
      </x:c>
    </x:row>
    <x:row r="286" ht="25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25"/>
      <x:c r="K286" s="3"/>
      <x:c r="L286" s="20"/>
      <x:c r="M286" s="3"/>
      <x:c r="N286" s="19" t="str">
        <x:f>IF(A286="","",IF(COUNTIFS('Update log'!$A$7:$A$306,A286)&lt;&gt;1,"Duplicate ID",IF(COUNTIFS('Cases overview'!$A$7:$A$306,B286)&lt;&gt;1,"Invalid case ref",IF(COUNTIFS('Reviews'!$A$7:$A$306,C286,'Reviews'!$B$7:$B$306,B286)&lt;&gt;1,"Invalid review ref",IF(OR(D286="",E286="",F286="",G286="",H286="",M286=""),"Update info missing",IF(AND(OR(G286="Adopted (update)",G286="Keep unchanged"),OR(NOT(ISNUMBER(J286)),K286="")),"Adoption basis missing","Valid input"))))))</x:f>
      </x:c>
    </x:row>
    <x:row r="287" ht="25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25"/>
      <x:c r="K287" s="3"/>
      <x:c r="L287" s="20"/>
      <x:c r="M287" s="3"/>
      <x:c r="N287" s="19" t="str">
        <x:f>IF(A287="","",IF(COUNTIFS('Update log'!$A$7:$A$306,A287)&lt;&gt;1,"Duplicate ID",IF(COUNTIFS('Cases overview'!$A$7:$A$306,B287)&lt;&gt;1,"Invalid case ref",IF(COUNTIFS('Reviews'!$A$7:$A$306,C287,'Reviews'!$B$7:$B$306,B287)&lt;&gt;1,"Invalid review ref",IF(OR(D287="",E287="",F287="",G287="",H287="",M287=""),"Update info missing",IF(AND(OR(G287="Adopted (update)",G287="Keep unchanged"),OR(NOT(ISNUMBER(J287)),K287="")),"Adoption basis missing","Valid input"))))))</x:f>
      </x:c>
    </x:row>
    <x:row r="288" ht="25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25"/>
      <x:c r="K288" s="3"/>
      <x:c r="L288" s="20"/>
      <x:c r="M288" s="3"/>
      <x:c r="N288" s="19" t="str">
        <x:f>IF(A288="","",IF(COUNTIFS('Update log'!$A$7:$A$306,A288)&lt;&gt;1,"Duplicate ID",IF(COUNTIFS('Cases overview'!$A$7:$A$306,B288)&lt;&gt;1,"Invalid case ref",IF(COUNTIFS('Reviews'!$A$7:$A$306,C288,'Reviews'!$B$7:$B$306,B288)&lt;&gt;1,"Invalid review ref",IF(OR(D288="",E288="",F288="",G288="",H288="",M288=""),"Update info missing",IF(AND(OR(G288="Adopted (update)",G288="Keep unchanged"),OR(NOT(ISNUMBER(J288)),K288="")),"Adoption basis missing","Valid input"))))))</x:f>
      </x:c>
    </x:row>
    <x:row r="289" ht="25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25"/>
      <x:c r="K289" s="3"/>
      <x:c r="L289" s="20"/>
      <x:c r="M289" s="3"/>
      <x:c r="N289" s="19" t="str">
        <x:f>IF(A289="","",IF(COUNTIFS('Update log'!$A$7:$A$306,A289)&lt;&gt;1,"Duplicate ID",IF(COUNTIFS('Cases overview'!$A$7:$A$306,B289)&lt;&gt;1,"Invalid case ref",IF(COUNTIFS('Reviews'!$A$7:$A$306,C289,'Reviews'!$B$7:$B$306,B289)&lt;&gt;1,"Invalid review ref",IF(OR(D289="",E289="",F289="",G289="",H289="",M289=""),"Update info missing",IF(AND(OR(G289="Adopted (update)",G289="Keep unchanged"),OR(NOT(ISNUMBER(J289)),K289="")),"Adoption basis missing","Valid input"))))))</x:f>
      </x:c>
    </x:row>
    <x:row r="290" ht="25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25"/>
      <x:c r="K290" s="3"/>
      <x:c r="L290" s="20"/>
      <x:c r="M290" s="3"/>
      <x:c r="N290" s="19" t="str">
        <x:f>IF(A290="","",IF(COUNTIFS('Update log'!$A$7:$A$306,A290)&lt;&gt;1,"Duplicate ID",IF(COUNTIFS('Cases overview'!$A$7:$A$306,B290)&lt;&gt;1,"Invalid case ref",IF(COUNTIFS('Reviews'!$A$7:$A$306,C290,'Reviews'!$B$7:$B$306,B290)&lt;&gt;1,"Invalid review ref",IF(OR(D290="",E290="",F290="",G290="",H290="",M290=""),"Update info missing",IF(AND(OR(G290="Adopted (update)",G290="Keep unchanged"),OR(NOT(ISNUMBER(J290)),K290="")),"Adoption basis missing","Valid input"))))))</x:f>
      </x:c>
    </x:row>
    <x:row r="291" ht="25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25"/>
      <x:c r="K291" s="3"/>
      <x:c r="L291" s="20"/>
      <x:c r="M291" s="3"/>
      <x:c r="N291" s="19" t="str">
        <x:f>IF(A291="","",IF(COUNTIFS('Update log'!$A$7:$A$306,A291)&lt;&gt;1,"Duplicate ID",IF(COUNTIFS('Cases overview'!$A$7:$A$306,B291)&lt;&gt;1,"Invalid case ref",IF(COUNTIFS('Reviews'!$A$7:$A$306,C291,'Reviews'!$B$7:$B$306,B291)&lt;&gt;1,"Invalid review ref",IF(OR(D291="",E291="",F291="",G291="",H291="",M291=""),"Update info missing",IF(AND(OR(G291="Adopted (update)",G291="Keep unchanged"),OR(NOT(ISNUMBER(J291)),K291="")),"Adoption basis missing","Valid input"))))))</x:f>
      </x:c>
    </x:row>
    <x:row r="292" ht="25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25"/>
      <x:c r="K292" s="3"/>
      <x:c r="L292" s="20"/>
      <x:c r="M292" s="3"/>
      <x:c r="N292" s="19" t="str">
        <x:f>IF(A292="","",IF(COUNTIFS('Update log'!$A$7:$A$306,A292)&lt;&gt;1,"Duplicate ID",IF(COUNTIFS('Cases overview'!$A$7:$A$306,B292)&lt;&gt;1,"Invalid case ref",IF(COUNTIFS('Reviews'!$A$7:$A$306,C292,'Reviews'!$B$7:$B$306,B292)&lt;&gt;1,"Invalid review ref",IF(OR(D292="",E292="",F292="",G292="",H292="",M292=""),"Update info missing",IF(AND(OR(G292="Adopted (update)",G292="Keep unchanged"),OR(NOT(ISNUMBER(J292)),K292="")),"Adoption basis missing","Valid input"))))))</x:f>
      </x:c>
    </x:row>
    <x:row r="293" ht="25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25"/>
      <x:c r="K293" s="3"/>
      <x:c r="L293" s="20"/>
      <x:c r="M293" s="3"/>
      <x:c r="N293" s="19" t="str">
        <x:f>IF(A293="","",IF(COUNTIFS('Update log'!$A$7:$A$306,A293)&lt;&gt;1,"Duplicate ID",IF(COUNTIFS('Cases overview'!$A$7:$A$306,B293)&lt;&gt;1,"Invalid case ref",IF(COUNTIFS('Reviews'!$A$7:$A$306,C293,'Reviews'!$B$7:$B$306,B293)&lt;&gt;1,"Invalid review ref",IF(OR(D293="",E293="",F293="",G293="",H293="",M293=""),"Update info missing",IF(AND(OR(G293="Adopted (update)",G293="Keep unchanged"),OR(NOT(ISNUMBER(J293)),K293="")),"Adoption basis missing","Valid input"))))))</x:f>
      </x:c>
    </x:row>
    <x:row r="294" ht="25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25"/>
      <x:c r="K294" s="3"/>
      <x:c r="L294" s="20"/>
      <x:c r="M294" s="3"/>
      <x:c r="N294" s="19" t="str">
        <x:f>IF(A294="","",IF(COUNTIFS('Update log'!$A$7:$A$306,A294)&lt;&gt;1,"Duplicate ID",IF(COUNTIFS('Cases overview'!$A$7:$A$306,B294)&lt;&gt;1,"Invalid case ref",IF(COUNTIFS('Reviews'!$A$7:$A$306,C294,'Reviews'!$B$7:$B$306,B294)&lt;&gt;1,"Invalid review ref",IF(OR(D294="",E294="",F294="",G294="",H294="",M294=""),"Update info missing",IF(AND(OR(G294="Adopted (update)",G294="Keep unchanged"),OR(NOT(ISNUMBER(J294)),K294="")),"Adoption basis missing","Valid input"))))))</x:f>
      </x:c>
    </x:row>
    <x:row r="295" ht="25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25"/>
      <x:c r="K295" s="3"/>
      <x:c r="L295" s="20"/>
      <x:c r="M295" s="3"/>
      <x:c r="N295" s="19" t="str">
        <x:f>IF(A295="","",IF(COUNTIFS('Update log'!$A$7:$A$306,A295)&lt;&gt;1,"Duplicate ID",IF(COUNTIFS('Cases overview'!$A$7:$A$306,B295)&lt;&gt;1,"Invalid case ref",IF(COUNTIFS('Reviews'!$A$7:$A$306,C295,'Reviews'!$B$7:$B$306,B295)&lt;&gt;1,"Invalid review ref",IF(OR(D295="",E295="",F295="",G295="",H295="",M295=""),"Update info missing",IF(AND(OR(G295="Adopted (update)",G295="Keep unchanged"),OR(NOT(ISNUMBER(J295)),K295="")),"Adoption basis missing","Valid input"))))))</x:f>
      </x:c>
    </x:row>
    <x:row r="296" ht="25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25"/>
      <x:c r="K296" s="3"/>
      <x:c r="L296" s="20"/>
      <x:c r="M296" s="3"/>
      <x:c r="N296" s="19" t="str">
        <x:f>IF(A296="","",IF(COUNTIFS('Update log'!$A$7:$A$306,A296)&lt;&gt;1,"Duplicate ID",IF(COUNTIFS('Cases overview'!$A$7:$A$306,B296)&lt;&gt;1,"Invalid case ref",IF(COUNTIFS('Reviews'!$A$7:$A$306,C296,'Reviews'!$B$7:$B$306,B296)&lt;&gt;1,"Invalid review ref",IF(OR(D296="",E296="",F296="",G296="",H296="",M296=""),"Update info missing",IF(AND(OR(G296="Adopted (update)",G296="Keep unchanged"),OR(NOT(ISNUMBER(J296)),K296="")),"Adoption basis missing","Valid input"))))))</x:f>
      </x:c>
    </x:row>
    <x:row r="297" ht="25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25"/>
      <x:c r="K297" s="3"/>
      <x:c r="L297" s="20"/>
      <x:c r="M297" s="3"/>
      <x:c r="N297" s="19" t="str">
        <x:f>IF(A297="","",IF(COUNTIFS('Update log'!$A$7:$A$306,A297)&lt;&gt;1,"Duplicate ID",IF(COUNTIFS('Cases overview'!$A$7:$A$306,B297)&lt;&gt;1,"Invalid case ref",IF(COUNTIFS('Reviews'!$A$7:$A$306,C297,'Reviews'!$B$7:$B$306,B297)&lt;&gt;1,"Invalid review ref",IF(OR(D297="",E297="",F297="",G297="",H297="",M297=""),"Update info missing",IF(AND(OR(G297="Adopted (update)",G297="Keep unchanged"),OR(NOT(ISNUMBER(J297)),K297="")),"Adoption basis missing","Valid input"))))))</x:f>
      </x:c>
    </x:row>
    <x:row r="298" ht="25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25"/>
      <x:c r="K298" s="3"/>
      <x:c r="L298" s="20"/>
      <x:c r="M298" s="3"/>
      <x:c r="N298" s="19" t="str">
        <x:f>IF(A298="","",IF(COUNTIFS('Update log'!$A$7:$A$306,A298)&lt;&gt;1,"Duplicate ID",IF(COUNTIFS('Cases overview'!$A$7:$A$306,B298)&lt;&gt;1,"Invalid case ref",IF(COUNTIFS('Reviews'!$A$7:$A$306,C298,'Reviews'!$B$7:$B$306,B298)&lt;&gt;1,"Invalid review ref",IF(OR(D298="",E298="",F298="",G298="",H298="",M298=""),"Update info missing",IF(AND(OR(G298="Adopted (update)",G298="Keep unchanged"),OR(NOT(ISNUMBER(J298)),K298="")),"Adoption basis missing","Valid input"))))))</x:f>
      </x:c>
    </x:row>
    <x:row r="299" ht="25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25"/>
      <x:c r="K299" s="3"/>
      <x:c r="L299" s="20"/>
      <x:c r="M299" s="3"/>
      <x:c r="N299" s="19" t="str">
        <x:f>IF(A299="","",IF(COUNTIFS('Update log'!$A$7:$A$306,A299)&lt;&gt;1,"Duplicate ID",IF(COUNTIFS('Cases overview'!$A$7:$A$306,B299)&lt;&gt;1,"Invalid case ref",IF(COUNTIFS('Reviews'!$A$7:$A$306,C299,'Reviews'!$B$7:$B$306,B299)&lt;&gt;1,"Invalid review ref",IF(OR(D299="",E299="",F299="",G299="",H299="",M299=""),"Update info missing",IF(AND(OR(G299="Adopted (update)",G299="Keep unchanged"),OR(NOT(ISNUMBER(J299)),K299="")),"Adoption basis missing","Valid input"))))))</x:f>
      </x:c>
    </x:row>
    <x:row r="300" ht="25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25"/>
      <x:c r="K300" s="3"/>
      <x:c r="L300" s="20"/>
      <x:c r="M300" s="3"/>
      <x:c r="N300" s="19" t="str">
        <x:f>IF(A300="","",IF(COUNTIFS('Update log'!$A$7:$A$306,A300)&lt;&gt;1,"Duplicate ID",IF(COUNTIFS('Cases overview'!$A$7:$A$306,B300)&lt;&gt;1,"Invalid case ref",IF(COUNTIFS('Reviews'!$A$7:$A$306,C300,'Reviews'!$B$7:$B$306,B300)&lt;&gt;1,"Invalid review ref",IF(OR(D300="",E300="",F300="",G300="",H300="",M300=""),"Update info missing",IF(AND(OR(G300="Adopted (update)",G300="Keep unchanged"),OR(NOT(ISNUMBER(J300)),K300="")),"Adoption basis missing","Valid input"))))))</x:f>
      </x:c>
    </x:row>
    <x:row r="301" ht="25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25"/>
      <x:c r="K301" s="3"/>
      <x:c r="L301" s="20"/>
      <x:c r="M301" s="3"/>
      <x:c r="N301" s="19" t="str">
        <x:f>IF(A301="","",IF(COUNTIFS('Update log'!$A$7:$A$306,A301)&lt;&gt;1,"Duplicate ID",IF(COUNTIFS('Cases overview'!$A$7:$A$306,B301)&lt;&gt;1,"Invalid case ref",IF(COUNTIFS('Reviews'!$A$7:$A$306,C301,'Reviews'!$B$7:$B$306,B301)&lt;&gt;1,"Invalid review ref",IF(OR(D301="",E301="",F301="",G301="",H301="",M301=""),"Update info missing",IF(AND(OR(G301="Adopted (update)",G301="Keep unchanged"),OR(NOT(ISNUMBER(J301)),K301="")),"Adoption basis missing","Valid input"))))))</x:f>
      </x:c>
    </x:row>
    <x:row r="302" ht="25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25"/>
      <x:c r="K302" s="3"/>
      <x:c r="L302" s="20"/>
      <x:c r="M302" s="3"/>
      <x:c r="N302" s="19" t="str">
        <x:f>IF(A302="","",IF(COUNTIFS('Update log'!$A$7:$A$306,A302)&lt;&gt;1,"Duplicate ID",IF(COUNTIFS('Cases overview'!$A$7:$A$306,B302)&lt;&gt;1,"Invalid case ref",IF(COUNTIFS('Reviews'!$A$7:$A$306,C302,'Reviews'!$B$7:$B$306,B302)&lt;&gt;1,"Invalid review ref",IF(OR(D302="",E302="",F302="",G302="",H302="",M302=""),"Update info missing",IF(AND(OR(G302="Adopted (update)",G302="Keep unchanged"),OR(NOT(ISNUMBER(J302)),K302="")),"Adoption basis missing","Valid input"))))))</x:f>
      </x:c>
    </x:row>
    <x:row r="303" ht="25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25"/>
      <x:c r="K303" s="3"/>
      <x:c r="L303" s="20"/>
      <x:c r="M303" s="3"/>
      <x:c r="N303" s="19" t="str">
        <x:f>IF(A303="","",IF(COUNTIFS('Update log'!$A$7:$A$306,A303)&lt;&gt;1,"Duplicate ID",IF(COUNTIFS('Cases overview'!$A$7:$A$306,B303)&lt;&gt;1,"Invalid case ref",IF(COUNTIFS('Reviews'!$A$7:$A$306,C303,'Reviews'!$B$7:$B$306,B303)&lt;&gt;1,"Invalid review ref",IF(OR(D303="",E303="",F303="",G303="",H303="",M303=""),"Update info missing",IF(AND(OR(G303="Adopted (update)",G303="Keep unchanged"),OR(NOT(ISNUMBER(J303)),K303="")),"Adoption basis missing","Valid input"))))))</x:f>
      </x:c>
    </x:row>
    <x:row r="304" ht="25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25"/>
      <x:c r="K304" s="3"/>
      <x:c r="L304" s="20"/>
      <x:c r="M304" s="3"/>
      <x:c r="N304" s="19" t="str">
        <x:f>IF(A304="","",IF(COUNTIFS('Update log'!$A$7:$A$306,A304)&lt;&gt;1,"Duplicate ID",IF(COUNTIFS('Cases overview'!$A$7:$A$306,B304)&lt;&gt;1,"Invalid case ref",IF(COUNTIFS('Reviews'!$A$7:$A$306,C304,'Reviews'!$B$7:$B$306,B304)&lt;&gt;1,"Invalid review ref",IF(OR(D304="",E304="",F304="",G304="",H304="",M304=""),"Update info missing",IF(AND(OR(G304="Adopted (update)",G304="Keep unchanged"),OR(NOT(ISNUMBER(J304)),K304="")),"Adoption basis missing","Valid input"))))))</x:f>
      </x:c>
    </x:row>
    <x:row r="305" ht="25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25"/>
      <x:c r="K305" s="3"/>
      <x:c r="L305" s="20"/>
      <x:c r="M305" s="3"/>
      <x:c r="N305" s="19" t="str">
        <x:f>IF(A305="","",IF(COUNTIFS('Update log'!$A$7:$A$306,A305)&lt;&gt;1,"Duplicate ID",IF(COUNTIFS('Cases overview'!$A$7:$A$306,B305)&lt;&gt;1,"Invalid case ref",IF(COUNTIFS('Reviews'!$A$7:$A$306,C305,'Reviews'!$B$7:$B$306,B305)&lt;&gt;1,"Invalid review ref",IF(OR(D305="",E305="",F305="",G305="",H305="",M305=""),"Update info missing",IF(AND(OR(G305="Adopted (update)",G305="Keep unchanged"),OR(NOT(ISNUMBER(J305)),K305="")),"Adoption basis missing","Valid input"))))))</x:f>
      </x:c>
    </x:row>
    <x:row r="306" ht="25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25"/>
      <x:c r="K306" s="3"/>
      <x:c r="L306" s="20"/>
      <x:c r="M306" s="3"/>
      <x:c r="N306" s="19" t="str">
        <x:f>IF(A306="","",IF(COUNTIFS('Update log'!$A$7:$A$306,A306)&lt;&gt;1,"Duplicate ID",IF(COUNTIFS('Cases overview'!$A$7:$A$306,B306)&lt;&gt;1,"Invalid case ref",IF(COUNTIFS('Reviews'!$A$7:$A$306,C306,'Reviews'!$B$7:$B$306,B306)&lt;&gt;1,"Invalid review ref",IF(OR(D306="",E306="",F306="",G306="",H306="",M306=""),"Update info missing",IF(AND(OR(G306="Adopted (update)",G306="Keep unchanged"),OR(NOT(ISNUMBER(J306)),K306="")),"Adoption basis missing","Valid input"))))))</x:f>
      </x:c>
    </x:row>
  </x:sheetData>
  <x:conditionalFormatting sqref="N7:N306">
    <x:cfRule type="expression" dxfId="6" priority="1">
      <x:formula>AND($A7&lt;&gt;"",N7&lt;&gt;"Valid input")</x:formula>
    </x:cfRule>
  </x:conditionalFormatting>
  <x:dataValidations count="1">
    <x:dataValidation type="list" sqref="G7:G306">
      <x:formula1>"Suggested,Adopted (update),Keep unchanged,To verify,Not adopted"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91cae7088b40d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3" hidden="0" customWidth="1"/>
    <x:col min="10" max="10" width="23" hidden="0" customWidth="1"/>
    <x:col min="11" max="11" width="20" hidden="0" customWidth="1"/>
    <x:col min="12" max="12" width="29" hidden="0" customWidth="1"/>
    <x:col min="13" max="13" width="2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16" t="str">
        <x:v>Rule versions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 ht="25" customHeight="1">
      <x:c r="A3" s="18" t="str">
        <x:v>One row per rule version. Record scope, counterexamples and recheck date; never promote automatically by success count.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12" t="str">
        <x:v>Rule ID</x:v>
      </x:c>
      <x:c r="B6" s="13" t="str">
        <x:v>Version</x:v>
      </x:c>
      <x:c r="C6" s="13" t="str">
        <x:v>Parent version</x:v>
      </x:c>
      <x:c r="D6" s="13" t="str">
        <x:v>Adoption status</x:v>
      </x:c>
      <x:c r="E6" s="13" t="str">
        <x:v>Rule statement</x:v>
      </x:c>
      <x:c r="F6" s="13" t="str">
        <x:v>Scope</x:v>
      </x:c>
      <x:c r="G6" s="13" t="str">
        <x:v>Supporting cases and OB</x:v>
      </x:c>
      <x:c r="H6" s="13" t="str">
        <x:v>Counterexamples and failures</x:v>
      </x:c>
      <x:c r="I6" s="13" t="str">
        <x:v>Adopted at</x:v>
      </x:c>
      <x:c r="J6" s="13" t="str">
        <x:v>Recheck date</x:v>
      </x:c>
      <x:c r="K6" s="13" t="str">
        <x:v>Owner</x:v>
      </x:c>
      <x:c r="L6" s="13" t="str">
        <x:v>Rule file</x:v>
      </x:c>
      <x:c r="M6" s="14" t="str">
        <x:v>Input check</x:v>
      </x:c>
    </x:row>
    <x:row r="7" ht="25" customHeight="1">
      <x:c r="A7" s="3"/>
      <x:c r="B7" s="3"/>
      <x:c r="C7" s="3"/>
      <x:c r="D7" s="3"/>
      <x:c r="E7" s="3"/>
      <x:c r="F7" s="3"/>
      <x:c r="G7" s="3"/>
      <x:c r="H7" s="3"/>
      <x:c r="I7" s="20"/>
      <x:c r="J7" s="20"/>
      <x:c r="K7" s="3"/>
      <x:c r="L7" s="3"/>
      <x:c r="M7" s="19" t="str">
        <x:f>IF(A7="","",IF(COUNTIFS($A$7:$A$306,A7,$B$7:$B$306,B7)&lt;&gt;1,"Duplicate rule version",IF(OR(B7="",D7="",E7="",F7="",K7="",L7=""),"Rule info missing",IF(AND(C7&lt;&gt;"",OR(C7=B7,COUNTIFS($A$7:$A$306,A7,$B$7:$B$306,C7)&lt;&gt;1)),"Invalid parent version ref",IF(AND(OR(D7="Trial",D7="Adopted"),OR(G7="",NOT(ISNUMBER(I7)),NOT(ISNUMBER(J7)))),"Adoption/recheck missing","Valid input")))))</x:f>
      </x:c>
    </x:row>
    <x:row r="8" ht="25" customHeight="1">
      <x:c r="A8" s="3"/>
      <x:c r="B8" s="3"/>
      <x:c r="C8" s="3"/>
      <x:c r="D8" s="3"/>
      <x:c r="E8" s="3"/>
      <x:c r="F8" s="3"/>
      <x:c r="G8" s="3"/>
      <x:c r="H8" s="3"/>
      <x:c r="I8" s="20"/>
      <x:c r="J8" s="20"/>
      <x:c r="K8" s="3"/>
      <x:c r="L8" s="3"/>
      <x:c r="M8" s="19" t="str">
        <x:f>IF(A8="","",IF(COUNTIFS($A$7:$A$306,A8,$B$7:$B$306,B8)&lt;&gt;1,"Duplicate rule version",IF(OR(B8="",D8="",E8="",F8="",K8="",L8=""),"Rule info missing",IF(AND(C8&lt;&gt;"",OR(C8=B8,COUNTIFS($A$7:$A$306,A8,$B$7:$B$306,C8)&lt;&gt;1)),"Invalid parent version ref",IF(AND(OR(D8="Trial",D8="Adopted"),OR(G8="",NOT(ISNUMBER(I8)),NOT(ISNUMBER(J8)))),"Adoption/recheck missing","Valid input")))))</x:f>
      </x:c>
    </x:row>
    <x:row r="9" ht="25" customHeight="1">
      <x:c r="A9" s="3"/>
      <x:c r="B9" s="3"/>
      <x:c r="C9" s="3"/>
      <x:c r="D9" s="3"/>
      <x:c r="E9" s="3"/>
      <x:c r="F9" s="3"/>
      <x:c r="G9" s="3"/>
      <x:c r="H9" s="3"/>
      <x:c r="I9" s="20"/>
      <x:c r="J9" s="20"/>
      <x:c r="K9" s="3"/>
      <x:c r="L9" s="3"/>
      <x:c r="M9" s="19" t="str">
        <x:f>IF(A9="","",IF(COUNTIFS($A$7:$A$306,A9,$B$7:$B$306,B9)&lt;&gt;1,"Duplicate rule version",IF(OR(B9="",D9="",E9="",F9="",K9="",L9=""),"Rule info missing",IF(AND(C9&lt;&gt;"",OR(C9=B9,COUNTIFS($A$7:$A$306,A9,$B$7:$B$306,C9)&lt;&gt;1)),"Invalid parent version ref",IF(AND(OR(D9="Trial",D9="Adopted"),OR(G9="",NOT(ISNUMBER(I9)),NOT(ISNUMBER(J9)))),"Adoption/recheck missing","Valid input")))))</x:f>
      </x:c>
    </x:row>
    <x:row r="10" ht="25" customHeight="1">
      <x:c r="A10" s="3"/>
      <x:c r="B10" s="3"/>
      <x:c r="C10" s="3"/>
      <x:c r="D10" s="3"/>
      <x:c r="E10" s="3"/>
      <x:c r="F10" s="3"/>
      <x:c r="G10" s="3"/>
      <x:c r="H10" s="3"/>
      <x:c r="I10" s="20"/>
      <x:c r="J10" s="20"/>
      <x:c r="K10" s="3"/>
      <x:c r="L10" s="3"/>
      <x:c r="M10" s="19" t="str">
        <x:f>IF(A10="","",IF(COUNTIFS($A$7:$A$306,A10,$B$7:$B$306,B10)&lt;&gt;1,"Duplicate rule version",IF(OR(B10="",D10="",E10="",F10="",K10="",L10=""),"Rule info missing",IF(AND(C10&lt;&gt;"",OR(C10=B10,COUNTIFS($A$7:$A$306,A10,$B$7:$B$306,C10)&lt;&gt;1)),"Invalid parent version ref",IF(AND(OR(D10="Trial",D10="Adopted"),OR(G10="",NOT(ISNUMBER(I10)),NOT(ISNUMBER(J10)))),"Adoption/recheck missing","Valid input")))))</x:f>
      </x:c>
    </x:row>
    <x:row r="11" ht="25" customHeight="1">
      <x:c r="A11" s="3"/>
      <x:c r="B11" s="3"/>
      <x:c r="C11" s="3"/>
      <x:c r="D11" s="3"/>
      <x:c r="E11" s="3"/>
      <x:c r="F11" s="3"/>
      <x:c r="G11" s="3"/>
      <x:c r="H11" s="3"/>
      <x:c r="I11" s="20"/>
      <x:c r="J11" s="20"/>
      <x:c r="K11" s="3"/>
      <x:c r="L11" s="3"/>
      <x:c r="M11" s="19" t="str">
        <x:f>IF(A11="","",IF(COUNTIFS($A$7:$A$306,A11,$B$7:$B$306,B11)&lt;&gt;1,"Duplicate rule version",IF(OR(B11="",D11="",E11="",F11="",K11="",L11=""),"Rule info missing",IF(AND(C11&lt;&gt;"",OR(C11=B11,COUNTIFS($A$7:$A$306,A11,$B$7:$B$306,C11)&lt;&gt;1)),"Invalid parent version ref",IF(AND(OR(D11="Trial",D11="Adopted"),OR(G11="",NOT(ISNUMBER(I11)),NOT(ISNUMBER(J11)))),"Adoption/recheck missing","Valid input")))))</x:f>
      </x:c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20"/>
      <x:c r="J12" s="20"/>
      <x:c r="K12" s="3"/>
      <x:c r="L12" s="3"/>
      <x:c r="M12" s="19" t="str">
        <x:f>IF(A12="","",IF(COUNTIFS($A$7:$A$306,A12,$B$7:$B$306,B12)&lt;&gt;1,"Duplicate rule version",IF(OR(B12="",D12="",E12="",F12="",K12="",L12=""),"Rule info missing",IF(AND(C12&lt;&gt;"",OR(C12=B12,COUNTIFS($A$7:$A$306,A12,$B$7:$B$306,C12)&lt;&gt;1)),"Invalid parent version ref",IF(AND(OR(D12="Trial",D12="Adopted"),OR(G12="",NOT(ISNUMBER(I12)),NOT(ISNUMBER(J12)))),"Adoption/recheck missing","Valid input")))))</x:f>
      </x:c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20"/>
      <x:c r="J13" s="20"/>
      <x:c r="K13" s="3"/>
      <x:c r="L13" s="3"/>
      <x:c r="M13" s="19" t="str">
        <x:f>IF(A13="","",IF(COUNTIFS($A$7:$A$306,A13,$B$7:$B$306,B13)&lt;&gt;1,"Duplicate rule version",IF(OR(B13="",D13="",E13="",F13="",K13="",L13=""),"Rule info missing",IF(AND(C13&lt;&gt;"",OR(C13=B13,COUNTIFS($A$7:$A$306,A13,$B$7:$B$306,C13)&lt;&gt;1)),"Invalid parent version ref",IF(AND(OR(D13="Trial",D13="Adopted"),OR(G13="",NOT(ISNUMBER(I13)),NOT(ISNUMBER(J13)))),"Adoption/recheck missing","Valid input")))))</x:f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20"/>
      <x:c r="J14" s="20"/>
      <x:c r="K14" s="3"/>
      <x:c r="L14" s="3"/>
      <x:c r="M14" s="19" t="str">
        <x:f>IF(A14="","",IF(COUNTIFS($A$7:$A$306,A14,$B$7:$B$306,B14)&lt;&gt;1,"Duplicate rule version",IF(OR(B14="",D14="",E14="",F14="",K14="",L14=""),"Rule info missing",IF(AND(C14&lt;&gt;"",OR(C14=B14,COUNTIFS($A$7:$A$306,A14,$B$7:$B$306,C14)&lt;&gt;1)),"Invalid parent version ref",IF(AND(OR(D14="Trial",D14="Adopted"),OR(G14="",NOT(ISNUMBER(I14)),NOT(ISNUMBER(J14)))),"Adoption/recheck missing","Valid input")))))</x:f>
      </x:c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20"/>
      <x:c r="J15" s="20"/>
      <x:c r="K15" s="3"/>
      <x:c r="L15" s="3"/>
      <x:c r="M15" s="19" t="str">
        <x:f>IF(A15="","",IF(COUNTIFS($A$7:$A$306,A15,$B$7:$B$306,B15)&lt;&gt;1,"Duplicate rule version",IF(OR(B15="",D15="",E15="",F15="",K15="",L15=""),"Rule info missing",IF(AND(C15&lt;&gt;"",OR(C15=B15,COUNTIFS($A$7:$A$306,A15,$B$7:$B$306,C15)&lt;&gt;1)),"Invalid parent version ref",IF(AND(OR(D15="Trial",D15="Adopted"),OR(G15="",NOT(ISNUMBER(I15)),NOT(ISNUMBER(J15)))),"Adoption/recheck missing","Valid input")))))</x:f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20"/>
      <x:c r="J16" s="20"/>
      <x:c r="K16" s="3"/>
      <x:c r="L16" s="3"/>
      <x:c r="M16" s="19" t="str">
        <x:f>IF(A16="","",IF(COUNTIFS($A$7:$A$306,A16,$B$7:$B$306,B16)&lt;&gt;1,"Duplicate rule version",IF(OR(B16="",D16="",E16="",F16="",K16="",L16=""),"Rule info missing",IF(AND(C16&lt;&gt;"",OR(C16=B16,COUNTIFS($A$7:$A$306,A16,$B$7:$B$306,C16)&lt;&gt;1)),"Invalid parent version ref",IF(AND(OR(D16="Trial",D16="Adopted"),OR(G16="",NOT(ISNUMBER(I16)),NOT(ISNUMBER(J16)))),"Adoption/recheck missing","Valid input")))))</x:f>
      </x:c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20"/>
      <x:c r="J17" s="20"/>
      <x:c r="K17" s="3"/>
      <x:c r="L17" s="3"/>
      <x:c r="M17" s="19" t="str">
        <x:f>IF(A17="","",IF(COUNTIFS($A$7:$A$306,A17,$B$7:$B$306,B17)&lt;&gt;1,"Duplicate rule version",IF(OR(B17="",D17="",E17="",F17="",K17="",L17=""),"Rule info missing",IF(AND(C17&lt;&gt;"",OR(C17=B17,COUNTIFS($A$7:$A$306,A17,$B$7:$B$306,C17)&lt;&gt;1)),"Invalid parent version ref",IF(AND(OR(D17="Trial",D17="Adopted"),OR(G17="",NOT(ISNUMBER(I17)),NOT(ISNUMBER(J17)))),"Adoption/recheck missing","Valid input")))))</x:f>
      </x:c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20"/>
      <x:c r="J18" s="20"/>
      <x:c r="K18" s="3"/>
      <x:c r="L18" s="3"/>
      <x:c r="M18" s="19" t="str">
        <x:f>IF(A18="","",IF(COUNTIFS($A$7:$A$306,A18,$B$7:$B$306,B18)&lt;&gt;1,"Duplicate rule version",IF(OR(B18="",D18="",E18="",F18="",K18="",L18=""),"Rule info missing",IF(AND(C18&lt;&gt;"",OR(C18=B18,COUNTIFS($A$7:$A$306,A18,$B$7:$B$306,C18)&lt;&gt;1)),"Invalid parent version ref",IF(AND(OR(D18="Trial",D18="Adopted"),OR(G18="",NOT(ISNUMBER(I18)),NOT(ISNUMBER(J18)))),"Adoption/recheck missing","Valid input")))))</x:f>
      </x:c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20"/>
      <x:c r="J19" s="20"/>
      <x:c r="K19" s="3"/>
      <x:c r="L19" s="3"/>
      <x:c r="M19" s="19" t="str">
        <x:f>IF(A19="","",IF(COUNTIFS($A$7:$A$306,A19,$B$7:$B$306,B19)&lt;&gt;1,"Duplicate rule version",IF(OR(B19="",D19="",E19="",F19="",K19="",L19=""),"Rule info missing",IF(AND(C19&lt;&gt;"",OR(C19=B19,COUNTIFS($A$7:$A$306,A19,$B$7:$B$306,C19)&lt;&gt;1)),"Invalid parent version ref",IF(AND(OR(D19="Trial",D19="Adopted"),OR(G19="",NOT(ISNUMBER(I19)),NOT(ISNUMBER(J19)))),"Adoption/recheck missing","Valid input")))))</x:f>
      </x:c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20"/>
      <x:c r="J20" s="20"/>
      <x:c r="K20" s="3"/>
      <x:c r="L20" s="3"/>
      <x:c r="M20" s="19" t="str">
        <x:f>IF(A20="","",IF(COUNTIFS($A$7:$A$306,A20,$B$7:$B$306,B20)&lt;&gt;1,"Duplicate rule version",IF(OR(B20="",D20="",E20="",F20="",K20="",L20=""),"Rule info missing",IF(AND(C20&lt;&gt;"",OR(C20=B20,COUNTIFS($A$7:$A$306,A20,$B$7:$B$306,C20)&lt;&gt;1)),"Invalid parent version ref",IF(AND(OR(D20="Trial",D20="Adopted"),OR(G20="",NOT(ISNUMBER(I20)),NOT(ISNUMBER(J20)))),"Adoption/recheck missing","Valid input")))))</x:f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20"/>
      <x:c r="J21" s="20"/>
      <x:c r="K21" s="3"/>
      <x:c r="L21" s="3"/>
      <x:c r="M21" s="19" t="str">
        <x:f>IF(A21="","",IF(COUNTIFS($A$7:$A$306,A21,$B$7:$B$306,B21)&lt;&gt;1,"Duplicate rule version",IF(OR(B21="",D21="",E21="",F21="",K21="",L21=""),"Rule info missing",IF(AND(C21&lt;&gt;"",OR(C21=B21,COUNTIFS($A$7:$A$306,A21,$B$7:$B$306,C21)&lt;&gt;1)),"Invalid parent version ref",IF(AND(OR(D21="Trial",D21="Adopted"),OR(G21="",NOT(ISNUMBER(I21)),NOT(ISNUMBER(J21)))),"Adoption/recheck missing","Valid input")))))</x:f>
      </x:c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20"/>
      <x:c r="J22" s="20"/>
      <x:c r="K22" s="3"/>
      <x:c r="L22" s="3"/>
      <x:c r="M22" s="19" t="str">
        <x:f>IF(A22="","",IF(COUNTIFS($A$7:$A$306,A22,$B$7:$B$306,B22)&lt;&gt;1,"Duplicate rule version",IF(OR(B22="",D22="",E22="",F22="",K22="",L22=""),"Rule info missing",IF(AND(C22&lt;&gt;"",OR(C22=B22,COUNTIFS($A$7:$A$306,A22,$B$7:$B$306,C22)&lt;&gt;1)),"Invalid parent version ref",IF(AND(OR(D22="Trial",D22="Adopted"),OR(G22="",NOT(ISNUMBER(I22)),NOT(ISNUMBER(J22)))),"Adoption/recheck missing","Valid input")))))</x:f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20"/>
      <x:c r="J23" s="20"/>
      <x:c r="K23" s="3"/>
      <x:c r="L23" s="3"/>
      <x:c r="M23" s="19" t="str">
        <x:f>IF(A23="","",IF(COUNTIFS($A$7:$A$306,A23,$B$7:$B$306,B23)&lt;&gt;1,"Duplicate rule version",IF(OR(B23="",D23="",E23="",F23="",K23="",L23=""),"Rule info missing",IF(AND(C23&lt;&gt;"",OR(C23=B23,COUNTIFS($A$7:$A$306,A23,$B$7:$B$306,C23)&lt;&gt;1)),"Invalid parent version ref",IF(AND(OR(D23="Trial",D23="Adopted"),OR(G23="",NOT(ISNUMBER(I23)),NOT(ISNUMBER(J23)))),"Adoption/recheck missing","Valid input")))))</x:f>
      </x:c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20"/>
      <x:c r="J24" s="20"/>
      <x:c r="K24" s="3"/>
      <x:c r="L24" s="3"/>
      <x:c r="M24" s="19" t="str">
        <x:f>IF(A24="","",IF(COUNTIFS($A$7:$A$306,A24,$B$7:$B$306,B24)&lt;&gt;1,"Duplicate rule version",IF(OR(B24="",D24="",E24="",F24="",K24="",L24=""),"Rule info missing",IF(AND(C24&lt;&gt;"",OR(C24=B24,COUNTIFS($A$7:$A$306,A24,$B$7:$B$306,C24)&lt;&gt;1)),"Invalid parent version ref",IF(AND(OR(D24="Trial",D24="Adopted"),OR(G24="",NOT(ISNUMBER(I24)),NOT(ISNUMBER(J24)))),"Adoption/recheck missing","Valid input")))))</x:f>
      </x:c>
    </x:row>
    <x:row r="25" ht="25" customHeight="1">
      <x:c r="A25" s="3"/>
      <x:c r="B25" s="3"/>
      <x:c r="C25" s="3"/>
      <x:c r="D25" s="3"/>
      <x:c r="E25" s="3"/>
      <x:c r="F25" s="3"/>
      <x:c r="G25" s="3"/>
      <x:c r="H25" s="3"/>
      <x:c r="I25" s="20"/>
      <x:c r="J25" s="20"/>
      <x:c r="K25" s="3"/>
      <x:c r="L25" s="3"/>
      <x:c r="M25" s="19" t="str">
        <x:f>IF(A25="","",IF(COUNTIFS($A$7:$A$306,A25,$B$7:$B$306,B25)&lt;&gt;1,"Duplicate rule version",IF(OR(B25="",D25="",E25="",F25="",K25="",L25=""),"Rule info missing",IF(AND(C25&lt;&gt;"",OR(C25=B25,COUNTIFS($A$7:$A$306,A25,$B$7:$B$306,C25)&lt;&gt;1)),"Invalid parent version ref",IF(AND(OR(D25="Trial",D25="Adopted"),OR(G25="",NOT(ISNUMBER(I25)),NOT(ISNUMBER(J25)))),"Adoption/recheck missing","Valid input")))))</x:f>
      </x:c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20"/>
      <x:c r="J26" s="20"/>
      <x:c r="K26" s="3"/>
      <x:c r="L26" s="3"/>
      <x:c r="M26" s="19" t="str">
        <x:f>IF(A26="","",IF(COUNTIFS($A$7:$A$306,A26,$B$7:$B$306,B26)&lt;&gt;1,"Duplicate rule version",IF(OR(B26="",D26="",E26="",F26="",K26="",L26=""),"Rule info missing",IF(AND(C26&lt;&gt;"",OR(C26=B26,COUNTIFS($A$7:$A$306,A26,$B$7:$B$306,C26)&lt;&gt;1)),"Invalid parent version ref",IF(AND(OR(D26="Trial",D26="Adopted"),OR(G26="",NOT(ISNUMBER(I26)),NOT(ISNUMBER(J26)))),"Adoption/recheck missing","Valid input")))))</x:f>
      </x:c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20"/>
      <x:c r="J27" s="20"/>
      <x:c r="K27" s="3"/>
      <x:c r="L27" s="3"/>
      <x:c r="M27" s="19" t="str">
        <x:f>IF(A27="","",IF(COUNTIFS($A$7:$A$306,A27,$B$7:$B$306,B27)&lt;&gt;1,"Duplicate rule version",IF(OR(B27="",D27="",E27="",F27="",K27="",L27=""),"Rule info missing",IF(AND(C27&lt;&gt;"",OR(C27=B27,COUNTIFS($A$7:$A$306,A27,$B$7:$B$306,C27)&lt;&gt;1)),"Invalid parent version ref",IF(AND(OR(D27="Trial",D27="Adopted"),OR(G27="",NOT(ISNUMBER(I27)),NOT(ISNUMBER(J27)))),"Adoption/recheck missing","Valid input")))))</x:f>
      </x:c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20"/>
      <x:c r="J28" s="20"/>
      <x:c r="K28" s="3"/>
      <x:c r="L28" s="3"/>
      <x:c r="M28" s="19" t="str">
        <x:f>IF(A28="","",IF(COUNTIFS($A$7:$A$306,A28,$B$7:$B$306,B28)&lt;&gt;1,"Duplicate rule version",IF(OR(B28="",D28="",E28="",F28="",K28="",L28=""),"Rule info missing",IF(AND(C28&lt;&gt;"",OR(C28=B28,COUNTIFS($A$7:$A$306,A28,$B$7:$B$306,C28)&lt;&gt;1)),"Invalid parent version ref",IF(AND(OR(D28="Trial",D28="Adopted"),OR(G28="",NOT(ISNUMBER(I28)),NOT(ISNUMBER(J28)))),"Adoption/recheck missing","Valid input")))))</x:f>
      </x:c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20"/>
      <x:c r="J29" s="20"/>
      <x:c r="K29" s="3"/>
      <x:c r="L29" s="3"/>
      <x:c r="M29" s="19" t="str">
        <x:f>IF(A29="","",IF(COUNTIFS($A$7:$A$306,A29,$B$7:$B$306,B29)&lt;&gt;1,"Duplicate rule version",IF(OR(B29="",D29="",E29="",F29="",K29="",L29=""),"Rule info missing",IF(AND(C29&lt;&gt;"",OR(C29=B29,COUNTIFS($A$7:$A$306,A29,$B$7:$B$306,C29)&lt;&gt;1)),"Invalid parent version ref",IF(AND(OR(D29="Trial",D29="Adopted"),OR(G29="",NOT(ISNUMBER(I29)),NOT(ISNUMBER(J29)))),"Adoption/recheck missing","Valid input")))))</x:f>
      </x:c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20"/>
      <x:c r="J30" s="20"/>
      <x:c r="K30" s="3"/>
      <x:c r="L30" s="3"/>
      <x:c r="M30" s="19" t="str">
        <x:f>IF(A30="","",IF(COUNTIFS($A$7:$A$306,A30,$B$7:$B$306,B30)&lt;&gt;1,"Duplicate rule version",IF(OR(B30="",D30="",E30="",F30="",K30="",L30=""),"Rule info missing",IF(AND(C30&lt;&gt;"",OR(C30=B30,COUNTIFS($A$7:$A$306,A30,$B$7:$B$306,C30)&lt;&gt;1)),"Invalid parent version ref",IF(AND(OR(D30="Trial",D30="Adopted"),OR(G30="",NOT(ISNUMBER(I30)),NOT(ISNUMBER(J30)))),"Adoption/recheck missing","Valid input")))))</x:f>
      </x:c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20"/>
      <x:c r="J31" s="20"/>
      <x:c r="K31" s="3"/>
      <x:c r="L31" s="3"/>
      <x:c r="M31" s="19" t="str">
        <x:f>IF(A31="","",IF(COUNTIFS($A$7:$A$306,A31,$B$7:$B$306,B31)&lt;&gt;1,"Duplicate rule version",IF(OR(B31="",D31="",E31="",F31="",K31="",L31=""),"Rule info missing",IF(AND(C31&lt;&gt;"",OR(C31=B31,COUNTIFS($A$7:$A$306,A31,$B$7:$B$306,C31)&lt;&gt;1)),"Invalid parent version ref",IF(AND(OR(D31="Trial",D31="Adopted"),OR(G31="",NOT(ISNUMBER(I31)),NOT(ISNUMBER(J31)))),"Adoption/recheck missing","Valid input")))))</x:f>
      </x:c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20"/>
      <x:c r="J32" s="20"/>
      <x:c r="K32" s="3"/>
      <x:c r="L32" s="3"/>
      <x:c r="M32" s="19" t="str">
        <x:f>IF(A32="","",IF(COUNTIFS($A$7:$A$306,A32,$B$7:$B$306,B32)&lt;&gt;1,"Duplicate rule version",IF(OR(B32="",D32="",E32="",F32="",K32="",L32=""),"Rule info missing",IF(AND(C32&lt;&gt;"",OR(C32=B32,COUNTIFS($A$7:$A$306,A32,$B$7:$B$306,C32)&lt;&gt;1)),"Invalid parent version ref",IF(AND(OR(D32="Trial",D32="Adopted"),OR(G32="",NOT(ISNUMBER(I32)),NOT(ISNUMBER(J32)))),"Adoption/recheck missing","Valid input")))))</x:f>
      </x:c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20"/>
      <x:c r="J33" s="20"/>
      <x:c r="K33" s="3"/>
      <x:c r="L33" s="3"/>
      <x:c r="M33" s="19" t="str">
        <x:f>IF(A33="","",IF(COUNTIFS($A$7:$A$306,A33,$B$7:$B$306,B33)&lt;&gt;1,"Duplicate rule version",IF(OR(B33="",D33="",E33="",F33="",K33="",L33=""),"Rule info missing",IF(AND(C33&lt;&gt;"",OR(C33=B33,COUNTIFS($A$7:$A$306,A33,$B$7:$B$306,C33)&lt;&gt;1)),"Invalid parent version ref",IF(AND(OR(D33="Trial",D33="Adopted"),OR(G33="",NOT(ISNUMBER(I33)),NOT(ISNUMBER(J33)))),"Adoption/recheck missing","Valid input")))))</x:f>
      </x:c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20"/>
      <x:c r="J34" s="20"/>
      <x:c r="K34" s="3"/>
      <x:c r="L34" s="3"/>
      <x:c r="M34" s="19" t="str">
        <x:f>IF(A34="","",IF(COUNTIFS($A$7:$A$306,A34,$B$7:$B$306,B34)&lt;&gt;1,"Duplicate rule version",IF(OR(B34="",D34="",E34="",F34="",K34="",L34=""),"Rule info missing",IF(AND(C34&lt;&gt;"",OR(C34=B34,COUNTIFS($A$7:$A$306,A34,$B$7:$B$306,C34)&lt;&gt;1)),"Invalid parent version ref",IF(AND(OR(D34="Trial",D34="Adopted"),OR(G34="",NOT(ISNUMBER(I34)),NOT(ISNUMBER(J34)))),"Adoption/recheck missing","Valid input")))))</x:f>
      </x:c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20"/>
      <x:c r="J35" s="20"/>
      <x:c r="K35" s="3"/>
      <x:c r="L35" s="3"/>
      <x:c r="M35" s="19" t="str">
        <x:f>IF(A35="","",IF(COUNTIFS($A$7:$A$306,A35,$B$7:$B$306,B35)&lt;&gt;1,"Duplicate rule version",IF(OR(B35="",D35="",E35="",F35="",K35="",L35=""),"Rule info missing",IF(AND(C35&lt;&gt;"",OR(C35=B35,COUNTIFS($A$7:$A$306,A35,$B$7:$B$306,C35)&lt;&gt;1)),"Invalid parent version ref",IF(AND(OR(D35="Trial",D35="Adopted"),OR(G35="",NOT(ISNUMBER(I35)),NOT(ISNUMBER(J35)))),"Adoption/recheck missing","Valid input")))))</x:f>
      </x:c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20"/>
      <x:c r="J36" s="20"/>
      <x:c r="K36" s="3"/>
      <x:c r="L36" s="3"/>
      <x:c r="M36" s="19" t="str">
        <x:f>IF(A36="","",IF(COUNTIFS($A$7:$A$306,A36,$B$7:$B$306,B36)&lt;&gt;1,"Duplicate rule version",IF(OR(B36="",D36="",E36="",F36="",K36="",L36=""),"Rule info missing",IF(AND(C36&lt;&gt;"",OR(C36=B36,COUNTIFS($A$7:$A$306,A36,$B$7:$B$306,C36)&lt;&gt;1)),"Invalid parent version ref",IF(AND(OR(D36="Trial",D36="Adopted"),OR(G36="",NOT(ISNUMBER(I36)),NOT(ISNUMBER(J36)))),"Adoption/recheck missing","Valid input")))))</x:f>
      </x:c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20"/>
      <x:c r="J37" s="20"/>
      <x:c r="K37" s="3"/>
      <x:c r="L37" s="3"/>
      <x:c r="M37" s="19" t="str">
        <x:f>IF(A37="","",IF(COUNTIFS($A$7:$A$306,A37,$B$7:$B$306,B37)&lt;&gt;1,"Duplicate rule version",IF(OR(B37="",D37="",E37="",F37="",K37="",L37=""),"Rule info missing",IF(AND(C37&lt;&gt;"",OR(C37=B37,COUNTIFS($A$7:$A$306,A37,$B$7:$B$306,C37)&lt;&gt;1)),"Invalid parent version ref",IF(AND(OR(D37="Trial",D37="Adopted"),OR(G37="",NOT(ISNUMBER(I37)),NOT(ISNUMBER(J37)))),"Adoption/recheck missing","Valid input")))))</x:f>
      </x:c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20"/>
      <x:c r="J38" s="20"/>
      <x:c r="K38" s="3"/>
      <x:c r="L38" s="3"/>
      <x:c r="M38" s="19" t="str">
        <x:f>IF(A38="","",IF(COUNTIFS($A$7:$A$306,A38,$B$7:$B$306,B38)&lt;&gt;1,"Duplicate rule version",IF(OR(B38="",D38="",E38="",F38="",K38="",L38=""),"Rule info missing",IF(AND(C38&lt;&gt;"",OR(C38=B38,COUNTIFS($A$7:$A$306,A38,$B$7:$B$306,C38)&lt;&gt;1)),"Invalid parent version ref",IF(AND(OR(D38="Trial",D38="Adopted"),OR(G38="",NOT(ISNUMBER(I38)),NOT(ISNUMBER(J38)))),"Adoption/recheck missing","Valid input")))))</x:f>
      </x:c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20"/>
      <x:c r="J39" s="20"/>
      <x:c r="K39" s="3"/>
      <x:c r="L39" s="3"/>
      <x:c r="M39" s="19" t="str">
        <x:f>IF(A39="","",IF(COUNTIFS($A$7:$A$306,A39,$B$7:$B$306,B39)&lt;&gt;1,"Duplicate rule version",IF(OR(B39="",D39="",E39="",F39="",K39="",L39=""),"Rule info missing",IF(AND(C39&lt;&gt;"",OR(C39=B39,COUNTIFS($A$7:$A$306,A39,$B$7:$B$306,C39)&lt;&gt;1)),"Invalid parent version ref",IF(AND(OR(D39="Trial",D39="Adopted"),OR(G39="",NOT(ISNUMBER(I39)),NOT(ISNUMBER(J39)))),"Adoption/recheck missing","Valid input")))))</x:f>
      </x:c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20"/>
      <x:c r="J40" s="20"/>
      <x:c r="K40" s="3"/>
      <x:c r="L40" s="3"/>
      <x:c r="M40" s="19" t="str">
        <x:f>IF(A40="","",IF(COUNTIFS($A$7:$A$306,A40,$B$7:$B$306,B40)&lt;&gt;1,"Duplicate rule version",IF(OR(B40="",D40="",E40="",F40="",K40="",L40=""),"Rule info missing",IF(AND(C40&lt;&gt;"",OR(C40=B40,COUNTIFS($A$7:$A$306,A40,$B$7:$B$306,C40)&lt;&gt;1)),"Invalid parent version ref",IF(AND(OR(D40="Trial",D40="Adopted"),OR(G40="",NOT(ISNUMBER(I40)),NOT(ISNUMBER(J40)))),"Adoption/recheck missing","Valid input")))))</x:f>
      </x:c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20"/>
      <x:c r="J41" s="20"/>
      <x:c r="K41" s="3"/>
      <x:c r="L41" s="3"/>
      <x:c r="M41" s="19" t="str">
        <x:f>IF(A41="","",IF(COUNTIFS($A$7:$A$306,A41,$B$7:$B$306,B41)&lt;&gt;1,"Duplicate rule version",IF(OR(B41="",D41="",E41="",F41="",K41="",L41=""),"Rule info missing",IF(AND(C41&lt;&gt;"",OR(C41=B41,COUNTIFS($A$7:$A$306,A41,$B$7:$B$306,C41)&lt;&gt;1)),"Invalid parent version ref",IF(AND(OR(D41="Trial",D41="Adopted"),OR(G41="",NOT(ISNUMBER(I41)),NOT(ISNUMBER(J41)))),"Adoption/recheck missing","Valid input")))))</x:f>
      </x:c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20"/>
      <x:c r="J42" s="20"/>
      <x:c r="K42" s="3"/>
      <x:c r="L42" s="3"/>
      <x:c r="M42" s="19" t="str">
        <x:f>IF(A42="","",IF(COUNTIFS($A$7:$A$306,A42,$B$7:$B$306,B42)&lt;&gt;1,"Duplicate rule version",IF(OR(B42="",D42="",E42="",F42="",K42="",L42=""),"Rule info missing",IF(AND(C42&lt;&gt;"",OR(C42=B42,COUNTIFS($A$7:$A$306,A42,$B$7:$B$306,C42)&lt;&gt;1)),"Invalid parent version ref",IF(AND(OR(D42="Trial",D42="Adopted"),OR(G42="",NOT(ISNUMBER(I42)),NOT(ISNUMBER(J42)))),"Adoption/recheck missing","Valid input")))))</x:f>
      </x:c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20"/>
      <x:c r="J43" s="20"/>
      <x:c r="K43" s="3"/>
      <x:c r="L43" s="3"/>
      <x:c r="M43" s="19" t="str">
        <x:f>IF(A43="","",IF(COUNTIFS($A$7:$A$306,A43,$B$7:$B$306,B43)&lt;&gt;1,"Duplicate rule version",IF(OR(B43="",D43="",E43="",F43="",K43="",L43=""),"Rule info missing",IF(AND(C43&lt;&gt;"",OR(C43=B43,COUNTIFS($A$7:$A$306,A43,$B$7:$B$306,C43)&lt;&gt;1)),"Invalid parent version ref",IF(AND(OR(D43="Trial",D43="Adopted"),OR(G43="",NOT(ISNUMBER(I43)),NOT(ISNUMBER(J43)))),"Adoption/recheck missing","Valid input")))))</x:f>
      </x:c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20"/>
      <x:c r="J44" s="20"/>
      <x:c r="K44" s="3"/>
      <x:c r="L44" s="3"/>
      <x:c r="M44" s="19" t="str">
        <x:f>IF(A44="","",IF(COUNTIFS($A$7:$A$306,A44,$B$7:$B$306,B44)&lt;&gt;1,"Duplicate rule version",IF(OR(B44="",D44="",E44="",F44="",K44="",L44=""),"Rule info missing",IF(AND(C44&lt;&gt;"",OR(C44=B44,COUNTIFS($A$7:$A$306,A44,$B$7:$B$306,C44)&lt;&gt;1)),"Invalid parent version ref",IF(AND(OR(D44="Trial",D44="Adopted"),OR(G44="",NOT(ISNUMBER(I44)),NOT(ISNUMBER(J44)))),"Adoption/recheck missing","Valid input")))))</x:f>
      </x:c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20"/>
      <x:c r="J45" s="20"/>
      <x:c r="K45" s="3"/>
      <x:c r="L45" s="3"/>
      <x:c r="M45" s="19" t="str">
        <x:f>IF(A45="","",IF(COUNTIFS($A$7:$A$306,A45,$B$7:$B$306,B45)&lt;&gt;1,"Duplicate rule version",IF(OR(B45="",D45="",E45="",F45="",K45="",L45=""),"Rule info missing",IF(AND(C45&lt;&gt;"",OR(C45=B45,COUNTIFS($A$7:$A$306,A45,$B$7:$B$306,C45)&lt;&gt;1)),"Invalid parent version ref",IF(AND(OR(D45="Trial",D45="Adopted"),OR(G45="",NOT(ISNUMBER(I45)),NOT(ISNUMBER(J45)))),"Adoption/recheck missing","Valid input")))))</x:f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20"/>
      <x:c r="J46" s="20"/>
      <x:c r="K46" s="3"/>
      <x:c r="L46" s="3"/>
      <x:c r="M46" s="19" t="str">
        <x:f>IF(A46="","",IF(COUNTIFS($A$7:$A$306,A46,$B$7:$B$306,B46)&lt;&gt;1,"Duplicate rule version",IF(OR(B46="",D46="",E46="",F46="",K46="",L46=""),"Rule info missing",IF(AND(C46&lt;&gt;"",OR(C46=B46,COUNTIFS($A$7:$A$306,A46,$B$7:$B$306,C46)&lt;&gt;1)),"Invalid parent version ref",IF(AND(OR(D46="Trial",D46="Adopted"),OR(G46="",NOT(ISNUMBER(I46)),NOT(ISNUMBER(J46)))),"Adoption/recheck missing","Valid input")))))</x:f>
      </x:c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20"/>
      <x:c r="J47" s="20"/>
      <x:c r="K47" s="3"/>
      <x:c r="L47" s="3"/>
      <x:c r="M47" s="19" t="str">
        <x:f>IF(A47="","",IF(COUNTIFS($A$7:$A$306,A47,$B$7:$B$306,B47)&lt;&gt;1,"Duplicate rule version",IF(OR(B47="",D47="",E47="",F47="",K47="",L47=""),"Rule info missing",IF(AND(C47&lt;&gt;"",OR(C47=B47,COUNTIFS($A$7:$A$306,A47,$B$7:$B$306,C47)&lt;&gt;1)),"Invalid parent version ref",IF(AND(OR(D47="Trial",D47="Adopted"),OR(G47="",NOT(ISNUMBER(I47)),NOT(ISNUMBER(J47)))),"Adoption/recheck missing","Valid input")))))</x:f>
      </x:c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20"/>
      <x:c r="J48" s="20"/>
      <x:c r="K48" s="3"/>
      <x:c r="L48" s="3"/>
      <x:c r="M48" s="19" t="str">
        <x:f>IF(A48="","",IF(COUNTIFS($A$7:$A$306,A48,$B$7:$B$306,B48)&lt;&gt;1,"Duplicate rule version",IF(OR(B48="",D48="",E48="",F48="",K48="",L48=""),"Rule info missing",IF(AND(C48&lt;&gt;"",OR(C48=B48,COUNTIFS($A$7:$A$306,A48,$B$7:$B$306,C48)&lt;&gt;1)),"Invalid parent version ref",IF(AND(OR(D48="Trial",D48="Adopted"),OR(G48="",NOT(ISNUMBER(I48)),NOT(ISNUMBER(J48)))),"Adoption/recheck missing","Valid input")))))</x:f>
      </x:c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20"/>
      <x:c r="J49" s="20"/>
      <x:c r="K49" s="3"/>
      <x:c r="L49" s="3"/>
      <x:c r="M49" s="19" t="str">
        <x:f>IF(A49="","",IF(COUNTIFS($A$7:$A$306,A49,$B$7:$B$306,B49)&lt;&gt;1,"Duplicate rule version",IF(OR(B49="",D49="",E49="",F49="",K49="",L49=""),"Rule info missing",IF(AND(C49&lt;&gt;"",OR(C49=B49,COUNTIFS($A$7:$A$306,A49,$B$7:$B$306,C49)&lt;&gt;1)),"Invalid parent version ref",IF(AND(OR(D49="Trial",D49="Adopted"),OR(G49="",NOT(ISNUMBER(I49)),NOT(ISNUMBER(J49)))),"Adoption/recheck missing","Valid input")))))</x:f>
      </x:c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20"/>
      <x:c r="J50" s="20"/>
      <x:c r="K50" s="3"/>
      <x:c r="L50" s="3"/>
      <x:c r="M50" s="19" t="str">
        <x:f>IF(A50="","",IF(COUNTIFS($A$7:$A$306,A50,$B$7:$B$306,B50)&lt;&gt;1,"Duplicate rule version",IF(OR(B50="",D50="",E50="",F50="",K50="",L50=""),"Rule info missing",IF(AND(C50&lt;&gt;"",OR(C50=B50,COUNTIFS($A$7:$A$306,A50,$B$7:$B$306,C50)&lt;&gt;1)),"Invalid parent version ref",IF(AND(OR(D50="Trial",D50="Adopted"),OR(G50="",NOT(ISNUMBER(I50)),NOT(ISNUMBER(J50)))),"Adoption/recheck missing","Valid input")))))</x:f>
      </x:c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20"/>
      <x:c r="J51" s="20"/>
      <x:c r="K51" s="3"/>
      <x:c r="L51" s="3"/>
      <x:c r="M51" s="19" t="str">
        <x:f>IF(A51="","",IF(COUNTIFS($A$7:$A$306,A51,$B$7:$B$306,B51)&lt;&gt;1,"Duplicate rule version",IF(OR(B51="",D51="",E51="",F51="",K51="",L51=""),"Rule info missing",IF(AND(C51&lt;&gt;"",OR(C51=B51,COUNTIFS($A$7:$A$306,A51,$B$7:$B$306,C51)&lt;&gt;1)),"Invalid parent version ref",IF(AND(OR(D51="Trial",D51="Adopted"),OR(G51="",NOT(ISNUMBER(I51)),NOT(ISNUMBER(J51)))),"Adoption/recheck missing","Valid input")))))</x:f>
      </x:c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20"/>
      <x:c r="J52" s="20"/>
      <x:c r="K52" s="3"/>
      <x:c r="L52" s="3"/>
      <x:c r="M52" s="19" t="str">
        <x:f>IF(A52="","",IF(COUNTIFS($A$7:$A$306,A52,$B$7:$B$306,B52)&lt;&gt;1,"Duplicate rule version",IF(OR(B52="",D52="",E52="",F52="",K52="",L52=""),"Rule info missing",IF(AND(C52&lt;&gt;"",OR(C52=B52,COUNTIFS($A$7:$A$306,A52,$B$7:$B$306,C52)&lt;&gt;1)),"Invalid parent version ref",IF(AND(OR(D52="Trial",D52="Adopted"),OR(G52="",NOT(ISNUMBER(I52)),NOT(ISNUMBER(J52)))),"Adoption/recheck missing","Valid input")))))</x:f>
      </x:c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20"/>
      <x:c r="J53" s="20"/>
      <x:c r="K53" s="3"/>
      <x:c r="L53" s="3"/>
      <x:c r="M53" s="19" t="str">
        <x:f>IF(A53="","",IF(COUNTIFS($A$7:$A$306,A53,$B$7:$B$306,B53)&lt;&gt;1,"Duplicate rule version",IF(OR(B53="",D53="",E53="",F53="",K53="",L53=""),"Rule info missing",IF(AND(C53&lt;&gt;"",OR(C53=B53,COUNTIFS($A$7:$A$306,A53,$B$7:$B$306,C53)&lt;&gt;1)),"Invalid parent version ref",IF(AND(OR(D53="Trial",D53="Adopted"),OR(G53="",NOT(ISNUMBER(I53)),NOT(ISNUMBER(J53)))),"Adoption/recheck missing","Valid input")))))</x:f>
      </x:c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20"/>
      <x:c r="J54" s="20"/>
      <x:c r="K54" s="3"/>
      <x:c r="L54" s="3"/>
      <x:c r="M54" s="19" t="str">
        <x:f>IF(A54="","",IF(COUNTIFS($A$7:$A$306,A54,$B$7:$B$306,B54)&lt;&gt;1,"Duplicate rule version",IF(OR(B54="",D54="",E54="",F54="",K54="",L54=""),"Rule info missing",IF(AND(C54&lt;&gt;"",OR(C54=B54,COUNTIFS($A$7:$A$306,A54,$B$7:$B$306,C54)&lt;&gt;1)),"Invalid parent version ref",IF(AND(OR(D54="Trial",D54="Adopted"),OR(G54="",NOT(ISNUMBER(I54)),NOT(ISNUMBER(J54)))),"Adoption/recheck missing","Valid input")))))</x:f>
      </x:c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20"/>
      <x:c r="J55" s="20"/>
      <x:c r="K55" s="3"/>
      <x:c r="L55" s="3"/>
      <x:c r="M55" s="19" t="str">
        <x:f>IF(A55="","",IF(COUNTIFS($A$7:$A$306,A55,$B$7:$B$306,B55)&lt;&gt;1,"Duplicate rule version",IF(OR(B55="",D55="",E55="",F55="",K55="",L55=""),"Rule info missing",IF(AND(C55&lt;&gt;"",OR(C55=B55,COUNTIFS($A$7:$A$306,A55,$B$7:$B$306,C55)&lt;&gt;1)),"Invalid parent version ref",IF(AND(OR(D55="Trial",D55="Adopted"),OR(G55="",NOT(ISNUMBER(I55)),NOT(ISNUMBER(J55)))),"Adoption/recheck missing","Valid input")))))</x:f>
      </x:c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20"/>
      <x:c r="J56" s="20"/>
      <x:c r="K56" s="3"/>
      <x:c r="L56" s="3"/>
      <x:c r="M56" s="19" t="str">
        <x:f>IF(A56="","",IF(COUNTIFS($A$7:$A$306,A56,$B$7:$B$306,B56)&lt;&gt;1,"Duplicate rule version",IF(OR(B56="",D56="",E56="",F56="",K56="",L56=""),"Rule info missing",IF(AND(C56&lt;&gt;"",OR(C56=B56,COUNTIFS($A$7:$A$306,A56,$B$7:$B$306,C56)&lt;&gt;1)),"Invalid parent version ref",IF(AND(OR(D56="Trial",D56="Adopted"),OR(G56="",NOT(ISNUMBER(I56)),NOT(ISNUMBER(J56)))),"Adoption/recheck missing","Valid input")))))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20"/>
      <x:c r="J57" s="20"/>
      <x:c r="K57" s="3"/>
      <x:c r="L57" s="3"/>
      <x:c r="M57" s="19" t="str">
        <x:f>IF(A57="","",IF(COUNTIFS($A$7:$A$306,A57,$B$7:$B$306,B57)&lt;&gt;1,"Duplicate rule version",IF(OR(B57="",D57="",E57="",F57="",K57="",L57=""),"Rule info missing",IF(AND(C57&lt;&gt;"",OR(C57=B57,COUNTIFS($A$7:$A$306,A57,$B$7:$B$306,C57)&lt;&gt;1)),"Invalid parent version ref",IF(AND(OR(D57="Trial",D57="Adopted"),OR(G57="",NOT(ISNUMBER(I57)),NOT(ISNUMBER(J57)))),"Adoption/recheck missing","Valid input")))))</x:f>
      </x:c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20"/>
      <x:c r="J58" s="20"/>
      <x:c r="K58" s="3"/>
      <x:c r="L58" s="3"/>
      <x:c r="M58" s="19" t="str">
        <x:f>IF(A58="","",IF(COUNTIFS($A$7:$A$306,A58,$B$7:$B$306,B58)&lt;&gt;1,"Duplicate rule version",IF(OR(B58="",D58="",E58="",F58="",K58="",L58=""),"Rule info missing",IF(AND(C58&lt;&gt;"",OR(C58=B58,COUNTIFS($A$7:$A$306,A58,$B$7:$B$306,C58)&lt;&gt;1)),"Invalid parent version ref",IF(AND(OR(D58="Trial",D58="Adopted"),OR(G58="",NOT(ISNUMBER(I58)),NOT(ISNUMBER(J58)))),"Adoption/recheck missing","Valid input")))))</x:f>
      </x:c>
    </x:row>
    <x:row r="59" ht="25" customHeight="1">
      <x:c r="A59" s="3"/>
      <x:c r="B59" s="3"/>
      <x:c r="C59" s="3"/>
      <x:c r="D59" s="3"/>
      <x:c r="E59" s="3"/>
      <x:c r="F59" s="3"/>
      <x:c r="G59" s="3"/>
      <x:c r="H59" s="3"/>
      <x:c r="I59" s="20"/>
      <x:c r="J59" s="20"/>
      <x:c r="K59" s="3"/>
      <x:c r="L59" s="3"/>
      <x:c r="M59" s="19" t="str">
        <x:f>IF(A59="","",IF(COUNTIFS($A$7:$A$306,A59,$B$7:$B$306,B59)&lt;&gt;1,"Duplicate rule version",IF(OR(B59="",D59="",E59="",F59="",K59="",L59=""),"Rule info missing",IF(AND(C59&lt;&gt;"",OR(C59=B59,COUNTIFS($A$7:$A$306,A59,$B$7:$B$306,C59)&lt;&gt;1)),"Invalid parent version ref",IF(AND(OR(D59="Trial",D59="Adopted"),OR(G59="",NOT(ISNUMBER(I59)),NOT(ISNUMBER(J59)))),"Adoption/recheck missing","Valid input")))))</x:f>
      </x:c>
    </x:row>
    <x:row r="60" ht="25" customHeight="1">
      <x:c r="A60" s="3"/>
      <x:c r="B60" s="3"/>
      <x:c r="C60" s="3"/>
      <x:c r="D60" s="3"/>
      <x:c r="E60" s="3"/>
      <x:c r="F60" s="3"/>
      <x:c r="G60" s="3"/>
      <x:c r="H60" s="3"/>
      <x:c r="I60" s="20"/>
      <x:c r="J60" s="20"/>
      <x:c r="K60" s="3"/>
      <x:c r="L60" s="3"/>
      <x:c r="M60" s="19" t="str">
        <x:f>IF(A60="","",IF(COUNTIFS($A$7:$A$306,A60,$B$7:$B$306,B60)&lt;&gt;1,"Duplicate rule version",IF(OR(B60="",D60="",E60="",F60="",K60="",L60=""),"Rule info missing",IF(AND(C60&lt;&gt;"",OR(C60=B60,COUNTIFS($A$7:$A$306,A60,$B$7:$B$306,C60)&lt;&gt;1)),"Invalid parent version ref",IF(AND(OR(D60="Trial",D60="Adopted"),OR(G60="",NOT(ISNUMBER(I60)),NOT(ISNUMBER(J60)))),"Adoption/recheck missing","Valid input")))))</x:f>
      </x:c>
    </x:row>
    <x:row r="61" ht="25" customHeight="1">
      <x:c r="A61" s="3"/>
      <x:c r="B61" s="3"/>
      <x:c r="C61" s="3"/>
      <x:c r="D61" s="3"/>
      <x:c r="E61" s="3"/>
      <x:c r="F61" s="3"/>
      <x:c r="G61" s="3"/>
      <x:c r="H61" s="3"/>
      <x:c r="I61" s="20"/>
      <x:c r="J61" s="20"/>
      <x:c r="K61" s="3"/>
      <x:c r="L61" s="3"/>
      <x:c r="M61" s="19" t="str">
        <x:f>IF(A61="","",IF(COUNTIFS($A$7:$A$306,A61,$B$7:$B$306,B61)&lt;&gt;1,"Duplicate rule version",IF(OR(B61="",D61="",E61="",F61="",K61="",L61=""),"Rule info missing",IF(AND(C61&lt;&gt;"",OR(C61=B61,COUNTIFS($A$7:$A$306,A61,$B$7:$B$306,C61)&lt;&gt;1)),"Invalid parent version ref",IF(AND(OR(D61="Trial",D61="Adopted"),OR(G61="",NOT(ISNUMBER(I61)),NOT(ISNUMBER(J61)))),"Adoption/recheck missing","Valid input")))))</x:f>
      </x:c>
    </x:row>
    <x:row r="62" ht="25" customHeight="1">
      <x:c r="A62" s="3"/>
      <x:c r="B62" s="3"/>
      <x:c r="C62" s="3"/>
      <x:c r="D62" s="3"/>
      <x:c r="E62" s="3"/>
      <x:c r="F62" s="3"/>
      <x:c r="G62" s="3"/>
      <x:c r="H62" s="3"/>
      <x:c r="I62" s="20"/>
      <x:c r="J62" s="20"/>
      <x:c r="K62" s="3"/>
      <x:c r="L62" s="3"/>
      <x:c r="M62" s="19" t="str">
        <x:f>IF(A62="","",IF(COUNTIFS($A$7:$A$306,A62,$B$7:$B$306,B62)&lt;&gt;1,"Duplicate rule version",IF(OR(B62="",D62="",E62="",F62="",K62="",L62=""),"Rule info missing",IF(AND(C62&lt;&gt;"",OR(C62=B62,COUNTIFS($A$7:$A$306,A62,$B$7:$B$306,C62)&lt;&gt;1)),"Invalid parent version ref",IF(AND(OR(D62="Trial",D62="Adopted"),OR(G62="",NOT(ISNUMBER(I62)),NOT(ISNUMBER(J62)))),"Adoption/recheck missing","Valid input")))))</x:f>
      </x:c>
    </x:row>
    <x:row r="63" ht="25" customHeight="1">
      <x:c r="A63" s="3"/>
      <x:c r="B63" s="3"/>
      <x:c r="C63" s="3"/>
      <x:c r="D63" s="3"/>
      <x:c r="E63" s="3"/>
      <x:c r="F63" s="3"/>
      <x:c r="G63" s="3"/>
      <x:c r="H63" s="3"/>
      <x:c r="I63" s="20"/>
      <x:c r="J63" s="20"/>
      <x:c r="K63" s="3"/>
      <x:c r="L63" s="3"/>
      <x:c r="M63" s="19" t="str">
        <x:f>IF(A63="","",IF(COUNTIFS($A$7:$A$306,A63,$B$7:$B$306,B63)&lt;&gt;1,"Duplicate rule version",IF(OR(B63="",D63="",E63="",F63="",K63="",L63=""),"Rule info missing",IF(AND(C63&lt;&gt;"",OR(C63=B63,COUNTIFS($A$7:$A$306,A63,$B$7:$B$306,C63)&lt;&gt;1)),"Invalid parent version ref",IF(AND(OR(D63="Trial",D63="Adopted"),OR(G63="",NOT(ISNUMBER(I63)),NOT(ISNUMBER(J63)))),"Adoption/recheck missing","Valid input")))))</x:f>
      </x:c>
    </x:row>
    <x:row r="64" ht="25" customHeight="1">
      <x:c r="A64" s="3"/>
      <x:c r="B64" s="3"/>
      <x:c r="C64" s="3"/>
      <x:c r="D64" s="3"/>
      <x:c r="E64" s="3"/>
      <x:c r="F64" s="3"/>
      <x:c r="G64" s="3"/>
      <x:c r="H64" s="3"/>
      <x:c r="I64" s="20"/>
      <x:c r="J64" s="20"/>
      <x:c r="K64" s="3"/>
      <x:c r="L64" s="3"/>
      <x:c r="M64" s="19" t="str">
        <x:f>IF(A64="","",IF(COUNTIFS($A$7:$A$306,A64,$B$7:$B$306,B64)&lt;&gt;1,"Duplicate rule version",IF(OR(B64="",D64="",E64="",F64="",K64="",L64=""),"Rule info missing",IF(AND(C64&lt;&gt;"",OR(C64=B64,COUNTIFS($A$7:$A$306,A64,$B$7:$B$306,C64)&lt;&gt;1)),"Invalid parent version ref",IF(AND(OR(D64="Trial",D64="Adopted"),OR(G64="",NOT(ISNUMBER(I64)),NOT(ISNUMBER(J64)))),"Adoption/recheck missing","Valid input")))))</x:f>
      </x:c>
    </x:row>
    <x:row r="65" ht="25" customHeight="1">
      <x:c r="A65" s="3"/>
      <x:c r="B65" s="3"/>
      <x:c r="C65" s="3"/>
      <x:c r="D65" s="3"/>
      <x:c r="E65" s="3"/>
      <x:c r="F65" s="3"/>
      <x:c r="G65" s="3"/>
      <x:c r="H65" s="3"/>
      <x:c r="I65" s="20"/>
      <x:c r="J65" s="20"/>
      <x:c r="K65" s="3"/>
      <x:c r="L65" s="3"/>
      <x:c r="M65" s="19" t="str">
        <x:f>IF(A65="","",IF(COUNTIFS($A$7:$A$306,A65,$B$7:$B$306,B65)&lt;&gt;1,"Duplicate rule version",IF(OR(B65="",D65="",E65="",F65="",K65="",L65=""),"Rule info missing",IF(AND(C65&lt;&gt;"",OR(C65=B65,COUNTIFS($A$7:$A$306,A65,$B$7:$B$306,C65)&lt;&gt;1)),"Invalid parent version ref",IF(AND(OR(D65="Trial",D65="Adopted"),OR(G65="",NOT(ISNUMBER(I65)),NOT(ISNUMBER(J65)))),"Adoption/recheck missing","Valid input")))))</x:f>
      </x:c>
    </x:row>
    <x:row r="66" ht="25" customHeight="1">
      <x:c r="A66" s="3"/>
      <x:c r="B66" s="3"/>
      <x:c r="C66" s="3"/>
      <x:c r="D66" s="3"/>
      <x:c r="E66" s="3"/>
      <x:c r="F66" s="3"/>
      <x:c r="G66" s="3"/>
      <x:c r="H66" s="3"/>
      <x:c r="I66" s="20"/>
      <x:c r="J66" s="20"/>
      <x:c r="K66" s="3"/>
      <x:c r="L66" s="3"/>
      <x:c r="M66" s="19" t="str">
        <x:f>IF(A66="","",IF(COUNTIFS($A$7:$A$306,A66,$B$7:$B$306,B66)&lt;&gt;1,"Duplicate rule version",IF(OR(B66="",D66="",E66="",F66="",K66="",L66=""),"Rule info missing",IF(AND(C66&lt;&gt;"",OR(C66=B66,COUNTIFS($A$7:$A$306,A66,$B$7:$B$306,C66)&lt;&gt;1)),"Invalid parent version ref",IF(AND(OR(D66="Trial",D66="Adopted"),OR(G66="",NOT(ISNUMBER(I66)),NOT(ISNUMBER(J66)))),"Adoption/recheck missing","Valid input")))))</x:f>
      </x:c>
    </x:row>
    <x:row r="67" ht="25" customHeight="1">
      <x:c r="A67" s="3"/>
      <x:c r="B67" s="3"/>
      <x:c r="C67" s="3"/>
      <x:c r="D67" s="3"/>
      <x:c r="E67" s="3"/>
      <x:c r="F67" s="3"/>
      <x:c r="G67" s="3"/>
      <x:c r="H67" s="3"/>
      <x:c r="I67" s="20"/>
      <x:c r="J67" s="20"/>
      <x:c r="K67" s="3"/>
      <x:c r="L67" s="3"/>
      <x:c r="M67" s="19" t="str">
        <x:f>IF(A67="","",IF(COUNTIFS($A$7:$A$306,A67,$B$7:$B$306,B67)&lt;&gt;1,"Duplicate rule version",IF(OR(B67="",D67="",E67="",F67="",K67="",L67=""),"Rule info missing",IF(AND(C67&lt;&gt;"",OR(C67=B67,COUNTIFS($A$7:$A$306,A67,$B$7:$B$306,C67)&lt;&gt;1)),"Invalid parent version ref",IF(AND(OR(D67="Trial",D67="Adopted"),OR(G67="",NOT(ISNUMBER(I67)),NOT(ISNUMBER(J67)))),"Adoption/recheck missing","Valid input")))))</x:f>
      </x:c>
    </x:row>
    <x:row r="68" ht="25" customHeight="1">
      <x:c r="A68" s="3"/>
      <x:c r="B68" s="3"/>
      <x:c r="C68" s="3"/>
      <x:c r="D68" s="3"/>
      <x:c r="E68" s="3"/>
      <x:c r="F68" s="3"/>
      <x:c r="G68" s="3"/>
      <x:c r="H68" s="3"/>
      <x:c r="I68" s="20"/>
      <x:c r="J68" s="20"/>
      <x:c r="K68" s="3"/>
      <x:c r="L68" s="3"/>
      <x:c r="M68" s="19" t="str">
        <x:f>IF(A68="","",IF(COUNTIFS($A$7:$A$306,A68,$B$7:$B$306,B68)&lt;&gt;1,"Duplicate rule version",IF(OR(B68="",D68="",E68="",F68="",K68="",L68=""),"Rule info missing",IF(AND(C68&lt;&gt;"",OR(C68=B68,COUNTIFS($A$7:$A$306,A68,$B$7:$B$306,C68)&lt;&gt;1)),"Invalid parent version ref",IF(AND(OR(D68="Trial",D68="Adopted"),OR(G68="",NOT(ISNUMBER(I68)),NOT(ISNUMBER(J68)))),"Adoption/recheck missing","Valid input")))))</x:f>
      </x:c>
    </x:row>
    <x:row r="69" ht="25" customHeight="1">
      <x:c r="A69" s="3"/>
      <x:c r="B69" s="3"/>
      <x:c r="C69" s="3"/>
      <x:c r="D69" s="3"/>
      <x:c r="E69" s="3"/>
      <x:c r="F69" s="3"/>
      <x:c r="G69" s="3"/>
      <x:c r="H69" s="3"/>
      <x:c r="I69" s="20"/>
      <x:c r="J69" s="20"/>
      <x:c r="K69" s="3"/>
      <x:c r="L69" s="3"/>
      <x:c r="M69" s="19" t="str">
        <x:f>IF(A69="","",IF(COUNTIFS($A$7:$A$306,A69,$B$7:$B$306,B69)&lt;&gt;1,"Duplicate rule version",IF(OR(B69="",D69="",E69="",F69="",K69="",L69=""),"Rule info missing",IF(AND(C69&lt;&gt;"",OR(C69=B69,COUNTIFS($A$7:$A$306,A69,$B$7:$B$306,C69)&lt;&gt;1)),"Invalid parent version ref",IF(AND(OR(D69="Trial",D69="Adopted"),OR(G69="",NOT(ISNUMBER(I69)),NOT(ISNUMBER(J69)))),"Adoption/recheck missing","Valid input")))))</x:f>
      </x:c>
    </x:row>
    <x:row r="70" ht="25" customHeight="1">
      <x:c r="A70" s="3"/>
      <x:c r="B70" s="3"/>
      <x:c r="C70" s="3"/>
      <x:c r="D70" s="3"/>
      <x:c r="E70" s="3"/>
      <x:c r="F70" s="3"/>
      <x:c r="G70" s="3"/>
      <x:c r="H70" s="3"/>
      <x:c r="I70" s="20"/>
      <x:c r="J70" s="20"/>
      <x:c r="K70" s="3"/>
      <x:c r="L70" s="3"/>
      <x:c r="M70" s="19" t="str">
        <x:f>IF(A70="","",IF(COUNTIFS($A$7:$A$306,A70,$B$7:$B$306,B70)&lt;&gt;1,"Duplicate rule version",IF(OR(B70="",D70="",E70="",F70="",K70="",L70=""),"Rule info missing",IF(AND(C70&lt;&gt;"",OR(C70=B70,COUNTIFS($A$7:$A$306,A70,$B$7:$B$306,C70)&lt;&gt;1)),"Invalid parent version ref",IF(AND(OR(D70="Trial",D70="Adopted"),OR(G70="",NOT(ISNUMBER(I70)),NOT(ISNUMBER(J70)))),"Adoption/recheck missing","Valid input")))))</x:f>
      </x:c>
    </x:row>
    <x:row r="71" ht="25" customHeight="1">
      <x:c r="A71" s="3"/>
      <x:c r="B71" s="3"/>
      <x:c r="C71" s="3"/>
      <x:c r="D71" s="3"/>
      <x:c r="E71" s="3"/>
      <x:c r="F71" s="3"/>
      <x:c r="G71" s="3"/>
      <x:c r="H71" s="3"/>
      <x:c r="I71" s="20"/>
      <x:c r="J71" s="20"/>
      <x:c r="K71" s="3"/>
      <x:c r="L71" s="3"/>
      <x:c r="M71" s="19" t="str">
        <x:f>IF(A71="","",IF(COUNTIFS($A$7:$A$306,A71,$B$7:$B$306,B71)&lt;&gt;1,"Duplicate rule version",IF(OR(B71="",D71="",E71="",F71="",K71="",L71=""),"Rule info missing",IF(AND(C71&lt;&gt;"",OR(C71=B71,COUNTIFS($A$7:$A$306,A71,$B$7:$B$306,C71)&lt;&gt;1)),"Invalid parent version ref",IF(AND(OR(D71="Trial",D71="Adopted"),OR(G71="",NOT(ISNUMBER(I71)),NOT(ISNUMBER(J71)))),"Adoption/recheck missing","Valid input")))))</x:f>
      </x:c>
    </x:row>
    <x:row r="72" ht="25" customHeight="1">
      <x:c r="A72" s="3"/>
      <x:c r="B72" s="3"/>
      <x:c r="C72" s="3"/>
      <x:c r="D72" s="3"/>
      <x:c r="E72" s="3"/>
      <x:c r="F72" s="3"/>
      <x:c r="G72" s="3"/>
      <x:c r="H72" s="3"/>
      <x:c r="I72" s="20"/>
      <x:c r="J72" s="20"/>
      <x:c r="K72" s="3"/>
      <x:c r="L72" s="3"/>
      <x:c r="M72" s="19" t="str">
        <x:f>IF(A72="","",IF(COUNTIFS($A$7:$A$306,A72,$B$7:$B$306,B72)&lt;&gt;1,"Duplicate rule version",IF(OR(B72="",D72="",E72="",F72="",K72="",L72=""),"Rule info missing",IF(AND(C72&lt;&gt;"",OR(C72=B72,COUNTIFS($A$7:$A$306,A72,$B$7:$B$306,C72)&lt;&gt;1)),"Invalid parent version ref",IF(AND(OR(D72="Trial",D72="Adopted"),OR(G72="",NOT(ISNUMBER(I72)),NOT(ISNUMBER(J72)))),"Adoption/recheck missing","Valid input")))))</x:f>
      </x:c>
    </x:row>
    <x:row r="73" ht="25" customHeight="1">
      <x:c r="A73" s="3"/>
      <x:c r="B73" s="3"/>
      <x:c r="C73" s="3"/>
      <x:c r="D73" s="3"/>
      <x:c r="E73" s="3"/>
      <x:c r="F73" s="3"/>
      <x:c r="G73" s="3"/>
      <x:c r="H73" s="3"/>
      <x:c r="I73" s="20"/>
      <x:c r="J73" s="20"/>
      <x:c r="K73" s="3"/>
      <x:c r="L73" s="3"/>
      <x:c r="M73" s="19" t="str">
        <x:f>IF(A73="","",IF(COUNTIFS($A$7:$A$306,A73,$B$7:$B$306,B73)&lt;&gt;1,"Duplicate rule version",IF(OR(B73="",D73="",E73="",F73="",K73="",L73=""),"Rule info missing",IF(AND(C73&lt;&gt;"",OR(C73=B73,COUNTIFS($A$7:$A$306,A73,$B$7:$B$306,C73)&lt;&gt;1)),"Invalid parent version ref",IF(AND(OR(D73="Trial",D73="Adopted"),OR(G73="",NOT(ISNUMBER(I73)),NOT(ISNUMBER(J73)))),"Adoption/recheck missing","Valid input")))))</x:f>
      </x:c>
    </x:row>
    <x:row r="74" ht="25" customHeight="1">
      <x:c r="A74" s="3"/>
      <x:c r="B74" s="3"/>
      <x:c r="C74" s="3"/>
      <x:c r="D74" s="3"/>
      <x:c r="E74" s="3"/>
      <x:c r="F74" s="3"/>
      <x:c r="G74" s="3"/>
      <x:c r="H74" s="3"/>
      <x:c r="I74" s="20"/>
      <x:c r="J74" s="20"/>
      <x:c r="K74" s="3"/>
      <x:c r="L74" s="3"/>
      <x:c r="M74" s="19" t="str">
        <x:f>IF(A74="","",IF(COUNTIFS($A$7:$A$306,A74,$B$7:$B$306,B74)&lt;&gt;1,"Duplicate rule version",IF(OR(B74="",D74="",E74="",F74="",K74="",L74=""),"Rule info missing",IF(AND(C74&lt;&gt;"",OR(C74=B74,COUNTIFS($A$7:$A$306,A74,$B$7:$B$306,C74)&lt;&gt;1)),"Invalid parent version ref",IF(AND(OR(D74="Trial",D74="Adopted"),OR(G74="",NOT(ISNUMBER(I74)),NOT(ISNUMBER(J74)))),"Adoption/recheck missing","Valid input")))))</x:f>
      </x:c>
    </x:row>
    <x:row r="75" ht="25" customHeight="1">
      <x:c r="A75" s="3"/>
      <x:c r="B75" s="3"/>
      <x:c r="C75" s="3"/>
      <x:c r="D75" s="3"/>
      <x:c r="E75" s="3"/>
      <x:c r="F75" s="3"/>
      <x:c r="G75" s="3"/>
      <x:c r="H75" s="3"/>
      <x:c r="I75" s="20"/>
      <x:c r="J75" s="20"/>
      <x:c r="K75" s="3"/>
      <x:c r="L75" s="3"/>
      <x:c r="M75" s="19" t="str">
        <x:f>IF(A75="","",IF(COUNTIFS($A$7:$A$306,A75,$B$7:$B$306,B75)&lt;&gt;1,"Duplicate rule version",IF(OR(B75="",D75="",E75="",F75="",K75="",L75=""),"Rule info missing",IF(AND(C75&lt;&gt;"",OR(C75=B75,COUNTIFS($A$7:$A$306,A75,$B$7:$B$306,C75)&lt;&gt;1)),"Invalid parent version ref",IF(AND(OR(D75="Trial",D75="Adopted"),OR(G75="",NOT(ISNUMBER(I75)),NOT(ISNUMBER(J75)))),"Adoption/recheck missing","Valid input")))))</x:f>
      </x:c>
    </x:row>
    <x:row r="76" ht="25" customHeight="1">
      <x:c r="A76" s="3"/>
      <x:c r="B76" s="3"/>
      <x:c r="C76" s="3"/>
      <x:c r="D76" s="3"/>
      <x:c r="E76" s="3"/>
      <x:c r="F76" s="3"/>
      <x:c r="G76" s="3"/>
      <x:c r="H76" s="3"/>
      <x:c r="I76" s="20"/>
      <x:c r="J76" s="20"/>
      <x:c r="K76" s="3"/>
      <x:c r="L76" s="3"/>
      <x:c r="M76" s="19" t="str">
        <x:f>IF(A76="","",IF(COUNTIFS($A$7:$A$306,A76,$B$7:$B$306,B76)&lt;&gt;1,"Duplicate rule version",IF(OR(B76="",D76="",E76="",F76="",K76="",L76=""),"Rule info missing",IF(AND(C76&lt;&gt;"",OR(C76=B76,COUNTIFS($A$7:$A$306,A76,$B$7:$B$306,C76)&lt;&gt;1)),"Invalid parent version ref",IF(AND(OR(D76="Trial",D76="Adopted"),OR(G76="",NOT(ISNUMBER(I76)),NOT(ISNUMBER(J76)))),"Adoption/recheck missing","Valid input")))))</x:f>
      </x:c>
    </x:row>
    <x:row r="77" ht="25" customHeight="1">
      <x:c r="A77" s="3"/>
      <x:c r="B77" s="3"/>
      <x:c r="C77" s="3"/>
      <x:c r="D77" s="3"/>
      <x:c r="E77" s="3"/>
      <x:c r="F77" s="3"/>
      <x:c r="G77" s="3"/>
      <x:c r="H77" s="3"/>
      <x:c r="I77" s="20"/>
      <x:c r="J77" s="20"/>
      <x:c r="K77" s="3"/>
      <x:c r="L77" s="3"/>
      <x:c r="M77" s="19" t="str">
        <x:f>IF(A77="","",IF(COUNTIFS($A$7:$A$306,A77,$B$7:$B$306,B77)&lt;&gt;1,"Duplicate rule version",IF(OR(B77="",D77="",E77="",F77="",K77="",L77=""),"Rule info missing",IF(AND(C77&lt;&gt;"",OR(C77=B77,COUNTIFS($A$7:$A$306,A77,$B$7:$B$306,C77)&lt;&gt;1)),"Invalid parent version ref",IF(AND(OR(D77="Trial",D77="Adopted"),OR(G77="",NOT(ISNUMBER(I77)),NOT(ISNUMBER(J77)))),"Adoption/recheck missing","Valid input")))))</x:f>
      </x:c>
    </x:row>
    <x:row r="78" ht="25" customHeight="1">
      <x:c r="A78" s="3"/>
      <x:c r="B78" s="3"/>
      <x:c r="C78" s="3"/>
      <x:c r="D78" s="3"/>
      <x:c r="E78" s="3"/>
      <x:c r="F78" s="3"/>
      <x:c r="G78" s="3"/>
      <x:c r="H78" s="3"/>
      <x:c r="I78" s="20"/>
      <x:c r="J78" s="20"/>
      <x:c r="K78" s="3"/>
      <x:c r="L78" s="3"/>
      <x:c r="M78" s="19" t="str">
        <x:f>IF(A78="","",IF(COUNTIFS($A$7:$A$306,A78,$B$7:$B$306,B78)&lt;&gt;1,"Duplicate rule version",IF(OR(B78="",D78="",E78="",F78="",K78="",L78=""),"Rule info missing",IF(AND(C78&lt;&gt;"",OR(C78=B78,COUNTIFS($A$7:$A$306,A78,$B$7:$B$306,C78)&lt;&gt;1)),"Invalid parent version ref",IF(AND(OR(D78="Trial",D78="Adopted"),OR(G78="",NOT(ISNUMBER(I78)),NOT(ISNUMBER(J78)))),"Adoption/recheck missing","Valid input")))))</x:f>
      </x:c>
    </x:row>
    <x:row r="79" ht="25" customHeight="1">
      <x:c r="A79" s="3"/>
      <x:c r="B79" s="3"/>
      <x:c r="C79" s="3"/>
      <x:c r="D79" s="3"/>
      <x:c r="E79" s="3"/>
      <x:c r="F79" s="3"/>
      <x:c r="G79" s="3"/>
      <x:c r="H79" s="3"/>
      <x:c r="I79" s="20"/>
      <x:c r="J79" s="20"/>
      <x:c r="K79" s="3"/>
      <x:c r="L79" s="3"/>
      <x:c r="M79" s="19" t="str">
        <x:f>IF(A79="","",IF(COUNTIFS($A$7:$A$306,A79,$B$7:$B$306,B79)&lt;&gt;1,"Duplicate rule version",IF(OR(B79="",D79="",E79="",F79="",K79="",L79=""),"Rule info missing",IF(AND(C79&lt;&gt;"",OR(C79=B79,COUNTIFS($A$7:$A$306,A79,$B$7:$B$306,C79)&lt;&gt;1)),"Invalid parent version ref",IF(AND(OR(D79="Trial",D79="Adopted"),OR(G79="",NOT(ISNUMBER(I79)),NOT(ISNUMBER(J79)))),"Adoption/recheck missing","Valid input")))))</x:f>
      </x:c>
    </x:row>
    <x:row r="80" ht="25" customHeight="1">
      <x:c r="A80" s="3"/>
      <x:c r="B80" s="3"/>
      <x:c r="C80" s="3"/>
      <x:c r="D80" s="3"/>
      <x:c r="E80" s="3"/>
      <x:c r="F80" s="3"/>
      <x:c r="G80" s="3"/>
      <x:c r="H80" s="3"/>
      <x:c r="I80" s="20"/>
      <x:c r="J80" s="20"/>
      <x:c r="K80" s="3"/>
      <x:c r="L80" s="3"/>
      <x:c r="M80" s="19" t="str">
        <x:f>IF(A80="","",IF(COUNTIFS($A$7:$A$306,A80,$B$7:$B$306,B80)&lt;&gt;1,"Duplicate rule version",IF(OR(B80="",D80="",E80="",F80="",K80="",L80=""),"Rule info missing",IF(AND(C80&lt;&gt;"",OR(C80=B80,COUNTIFS($A$7:$A$306,A80,$B$7:$B$306,C80)&lt;&gt;1)),"Invalid parent version ref",IF(AND(OR(D80="Trial",D80="Adopted"),OR(G80="",NOT(ISNUMBER(I80)),NOT(ISNUMBER(J80)))),"Adoption/recheck missing","Valid input")))))</x:f>
      </x:c>
    </x:row>
    <x:row r="81" ht="25" customHeight="1">
      <x:c r="A81" s="3"/>
      <x:c r="B81" s="3"/>
      <x:c r="C81" s="3"/>
      <x:c r="D81" s="3"/>
      <x:c r="E81" s="3"/>
      <x:c r="F81" s="3"/>
      <x:c r="G81" s="3"/>
      <x:c r="H81" s="3"/>
      <x:c r="I81" s="20"/>
      <x:c r="J81" s="20"/>
      <x:c r="K81" s="3"/>
      <x:c r="L81" s="3"/>
      <x:c r="M81" s="19" t="str">
        <x:f>IF(A81="","",IF(COUNTIFS($A$7:$A$306,A81,$B$7:$B$306,B81)&lt;&gt;1,"Duplicate rule version",IF(OR(B81="",D81="",E81="",F81="",K81="",L81=""),"Rule info missing",IF(AND(C81&lt;&gt;"",OR(C81=B81,COUNTIFS($A$7:$A$306,A81,$B$7:$B$306,C81)&lt;&gt;1)),"Invalid parent version ref",IF(AND(OR(D81="Trial",D81="Adopted"),OR(G81="",NOT(ISNUMBER(I81)),NOT(ISNUMBER(J81)))),"Adoption/recheck missing","Valid input")))))</x:f>
      </x:c>
    </x:row>
    <x:row r="82" ht="25" customHeight="1">
      <x:c r="A82" s="3"/>
      <x:c r="B82" s="3"/>
      <x:c r="C82" s="3"/>
      <x:c r="D82" s="3"/>
      <x:c r="E82" s="3"/>
      <x:c r="F82" s="3"/>
      <x:c r="G82" s="3"/>
      <x:c r="H82" s="3"/>
      <x:c r="I82" s="20"/>
      <x:c r="J82" s="20"/>
      <x:c r="K82" s="3"/>
      <x:c r="L82" s="3"/>
      <x:c r="M82" s="19" t="str">
        <x:f>IF(A82="","",IF(COUNTIFS($A$7:$A$306,A82,$B$7:$B$306,B82)&lt;&gt;1,"Duplicate rule version",IF(OR(B82="",D82="",E82="",F82="",K82="",L82=""),"Rule info missing",IF(AND(C82&lt;&gt;"",OR(C82=B82,COUNTIFS($A$7:$A$306,A82,$B$7:$B$306,C82)&lt;&gt;1)),"Invalid parent version ref",IF(AND(OR(D82="Trial",D82="Adopted"),OR(G82="",NOT(ISNUMBER(I82)),NOT(ISNUMBER(J82)))),"Adoption/recheck missing","Valid input")))))</x:f>
      </x:c>
    </x:row>
    <x:row r="83" ht="25" customHeight="1">
      <x:c r="A83" s="3"/>
      <x:c r="B83" s="3"/>
      <x:c r="C83" s="3"/>
      <x:c r="D83" s="3"/>
      <x:c r="E83" s="3"/>
      <x:c r="F83" s="3"/>
      <x:c r="G83" s="3"/>
      <x:c r="H83" s="3"/>
      <x:c r="I83" s="20"/>
      <x:c r="J83" s="20"/>
      <x:c r="K83" s="3"/>
      <x:c r="L83" s="3"/>
      <x:c r="M83" s="19" t="str">
        <x:f>IF(A83="","",IF(COUNTIFS($A$7:$A$306,A83,$B$7:$B$306,B83)&lt;&gt;1,"Duplicate rule version",IF(OR(B83="",D83="",E83="",F83="",K83="",L83=""),"Rule info missing",IF(AND(C83&lt;&gt;"",OR(C83=B83,COUNTIFS($A$7:$A$306,A83,$B$7:$B$306,C83)&lt;&gt;1)),"Invalid parent version ref",IF(AND(OR(D83="Trial",D83="Adopted"),OR(G83="",NOT(ISNUMBER(I83)),NOT(ISNUMBER(J83)))),"Adoption/recheck missing","Valid input")))))</x:f>
      </x:c>
    </x:row>
    <x:row r="84" ht="25" customHeight="1">
      <x:c r="A84" s="3"/>
      <x:c r="B84" s="3"/>
      <x:c r="C84" s="3"/>
      <x:c r="D84" s="3"/>
      <x:c r="E84" s="3"/>
      <x:c r="F84" s="3"/>
      <x:c r="G84" s="3"/>
      <x:c r="H84" s="3"/>
      <x:c r="I84" s="20"/>
      <x:c r="J84" s="20"/>
      <x:c r="K84" s="3"/>
      <x:c r="L84" s="3"/>
      <x:c r="M84" s="19" t="str">
        <x:f>IF(A84="","",IF(COUNTIFS($A$7:$A$306,A84,$B$7:$B$306,B84)&lt;&gt;1,"Duplicate rule version",IF(OR(B84="",D84="",E84="",F84="",K84="",L84=""),"Rule info missing",IF(AND(C84&lt;&gt;"",OR(C84=B84,COUNTIFS($A$7:$A$306,A84,$B$7:$B$306,C84)&lt;&gt;1)),"Invalid parent version ref",IF(AND(OR(D84="Trial",D84="Adopted"),OR(G84="",NOT(ISNUMBER(I84)),NOT(ISNUMBER(J84)))),"Adoption/recheck missing","Valid input")))))</x:f>
      </x:c>
    </x:row>
    <x:row r="85" ht="25" customHeight="1">
      <x:c r="A85" s="3"/>
      <x:c r="B85" s="3"/>
      <x:c r="C85" s="3"/>
      <x:c r="D85" s="3"/>
      <x:c r="E85" s="3"/>
      <x:c r="F85" s="3"/>
      <x:c r="G85" s="3"/>
      <x:c r="H85" s="3"/>
      <x:c r="I85" s="20"/>
      <x:c r="J85" s="20"/>
      <x:c r="K85" s="3"/>
      <x:c r="L85" s="3"/>
      <x:c r="M85" s="19" t="str">
        <x:f>IF(A85="","",IF(COUNTIFS($A$7:$A$306,A85,$B$7:$B$306,B85)&lt;&gt;1,"Duplicate rule version",IF(OR(B85="",D85="",E85="",F85="",K85="",L85=""),"Rule info missing",IF(AND(C85&lt;&gt;"",OR(C85=B85,COUNTIFS($A$7:$A$306,A85,$B$7:$B$306,C85)&lt;&gt;1)),"Invalid parent version ref",IF(AND(OR(D85="Trial",D85="Adopted"),OR(G85="",NOT(ISNUMBER(I85)),NOT(ISNUMBER(J85)))),"Adoption/recheck missing","Valid input")))))</x:f>
      </x:c>
    </x:row>
    <x:row r="86" ht="25" customHeight="1">
      <x:c r="A86" s="3"/>
      <x:c r="B86" s="3"/>
      <x:c r="C86" s="3"/>
      <x:c r="D86" s="3"/>
      <x:c r="E86" s="3"/>
      <x:c r="F86" s="3"/>
      <x:c r="G86" s="3"/>
      <x:c r="H86" s="3"/>
      <x:c r="I86" s="20"/>
      <x:c r="J86" s="20"/>
      <x:c r="K86" s="3"/>
      <x:c r="L86" s="3"/>
      <x:c r="M86" s="19" t="str">
        <x:f>IF(A86="","",IF(COUNTIFS($A$7:$A$306,A86,$B$7:$B$306,B86)&lt;&gt;1,"Duplicate rule version",IF(OR(B86="",D86="",E86="",F86="",K86="",L86=""),"Rule info missing",IF(AND(C86&lt;&gt;"",OR(C86=B86,COUNTIFS($A$7:$A$306,A86,$B$7:$B$306,C86)&lt;&gt;1)),"Invalid parent version ref",IF(AND(OR(D86="Trial",D86="Adopted"),OR(G86="",NOT(ISNUMBER(I86)),NOT(ISNUMBER(J86)))),"Adoption/recheck missing","Valid input")))))</x:f>
      </x:c>
    </x:row>
    <x:row r="87" ht="25" customHeight="1">
      <x:c r="A87" s="3"/>
      <x:c r="B87" s="3"/>
      <x:c r="C87" s="3"/>
      <x:c r="D87" s="3"/>
      <x:c r="E87" s="3"/>
      <x:c r="F87" s="3"/>
      <x:c r="G87" s="3"/>
      <x:c r="H87" s="3"/>
      <x:c r="I87" s="20"/>
      <x:c r="J87" s="20"/>
      <x:c r="K87" s="3"/>
      <x:c r="L87" s="3"/>
      <x:c r="M87" s="19" t="str">
        <x:f>IF(A87="","",IF(COUNTIFS($A$7:$A$306,A87,$B$7:$B$306,B87)&lt;&gt;1,"Duplicate rule version",IF(OR(B87="",D87="",E87="",F87="",K87="",L87=""),"Rule info missing",IF(AND(C87&lt;&gt;"",OR(C87=B87,COUNTIFS($A$7:$A$306,A87,$B$7:$B$306,C87)&lt;&gt;1)),"Invalid parent version ref",IF(AND(OR(D87="Trial",D87="Adopted"),OR(G87="",NOT(ISNUMBER(I87)),NOT(ISNUMBER(J87)))),"Adoption/recheck missing","Valid input")))))</x:f>
      </x:c>
    </x:row>
    <x:row r="88" ht="25" customHeight="1">
      <x:c r="A88" s="3"/>
      <x:c r="B88" s="3"/>
      <x:c r="C88" s="3"/>
      <x:c r="D88" s="3"/>
      <x:c r="E88" s="3"/>
      <x:c r="F88" s="3"/>
      <x:c r="G88" s="3"/>
      <x:c r="H88" s="3"/>
      <x:c r="I88" s="20"/>
      <x:c r="J88" s="20"/>
      <x:c r="K88" s="3"/>
      <x:c r="L88" s="3"/>
      <x:c r="M88" s="19" t="str">
        <x:f>IF(A88="","",IF(COUNTIFS($A$7:$A$306,A88,$B$7:$B$306,B88)&lt;&gt;1,"Duplicate rule version",IF(OR(B88="",D88="",E88="",F88="",K88="",L88=""),"Rule info missing",IF(AND(C88&lt;&gt;"",OR(C88=B88,COUNTIFS($A$7:$A$306,A88,$B$7:$B$306,C88)&lt;&gt;1)),"Invalid parent version ref",IF(AND(OR(D88="Trial",D88="Adopted"),OR(G88="",NOT(ISNUMBER(I88)),NOT(ISNUMBER(J88)))),"Adoption/recheck missing","Valid input")))))</x:f>
      </x:c>
    </x:row>
    <x:row r="89" ht="25" customHeight="1">
      <x:c r="A89" s="3"/>
      <x:c r="B89" s="3"/>
      <x:c r="C89" s="3"/>
      <x:c r="D89" s="3"/>
      <x:c r="E89" s="3"/>
      <x:c r="F89" s="3"/>
      <x:c r="G89" s="3"/>
      <x:c r="H89" s="3"/>
      <x:c r="I89" s="20"/>
      <x:c r="J89" s="20"/>
      <x:c r="K89" s="3"/>
      <x:c r="L89" s="3"/>
      <x:c r="M89" s="19" t="str">
        <x:f>IF(A89="","",IF(COUNTIFS($A$7:$A$306,A89,$B$7:$B$306,B89)&lt;&gt;1,"Duplicate rule version",IF(OR(B89="",D89="",E89="",F89="",K89="",L89=""),"Rule info missing",IF(AND(C89&lt;&gt;"",OR(C89=B89,COUNTIFS($A$7:$A$306,A89,$B$7:$B$306,C89)&lt;&gt;1)),"Invalid parent version ref",IF(AND(OR(D89="Trial",D89="Adopted"),OR(G89="",NOT(ISNUMBER(I89)),NOT(ISNUMBER(J89)))),"Adoption/recheck missing","Valid input")))))</x:f>
      </x:c>
    </x:row>
    <x:row r="90" ht="25" customHeight="1">
      <x:c r="A90" s="3"/>
      <x:c r="B90" s="3"/>
      <x:c r="C90" s="3"/>
      <x:c r="D90" s="3"/>
      <x:c r="E90" s="3"/>
      <x:c r="F90" s="3"/>
      <x:c r="G90" s="3"/>
      <x:c r="H90" s="3"/>
      <x:c r="I90" s="20"/>
      <x:c r="J90" s="20"/>
      <x:c r="K90" s="3"/>
      <x:c r="L90" s="3"/>
      <x:c r="M90" s="19" t="str">
        <x:f>IF(A90="","",IF(COUNTIFS($A$7:$A$306,A90,$B$7:$B$306,B90)&lt;&gt;1,"Duplicate rule version",IF(OR(B90="",D90="",E90="",F90="",K90="",L90=""),"Rule info missing",IF(AND(C90&lt;&gt;"",OR(C90=B90,COUNTIFS($A$7:$A$306,A90,$B$7:$B$306,C90)&lt;&gt;1)),"Invalid parent version ref",IF(AND(OR(D90="Trial",D90="Adopted"),OR(G90="",NOT(ISNUMBER(I90)),NOT(ISNUMBER(J90)))),"Adoption/recheck missing","Valid input")))))</x:f>
      </x:c>
    </x:row>
    <x:row r="91" ht="25" customHeight="1">
      <x:c r="A91" s="3"/>
      <x:c r="B91" s="3"/>
      <x:c r="C91" s="3"/>
      <x:c r="D91" s="3"/>
      <x:c r="E91" s="3"/>
      <x:c r="F91" s="3"/>
      <x:c r="G91" s="3"/>
      <x:c r="H91" s="3"/>
      <x:c r="I91" s="20"/>
      <x:c r="J91" s="20"/>
      <x:c r="K91" s="3"/>
      <x:c r="L91" s="3"/>
      <x:c r="M91" s="19" t="str">
        <x:f>IF(A91="","",IF(COUNTIFS($A$7:$A$306,A91,$B$7:$B$306,B91)&lt;&gt;1,"Duplicate rule version",IF(OR(B91="",D91="",E91="",F91="",K91="",L91=""),"Rule info missing",IF(AND(C91&lt;&gt;"",OR(C91=B91,COUNTIFS($A$7:$A$306,A91,$B$7:$B$306,C91)&lt;&gt;1)),"Invalid parent version ref",IF(AND(OR(D91="Trial",D91="Adopted"),OR(G91="",NOT(ISNUMBER(I91)),NOT(ISNUMBER(J91)))),"Adoption/recheck missing","Valid input")))))</x:f>
      </x:c>
    </x:row>
    <x:row r="92" ht="25" customHeight="1">
      <x:c r="A92" s="3"/>
      <x:c r="B92" s="3"/>
      <x:c r="C92" s="3"/>
      <x:c r="D92" s="3"/>
      <x:c r="E92" s="3"/>
      <x:c r="F92" s="3"/>
      <x:c r="G92" s="3"/>
      <x:c r="H92" s="3"/>
      <x:c r="I92" s="20"/>
      <x:c r="J92" s="20"/>
      <x:c r="K92" s="3"/>
      <x:c r="L92" s="3"/>
      <x:c r="M92" s="19" t="str">
        <x:f>IF(A92="","",IF(COUNTIFS($A$7:$A$306,A92,$B$7:$B$306,B92)&lt;&gt;1,"Duplicate rule version",IF(OR(B92="",D92="",E92="",F92="",K92="",L92=""),"Rule info missing",IF(AND(C92&lt;&gt;"",OR(C92=B92,COUNTIFS($A$7:$A$306,A92,$B$7:$B$306,C92)&lt;&gt;1)),"Invalid parent version ref",IF(AND(OR(D92="Trial",D92="Adopted"),OR(G92="",NOT(ISNUMBER(I92)),NOT(ISNUMBER(J92)))),"Adoption/recheck missing","Valid input")))))</x:f>
      </x:c>
    </x:row>
    <x:row r="93" ht="25" customHeight="1">
      <x:c r="A93" s="3"/>
      <x:c r="B93" s="3"/>
      <x:c r="C93" s="3"/>
      <x:c r="D93" s="3"/>
      <x:c r="E93" s="3"/>
      <x:c r="F93" s="3"/>
      <x:c r="G93" s="3"/>
      <x:c r="H93" s="3"/>
      <x:c r="I93" s="20"/>
      <x:c r="J93" s="20"/>
      <x:c r="K93" s="3"/>
      <x:c r="L93" s="3"/>
      <x:c r="M93" s="19" t="str">
        <x:f>IF(A93="","",IF(COUNTIFS($A$7:$A$306,A93,$B$7:$B$306,B93)&lt;&gt;1,"Duplicate rule version",IF(OR(B93="",D93="",E93="",F93="",K93="",L93=""),"Rule info missing",IF(AND(C93&lt;&gt;"",OR(C93=B93,COUNTIFS($A$7:$A$306,A93,$B$7:$B$306,C93)&lt;&gt;1)),"Invalid parent version ref",IF(AND(OR(D93="Trial",D93="Adopted"),OR(G93="",NOT(ISNUMBER(I93)),NOT(ISNUMBER(J93)))),"Adoption/recheck missing","Valid input")))))</x:f>
      </x:c>
    </x:row>
    <x:row r="94" ht="25" customHeight="1">
      <x:c r="A94" s="3"/>
      <x:c r="B94" s="3"/>
      <x:c r="C94" s="3"/>
      <x:c r="D94" s="3"/>
      <x:c r="E94" s="3"/>
      <x:c r="F94" s="3"/>
      <x:c r="G94" s="3"/>
      <x:c r="H94" s="3"/>
      <x:c r="I94" s="20"/>
      <x:c r="J94" s="20"/>
      <x:c r="K94" s="3"/>
      <x:c r="L94" s="3"/>
      <x:c r="M94" s="19" t="str">
        <x:f>IF(A94="","",IF(COUNTIFS($A$7:$A$306,A94,$B$7:$B$306,B94)&lt;&gt;1,"Duplicate rule version",IF(OR(B94="",D94="",E94="",F94="",K94="",L94=""),"Rule info missing",IF(AND(C94&lt;&gt;"",OR(C94=B94,COUNTIFS($A$7:$A$306,A94,$B$7:$B$306,C94)&lt;&gt;1)),"Invalid parent version ref",IF(AND(OR(D94="Trial",D94="Adopted"),OR(G94="",NOT(ISNUMBER(I94)),NOT(ISNUMBER(J94)))),"Adoption/recheck missing","Valid input")))))</x:f>
      </x:c>
    </x:row>
    <x:row r="95" ht="25" customHeight="1">
      <x:c r="A95" s="3"/>
      <x:c r="B95" s="3"/>
      <x:c r="C95" s="3"/>
      <x:c r="D95" s="3"/>
      <x:c r="E95" s="3"/>
      <x:c r="F95" s="3"/>
      <x:c r="G95" s="3"/>
      <x:c r="H95" s="3"/>
      <x:c r="I95" s="20"/>
      <x:c r="J95" s="20"/>
      <x:c r="K95" s="3"/>
      <x:c r="L95" s="3"/>
      <x:c r="M95" s="19" t="str">
        <x:f>IF(A95="","",IF(COUNTIFS($A$7:$A$306,A95,$B$7:$B$306,B95)&lt;&gt;1,"Duplicate rule version",IF(OR(B95="",D95="",E95="",F95="",K95="",L95=""),"Rule info missing",IF(AND(C95&lt;&gt;"",OR(C95=B95,COUNTIFS($A$7:$A$306,A95,$B$7:$B$306,C95)&lt;&gt;1)),"Invalid parent version ref",IF(AND(OR(D95="Trial",D95="Adopted"),OR(G95="",NOT(ISNUMBER(I95)),NOT(ISNUMBER(J95)))),"Adoption/recheck missing","Valid input")))))</x:f>
      </x:c>
    </x:row>
    <x:row r="96" ht="25" customHeight="1">
      <x:c r="A96" s="3"/>
      <x:c r="B96" s="3"/>
      <x:c r="C96" s="3"/>
      <x:c r="D96" s="3"/>
      <x:c r="E96" s="3"/>
      <x:c r="F96" s="3"/>
      <x:c r="G96" s="3"/>
      <x:c r="H96" s="3"/>
      <x:c r="I96" s="20"/>
      <x:c r="J96" s="20"/>
      <x:c r="K96" s="3"/>
      <x:c r="L96" s="3"/>
      <x:c r="M96" s="19" t="str">
        <x:f>IF(A96="","",IF(COUNTIFS($A$7:$A$306,A96,$B$7:$B$306,B96)&lt;&gt;1,"Duplicate rule version",IF(OR(B96="",D96="",E96="",F96="",K96="",L96=""),"Rule info missing",IF(AND(C96&lt;&gt;"",OR(C96=B96,COUNTIFS($A$7:$A$306,A96,$B$7:$B$306,C96)&lt;&gt;1)),"Invalid parent version ref",IF(AND(OR(D96="Trial",D96="Adopted"),OR(G96="",NOT(ISNUMBER(I96)),NOT(ISNUMBER(J96)))),"Adoption/recheck missing","Valid input")))))</x:f>
      </x:c>
    </x:row>
    <x:row r="97" ht="25" customHeight="1">
      <x:c r="A97" s="3"/>
      <x:c r="B97" s="3"/>
      <x:c r="C97" s="3"/>
      <x:c r="D97" s="3"/>
      <x:c r="E97" s="3"/>
      <x:c r="F97" s="3"/>
      <x:c r="G97" s="3"/>
      <x:c r="H97" s="3"/>
      <x:c r="I97" s="20"/>
      <x:c r="J97" s="20"/>
      <x:c r="K97" s="3"/>
      <x:c r="L97" s="3"/>
      <x:c r="M97" s="19" t="str">
        <x:f>IF(A97="","",IF(COUNTIFS($A$7:$A$306,A97,$B$7:$B$306,B97)&lt;&gt;1,"Duplicate rule version",IF(OR(B97="",D97="",E97="",F97="",K97="",L97=""),"Rule info missing",IF(AND(C97&lt;&gt;"",OR(C97=B97,COUNTIFS($A$7:$A$306,A97,$B$7:$B$306,C97)&lt;&gt;1)),"Invalid parent version ref",IF(AND(OR(D97="Trial",D97="Adopted"),OR(G97="",NOT(ISNUMBER(I97)),NOT(ISNUMBER(J97)))),"Adoption/recheck missing","Valid input")))))</x:f>
      </x:c>
    </x:row>
    <x:row r="98" ht="25" customHeight="1">
      <x:c r="A98" s="3"/>
      <x:c r="B98" s="3"/>
      <x:c r="C98" s="3"/>
      <x:c r="D98" s="3"/>
      <x:c r="E98" s="3"/>
      <x:c r="F98" s="3"/>
      <x:c r="G98" s="3"/>
      <x:c r="H98" s="3"/>
      <x:c r="I98" s="20"/>
      <x:c r="J98" s="20"/>
      <x:c r="K98" s="3"/>
      <x:c r="L98" s="3"/>
      <x:c r="M98" s="19" t="str">
        <x:f>IF(A98="","",IF(COUNTIFS($A$7:$A$306,A98,$B$7:$B$306,B98)&lt;&gt;1,"Duplicate rule version",IF(OR(B98="",D98="",E98="",F98="",K98="",L98=""),"Rule info missing",IF(AND(C98&lt;&gt;"",OR(C98=B98,COUNTIFS($A$7:$A$306,A98,$B$7:$B$306,C98)&lt;&gt;1)),"Invalid parent version ref",IF(AND(OR(D98="Trial",D98="Adopted"),OR(G98="",NOT(ISNUMBER(I98)),NOT(ISNUMBER(J98)))),"Adoption/recheck missing","Valid input")))))</x:f>
      </x:c>
    </x:row>
    <x:row r="99" ht="25" customHeight="1">
      <x:c r="A99" s="3"/>
      <x:c r="B99" s="3"/>
      <x:c r="C99" s="3"/>
      <x:c r="D99" s="3"/>
      <x:c r="E99" s="3"/>
      <x:c r="F99" s="3"/>
      <x:c r="G99" s="3"/>
      <x:c r="H99" s="3"/>
      <x:c r="I99" s="20"/>
      <x:c r="J99" s="20"/>
      <x:c r="K99" s="3"/>
      <x:c r="L99" s="3"/>
      <x:c r="M99" s="19" t="str">
        <x:f>IF(A99="","",IF(COUNTIFS($A$7:$A$306,A99,$B$7:$B$306,B99)&lt;&gt;1,"Duplicate rule version",IF(OR(B99="",D99="",E99="",F99="",K99="",L99=""),"Rule info missing",IF(AND(C99&lt;&gt;"",OR(C99=B99,COUNTIFS($A$7:$A$306,A99,$B$7:$B$306,C99)&lt;&gt;1)),"Invalid parent version ref",IF(AND(OR(D99="Trial",D99="Adopted"),OR(G99="",NOT(ISNUMBER(I99)),NOT(ISNUMBER(J99)))),"Adoption/recheck missing","Valid input")))))</x:f>
      </x:c>
    </x:row>
    <x:row r="100" ht="25" customHeight="1">
      <x:c r="A100" s="3"/>
      <x:c r="B100" s="3"/>
      <x:c r="C100" s="3"/>
      <x:c r="D100" s="3"/>
      <x:c r="E100" s="3"/>
      <x:c r="F100" s="3"/>
      <x:c r="G100" s="3"/>
      <x:c r="H100" s="3"/>
      <x:c r="I100" s="20"/>
      <x:c r="J100" s="20"/>
      <x:c r="K100" s="3"/>
      <x:c r="L100" s="3"/>
      <x:c r="M100" s="19" t="str">
        <x:f>IF(A100="","",IF(COUNTIFS($A$7:$A$306,A100,$B$7:$B$306,B100)&lt;&gt;1,"Duplicate rule version",IF(OR(B100="",D100="",E100="",F100="",K100="",L100=""),"Rule info missing",IF(AND(C100&lt;&gt;"",OR(C100=B100,COUNTIFS($A$7:$A$306,A100,$B$7:$B$306,C100)&lt;&gt;1)),"Invalid parent version ref",IF(AND(OR(D100="Trial",D100="Adopted"),OR(G100="",NOT(ISNUMBER(I100)),NOT(ISNUMBER(J100)))),"Adoption/recheck missing","Valid input")))))</x:f>
      </x:c>
    </x:row>
    <x:row r="101" ht="25" customHeight="1">
      <x:c r="A101" s="3"/>
      <x:c r="B101" s="3"/>
      <x:c r="C101" s="3"/>
      <x:c r="D101" s="3"/>
      <x:c r="E101" s="3"/>
      <x:c r="F101" s="3"/>
      <x:c r="G101" s="3"/>
      <x:c r="H101" s="3"/>
      <x:c r="I101" s="20"/>
      <x:c r="J101" s="20"/>
      <x:c r="K101" s="3"/>
      <x:c r="L101" s="3"/>
      <x:c r="M101" s="19" t="str">
        <x:f>IF(A101="","",IF(COUNTIFS($A$7:$A$306,A101,$B$7:$B$306,B101)&lt;&gt;1,"Duplicate rule version",IF(OR(B101="",D101="",E101="",F101="",K101="",L101=""),"Rule info missing",IF(AND(C101&lt;&gt;"",OR(C101=B101,COUNTIFS($A$7:$A$306,A101,$B$7:$B$306,C101)&lt;&gt;1)),"Invalid parent version ref",IF(AND(OR(D101="Trial",D101="Adopted"),OR(G101="",NOT(ISNUMBER(I101)),NOT(ISNUMBER(J101)))),"Adoption/recheck missing","Valid input")))))</x:f>
      </x:c>
    </x:row>
    <x:row r="102" ht="25" customHeight="1">
      <x:c r="A102" s="3"/>
      <x:c r="B102" s="3"/>
      <x:c r="C102" s="3"/>
      <x:c r="D102" s="3"/>
      <x:c r="E102" s="3"/>
      <x:c r="F102" s="3"/>
      <x:c r="G102" s="3"/>
      <x:c r="H102" s="3"/>
      <x:c r="I102" s="20"/>
      <x:c r="J102" s="20"/>
      <x:c r="K102" s="3"/>
      <x:c r="L102" s="3"/>
      <x:c r="M102" s="19" t="str">
        <x:f>IF(A102="","",IF(COUNTIFS($A$7:$A$306,A102,$B$7:$B$306,B102)&lt;&gt;1,"Duplicate rule version",IF(OR(B102="",D102="",E102="",F102="",K102="",L102=""),"Rule info missing",IF(AND(C102&lt;&gt;"",OR(C102=B102,COUNTIFS($A$7:$A$306,A102,$B$7:$B$306,C102)&lt;&gt;1)),"Invalid parent version ref",IF(AND(OR(D102="Trial",D102="Adopted"),OR(G102="",NOT(ISNUMBER(I102)),NOT(ISNUMBER(J102)))),"Adoption/recheck missing","Valid input")))))</x:f>
      </x:c>
    </x:row>
    <x:row r="103" ht="25" customHeight="1">
      <x:c r="A103" s="3"/>
      <x:c r="B103" s="3"/>
      <x:c r="C103" s="3"/>
      <x:c r="D103" s="3"/>
      <x:c r="E103" s="3"/>
      <x:c r="F103" s="3"/>
      <x:c r="G103" s="3"/>
      <x:c r="H103" s="3"/>
      <x:c r="I103" s="20"/>
      <x:c r="J103" s="20"/>
      <x:c r="K103" s="3"/>
      <x:c r="L103" s="3"/>
      <x:c r="M103" s="19" t="str">
        <x:f>IF(A103="","",IF(COUNTIFS($A$7:$A$306,A103,$B$7:$B$306,B103)&lt;&gt;1,"Duplicate rule version",IF(OR(B103="",D103="",E103="",F103="",K103="",L103=""),"Rule info missing",IF(AND(C103&lt;&gt;"",OR(C103=B103,COUNTIFS($A$7:$A$306,A103,$B$7:$B$306,C103)&lt;&gt;1)),"Invalid parent version ref",IF(AND(OR(D103="Trial",D103="Adopted"),OR(G103="",NOT(ISNUMBER(I103)),NOT(ISNUMBER(J103)))),"Adoption/recheck missing","Valid input")))))</x:f>
      </x:c>
    </x:row>
    <x:row r="104" ht="25" customHeight="1">
      <x:c r="A104" s="3"/>
      <x:c r="B104" s="3"/>
      <x:c r="C104" s="3"/>
      <x:c r="D104" s="3"/>
      <x:c r="E104" s="3"/>
      <x:c r="F104" s="3"/>
      <x:c r="G104" s="3"/>
      <x:c r="H104" s="3"/>
      <x:c r="I104" s="20"/>
      <x:c r="J104" s="20"/>
      <x:c r="K104" s="3"/>
      <x:c r="L104" s="3"/>
      <x:c r="M104" s="19" t="str">
        <x:f>IF(A104="","",IF(COUNTIFS($A$7:$A$306,A104,$B$7:$B$306,B104)&lt;&gt;1,"Duplicate rule version",IF(OR(B104="",D104="",E104="",F104="",K104="",L104=""),"Rule info missing",IF(AND(C104&lt;&gt;"",OR(C104=B104,COUNTIFS($A$7:$A$306,A104,$B$7:$B$306,C104)&lt;&gt;1)),"Invalid parent version ref",IF(AND(OR(D104="Trial",D104="Adopted"),OR(G104="",NOT(ISNUMBER(I104)),NOT(ISNUMBER(J104)))),"Adoption/recheck missing","Valid input")))))</x:f>
      </x:c>
    </x:row>
    <x:row r="105" ht="25" customHeight="1">
      <x:c r="A105" s="3"/>
      <x:c r="B105" s="3"/>
      <x:c r="C105" s="3"/>
      <x:c r="D105" s="3"/>
      <x:c r="E105" s="3"/>
      <x:c r="F105" s="3"/>
      <x:c r="G105" s="3"/>
      <x:c r="H105" s="3"/>
      <x:c r="I105" s="20"/>
      <x:c r="J105" s="20"/>
      <x:c r="K105" s="3"/>
      <x:c r="L105" s="3"/>
      <x:c r="M105" s="19" t="str">
        <x:f>IF(A105="","",IF(COUNTIFS($A$7:$A$306,A105,$B$7:$B$306,B105)&lt;&gt;1,"Duplicate rule version",IF(OR(B105="",D105="",E105="",F105="",K105="",L105=""),"Rule info missing",IF(AND(C105&lt;&gt;"",OR(C105=B105,COUNTIFS($A$7:$A$306,A105,$B$7:$B$306,C105)&lt;&gt;1)),"Invalid parent version ref",IF(AND(OR(D105="Trial",D105="Adopted"),OR(G105="",NOT(ISNUMBER(I105)),NOT(ISNUMBER(J105)))),"Adoption/recheck missing","Valid input")))))</x:f>
      </x:c>
    </x:row>
    <x:row r="106" ht="25" customHeight="1">
      <x:c r="A106" s="3"/>
      <x:c r="B106" s="3"/>
      <x:c r="C106" s="3"/>
      <x:c r="D106" s="3"/>
      <x:c r="E106" s="3"/>
      <x:c r="F106" s="3"/>
      <x:c r="G106" s="3"/>
      <x:c r="H106" s="3"/>
      <x:c r="I106" s="20"/>
      <x:c r="J106" s="20"/>
      <x:c r="K106" s="3"/>
      <x:c r="L106" s="3"/>
      <x:c r="M106" s="19" t="str">
        <x:f>IF(A106="","",IF(COUNTIFS($A$7:$A$306,A106,$B$7:$B$306,B106)&lt;&gt;1,"Duplicate rule version",IF(OR(B106="",D106="",E106="",F106="",K106="",L106=""),"Rule info missing",IF(AND(C106&lt;&gt;"",OR(C106=B106,COUNTIFS($A$7:$A$306,A106,$B$7:$B$306,C106)&lt;&gt;1)),"Invalid parent version ref",IF(AND(OR(D106="Trial",D106="Adopted"),OR(G106="",NOT(ISNUMBER(I106)),NOT(ISNUMBER(J106)))),"Adoption/recheck missing","Valid input")))))</x:f>
      </x:c>
    </x:row>
    <x:row r="107" ht="25" customHeight="1">
      <x:c r="A107" s="3"/>
      <x:c r="B107" s="3"/>
      <x:c r="C107" s="3"/>
      <x:c r="D107" s="3"/>
      <x:c r="E107" s="3"/>
      <x:c r="F107" s="3"/>
      <x:c r="G107" s="3"/>
      <x:c r="H107" s="3"/>
      <x:c r="I107" s="20"/>
      <x:c r="J107" s="20"/>
      <x:c r="K107" s="3"/>
      <x:c r="L107" s="3"/>
      <x:c r="M107" s="19" t="str">
        <x:f>IF(A107="","",IF(COUNTIFS($A$7:$A$306,A107,$B$7:$B$306,B107)&lt;&gt;1,"Duplicate rule version",IF(OR(B107="",D107="",E107="",F107="",K107="",L107=""),"Rule info missing",IF(AND(C107&lt;&gt;"",OR(C107=B107,COUNTIFS($A$7:$A$306,A107,$B$7:$B$306,C107)&lt;&gt;1)),"Invalid parent version ref",IF(AND(OR(D107="Trial",D107="Adopted"),OR(G107="",NOT(ISNUMBER(I107)),NOT(ISNUMBER(J107)))),"Adoption/recheck missing","Valid input")))))</x:f>
      </x:c>
    </x:row>
    <x:row r="108" ht="25" customHeight="1">
      <x:c r="A108" s="3"/>
      <x:c r="B108" s="3"/>
      <x:c r="C108" s="3"/>
      <x:c r="D108" s="3"/>
      <x:c r="E108" s="3"/>
      <x:c r="F108" s="3"/>
      <x:c r="G108" s="3"/>
      <x:c r="H108" s="3"/>
      <x:c r="I108" s="20"/>
      <x:c r="J108" s="20"/>
      <x:c r="K108" s="3"/>
      <x:c r="L108" s="3"/>
      <x:c r="M108" s="19" t="str">
        <x:f>IF(A108="","",IF(COUNTIFS($A$7:$A$306,A108,$B$7:$B$306,B108)&lt;&gt;1,"Duplicate rule version",IF(OR(B108="",D108="",E108="",F108="",K108="",L108=""),"Rule info missing",IF(AND(C108&lt;&gt;"",OR(C108=B108,COUNTIFS($A$7:$A$306,A108,$B$7:$B$306,C108)&lt;&gt;1)),"Invalid parent version ref",IF(AND(OR(D108="Trial",D108="Adopted"),OR(G108="",NOT(ISNUMBER(I108)),NOT(ISNUMBER(J108)))),"Adoption/recheck missing","Valid input")))))</x:f>
      </x:c>
    </x:row>
    <x:row r="109" ht="25" customHeight="1">
      <x:c r="A109" s="3"/>
      <x:c r="B109" s="3"/>
      <x:c r="C109" s="3"/>
      <x:c r="D109" s="3"/>
      <x:c r="E109" s="3"/>
      <x:c r="F109" s="3"/>
      <x:c r="G109" s="3"/>
      <x:c r="H109" s="3"/>
      <x:c r="I109" s="20"/>
      <x:c r="J109" s="20"/>
      <x:c r="K109" s="3"/>
      <x:c r="L109" s="3"/>
      <x:c r="M109" s="19" t="str">
        <x:f>IF(A109="","",IF(COUNTIFS($A$7:$A$306,A109,$B$7:$B$306,B109)&lt;&gt;1,"Duplicate rule version",IF(OR(B109="",D109="",E109="",F109="",K109="",L109=""),"Rule info missing",IF(AND(C109&lt;&gt;"",OR(C109=B109,COUNTIFS($A$7:$A$306,A109,$B$7:$B$306,C109)&lt;&gt;1)),"Invalid parent version ref",IF(AND(OR(D109="Trial",D109="Adopted"),OR(G109="",NOT(ISNUMBER(I109)),NOT(ISNUMBER(J109)))),"Adoption/recheck missing","Valid input")))))</x:f>
      </x:c>
    </x:row>
    <x:row r="110" ht="25" customHeight="1">
      <x:c r="A110" s="3"/>
      <x:c r="B110" s="3"/>
      <x:c r="C110" s="3"/>
      <x:c r="D110" s="3"/>
      <x:c r="E110" s="3"/>
      <x:c r="F110" s="3"/>
      <x:c r="G110" s="3"/>
      <x:c r="H110" s="3"/>
      <x:c r="I110" s="20"/>
      <x:c r="J110" s="20"/>
      <x:c r="K110" s="3"/>
      <x:c r="L110" s="3"/>
      <x:c r="M110" s="19" t="str">
        <x:f>IF(A110="","",IF(COUNTIFS($A$7:$A$306,A110,$B$7:$B$306,B110)&lt;&gt;1,"Duplicate rule version",IF(OR(B110="",D110="",E110="",F110="",K110="",L110=""),"Rule info missing",IF(AND(C110&lt;&gt;"",OR(C110=B110,COUNTIFS($A$7:$A$306,A110,$B$7:$B$306,C110)&lt;&gt;1)),"Invalid parent version ref",IF(AND(OR(D110="Trial",D110="Adopted"),OR(G110="",NOT(ISNUMBER(I110)),NOT(ISNUMBER(J110)))),"Adoption/recheck missing","Valid input")))))</x:f>
      </x:c>
    </x:row>
    <x:row r="111" ht="25" customHeight="1">
      <x:c r="A111" s="3"/>
      <x:c r="B111" s="3"/>
      <x:c r="C111" s="3"/>
      <x:c r="D111" s="3"/>
      <x:c r="E111" s="3"/>
      <x:c r="F111" s="3"/>
      <x:c r="G111" s="3"/>
      <x:c r="H111" s="3"/>
      <x:c r="I111" s="20"/>
      <x:c r="J111" s="20"/>
      <x:c r="K111" s="3"/>
      <x:c r="L111" s="3"/>
      <x:c r="M111" s="19" t="str">
        <x:f>IF(A111="","",IF(COUNTIFS($A$7:$A$306,A111,$B$7:$B$306,B111)&lt;&gt;1,"Duplicate rule version",IF(OR(B111="",D111="",E111="",F111="",K111="",L111=""),"Rule info missing",IF(AND(C111&lt;&gt;"",OR(C111=B111,COUNTIFS($A$7:$A$306,A111,$B$7:$B$306,C111)&lt;&gt;1)),"Invalid parent version ref",IF(AND(OR(D111="Trial",D111="Adopted"),OR(G111="",NOT(ISNUMBER(I111)),NOT(ISNUMBER(J111)))),"Adoption/recheck missing","Valid input")))))</x:f>
      </x:c>
    </x:row>
    <x:row r="112" ht="25" customHeight="1">
      <x:c r="A112" s="3"/>
      <x:c r="B112" s="3"/>
      <x:c r="C112" s="3"/>
      <x:c r="D112" s="3"/>
      <x:c r="E112" s="3"/>
      <x:c r="F112" s="3"/>
      <x:c r="G112" s="3"/>
      <x:c r="H112" s="3"/>
      <x:c r="I112" s="20"/>
      <x:c r="J112" s="20"/>
      <x:c r="K112" s="3"/>
      <x:c r="L112" s="3"/>
      <x:c r="M112" s="19" t="str">
        <x:f>IF(A112="","",IF(COUNTIFS($A$7:$A$306,A112,$B$7:$B$306,B112)&lt;&gt;1,"Duplicate rule version",IF(OR(B112="",D112="",E112="",F112="",K112="",L112=""),"Rule info missing",IF(AND(C112&lt;&gt;"",OR(C112=B112,COUNTIFS($A$7:$A$306,A112,$B$7:$B$306,C112)&lt;&gt;1)),"Invalid parent version ref",IF(AND(OR(D112="Trial",D112="Adopted"),OR(G112="",NOT(ISNUMBER(I112)),NOT(ISNUMBER(J112)))),"Adoption/recheck missing","Valid input")))))</x:f>
      </x:c>
    </x:row>
    <x:row r="113" ht="25" customHeight="1">
      <x:c r="A113" s="3"/>
      <x:c r="B113" s="3"/>
      <x:c r="C113" s="3"/>
      <x:c r="D113" s="3"/>
      <x:c r="E113" s="3"/>
      <x:c r="F113" s="3"/>
      <x:c r="G113" s="3"/>
      <x:c r="H113" s="3"/>
      <x:c r="I113" s="20"/>
      <x:c r="J113" s="20"/>
      <x:c r="K113" s="3"/>
      <x:c r="L113" s="3"/>
      <x:c r="M113" s="19" t="str">
        <x:f>IF(A113="","",IF(COUNTIFS($A$7:$A$306,A113,$B$7:$B$306,B113)&lt;&gt;1,"Duplicate rule version",IF(OR(B113="",D113="",E113="",F113="",K113="",L113=""),"Rule info missing",IF(AND(C113&lt;&gt;"",OR(C113=B113,COUNTIFS($A$7:$A$306,A113,$B$7:$B$306,C113)&lt;&gt;1)),"Invalid parent version ref",IF(AND(OR(D113="Trial",D113="Adopted"),OR(G113="",NOT(ISNUMBER(I113)),NOT(ISNUMBER(J113)))),"Adoption/recheck missing","Valid input")))))</x:f>
      </x:c>
    </x:row>
    <x:row r="114" ht="25" customHeight="1">
      <x:c r="A114" s="3"/>
      <x:c r="B114" s="3"/>
      <x:c r="C114" s="3"/>
      <x:c r="D114" s="3"/>
      <x:c r="E114" s="3"/>
      <x:c r="F114" s="3"/>
      <x:c r="G114" s="3"/>
      <x:c r="H114" s="3"/>
      <x:c r="I114" s="20"/>
      <x:c r="J114" s="20"/>
      <x:c r="K114" s="3"/>
      <x:c r="L114" s="3"/>
      <x:c r="M114" s="19" t="str">
        <x:f>IF(A114="","",IF(COUNTIFS($A$7:$A$306,A114,$B$7:$B$306,B114)&lt;&gt;1,"Duplicate rule version",IF(OR(B114="",D114="",E114="",F114="",K114="",L114=""),"Rule info missing",IF(AND(C114&lt;&gt;"",OR(C114=B114,COUNTIFS($A$7:$A$306,A114,$B$7:$B$306,C114)&lt;&gt;1)),"Invalid parent version ref",IF(AND(OR(D114="Trial",D114="Adopted"),OR(G114="",NOT(ISNUMBER(I114)),NOT(ISNUMBER(J114)))),"Adoption/recheck missing","Valid input")))))</x:f>
      </x:c>
    </x:row>
    <x:row r="115" ht="25" customHeight="1">
      <x:c r="A115" s="3"/>
      <x:c r="B115" s="3"/>
      <x:c r="C115" s="3"/>
      <x:c r="D115" s="3"/>
      <x:c r="E115" s="3"/>
      <x:c r="F115" s="3"/>
      <x:c r="G115" s="3"/>
      <x:c r="H115" s="3"/>
      <x:c r="I115" s="20"/>
      <x:c r="J115" s="20"/>
      <x:c r="K115" s="3"/>
      <x:c r="L115" s="3"/>
      <x:c r="M115" s="19" t="str">
        <x:f>IF(A115="","",IF(COUNTIFS($A$7:$A$306,A115,$B$7:$B$306,B115)&lt;&gt;1,"Duplicate rule version",IF(OR(B115="",D115="",E115="",F115="",K115="",L115=""),"Rule info missing",IF(AND(C115&lt;&gt;"",OR(C115=B115,COUNTIFS($A$7:$A$306,A115,$B$7:$B$306,C115)&lt;&gt;1)),"Invalid parent version ref",IF(AND(OR(D115="Trial",D115="Adopted"),OR(G115="",NOT(ISNUMBER(I115)),NOT(ISNUMBER(J115)))),"Adoption/recheck missing","Valid input")))))</x:f>
      </x:c>
    </x:row>
    <x:row r="116" ht="25" customHeight="1">
      <x:c r="A116" s="3"/>
      <x:c r="B116" s="3"/>
      <x:c r="C116" s="3"/>
      <x:c r="D116" s="3"/>
      <x:c r="E116" s="3"/>
      <x:c r="F116" s="3"/>
      <x:c r="G116" s="3"/>
      <x:c r="H116" s="3"/>
      <x:c r="I116" s="20"/>
      <x:c r="J116" s="20"/>
      <x:c r="K116" s="3"/>
      <x:c r="L116" s="3"/>
      <x:c r="M116" s="19" t="str">
        <x:f>IF(A116="","",IF(COUNTIFS($A$7:$A$306,A116,$B$7:$B$306,B116)&lt;&gt;1,"Duplicate rule version",IF(OR(B116="",D116="",E116="",F116="",K116="",L116=""),"Rule info missing",IF(AND(C116&lt;&gt;"",OR(C116=B116,COUNTIFS($A$7:$A$306,A116,$B$7:$B$306,C116)&lt;&gt;1)),"Invalid parent version ref",IF(AND(OR(D116="Trial",D116="Adopted"),OR(G116="",NOT(ISNUMBER(I116)),NOT(ISNUMBER(J116)))),"Adoption/recheck missing","Valid input")))))</x:f>
      </x:c>
    </x:row>
    <x:row r="117" ht="25" customHeight="1">
      <x:c r="A117" s="3"/>
      <x:c r="B117" s="3"/>
      <x:c r="C117" s="3"/>
      <x:c r="D117" s="3"/>
      <x:c r="E117" s="3"/>
      <x:c r="F117" s="3"/>
      <x:c r="G117" s="3"/>
      <x:c r="H117" s="3"/>
      <x:c r="I117" s="20"/>
      <x:c r="J117" s="20"/>
      <x:c r="K117" s="3"/>
      <x:c r="L117" s="3"/>
      <x:c r="M117" s="19" t="str">
        <x:f>IF(A117="","",IF(COUNTIFS($A$7:$A$306,A117,$B$7:$B$306,B117)&lt;&gt;1,"Duplicate rule version",IF(OR(B117="",D117="",E117="",F117="",K117="",L117=""),"Rule info missing",IF(AND(C117&lt;&gt;"",OR(C117=B117,COUNTIFS($A$7:$A$306,A117,$B$7:$B$306,C117)&lt;&gt;1)),"Invalid parent version ref",IF(AND(OR(D117="Trial",D117="Adopted"),OR(G117="",NOT(ISNUMBER(I117)),NOT(ISNUMBER(J117)))),"Adoption/recheck missing","Valid input")))))</x:f>
      </x:c>
    </x:row>
    <x:row r="118" ht="25" customHeight="1">
      <x:c r="A118" s="3"/>
      <x:c r="B118" s="3"/>
      <x:c r="C118" s="3"/>
      <x:c r="D118" s="3"/>
      <x:c r="E118" s="3"/>
      <x:c r="F118" s="3"/>
      <x:c r="G118" s="3"/>
      <x:c r="H118" s="3"/>
      <x:c r="I118" s="20"/>
      <x:c r="J118" s="20"/>
      <x:c r="K118" s="3"/>
      <x:c r="L118" s="3"/>
      <x:c r="M118" s="19" t="str">
        <x:f>IF(A118="","",IF(COUNTIFS($A$7:$A$306,A118,$B$7:$B$306,B118)&lt;&gt;1,"Duplicate rule version",IF(OR(B118="",D118="",E118="",F118="",K118="",L118=""),"Rule info missing",IF(AND(C118&lt;&gt;"",OR(C118=B118,COUNTIFS($A$7:$A$306,A118,$B$7:$B$306,C118)&lt;&gt;1)),"Invalid parent version ref",IF(AND(OR(D118="Trial",D118="Adopted"),OR(G118="",NOT(ISNUMBER(I118)),NOT(ISNUMBER(J118)))),"Adoption/recheck missing","Valid input")))))</x:f>
      </x:c>
    </x:row>
    <x:row r="119" ht="25" customHeight="1">
      <x:c r="A119" s="3"/>
      <x:c r="B119" s="3"/>
      <x:c r="C119" s="3"/>
      <x:c r="D119" s="3"/>
      <x:c r="E119" s="3"/>
      <x:c r="F119" s="3"/>
      <x:c r="G119" s="3"/>
      <x:c r="H119" s="3"/>
      <x:c r="I119" s="20"/>
      <x:c r="J119" s="20"/>
      <x:c r="K119" s="3"/>
      <x:c r="L119" s="3"/>
      <x:c r="M119" s="19" t="str">
        <x:f>IF(A119="","",IF(COUNTIFS($A$7:$A$306,A119,$B$7:$B$306,B119)&lt;&gt;1,"Duplicate rule version",IF(OR(B119="",D119="",E119="",F119="",K119="",L119=""),"Rule info missing",IF(AND(C119&lt;&gt;"",OR(C119=B119,COUNTIFS($A$7:$A$306,A119,$B$7:$B$306,C119)&lt;&gt;1)),"Invalid parent version ref",IF(AND(OR(D119="Trial",D119="Adopted"),OR(G119="",NOT(ISNUMBER(I119)),NOT(ISNUMBER(J119)))),"Adoption/recheck missing","Valid input")))))</x:f>
      </x:c>
    </x:row>
    <x:row r="120" ht="25" customHeight="1">
      <x:c r="A120" s="3"/>
      <x:c r="B120" s="3"/>
      <x:c r="C120" s="3"/>
      <x:c r="D120" s="3"/>
      <x:c r="E120" s="3"/>
      <x:c r="F120" s="3"/>
      <x:c r="G120" s="3"/>
      <x:c r="H120" s="3"/>
      <x:c r="I120" s="20"/>
      <x:c r="J120" s="20"/>
      <x:c r="K120" s="3"/>
      <x:c r="L120" s="3"/>
      <x:c r="M120" s="19" t="str">
        <x:f>IF(A120="","",IF(COUNTIFS($A$7:$A$306,A120,$B$7:$B$306,B120)&lt;&gt;1,"Duplicate rule version",IF(OR(B120="",D120="",E120="",F120="",K120="",L120=""),"Rule info missing",IF(AND(C120&lt;&gt;"",OR(C120=B120,COUNTIFS($A$7:$A$306,A120,$B$7:$B$306,C120)&lt;&gt;1)),"Invalid parent version ref",IF(AND(OR(D120="Trial",D120="Adopted"),OR(G120="",NOT(ISNUMBER(I120)),NOT(ISNUMBER(J120)))),"Adoption/recheck missing","Valid input")))))</x:f>
      </x:c>
    </x:row>
    <x:row r="121" ht="25" customHeight="1">
      <x:c r="A121" s="3"/>
      <x:c r="B121" s="3"/>
      <x:c r="C121" s="3"/>
      <x:c r="D121" s="3"/>
      <x:c r="E121" s="3"/>
      <x:c r="F121" s="3"/>
      <x:c r="G121" s="3"/>
      <x:c r="H121" s="3"/>
      <x:c r="I121" s="20"/>
      <x:c r="J121" s="20"/>
      <x:c r="K121" s="3"/>
      <x:c r="L121" s="3"/>
      <x:c r="M121" s="19" t="str">
        <x:f>IF(A121="","",IF(COUNTIFS($A$7:$A$306,A121,$B$7:$B$306,B121)&lt;&gt;1,"Duplicate rule version",IF(OR(B121="",D121="",E121="",F121="",K121="",L121=""),"Rule info missing",IF(AND(C121&lt;&gt;"",OR(C121=B121,COUNTIFS($A$7:$A$306,A121,$B$7:$B$306,C121)&lt;&gt;1)),"Invalid parent version ref",IF(AND(OR(D121="Trial",D121="Adopted"),OR(G121="",NOT(ISNUMBER(I121)),NOT(ISNUMBER(J121)))),"Adoption/recheck missing","Valid input")))))</x:f>
      </x:c>
    </x:row>
    <x:row r="122" ht="25" customHeight="1">
      <x:c r="A122" s="3"/>
      <x:c r="B122" s="3"/>
      <x:c r="C122" s="3"/>
      <x:c r="D122" s="3"/>
      <x:c r="E122" s="3"/>
      <x:c r="F122" s="3"/>
      <x:c r="G122" s="3"/>
      <x:c r="H122" s="3"/>
      <x:c r="I122" s="20"/>
      <x:c r="J122" s="20"/>
      <x:c r="K122" s="3"/>
      <x:c r="L122" s="3"/>
      <x:c r="M122" s="19" t="str">
        <x:f>IF(A122="","",IF(COUNTIFS($A$7:$A$306,A122,$B$7:$B$306,B122)&lt;&gt;1,"Duplicate rule version",IF(OR(B122="",D122="",E122="",F122="",K122="",L122=""),"Rule info missing",IF(AND(C122&lt;&gt;"",OR(C122=B122,COUNTIFS($A$7:$A$306,A122,$B$7:$B$306,C122)&lt;&gt;1)),"Invalid parent version ref",IF(AND(OR(D122="Trial",D122="Adopted"),OR(G122="",NOT(ISNUMBER(I122)),NOT(ISNUMBER(J122)))),"Adoption/recheck missing","Valid input")))))</x:f>
      </x:c>
    </x:row>
    <x:row r="123" ht="25" customHeight="1">
      <x:c r="A123" s="3"/>
      <x:c r="B123" s="3"/>
      <x:c r="C123" s="3"/>
      <x:c r="D123" s="3"/>
      <x:c r="E123" s="3"/>
      <x:c r="F123" s="3"/>
      <x:c r="G123" s="3"/>
      <x:c r="H123" s="3"/>
      <x:c r="I123" s="20"/>
      <x:c r="J123" s="20"/>
      <x:c r="K123" s="3"/>
      <x:c r="L123" s="3"/>
      <x:c r="M123" s="19" t="str">
        <x:f>IF(A123="","",IF(COUNTIFS($A$7:$A$306,A123,$B$7:$B$306,B123)&lt;&gt;1,"Duplicate rule version",IF(OR(B123="",D123="",E123="",F123="",K123="",L123=""),"Rule info missing",IF(AND(C123&lt;&gt;"",OR(C123=B123,COUNTIFS($A$7:$A$306,A123,$B$7:$B$306,C123)&lt;&gt;1)),"Invalid parent version ref",IF(AND(OR(D123="Trial",D123="Adopted"),OR(G123="",NOT(ISNUMBER(I123)),NOT(ISNUMBER(J123)))),"Adoption/recheck missing","Valid input")))))</x:f>
      </x:c>
    </x:row>
    <x:row r="124" ht="25" customHeight="1">
      <x:c r="A124" s="3"/>
      <x:c r="B124" s="3"/>
      <x:c r="C124" s="3"/>
      <x:c r="D124" s="3"/>
      <x:c r="E124" s="3"/>
      <x:c r="F124" s="3"/>
      <x:c r="G124" s="3"/>
      <x:c r="H124" s="3"/>
      <x:c r="I124" s="20"/>
      <x:c r="J124" s="20"/>
      <x:c r="K124" s="3"/>
      <x:c r="L124" s="3"/>
      <x:c r="M124" s="19" t="str">
        <x:f>IF(A124="","",IF(COUNTIFS($A$7:$A$306,A124,$B$7:$B$306,B124)&lt;&gt;1,"Duplicate rule version",IF(OR(B124="",D124="",E124="",F124="",K124="",L124=""),"Rule info missing",IF(AND(C124&lt;&gt;"",OR(C124=B124,COUNTIFS($A$7:$A$306,A124,$B$7:$B$306,C124)&lt;&gt;1)),"Invalid parent version ref",IF(AND(OR(D124="Trial",D124="Adopted"),OR(G124="",NOT(ISNUMBER(I124)),NOT(ISNUMBER(J124)))),"Adoption/recheck missing","Valid input")))))</x:f>
      </x:c>
    </x:row>
    <x:row r="125" ht="25" customHeight="1">
      <x:c r="A125" s="3"/>
      <x:c r="B125" s="3"/>
      <x:c r="C125" s="3"/>
      <x:c r="D125" s="3"/>
      <x:c r="E125" s="3"/>
      <x:c r="F125" s="3"/>
      <x:c r="G125" s="3"/>
      <x:c r="H125" s="3"/>
      <x:c r="I125" s="20"/>
      <x:c r="J125" s="20"/>
      <x:c r="K125" s="3"/>
      <x:c r="L125" s="3"/>
      <x:c r="M125" s="19" t="str">
        <x:f>IF(A125="","",IF(COUNTIFS($A$7:$A$306,A125,$B$7:$B$306,B125)&lt;&gt;1,"Duplicate rule version",IF(OR(B125="",D125="",E125="",F125="",K125="",L125=""),"Rule info missing",IF(AND(C125&lt;&gt;"",OR(C125=B125,COUNTIFS($A$7:$A$306,A125,$B$7:$B$306,C125)&lt;&gt;1)),"Invalid parent version ref",IF(AND(OR(D125="Trial",D125="Adopted"),OR(G125="",NOT(ISNUMBER(I125)),NOT(ISNUMBER(J125)))),"Adoption/recheck missing","Valid input")))))</x:f>
      </x:c>
    </x:row>
    <x:row r="126" ht="25" customHeight="1">
      <x:c r="A126" s="3"/>
      <x:c r="B126" s="3"/>
      <x:c r="C126" s="3"/>
      <x:c r="D126" s="3"/>
      <x:c r="E126" s="3"/>
      <x:c r="F126" s="3"/>
      <x:c r="G126" s="3"/>
      <x:c r="H126" s="3"/>
      <x:c r="I126" s="20"/>
      <x:c r="J126" s="20"/>
      <x:c r="K126" s="3"/>
      <x:c r="L126" s="3"/>
      <x:c r="M126" s="19" t="str">
        <x:f>IF(A126="","",IF(COUNTIFS($A$7:$A$306,A126,$B$7:$B$306,B126)&lt;&gt;1,"Duplicate rule version",IF(OR(B126="",D126="",E126="",F126="",K126="",L126=""),"Rule info missing",IF(AND(C126&lt;&gt;"",OR(C126=B126,COUNTIFS($A$7:$A$306,A126,$B$7:$B$306,C126)&lt;&gt;1)),"Invalid parent version ref",IF(AND(OR(D126="Trial",D126="Adopted"),OR(G126="",NOT(ISNUMBER(I126)),NOT(ISNUMBER(J126)))),"Adoption/recheck missing","Valid input")))))</x:f>
      </x:c>
    </x:row>
    <x:row r="127" ht="25" customHeight="1">
      <x:c r="A127" s="3"/>
      <x:c r="B127" s="3"/>
      <x:c r="C127" s="3"/>
      <x:c r="D127" s="3"/>
      <x:c r="E127" s="3"/>
      <x:c r="F127" s="3"/>
      <x:c r="G127" s="3"/>
      <x:c r="H127" s="3"/>
      <x:c r="I127" s="20"/>
      <x:c r="J127" s="20"/>
      <x:c r="K127" s="3"/>
      <x:c r="L127" s="3"/>
      <x:c r="M127" s="19" t="str">
        <x:f>IF(A127="","",IF(COUNTIFS($A$7:$A$306,A127,$B$7:$B$306,B127)&lt;&gt;1,"Duplicate rule version",IF(OR(B127="",D127="",E127="",F127="",K127="",L127=""),"Rule info missing",IF(AND(C127&lt;&gt;"",OR(C127=B127,COUNTIFS($A$7:$A$306,A127,$B$7:$B$306,C127)&lt;&gt;1)),"Invalid parent version ref",IF(AND(OR(D127="Trial",D127="Adopted"),OR(G127="",NOT(ISNUMBER(I127)),NOT(ISNUMBER(J127)))),"Adoption/recheck missing","Valid input")))))</x:f>
      </x:c>
    </x:row>
    <x:row r="128" ht="25" customHeight="1">
      <x:c r="A128" s="3"/>
      <x:c r="B128" s="3"/>
      <x:c r="C128" s="3"/>
      <x:c r="D128" s="3"/>
      <x:c r="E128" s="3"/>
      <x:c r="F128" s="3"/>
      <x:c r="G128" s="3"/>
      <x:c r="H128" s="3"/>
      <x:c r="I128" s="20"/>
      <x:c r="J128" s="20"/>
      <x:c r="K128" s="3"/>
      <x:c r="L128" s="3"/>
      <x:c r="M128" s="19" t="str">
        <x:f>IF(A128="","",IF(COUNTIFS($A$7:$A$306,A128,$B$7:$B$306,B128)&lt;&gt;1,"Duplicate rule version",IF(OR(B128="",D128="",E128="",F128="",K128="",L128=""),"Rule info missing",IF(AND(C128&lt;&gt;"",OR(C128=B128,COUNTIFS($A$7:$A$306,A128,$B$7:$B$306,C128)&lt;&gt;1)),"Invalid parent version ref",IF(AND(OR(D128="Trial",D128="Adopted"),OR(G128="",NOT(ISNUMBER(I128)),NOT(ISNUMBER(J128)))),"Adoption/recheck missing","Valid input")))))</x:f>
      </x:c>
    </x:row>
    <x:row r="129" ht="25" customHeight="1">
      <x:c r="A129" s="3"/>
      <x:c r="B129" s="3"/>
      <x:c r="C129" s="3"/>
      <x:c r="D129" s="3"/>
      <x:c r="E129" s="3"/>
      <x:c r="F129" s="3"/>
      <x:c r="G129" s="3"/>
      <x:c r="H129" s="3"/>
      <x:c r="I129" s="20"/>
      <x:c r="J129" s="20"/>
      <x:c r="K129" s="3"/>
      <x:c r="L129" s="3"/>
      <x:c r="M129" s="19" t="str">
        <x:f>IF(A129="","",IF(COUNTIFS($A$7:$A$306,A129,$B$7:$B$306,B129)&lt;&gt;1,"Duplicate rule version",IF(OR(B129="",D129="",E129="",F129="",K129="",L129=""),"Rule info missing",IF(AND(C129&lt;&gt;"",OR(C129=B129,COUNTIFS($A$7:$A$306,A129,$B$7:$B$306,C129)&lt;&gt;1)),"Invalid parent version ref",IF(AND(OR(D129="Trial",D129="Adopted"),OR(G129="",NOT(ISNUMBER(I129)),NOT(ISNUMBER(J129)))),"Adoption/recheck missing","Valid input")))))</x:f>
      </x:c>
    </x:row>
    <x:row r="130" ht="25" customHeight="1">
      <x:c r="A130" s="3"/>
      <x:c r="B130" s="3"/>
      <x:c r="C130" s="3"/>
      <x:c r="D130" s="3"/>
      <x:c r="E130" s="3"/>
      <x:c r="F130" s="3"/>
      <x:c r="G130" s="3"/>
      <x:c r="H130" s="3"/>
      <x:c r="I130" s="20"/>
      <x:c r="J130" s="20"/>
      <x:c r="K130" s="3"/>
      <x:c r="L130" s="3"/>
      <x:c r="M130" s="19" t="str">
        <x:f>IF(A130="","",IF(COUNTIFS($A$7:$A$306,A130,$B$7:$B$306,B130)&lt;&gt;1,"Duplicate rule version",IF(OR(B130="",D130="",E130="",F130="",K130="",L130=""),"Rule info missing",IF(AND(C130&lt;&gt;"",OR(C130=B130,COUNTIFS($A$7:$A$306,A130,$B$7:$B$306,C130)&lt;&gt;1)),"Invalid parent version ref",IF(AND(OR(D130="Trial",D130="Adopted"),OR(G130="",NOT(ISNUMBER(I130)),NOT(ISNUMBER(J130)))),"Adoption/recheck missing","Valid input")))))</x:f>
      </x:c>
    </x:row>
    <x:row r="131" ht="25" customHeight="1">
      <x:c r="A131" s="3"/>
      <x:c r="B131" s="3"/>
      <x:c r="C131" s="3"/>
      <x:c r="D131" s="3"/>
      <x:c r="E131" s="3"/>
      <x:c r="F131" s="3"/>
      <x:c r="G131" s="3"/>
      <x:c r="H131" s="3"/>
      <x:c r="I131" s="20"/>
      <x:c r="J131" s="20"/>
      <x:c r="K131" s="3"/>
      <x:c r="L131" s="3"/>
      <x:c r="M131" s="19" t="str">
        <x:f>IF(A131="","",IF(COUNTIFS($A$7:$A$306,A131,$B$7:$B$306,B131)&lt;&gt;1,"Duplicate rule version",IF(OR(B131="",D131="",E131="",F131="",K131="",L131=""),"Rule info missing",IF(AND(C131&lt;&gt;"",OR(C131=B131,COUNTIFS($A$7:$A$306,A131,$B$7:$B$306,C131)&lt;&gt;1)),"Invalid parent version ref",IF(AND(OR(D131="Trial",D131="Adopted"),OR(G131="",NOT(ISNUMBER(I131)),NOT(ISNUMBER(J131)))),"Adoption/recheck missing","Valid input")))))</x:f>
      </x:c>
    </x:row>
    <x:row r="132" ht="25" customHeight="1">
      <x:c r="A132" s="3"/>
      <x:c r="B132" s="3"/>
      <x:c r="C132" s="3"/>
      <x:c r="D132" s="3"/>
      <x:c r="E132" s="3"/>
      <x:c r="F132" s="3"/>
      <x:c r="G132" s="3"/>
      <x:c r="H132" s="3"/>
      <x:c r="I132" s="20"/>
      <x:c r="J132" s="20"/>
      <x:c r="K132" s="3"/>
      <x:c r="L132" s="3"/>
      <x:c r="M132" s="19" t="str">
        <x:f>IF(A132="","",IF(COUNTIFS($A$7:$A$306,A132,$B$7:$B$306,B132)&lt;&gt;1,"Duplicate rule version",IF(OR(B132="",D132="",E132="",F132="",K132="",L132=""),"Rule info missing",IF(AND(C132&lt;&gt;"",OR(C132=B132,COUNTIFS($A$7:$A$306,A132,$B$7:$B$306,C132)&lt;&gt;1)),"Invalid parent version ref",IF(AND(OR(D132="Trial",D132="Adopted"),OR(G132="",NOT(ISNUMBER(I132)),NOT(ISNUMBER(J132)))),"Adoption/recheck missing","Valid input")))))</x:f>
      </x:c>
    </x:row>
    <x:row r="133" ht="25" customHeight="1">
      <x:c r="A133" s="3"/>
      <x:c r="B133" s="3"/>
      <x:c r="C133" s="3"/>
      <x:c r="D133" s="3"/>
      <x:c r="E133" s="3"/>
      <x:c r="F133" s="3"/>
      <x:c r="G133" s="3"/>
      <x:c r="H133" s="3"/>
      <x:c r="I133" s="20"/>
      <x:c r="J133" s="20"/>
      <x:c r="K133" s="3"/>
      <x:c r="L133" s="3"/>
      <x:c r="M133" s="19" t="str">
        <x:f>IF(A133="","",IF(COUNTIFS($A$7:$A$306,A133,$B$7:$B$306,B133)&lt;&gt;1,"Duplicate rule version",IF(OR(B133="",D133="",E133="",F133="",K133="",L133=""),"Rule info missing",IF(AND(C133&lt;&gt;"",OR(C133=B133,COUNTIFS($A$7:$A$306,A133,$B$7:$B$306,C133)&lt;&gt;1)),"Invalid parent version ref",IF(AND(OR(D133="Trial",D133="Adopted"),OR(G133="",NOT(ISNUMBER(I133)),NOT(ISNUMBER(J133)))),"Adoption/recheck missing","Valid input")))))</x:f>
      </x:c>
    </x:row>
    <x:row r="134" ht="25" customHeight="1">
      <x:c r="A134" s="3"/>
      <x:c r="B134" s="3"/>
      <x:c r="C134" s="3"/>
      <x:c r="D134" s="3"/>
      <x:c r="E134" s="3"/>
      <x:c r="F134" s="3"/>
      <x:c r="G134" s="3"/>
      <x:c r="H134" s="3"/>
      <x:c r="I134" s="20"/>
      <x:c r="J134" s="20"/>
      <x:c r="K134" s="3"/>
      <x:c r="L134" s="3"/>
      <x:c r="M134" s="19" t="str">
        <x:f>IF(A134="","",IF(COUNTIFS($A$7:$A$306,A134,$B$7:$B$306,B134)&lt;&gt;1,"Duplicate rule version",IF(OR(B134="",D134="",E134="",F134="",K134="",L134=""),"Rule info missing",IF(AND(C134&lt;&gt;"",OR(C134=B134,COUNTIFS($A$7:$A$306,A134,$B$7:$B$306,C134)&lt;&gt;1)),"Invalid parent version ref",IF(AND(OR(D134="Trial",D134="Adopted"),OR(G134="",NOT(ISNUMBER(I134)),NOT(ISNUMBER(J134)))),"Adoption/recheck missing","Valid input")))))</x:f>
      </x:c>
    </x:row>
    <x:row r="135" ht="25" customHeight="1">
      <x:c r="A135" s="3"/>
      <x:c r="B135" s="3"/>
      <x:c r="C135" s="3"/>
      <x:c r="D135" s="3"/>
      <x:c r="E135" s="3"/>
      <x:c r="F135" s="3"/>
      <x:c r="G135" s="3"/>
      <x:c r="H135" s="3"/>
      <x:c r="I135" s="20"/>
      <x:c r="J135" s="20"/>
      <x:c r="K135" s="3"/>
      <x:c r="L135" s="3"/>
      <x:c r="M135" s="19" t="str">
        <x:f>IF(A135="","",IF(COUNTIFS($A$7:$A$306,A135,$B$7:$B$306,B135)&lt;&gt;1,"Duplicate rule version",IF(OR(B135="",D135="",E135="",F135="",K135="",L135=""),"Rule info missing",IF(AND(C135&lt;&gt;"",OR(C135=B135,COUNTIFS($A$7:$A$306,A135,$B$7:$B$306,C135)&lt;&gt;1)),"Invalid parent version ref",IF(AND(OR(D135="Trial",D135="Adopted"),OR(G135="",NOT(ISNUMBER(I135)),NOT(ISNUMBER(J135)))),"Adoption/recheck missing","Valid input")))))</x:f>
      </x:c>
    </x:row>
    <x:row r="136" ht="25" customHeight="1">
      <x:c r="A136" s="3"/>
      <x:c r="B136" s="3"/>
      <x:c r="C136" s="3"/>
      <x:c r="D136" s="3"/>
      <x:c r="E136" s="3"/>
      <x:c r="F136" s="3"/>
      <x:c r="G136" s="3"/>
      <x:c r="H136" s="3"/>
      <x:c r="I136" s="20"/>
      <x:c r="J136" s="20"/>
      <x:c r="K136" s="3"/>
      <x:c r="L136" s="3"/>
      <x:c r="M136" s="19" t="str">
        <x:f>IF(A136="","",IF(COUNTIFS($A$7:$A$306,A136,$B$7:$B$306,B136)&lt;&gt;1,"Duplicate rule version",IF(OR(B136="",D136="",E136="",F136="",K136="",L136=""),"Rule info missing",IF(AND(C136&lt;&gt;"",OR(C136=B136,COUNTIFS($A$7:$A$306,A136,$B$7:$B$306,C136)&lt;&gt;1)),"Invalid parent version ref",IF(AND(OR(D136="Trial",D136="Adopted"),OR(G136="",NOT(ISNUMBER(I136)),NOT(ISNUMBER(J136)))),"Adoption/recheck missing","Valid input")))))</x:f>
      </x:c>
    </x:row>
    <x:row r="137" ht="25" customHeight="1">
      <x:c r="A137" s="3"/>
      <x:c r="B137" s="3"/>
      <x:c r="C137" s="3"/>
      <x:c r="D137" s="3"/>
      <x:c r="E137" s="3"/>
      <x:c r="F137" s="3"/>
      <x:c r="G137" s="3"/>
      <x:c r="H137" s="3"/>
      <x:c r="I137" s="20"/>
      <x:c r="J137" s="20"/>
      <x:c r="K137" s="3"/>
      <x:c r="L137" s="3"/>
      <x:c r="M137" s="19" t="str">
        <x:f>IF(A137="","",IF(COUNTIFS($A$7:$A$306,A137,$B$7:$B$306,B137)&lt;&gt;1,"Duplicate rule version",IF(OR(B137="",D137="",E137="",F137="",K137="",L137=""),"Rule info missing",IF(AND(C137&lt;&gt;"",OR(C137=B137,COUNTIFS($A$7:$A$306,A137,$B$7:$B$306,C137)&lt;&gt;1)),"Invalid parent version ref",IF(AND(OR(D137="Trial",D137="Adopted"),OR(G137="",NOT(ISNUMBER(I137)),NOT(ISNUMBER(J137)))),"Adoption/recheck missing","Valid input")))))</x:f>
      </x:c>
    </x:row>
    <x:row r="138" ht="25" customHeight="1">
      <x:c r="A138" s="3"/>
      <x:c r="B138" s="3"/>
      <x:c r="C138" s="3"/>
      <x:c r="D138" s="3"/>
      <x:c r="E138" s="3"/>
      <x:c r="F138" s="3"/>
      <x:c r="G138" s="3"/>
      <x:c r="H138" s="3"/>
      <x:c r="I138" s="20"/>
      <x:c r="J138" s="20"/>
      <x:c r="K138" s="3"/>
      <x:c r="L138" s="3"/>
      <x:c r="M138" s="19" t="str">
        <x:f>IF(A138="","",IF(COUNTIFS($A$7:$A$306,A138,$B$7:$B$306,B138)&lt;&gt;1,"Duplicate rule version",IF(OR(B138="",D138="",E138="",F138="",K138="",L138=""),"Rule info missing",IF(AND(C138&lt;&gt;"",OR(C138=B138,COUNTIFS($A$7:$A$306,A138,$B$7:$B$306,C138)&lt;&gt;1)),"Invalid parent version ref",IF(AND(OR(D138="Trial",D138="Adopted"),OR(G138="",NOT(ISNUMBER(I138)),NOT(ISNUMBER(J138)))),"Adoption/recheck missing","Valid input")))))</x:f>
      </x:c>
    </x:row>
    <x:row r="139" ht="25" customHeight="1">
      <x:c r="A139" s="3"/>
      <x:c r="B139" s="3"/>
      <x:c r="C139" s="3"/>
      <x:c r="D139" s="3"/>
      <x:c r="E139" s="3"/>
      <x:c r="F139" s="3"/>
      <x:c r="G139" s="3"/>
      <x:c r="H139" s="3"/>
      <x:c r="I139" s="20"/>
      <x:c r="J139" s="20"/>
      <x:c r="K139" s="3"/>
      <x:c r="L139" s="3"/>
      <x:c r="M139" s="19" t="str">
        <x:f>IF(A139="","",IF(COUNTIFS($A$7:$A$306,A139,$B$7:$B$306,B139)&lt;&gt;1,"Duplicate rule version",IF(OR(B139="",D139="",E139="",F139="",K139="",L139=""),"Rule info missing",IF(AND(C139&lt;&gt;"",OR(C139=B139,COUNTIFS($A$7:$A$306,A139,$B$7:$B$306,C139)&lt;&gt;1)),"Invalid parent version ref",IF(AND(OR(D139="Trial",D139="Adopted"),OR(G139="",NOT(ISNUMBER(I139)),NOT(ISNUMBER(J139)))),"Adoption/recheck missing","Valid input")))))</x:f>
      </x:c>
    </x:row>
    <x:row r="140" ht="25" customHeight="1">
      <x:c r="A140" s="3"/>
      <x:c r="B140" s="3"/>
      <x:c r="C140" s="3"/>
      <x:c r="D140" s="3"/>
      <x:c r="E140" s="3"/>
      <x:c r="F140" s="3"/>
      <x:c r="G140" s="3"/>
      <x:c r="H140" s="3"/>
      <x:c r="I140" s="20"/>
      <x:c r="J140" s="20"/>
      <x:c r="K140" s="3"/>
      <x:c r="L140" s="3"/>
      <x:c r="M140" s="19" t="str">
        <x:f>IF(A140="","",IF(COUNTIFS($A$7:$A$306,A140,$B$7:$B$306,B140)&lt;&gt;1,"Duplicate rule version",IF(OR(B140="",D140="",E140="",F140="",K140="",L140=""),"Rule info missing",IF(AND(C140&lt;&gt;"",OR(C140=B140,COUNTIFS($A$7:$A$306,A140,$B$7:$B$306,C140)&lt;&gt;1)),"Invalid parent version ref",IF(AND(OR(D140="Trial",D140="Adopted"),OR(G140="",NOT(ISNUMBER(I140)),NOT(ISNUMBER(J140)))),"Adoption/recheck missing","Valid input")))))</x:f>
      </x:c>
    </x:row>
    <x:row r="141" ht="25" customHeight="1">
      <x:c r="A141" s="3"/>
      <x:c r="B141" s="3"/>
      <x:c r="C141" s="3"/>
      <x:c r="D141" s="3"/>
      <x:c r="E141" s="3"/>
      <x:c r="F141" s="3"/>
      <x:c r="G141" s="3"/>
      <x:c r="H141" s="3"/>
      <x:c r="I141" s="20"/>
      <x:c r="J141" s="20"/>
      <x:c r="K141" s="3"/>
      <x:c r="L141" s="3"/>
      <x:c r="M141" s="19" t="str">
        <x:f>IF(A141="","",IF(COUNTIFS($A$7:$A$306,A141,$B$7:$B$306,B141)&lt;&gt;1,"Duplicate rule version",IF(OR(B141="",D141="",E141="",F141="",K141="",L141=""),"Rule info missing",IF(AND(C141&lt;&gt;"",OR(C141=B141,COUNTIFS($A$7:$A$306,A141,$B$7:$B$306,C141)&lt;&gt;1)),"Invalid parent version ref",IF(AND(OR(D141="Trial",D141="Adopted"),OR(G141="",NOT(ISNUMBER(I141)),NOT(ISNUMBER(J141)))),"Adoption/recheck missing","Valid input")))))</x:f>
      </x:c>
    </x:row>
    <x:row r="142" ht="25" customHeight="1">
      <x:c r="A142" s="3"/>
      <x:c r="B142" s="3"/>
      <x:c r="C142" s="3"/>
      <x:c r="D142" s="3"/>
      <x:c r="E142" s="3"/>
      <x:c r="F142" s="3"/>
      <x:c r="G142" s="3"/>
      <x:c r="H142" s="3"/>
      <x:c r="I142" s="20"/>
      <x:c r="J142" s="20"/>
      <x:c r="K142" s="3"/>
      <x:c r="L142" s="3"/>
      <x:c r="M142" s="19" t="str">
        <x:f>IF(A142="","",IF(COUNTIFS($A$7:$A$306,A142,$B$7:$B$306,B142)&lt;&gt;1,"Duplicate rule version",IF(OR(B142="",D142="",E142="",F142="",K142="",L142=""),"Rule info missing",IF(AND(C142&lt;&gt;"",OR(C142=B142,COUNTIFS($A$7:$A$306,A142,$B$7:$B$306,C142)&lt;&gt;1)),"Invalid parent version ref",IF(AND(OR(D142="Trial",D142="Adopted"),OR(G142="",NOT(ISNUMBER(I142)),NOT(ISNUMBER(J142)))),"Adoption/recheck missing","Valid input")))))</x:f>
      </x:c>
    </x:row>
    <x:row r="143" ht="25" customHeight="1">
      <x:c r="A143" s="3"/>
      <x:c r="B143" s="3"/>
      <x:c r="C143" s="3"/>
      <x:c r="D143" s="3"/>
      <x:c r="E143" s="3"/>
      <x:c r="F143" s="3"/>
      <x:c r="G143" s="3"/>
      <x:c r="H143" s="3"/>
      <x:c r="I143" s="20"/>
      <x:c r="J143" s="20"/>
      <x:c r="K143" s="3"/>
      <x:c r="L143" s="3"/>
      <x:c r="M143" s="19" t="str">
        <x:f>IF(A143="","",IF(COUNTIFS($A$7:$A$306,A143,$B$7:$B$306,B143)&lt;&gt;1,"Duplicate rule version",IF(OR(B143="",D143="",E143="",F143="",K143="",L143=""),"Rule info missing",IF(AND(C143&lt;&gt;"",OR(C143=B143,COUNTIFS($A$7:$A$306,A143,$B$7:$B$306,C143)&lt;&gt;1)),"Invalid parent version ref",IF(AND(OR(D143="Trial",D143="Adopted"),OR(G143="",NOT(ISNUMBER(I143)),NOT(ISNUMBER(J143)))),"Adoption/recheck missing","Valid input")))))</x:f>
      </x:c>
    </x:row>
    <x:row r="144" ht="25" customHeight="1">
      <x:c r="A144" s="3"/>
      <x:c r="B144" s="3"/>
      <x:c r="C144" s="3"/>
      <x:c r="D144" s="3"/>
      <x:c r="E144" s="3"/>
      <x:c r="F144" s="3"/>
      <x:c r="G144" s="3"/>
      <x:c r="H144" s="3"/>
      <x:c r="I144" s="20"/>
      <x:c r="J144" s="20"/>
      <x:c r="K144" s="3"/>
      <x:c r="L144" s="3"/>
      <x:c r="M144" s="19" t="str">
        <x:f>IF(A144="","",IF(COUNTIFS($A$7:$A$306,A144,$B$7:$B$306,B144)&lt;&gt;1,"Duplicate rule version",IF(OR(B144="",D144="",E144="",F144="",K144="",L144=""),"Rule info missing",IF(AND(C144&lt;&gt;"",OR(C144=B144,COUNTIFS($A$7:$A$306,A144,$B$7:$B$306,C144)&lt;&gt;1)),"Invalid parent version ref",IF(AND(OR(D144="Trial",D144="Adopted"),OR(G144="",NOT(ISNUMBER(I144)),NOT(ISNUMBER(J144)))),"Adoption/recheck missing","Valid input")))))</x:f>
      </x:c>
    </x:row>
    <x:row r="145" ht="25" customHeight="1">
      <x:c r="A145" s="3"/>
      <x:c r="B145" s="3"/>
      <x:c r="C145" s="3"/>
      <x:c r="D145" s="3"/>
      <x:c r="E145" s="3"/>
      <x:c r="F145" s="3"/>
      <x:c r="G145" s="3"/>
      <x:c r="H145" s="3"/>
      <x:c r="I145" s="20"/>
      <x:c r="J145" s="20"/>
      <x:c r="K145" s="3"/>
      <x:c r="L145" s="3"/>
      <x:c r="M145" s="19" t="str">
        <x:f>IF(A145="","",IF(COUNTIFS($A$7:$A$306,A145,$B$7:$B$306,B145)&lt;&gt;1,"Duplicate rule version",IF(OR(B145="",D145="",E145="",F145="",K145="",L145=""),"Rule info missing",IF(AND(C145&lt;&gt;"",OR(C145=B145,COUNTIFS($A$7:$A$306,A145,$B$7:$B$306,C145)&lt;&gt;1)),"Invalid parent version ref",IF(AND(OR(D145="Trial",D145="Adopted"),OR(G145="",NOT(ISNUMBER(I145)),NOT(ISNUMBER(J145)))),"Adoption/recheck missing","Valid input")))))</x:f>
      </x:c>
    </x:row>
    <x:row r="146" ht="25" customHeight="1">
      <x:c r="A146" s="3"/>
      <x:c r="B146" s="3"/>
      <x:c r="C146" s="3"/>
      <x:c r="D146" s="3"/>
      <x:c r="E146" s="3"/>
      <x:c r="F146" s="3"/>
      <x:c r="G146" s="3"/>
      <x:c r="H146" s="3"/>
      <x:c r="I146" s="20"/>
      <x:c r="J146" s="20"/>
      <x:c r="K146" s="3"/>
      <x:c r="L146" s="3"/>
      <x:c r="M146" s="19" t="str">
        <x:f>IF(A146="","",IF(COUNTIFS($A$7:$A$306,A146,$B$7:$B$306,B146)&lt;&gt;1,"Duplicate rule version",IF(OR(B146="",D146="",E146="",F146="",K146="",L146=""),"Rule info missing",IF(AND(C146&lt;&gt;"",OR(C146=B146,COUNTIFS($A$7:$A$306,A146,$B$7:$B$306,C146)&lt;&gt;1)),"Invalid parent version ref",IF(AND(OR(D146="Trial",D146="Adopted"),OR(G146="",NOT(ISNUMBER(I146)),NOT(ISNUMBER(J146)))),"Adoption/recheck missing","Valid input")))))</x:f>
      </x:c>
    </x:row>
    <x:row r="147" ht="25" customHeight="1">
      <x:c r="A147" s="3"/>
      <x:c r="B147" s="3"/>
      <x:c r="C147" s="3"/>
      <x:c r="D147" s="3"/>
      <x:c r="E147" s="3"/>
      <x:c r="F147" s="3"/>
      <x:c r="G147" s="3"/>
      <x:c r="H147" s="3"/>
      <x:c r="I147" s="20"/>
      <x:c r="J147" s="20"/>
      <x:c r="K147" s="3"/>
      <x:c r="L147" s="3"/>
      <x:c r="M147" s="19" t="str">
        <x:f>IF(A147="","",IF(COUNTIFS($A$7:$A$306,A147,$B$7:$B$306,B147)&lt;&gt;1,"Duplicate rule version",IF(OR(B147="",D147="",E147="",F147="",K147="",L147=""),"Rule info missing",IF(AND(C147&lt;&gt;"",OR(C147=B147,COUNTIFS($A$7:$A$306,A147,$B$7:$B$306,C147)&lt;&gt;1)),"Invalid parent version ref",IF(AND(OR(D147="Trial",D147="Adopted"),OR(G147="",NOT(ISNUMBER(I147)),NOT(ISNUMBER(J147)))),"Adoption/recheck missing","Valid input")))))</x:f>
      </x:c>
    </x:row>
    <x:row r="148" ht="25" customHeight="1">
      <x:c r="A148" s="3"/>
      <x:c r="B148" s="3"/>
      <x:c r="C148" s="3"/>
      <x:c r="D148" s="3"/>
      <x:c r="E148" s="3"/>
      <x:c r="F148" s="3"/>
      <x:c r="G148" s="3"/>
      <x:c r="H148" s="3"/>
      <x:c r="I148" s="20"/>
      <x:c r="J148" s="20"/>
      <x:c r="K148" s="3"/>
      <x:c r="L148" s="3"/>
      <x:c r="M148" s="19" t="str">
        <x:f>IF(A148="","",IF(COUNTIFS($A$7:$A$306,A148,$B$7:$B$306,B148)&lt;&gt;1,"Duplicate rule version",IF(OR(B148="",D148="",E148="",F148="",K148="",L148=""),"Rule info missing",IF(AND(C148&lt;&gt;"",OR(C148=B148,COUNTIFS($A$7:$A$306,A148,$B$7:$B$306,C148)&lt;&gt;1)),"Invalid parent version ref",IF(AND(OR(D148="Trial",D148="Adopted"),OR(G148="",NOT(ISNUMBER(I148)),NOT(ISNUMBER(J148)))),"Adoption/recheck missing","Valid input")))))</x:f>
      </x:c>
    </x:row>
    <x:row r="149" ht="25" customHeight="1">
      <x:c r="A149" s="3"/>
      <x:c r="B149" s="3"/>
      <x:c r="C149" s="3"/>
      <x:c r="D149" s="3"/>
      <x:c r="E149" s="3"/>
      <x:c r="F149" s="3"/>
      <x:c r="G149" s="3"/>
      <x:c r="H149" s="3"/>
      <x:c r="I149" s="20"/>
      <x:c r="J149" s="20"/>
      <x:c r="K149" s="3"/>
      <x:c r="L149" s="3"/>
      <x:c r="M149" s="19" t="str">
        <x:f>IF(A149="","",IF(COUNTIFS($A$7:$A$306,A149,$B$7:$B$306,B149)&lt;&gt;1,"Duplicate rule version",IF(OR(B149="",D149="",E149="",F149="",K149="",L149=""),"Rule info missing",IF(AND(C149&lt;&gt;"",OR(C149=B149,COUNTIFS($A$7:$A$306,A149,$B$7:$B$306,C149)&lt;&gt;1)),"Invalid parent version ref",IF(AND(OR(D149="Trial",D149="Adopted"),OR(G149="",NOT(ISNUMBER(I149)),NOT(ISNUMBER(J149)))),"Adoption/recheck missing","Valid input")))))</x:f>
      </x:c>
    </x:row>
    <x:row r="150" ht="25" customHeight="1">
      <x:c r="A150" s="3"/>
      <x:c r="B150" s="3"/>
      <x:c r="C150" s="3"/>
      <x:c r="D150" s="3"/>
      <x:c r="E150" s="3"/>
      <x:c r="F150" s="3"/>
      <x:c r="G150" s="3"/>
      <x:c r="H150" s="3"/>
      <x:c r="I150" s="20"/>
      <x:c r="J150" s="20"/>
      <x:c r="K150" s="3"/>
      <x:c r="L150" s="3"/>
      <x:c r="M150" s="19" t="str">
        <x:f>IF(A150="","",IF(COUNTIFS($A$7:$A$306,A150,$B$7:$B$306,B150)&lt;&gt;1,"Duplicate rule version",IF(OR(B150="",D150="",E150="",F150="",K150="",L150=""),"Rule info missing",IF(AND(C150&lt;&gt;"",OR(C150=B150,COUNTIFS($A$7:$A$306,A150,$B$7:$B$306,C150)&lt;&gt;1)),"Invalid parent version ref",IF(AND(OR(D150="Trial",D150="Adopted"),OR(G150="",NOT(ISNUMBER(I150)),NOT(ISNUMBER(J150)))),"Adoption/recheck missing","Valid input")))))</x:f>
      </x:c>
    </x:row>
    <x:row r="151" ht="25" customHeight="1">
      <x:c r="A151" s="3"/>
      <x:c r="B151" s="3"/>
      <x:c r="C151" s="3"/>
      <x:c r="D151" s="3"/>
      <x:c r="E151" s="3"/>
      <x:c r="F151" s="3"/>
      <x:c r="G151" s="3"/>
      <x:c r="H151" s="3"/>
      <x:c r="I151" s="20"/>
      <x:c r="J151" s="20"/>
      <x:c r="K151" s="3"/>
      <x:c r="L151" s="3"/>
      <x:c r="M151" s="19" t="str">
        <x:f>IF(A151="","",IF(COUNTIFS($A$7:$A$306,A151,$B$7:$B$306,B151)&lt;&gt;1,"Duplicate rule version",IF(OR(B151="",D151="",E151="",F151="",K151="",L151=""),"Rule info missing",IF(AND(C151&lt;&gt;"",OR(C151=B151,COUNTIFS($A$7:$A$306,A151,$B$7:$B$306,C151)&lt;&gt;1)),"Invalid parent version ref",IF(AND(OR(D151="Trial",D151="Adopted"),OR(G151="",NOT(ISNUMBER(I151)),NOT(ISNUMBER(J151)))),"Adoption/recheck missing","Valid input")))))</x:f>
      </x:c>
    </x:row>
    <x:row r="152" ht="25" customHeight="1">
      <x:c r="A152" s="3"/>
      <x:c r="B152" s="3"/>
      <x:c r="C152" s="3"/>
      <x:c r="D152" s="3"/>
      <x:c r="E152" s="3"/>
      <x:c r="F152" s="3"/>
      <x:c r="G152" s="3"/>
      <x:c r="H152" s="3"/>
      <x:c r="I152" s="20"/>
      <x:c r="J152" s="20"/>
      <x:c r="K152" s="3"/>
      <x:c r="L152" s="3"/>
      <x:c r="M152" s="19" t="str">
        <x:f>IF(A152="","",IF(COUNTIFS($A$7:$A$306,A152,$B$7:$B$306,B152)&lt;&gt;1,"Duplicate rule version",IF(OR(B152="",D152="",E152="",F152="",K152="",L152=""),"Rule info missing",IF(AND(C152&lt;&gt;"",OR(C152=B152,COUNTIFS($A$7:$A$306,A152,$B$7:$B$306,C152)&lt;&gt;1)),"Invalid parent version ref",IF(AND(OR(D152="Trial",D152="Adopted"),OR(G152="",NOT(ISNUMBER(I152)),NOT(ISNUMBER(J152)))),"Adoption/recheck missing","Valid input")))))</x:f>
      </x:c>
    </x:row>
    <x:row r="153" ht="25" customHeight="1">
      <x:c r="A153" s="3"/>
      <x:c r="B153" s="3"/>
      <x:c r="C153" s="3"/>
      <x:c r="D153" s="3"/>
      <x:c r="E153" s="3"/>
      <x:c r="F153" s="3"/>
      <x:c r="G153" s="3"/>
      <x:c r="H153" s="3"/>
      <x:c r="I153" s="20"/>
      <x:c r="J153" s="20"/>
      <x:c r="K153" s="3"/>
      <x:c r="L153" s="3"/>
      <x:c r="M153" s="19" t="str">
        <x:f>IF(A153="","",IF(COUNTIFS($A$7:$A$306,A153,$B$7:$B$306,B153)&lt;&gt;1,"Duplicate rule version",IF(OR(B153="",D153="",E153="",F153="",K153="",L153=""),"Rule info missing",IF(AND(C153&lt;&gt;"",OR(C153=B153,COUNTIFS($A$7:$A$306,A153,$B$7:$B$306,C153)&lt;&gt;1)),"Invalid parent version ref",IF(AND(OR(D153="Trial",D153="Adopted"),OR(G153="",NOT(ISNUMBER(I153)),NOT(ISNUMBER(J153)))),"Adoption/recheck missing","Valid input")))))</x:f>
      </x:c>
    </x:row>
    <x:row r="154" ht="25" customHeight="1">
      <x:c r="A154" s="3"/>
      <x:c r="B154" s="3"/>
      <x:c r="C154" s="3"/>
      <x:c r="D154" s="3"/>
      <x:c r="E154" s="3"/>
      <x:c r="F154" s="3"/>
      <x:c r="G154" s="3"/>
      <x:c r="H154" s="3"/>
      <x:c r="I154" s="20"/>
      <x:c r="J154" s="20"/>
      <x:c r="K154" s="3"/>
      <x:c r="L154" s="3"/>
      <x:c r="M154" s="19" t="str">
        <x:f>IF(A154="","",IF(COUNTIFS($A$7:$A$306,A154,$B$7:$B$306,B154)&lt;&gt;1,"Duplicate rule version",IF(OR(B154="",D154="",E154="",F154="",K154="",L154=""),"Rule info missing",IF(AND(C154&lt;&gt;"",OR(C154=B154,COUNTIFS($A$7:$A$306,A154,$B$7:$B$306,C154)&lt;&gt;1)),"Invalid parent version ref",IF(AND(OR(D154="Trial",D154="Adopted"),OR(G154="",NOT(ISNUMBER(I154)),NOT(ISNUMBER(J154)))),"Adoption/recheck missing","Valid input")))))</x:f>
      </x:c>
    </x:row>
    <x:row r="155" ht="25" customHeight="1">
      <x:c r="A155" s="3"/>
      <x:c r="B155" s="3"/>
      <x:c r="C155" s="3"/>
      <x:c r="D155" s="3"/>
      <x:c r="E155" s="3"/>
      <x:c r="F155" s="3"/>
      <x:c r="G155" s="3"/>
      <x:c r="H155" s="3"/>
      <x:c r="I155" s="20"/>
      <x:c r="J155" s="20"/>
      <x:c r="K155" s="3"/>
      <x:c r="L155" s="3"/>
      <x:c r="M155" s="19" t="str">
        <x:f>IF(A155="","",IF(COUNTIFS($A$7:$A$306,A155,$B$7:$B$306,B155)&lt;&gt;1,"Duplicate rule version",IF(OR(B155="",D155="",E155="",F155="",K155="",L155=""),"Rule info missing",IF(AND(C155&lt;&gt;"",OR(C155=B155,COUNTIFS($A$7:$A$306,A155,$B$7:$B$306,C155)&lt;&gt;1)),"Invalid parent version ref",IF(AND(OR(D155="Trial",D155="Adopted"),OR(G155="",NOT(ISNUMBER(I155)),NOT(ISNUMBER(J155)))),"Adoption/recheck missing","Valid input")))))</x:f>
      </x:c>
    </x:row>
    <x:row r="156" ht="25" customHeight="1">
      <x:c r="A156" s="3"/>
      <x:c r="B156" s="3"/>
      <x:c r="C156" s="3"/>
      <x:c r="D156" s="3"/>
      <x:c r="E156" s="3"/>
      <x:c r="F156" s="3"/>
      <x:c r="G156" s="3"/>
      <x:c r="H156" s="3"/>
      <x:c r="I156" s="20"/>
      <x:c r="J156" s="20"/>
      <x:c r="K156" s="3"/>
      <x:c r="L156" s="3"/>
      <x:c r="M156" s="19" t="str">
        <x:f>IF(A156="","",IF(COUNTIFS($A$7:$A$306,A156,$B$7:$B$306,B156)&lt;&gt;1,"Duplicate rule version",IF(OR(B156="",D156="",E156="",F156="",K156="",L156=""),"Rule info missing",IF(AND(C156&lt;&gt;"",OR(C156=B156,COUNTIFS($A$7:$A$306,A156,$B$7:$B$306,C156)&lt;&gt;1)),"Invalid parent version ref",IF(AND(OR(D156="Trial",D156="Adopted"),OR(G156="",NOT(ISNUMBER(I156)),NOT(ISNUMBER(J156)))),"Adoption/recheck missing","Valid input")))))</x:f>
      </x:c>
    </x:row>
    <x:row r="157" ht="25" customHeight="1">
      <x:c r="A157" s="3"/>
      <x:c r="B157" s="3"/>
      <x:c r="C157" s="3"/>
      <x:c r="D157" s="3"/>
      <x:c r="E157" s="3"/>
      <x:c r="F157" s="3"/>
      <x:c r="G157" s="3"/>
      <x:c r="H157" s="3"/>
      <x:c r="I157" s="20"/>
      <x:c r="J157" s="20"/>
      <x:c r="K157" s="3"/>
      <x:c r="L157" s="3"/>
      <x:c r="M157" s="19" t="str">
        <x:f>IF(A157="","",IF(COUNTIFS($A$7:$A$306,A157,$B$7:$B$306,B157)&lt;&gt;1,"Duplicate rule version",IF(OR(B157="",D157="",E157="",F157="",K157="",L157=""),"Rule info missing",IF(AND(C157&lt;&gt;"",OR(C157=B157,COUNTIFS($A$7:$A$306,A157,$B$7:$B$306,C157)&lt;&gt;1)),"Invalid parent version ref",IF(AND(OR(D157="Trial",D157="Adopted"),OR(G157="",NOT(ISNUMBER(I157)),NOT(ISNUMBER(J157)))),"Adoption/recheck missing","Valid input")))))</x:f>
      </x:c>
    </x:row>
    <x:row r="158" ht="25" customHeight="1">
      <x:c r="A158" s="3"/>
      <x:c r="B158" s="3"/>
      <x:c r="C158" s="3"/>
      <x:c r="D158" s="3"/>
      <x:c r="E158" s="3"/>
      <x:c r="F158" s="3"/>
      <x:c r="G158" s="3"/>
      <x:c r="H158" s="3"/>
      <x:c r="I158" s="20"/>
      <x:c r="J158" s="20"/>
      <x:c r="K158" s="3"/>
      <x:c r="L158" s="3"/>
      <x:c r="M158" s="19" t="str">
        <x:f>IF(A158="","",IF(COUNTIFS($A$7:$A$306,A158,$B$7:$B$306,B158)&lt;&gt;1,"Duplicate rule version",IF(OR(B158="",D158="",E158="",F158="",K158="",L158=""),"Rule info missing",IF(AND(C158&lt;&gt;"",OR(C158=B158,COUNTIFS($A$7:$A$306,A158,$B$7:$B$306,C158)&lt;&gt;1)),"Invalid parent version ref",IF(AND(OR(D158="Trial",D158="Adopted"),OR(G158="",NOT(ISNUMBER(I158)),NOT(ISNUMBER(J158)))),"Adoption/recheck missing","Valid input")))))</x:f>
      </x:c>
    </x:row>
    <x:row r="159" ht="25" customHeight="1">
      <x:c r="A159" s="3"/>
      <x:c r="B159" s="3"/>
      <x:c r="C159" s="3"/>
      <x:c r="D159" s="3"/>
      <x:c r="E159" s="3"/>
      <x:c r="F159" s="3"/>
      <x:c r="G159" s="3"/>
      <x:c r="H159" s="3"/>
      <x:c r="I159" s="20"/>
      <x:c r="J159" s="20"/>
      <x:c r="K159" s="3"/>
      <x:c r="L159" s="3"/>
      <x:c r="M159" s="19" t="str">
        <x:f>IF(A159="","",IF(COUNTIFS($A$7:$A$306,A159,$B$7:$B$306,B159)&lt;&gt;1,"Duplicate rule version",IF(OR(B159="",D159="",E159="",F159="",K159="",L159=""),"Rule info missing",IF(AND(C159&lt;&gt;"",OR(C159=B159,COUNTIFS($A$7:$A$306,A159,$B$7:$B$306,C159)&lt;&gt;1)),"Invalid parent version ref",IF(AND(OR(D159="Trial",D159="Adopted"),OR(G159="",NOT(ISNUMBER(I159)),NOT(ISNUMBER(J159)))),"Adoption/recheck missing","Valid input")))))</x:f>
      </x:c>
    </x:row>
    <x:row r="160" ht="25" customHeight="1">
      <x:c r="A160" s="3"/>
      <x:c r="B160" s="3"/>
      <x:c r="C160" s="3"/>
      <x:c r="D160" s="3"/>
      <x:c r="E160" s="3"/>
      <x:c r="F160" s="3"/>
      <x:c r="G160" s="3"/>
      <x:c r="H160" s="3"/>
      <x:c r="I160" s="20"/>
      <x:c r="J160" s="20"/>
      <x:c r="K160" s="3"/>
      <x:c r="L160" s="3"/>
      <x:c r="M160" s="19" t="str">
        <x:f>IF(A160="","",IF(COUNTIFS($A$7:$A$306,A160,$B$7:$B$306,B160)&lt;&gt;1,"Duplicate rule version",IF(OR(B160="",D160="",E160="",F160="",K160="",L160=""),"Rule info missing",IF(AND(C160&lt;&gt;"",OR(C160=B160,COUNTIFS($A$7:$A$306,A160,$B$7:$B$306,C160)&lt;&gt;1)),"Invalid parent version ref",IF(AND(OR(D160="Trial",D160="Adopted"),OR(G160="",NOT(ISNUMBER(I160)),NOT(ISNUMBER(J160)))),"Adoption/recheck missing","Valid input")))))</x:f>
      </x:c>
    </x:row>
    <x:row r="161" ht="25" customHeight="1">
      <x:c r="A161" s="3"/>
      <x:c r="B161" s="3"/>
      <x:c r="C161" s="3"/>
      <x:c r="D161" s="3"/>
      <x:c r="E161" s="3"/>
      <x:c r="F161" s="3"/>
      <x:c r="G161" s="3"/>
      <x:c r="H161" s="3"/>
      <x:c r="I161" s="20"/>
      <x:c r="J161" s="20"/>
      <x:c r="K161" s="3"/>
      <x:c r="L161" s="3"/>
      <x:c r="M161" s="19" t="str">
        <x:f>IF(A161="","",IF(COUNTIFS($A$7:$A$306,A161,$B$7:$B$306,B161)&lt;&gt;1,"Duplicate rule version",IF(OR(B161="",D161="",E161="",F161="",K161="",L161=""),"Rule info missing",IF(AND(C161&lt;&gt;"",OR(C161=B161,COUNTIFS($A$7:$A$306,A161,$B$7:$B$306,C161)&lt;&gt;1)),"Invalid parent version ref",IF(AND(OR(D161="Trial",D161="Adopted"),OR(G161="",NOT(ISNUMBER(I161)),NOT(ISNUMBER(J161)))),"Adoption/recheck missing","Valid input")))))</x:f>
      </x:c>
    </x:row>
    <x:row r="162" ht="25" customHeight="1">
      <x:c r="A162" s="3"/>
      <x:c r="B162" s="3"/>
      <x:c r="C162" s="3"/>
      <x:c r="D162" s="3"/>
      <x:c r="E162" s="3"/>
      <x:c r="F162" s="3"/>
      <x:c r="G162" s="3"/>
      <x:c r="H162" s="3"/>
      <x:c r="I162" s="20"/>
      <x:c r="J162" s="20"/>
      <x:c r="K162" s="3"/>
      <x:c r="L162" s="3"/>
      <x:c r="M162" s="19" t="str">
        <x:f>IF(A162="","",IF(COUNTIFS($A$7:$A$306,A162,$B$7:$B$306,B162)&lt;&gt;1,"Duplicate rule version",IF(OR(B162="",D162="",E162="",F162="",K162="",L162=""),"Rule info missing",IF(AND(C162&lt;&gt;"",OR(C162=B162,COUNTIFS($A$7:$A$306,A162,$B$7:$B$306,C162)&lt;&gt;1)),"Invalid parent version ref",IF(AND(OR(D162="Trial",D162="Adopted"),OR(G162="",NOT(ISNUMBER(I162)),NOT(ISNUMBER(J162)))),"Adoption/recheck missing","Valid input")))))</x:f>
      </x:c>
    </x:row>
    <x:row r="163" ht="25" customHeight="1">
      <x:c r="A163" s="3"/>
      <x:c r="B163" s="3"/>
      <x:c r="C163" s="3"/>
      <x:c r="D163" s="3"/>
      <x:c r="E163" s="3"/>
      <x:c r="F163" s="3"/>
      <x:c r="G163" s="3"/>
      <x:c r="H163" s="3"/>
      <x:c r="I163" s="20"/>
      <x:c r="J163" s="20"/>
      <x:c r="K163" s="3"/>
      <x:c r="L163" s="3"/>
      <x:c r="M163" s="19" t="str">
        <x:f>IF(A163="","",IF(COUNTIFS($A$7:$A$306,A163,$B$7:$B$306,B163)&lt;&gt;1,"Duplicate rule version",IF(OR(B163="",D163="",E163="",F163="",K163="",L163=""),"Rule info missing",IF(AND(C163&lt;&gt;"",OR(C163=B163,COUNTIFS($A$7:$A$306,A163,$B$7:$B$306,C163)&lt;&gt;1)),"Invalid parent version ref",IF(AND(OR(D163="Trial",D163="Adopted"),OR(G163="",NOT(ISNUMBER(I163)),NOT(ISNUMBER(J163)))),"Adoption/recheck missing","Valid input")))))</x:f>
      </x:c>
    </x:row>
    <x:row r="164" ht="25" customHeight="1">
      <x:c r="A164" s="3"/>
      <x:c r="B164" s="3"/>
      <x:c r="C164" s="3"/>
      <x:c r="D164" s="3"/>
      <x:c r="E164" s="3"/>
      <x:c r="F164" s="3"/>
      <x:c r="G164" s="3"/>
      <x:c r="H164" s="3"/>
      <x:c r="I164" s="20"/>
      <x:c r="J164" s="20"/>
      <x:c r="K164" s="3"/>
      <x:c r="L164" s="3"/>
      <x:c r="M164" s="19" t="str">
        <x:f>IF(A164="","",IF(COUNTIFS($A$7:$A$306,A164,$B$7:$B$306,B164)&lt;&gt;1,"Duplicate rule version",IF(OR(B164="",D164="",E164="",F164="",K164="",L164=""),"Rule info missing",IF(AND(C164&lt;&gt;"",OR(C164=B164,COUNTIFS($A$7:$A$306,A164,$B$7:$B$306,C164)&lt;&gt;1)),"Invalid parent version ref",IF(AND(OR(D164="Trial",D164="Adopted"),OR(G164="",NOT(ISNUMBER(I164)),NOT(ISNUMBER(J164)))),"Adoption/recheck missing","Valid input")))))</x:f>
      </x:c>
    </x:row>
    <x:row r="165" ht="25" customHeight="1">
      <x:c r="A165" s="3"/>
      <x:c r="B165" s="3"/>
      <x:c r="C165" s="3"/>
      <x:c r="D165" s="3"/>
      <x:c r="E165" s="3"/>
      <x:c r="F165" s="3"/>
      <x:c r="G165" s="3"/>
      <x:c r="H165" s="3"/>
      <x:c r="I165" s="20"/>
      <x:c r="J165" s="20"/>
      <x:c r="K165" s="3"/>
      <x:c r="L165" s="3"/>
      <x:c r="M165" s="19" t="str">
        <x:f>IF(A165="","",IF(COUNTIFS($A$7:$A$306,A165,$B$7:$B$306,B165)&lt;&gt;1,"Duplicate rule version",IF(OR(B165="",D165="",E165="",F165="",K165="",L165=""),"Rule info missing",IF(AND(C165&lt;&gt;"",OR(C165=B165,COUNTIFS($A$7:$A$306,A165,$B$7:$B$306,C165)&lt;&gt;1)),"Invalid parent version ref",IF(AND(OR(D165="Trial",D165="Adopted"),OR(G165="",NOT(ISNUMBER(I165)),NOT(ISNUMBER(J165)))),"Adoption/recheck missing","Valid input")))))</x:f>
      </x:c>
    </x:row>
    <x:row r="166" ht="25" customHeight="1">
      <x:c r="A166" s="3"/>
      <x:c r="B166" s="3"/>
      <x:c r="C166" s="3"/>
      <x:c r="D166" s="3"/>
      <x:c r="E166" s="3"/>
      <x:c r="F166" s="3"/>
      <x:c r="G166" s="3"/>
      <x:c r="H166" s="3"/>
      <x:c r="I166" s="20"/>
      <x:c r="J166" s="20"/>
      <x:c r="K166" s="3"/>
      <x:c r="L166" s="3"/>
      <x:c r="M166" s="19" t="str">
        <x:f>IF(A166="","",IF(COUNTIFS($A$7:$A$306,A166,$B$7:$B$306,B166)&lt;&gt;1,"Duplicate rule version",IF(OR(B166="",D166="",E166="",F166="",K166="",L166=""),"Rule info missing",IF(AND(C166&lt;&gt;"",OR(C166=B166,COUNTIFS($A$7:$A$306,A166,$B$7:$B$306,C166)&lt;&gt;1)),"Invalid parent version ref",IF(AND(OR(D166="Trial",D166="Adopted"),OR(G166="",NOT(ISNUMBER(I166)),NOT(ISNUMBER(J166)))),"Adoption/recheck missing","Valid input")))))</x:f>
      </x:c>
    </x:row>
    <x:row r="167" ht="25" customHeight="1">
      <x:c r="A167" s="3"/>
      <x:c r="B167" s="3"/>
      <x:c r="C167" s="3"/>
      <x:c r="D167" s="3"/>
      <x:c r="E167" s="3"/>
      <x:c r="F167" s="3"/>
      <x:c r="G167" s="3"/>
      <x:c r="H167" s="3"/>
      <x:c r="I167" s="20"/>
      <x:c r="J167" s="20"/>
      <x:c r="K167" s="3"/>
      <x:c r="L167" s="3"/>
      <x:c r="M167" s="19" t="str">
        <x:f>IF(A167="","",IF(COUNTIFS($A$7:$A$306,A167,$B$7:$B$306,B167)&lt;&gt;1,"Duplicate rule version",IF(OR(B167="",D167="",E167="",F167="",K167="",L167=""),"Rule info missing",IF(AND(C167&lt;&gt;"",OR(C167=B167,COUNTIFS($A$7:$A$306,A167,$B$7:$B$306,C167)&lt;&gt;1)),"Invalid parent version ref",IF(AND(OR(D167="Trial",D167="Adopted"),OR(G167="",NOT(ISNUMBER(I167)),NOT(ISNUMBER(J167)))),"Adoption/recheck missing","Valid input")))))</x:f>
      </x:c>
    </x:row>
    <x:row r="168" ht="25" customHeight="1">
      <x:c r="A168" s="3"/>
      <x:c r="B168" s="3"/>
      <x:c r="C168" s="3"/>
      <x:c r="D168" s="3"/>
      <x:c r="E168" s="3"/>
      <x:c r="F168" s="3"/>
      <x:c r="G168" s="3"/>
      <x:c r="H168" s="3"/>
      <x:c r="I168" s="20"/>
      <x:c r="J168" s="20"/>
      <x:c r="K168" s="3"/>
      <x:c r="L168" s="3"/>
      <x:c r="M168" s="19" t="str">
        <x:f>IF(A168="","",IF(COUNTIFS($A$7:$A$306,A168,$B$7:$B$306,B168)&lt;&gt;1,"Duplicate rule version",IF(OR(B168="",D168="",E168="",F168="",K168="",L168=""),"Rule info missing",IF(AND(C168&lt;&gt;"",OR(C168=B168,COUNTIFS($A$7:$A$306,A168,$B$7:$B$306,C168)&lt;&gt;1)),"Invalid parent version ref",IF(AND(OR(D168="Trial",D168="Adopted"),OR(G168="",NOT(ISNUMBER(I168)),NOT(ISNUMBER(J168)))),"Adoption/recheck missing","Valid input")))))</x:f>
      </x:c>
    </x:row>
    <x:row r="169" ht="25" customHeight="1">
      <x:c r="A169" s="3"/>
      <x:c r="B169" s="3"/>
      <x:c r="C169" s="3"/>
      <x:c r="D169" s="3"/>
      <x:c r="E169" s="3"/>
      <x:c r="F169" s="3"/>
      <x:c r="G169" s="3"/>
      <x:c r="H169" s="3"/>
      <x:c r="I169" s="20"/>
      <x:c r="J169" s="20"/>
      <x:c r="K169" s="3"/>
      <x:c r="L169" s="3"/>
      <x:c r="M169" s="19" t="str">
        <x:f>IF(A169="","",IF(COUNTIFS($A$7:$A$306,A169,$B$7:$B$306,B169)&lt;&gt;1,"Duplicate rule version",IF(OR(B169="",D169="",E169="",F169="",K169="",L169=""),"Rule info missing",IF(AND(C169&lt;&gt;"",OR(C169=B169,COUNTIFS($A$7:$A$306,A169,$B$7:$B$306,C169)&lt;&gt;1)),"Invalid parent version ref",IF(AND(OR(D169="Trial",D169="Adopted"),OR(G169="",NOT(ISNUMBER(I169)),NOT(ISNUMBER(J169)))),"Adoption/recheck missing","Valid input")))))</x:f>
      </x:c>
    </x:row>
    <x:row r="170" ht="25" customHeight="1">
      <x:c r="A170" s="3"/>
      <x:c r="B170" s="3"/>
      <x:c r="C170" s="3"/>
      <x:c r="D170" s="3"/>
      <x:c r="E170" s="3"/>
      <x:c r="F170" s="3"/>
      <x:c r="G170" s="3"/>
      <x:c r="H170" s="3"/>
      <x:c r="I170" s="20"/>
      <x:c r="J170" s="20"/>
      <x:c r="K170" s="3"/>
      <x:c r="L170" s="3"/>
      <x:c r="M170" s="19" t="str">
        <x:f>IF(A170="","",IF(COUNTIFS($A$7:$A$306,A170,$B$7:$B$306,B170)&lt;&gt;1,"Duplicate rule version",IF(OR(B170="",D170="",E170="",F170="",K170="",L170=""),"Rule info missing",IF(AND(C170&lt;&gt;"",OR(C170=B170,COUNTIFS($A$7:$A$306,A170,$B$7:$B$306,C170)&lt;&gt;1)),"Invalid parent version ref",IF(AND(OR(D170="Trial",D170="Adopted"),OR(G170="",NOT(ISNUMBER(I170)),NOT(ISNUMBER(J170)))),"Adoption/recheck missing","Valid input")))))</x:f>
      </x:c>
    </x:row>
    <x:row r="171" ht="25" customHeight="1">
      <x:c r="A171" s="3"/>
      <x:c r="B171" s="3"/>
      <x:c r="C171" s="3"/>
      <x:c r="D171" s="3"/>
      <x:c r="E171" s="3"/>
      <x:c r="F171" s="3"/>
      <x:c r="G171" s="3"/>
      <x:c r="H171" s="3"/>
      <x:c r="I171" s="20"/>
      <x:c r="J171" s="20"/>
      <x:c r="K171" s="3"/>
      <x:c r="L171" s="3"/>
      <x:c r="M171" s="19" t="str">
        <x:f>IF(A171="","",IF(COUNTIFS($A$7:$A$306,A171,$B$7:$B$306,B171)&lt;&gt;1,"Duplicate rule version",IF(OR(B171="",D171="",E171="",F171="",K171="",L171=""),"Rule info missing",IF(AND(C171&lt;&gt;"",OR(C171=B171,COUNTIFS($A$7:$A$306,A171,$B$7:$B$306,C171)&lt;&gt;1)),"Invalid parent version ref",IF(AND(OR(D171="Trial",D171="Adopted"),OR(G171="",NOT(ISNUMBER(I171)),NOT(ISNUMBER(J171)))),"Adoption/recheck missing","Valid input")))))</x:f>
      </x:c>
    </x:row>
    <x:row r="172" ht="25" customHeight="1">
      <x:c r="A172" s="3"/>
      <x:c r="B172" s="3"/>
      <x:c r="C172" s="3"/>
      <x:c r="D172" s="3"/>
      <x:c r="E172" s="3"/>
      <x:c r="F172" s="3"/>
      <x:c r="G172" s="3"/>
      <x:c r="H172" s="3"/>
      <x:c r="I172" s="20"/>
      <x:c r="J172" s="20"/>
      <x:c r="K172" s="3"/>
      <x:c r="L172" s="3"/>
      <x:c r="M172" s="19" t="str">
        <x:f>IF(A172="","",IF(COUNTIFS($A$7:$A$306,A172,$B$7:$B$306,B172)&lt;&gt;1,"Duplicate rule version",IF(OR(B172="",D172="",E172="",F172="",K172="",L172=""),"Rule info missing",IF(AND(C172&lt;&gt;"",OR(C172=B172,COUNTIFS($A$7:$A$306,A172,$B$7:$B$306,C172)&lt;&gt;1)),"Invalid parent version ref",IF(AND(OR(D172="Trial",D172="Adopted"),OR(G172="",NOT(ISNUMBER(I172)),NOT(ISNUMBER(J172)))),"Adoption/recheck missing","Valid input")))))</x:f>
      </x:c>
    </x:row>
    <x:row r="173" ht="25" customHeight="1">
      <x:c r="A173" s="3"/>
      <x:c r="B173" s="3"/>
      <x:c r="C173" s="3"/>
      <x:c r="D173" s="3"/>
      <x:c r="E173" s="3"/>
      <x:c r="F173" s="3"/>
      <x:c r="G173" s="3"/>
      <x:c r="H173" s="3"/>
      <x:c r="I173" s="20"/>
      <x:c r="J173" s="20"/>
      <x:c r="K173" s="3"/>
      <x:c r="L173" s="3"/>
      <x:c r="M173" s="19" t="str">
        <x:f>IF(A173="","",IF(COUNTIFS($A$7:$A$306,A173,$B$7:$B$306,B173)&lt;&gt;1,"Duplicate rule version",IF(OR(B173="",D173="",E173="",F173="",K173="",L173=""),"Rule info missing",IF(AND(C173&lt;&gt;"",OR(C173=B173,COUNTIFS($A$7:$A$306,A173,$B$7:$B$306,C173)&lt;&gt;1)),"Invalid parent version ref",IF(AND(OR(D173="Trial",D173="Adopted"),OR(G173="",NOT(ISNUMBER(I173)),NOT(ISNUMBER(J173)))),"Adoption/recheck missing","Valid input")))))</x:f>
      </x:c>
    </x:row>
    <x:row r="174" ht="25" customHeight="1">
      <x:c r="A174" s="3"/>
      <x:c r="B174" s="3"/>
      <x:c r="C174" s="3"/>
      <x:c r="D174" s="3"/>
      <x:c r="E174" s="3"/>
      <x:c r="F174" s="3"/>
      <x:c r="G174" s="3"/>
      <x:c r="H174" s="3"/>
      <x:c r="I174" s="20"/>
      <x:c r="J174" s="20"/>
      <x:c r="K174" s="3"/>
      <x:c r="L174" s="3"/>
      <x:c r="M174" s="19" t="str">
        <x:f>IF(A174="","",IF(COUNTIFS($A$7:$A$306,A174,$B$7:$B$306,B174)&lt;&gt;1,"Duplicate rule version",IF(OR(B174="",D174="",E174="",F174="",K174="",L174=""),"Rule info missing",IF(AND(C174&lt;&gt;"",OR(C174=B174,COUNTIFS($A$7:$A$306,A174,$B$7:$B$306,C174)&lt;&gt;1)),"Invalid parent version ref",IF(AND(OR(D174="Trial",D174="Adopted"),OR(G174="",NOT(ISNUMBER(I174)),NOT(ISNUMBER(J174)))),"Adoption/recheck missing","Valid input")))))</x:f>
      </x:c>
    </x:row>
    <x:row r="175" ht="25" customHeight="1">
      <x:c r="A175" s="3"/>
      <x:c r="B175" s="3"/>
      <x:c r="C175" s="3"/>
      <x:c r="D175" s="3"/>
      <x:c r="E175" s="3"/>
      <x:c r="F175" s="3"/>
      <x:c r="G175" s="3"/>
      <x:c r="H175" s="3"/>
      <x:c r="I175" s="20"/>
      <x:c r="J175" s="20"/>
      <x:c r="K175" s="3"/>
      <x:c r="L175" s="3"/>
      <x:c r="M175" s="19" t="str">
        <x:f>IF(A175="","",IF(COUNTIFS($A$7:$A$306,A175,$B$7:$B$306,B175)&lt;&gt;1,"Duplicate rule version",IF(OR(B175="",D175="",E175="",F175="",K175="",L175=""),"Rule info missing",IF(AND(C175&lt;&gt;"",OR(C175=B175,COUNTIFS($A$7:$A$306,A175,$B$7:$B$306,C175)&lt;&gt;1)),"Invalid parent version ref",IF(AND(OR(D175="Trial",D175="Adopted"),OR(G175="",NOT(ISNUMBER(I175)),NOT(ISNUMBER(J175)))),"Adoption/recheck missing","Valid input")))))</x:f>
      </x:c>
    </x:row>
    <x:row r="176" ht="25" customHeight="1">
      <x:c r="A176" s="3"/>
      <x:c r="B176" s="3"/>
      <x:c r="C176" s="3"/>
      <x:c r="D176" s="3"/>
      <x:c r="E176" s="3"/>
      <x:c r="F176" s="3"/>
      <x:c r="G176" s="3"/>
      <x:c r="H176" s="3"/>
      <x:c r="I176" s="20"/>
      <x:c r="J176" s="20"/>
      <x:c r="K176" s="3"/>
      <x:c r="L176" s="3"/>
      <x:c r="M176" s="19" t="str">
        <x:f>IF(A176="","",IF(COUNTIFS($A$7:$A$306,A176,$B$7:$B$306,B176)&lt;&gt;1,"Duplicate rule version",IF(OR(B176="",D176="",E176="",F176="",K176="",L176=""),"Rule info missing",IF(AND(C176&lt;&gt;"",OR(C176=B176,COUNTIFS($A$7:$A$306,A176,$B$7:$B$306,C176)&lt;&gt;1)),"Invalid parent version ref",IF(AND(OR(D176="Trial",D176="Adopted"),OR(G176="",NOT(ISNUMBER(I176)),NOT(ISNUMBER(J176)))),"Adoption/recheck missing","Valid input")))))</x:f>
      </x:c>
    </x:row>
    <x:row r="177" ht="25" customHeight="1">
      <x:c r="A177" s="3"/>
      <x:c r="B177" s="3"/>
      <x:c r="C177" s="3"/>
      <x:c r="D177" s="3"/>
      <x:c r="E177" s="3"/>
      <x:c r="F177" s="3"/>
      <x:c r="G177" s="3"/>
      <x:c r="H177" s="3"/>
      <x:c r="I177" s="20"/>
      <x:c r="J177" s="20"/>
      <x:c r="K177" s="3"/>
      <x:c r="L177" s="3"/>
      <x:c r="M177" s="19" t="str">
        <x:f>IF(A177="","",IF(COUNTIFS($A$7:$A$306,A177,$B$7:$B$306,B177)&lt;&gt;1,"Duplicate rule version",IF(OR(B177="",D177="",E177="",F177="",K177="",L177=""),"Rule info missing",IF(AND(C177&lt;&gt;"",OR(C177=B177,COUNTIFS($A$7:$A$306,A177,$B$7:$B$306,C177)&lt;&gt;1)),"Invalid parent version ref",IF(AND(OR(D177="Trial",D177="Adopted"),OR(G177="",NOT(ISNUMBER(I177)),NOT(ISNUMBER(J177)))),"Adoption/recheck missing","Valid input")))))</x:f>
      </x:c>
    </x:row>
    <x:row r="178" ht="25" customHeight="1">
      <x:c r="A178" s="3"/>
      <x:c r="B178" s="3"/>
      <x:c r="C178" s="3"/>
      <x:c r="D178" s="3"/>
      <x:c r="E178" s="3"/>
      <x:c r="F178" s="3"/>
      <x:c r="G178" s="3"/>
      <x:c r="H178" s="3"/>
      <x:c r="I178" s="20"/>
      <x:c r="J178" s="20"/>
      <x:c r="K178" s="3"/>
      <x:c r="L178" s="3"/>
      <x:c r="M178" s="19" t="str">
        <x:f>IF(A178="","",IF(COUNTIFS($A$7:$A$306,A178,$B$7:$B$306,B178)&lt;&gt;1,"Duplicate rule version",IF(OR(B178="",D178="",E178="",F178="",K178="",L178=""),"Rule info missing",IF(AND(C178&lt;&gt;"",OR(C178=B178,COUNTIFS($A$7:$A$306,A178,$B$7:$B$306,C178)&lt;&gt;1)),"Invalid parent version ref",IF(AND(OR(D178="Trial",D178="Adopted"),OR(G178="",NOT(ISNUMBER(I178)),NOT(ISNUMBER(J178)))),"Adoption/recheck missing","Valid input")))))</x:f>
      </x:c>
    </x:row>
    <x:row r="179" ht="25" customHeight="1">
      <x:c r="A179" s="3"/>
      <x:c r="B179" s="3"/>
      <x:c r="C179" s="3"/>
      <x:c r="D179" s="3"/>
      <x:c r="E179" s="3"/>
      <x:c r="F179" s="3"/>
      <x:c r="G179" s="3"/>
      <x:c r="H179" s="3"/>
      <x:c r="I179" s="20"/>
      <x:c r="J179" s="20"/>
      <x:c r="K179" s="3"/>
      <x:c r="L179" s="3"/>
      <x:c r="M179" s="19" t="str">
        <x:f>IF(A179="","",IF(COUNTIFS($A$7:$A$306,A179,$B$7:$B$306,B179)&lt;&gt;1,"Duplicate rule version",IF(OR(B179="",D179="",E179="",F179="",K179="",L179=""),"Rule info missing",IF(AND(C179&lt;&gt;"",OR(C179=B179,COUNTIFS($A$7:$A$306,A179,$B$7:$B$306,C179)&lt;&gt;1)),"Invalid parent version ref",IF(AND(OR(D179="Trial",D179="Adopted"),OR(G179="",NOT(ISNUMBER(I179)),NOT(ISNUMBER(J179)))),"Adoption/recheck missing","Valid input")))))</x:f>
      </x:c>
    </x:row>
    <x:row r="180" ht="25" customHeight="1">
      <x:c r="A180" s="3"/>
      <x:c r="B180" s="3"/>
      <x:c r="C180" s="3"/>
      <x:c r="D180" s="3"/>
      <x:c r="E180" s="3"/>
      <x:c r="F180" s="3"/>
      <x:c r="G180" s="3"/>
      <x:c r="H180" s="3"/>
      <x:c r="I180" s="20"/>
      <x:c r="J180" s="20"/>
      <x:c r="K180" s="3"/>
      <x:c r="L180" s="3"/>
      <x:c r="M180" s="19" t="str">
        <x:f>IF(A180="","",IF(COUNTIFS($A$7:$A$306,A180,$B$7:$B$306,B180)&lt;&gt;1,"Duplicate rule version",IF(OR(B180="",D180="",E180="",F180="",K180="",L180=""),"Rule info missing",IF(AND(C180&lt;&gt;"",OR(C180=B180,COUNTIFS($A$7:$A$306,A180,$B$7:$B$306,C180)&lt;&gt;1)),"Invalid parent version ref",IF(AND(OR(D180="Trial",D180="Adopted"),OR(G180="",NOT(ISNUMBER(I180)),NOT(ISNUMBER(J180)))),"Adoption/recheck missing","Valid input")))))</x:f>
      </x:c>
    </x:row>
    <x:row r="181" ht="25" customHeight="1">
      <x:c r="A181" s="3"/>
      <x:c r="B181" s="3"/>
      <x:c r="C181" s="3"/>
      <x:c r="D181" s="3"/>
      <x:c r="E181" s="3"/>
      <x:c r="F181" s="3"/>
      <x:c r="G181" s="3"/>
      <x:c r="H181" s="3"/>
      <x:c r="I181" s="20"/>
      <x:c r="J181" s="20"/>
      <x:c r="K181" s="3"/>
      <x:c r="L181" s="3"/>
      <x:c r="M181" s="19" t="str">
        <x:f>IF(A181="","",IF(COUNTIFS($A$7:$A$306,A181,$B$7:$B$306,B181)&lt;&gt;1,"Duplicate rule version",IF(OR(B181="",D181="",E181="",F181="",K181="",L181=""),"Rule info missing",IF(AND(C181&lt;&gt;"",OR(C181=B181,COUNTIFS($A$7:$A$306,A181,$B$7:$B$306,C181)&lt;&gt;1)),"Invalid parent version ref",IF(AND(OR(D181="Trial",D181="Adopted"),OR(G181="",NOT(ISNUMBER(I181)),NOT(ISNUMBER(J181)))),"Adoption/recheck missing","Valid input")))))</x:f>
      </x:c>
    </x:row>
    <x:row r="182" ht="25" customHeight="1">
      <x:c r="A182" s="3"/>
      <x:c r="B182" s="3"/>
      <x:c r="C182" s="3"/>
      <x:c r="D182" s="3"/>
      <x:c r="E182" s="3"/>
      <x:c r="F182" s="3"/>
      <x:c r="G182" s="3"/>
      <x:c r="H182" s="3"/>
      <x:c r="I182" s="20"/>
      <x:c r="J182" s="20"/>
      <x:c r="K182" s="3"/>
      <x:c r="L182" s="3"/>
      <x:c r="M182" s="19" t="str">
        <x:f>IF(A182="","",IF(COUNTIFS($A$7:$A$306,A182,$B$7:$B$306,B182)&lt;&gt;1,"Duplicate rule version",IF(OR(B182="",D182="",E182="",F182="",K182="",L182=""),"Rule info missing",IF(AND(C182&lt;&gt;"",OR(C182=B182,COUNTIFS($A$7:$A$306,A182,$B$7:$B$306,C182)&lt;&gt;1)),"Invalid parent version ref",IF(AND(OR(D182="Trial",D182="Adopted"),OR(G182="",NOT(ISNUMBER(I182)),NOT(ISNUMBER(J182)))),"Adoption/recheck missing","Valid input")))))</x:f>
      </x:c>
    </x:row>
    <x:row r="183" ht="25" customHeight="1">
      <x:c r="A183" s="3"/>
      <x:c r="B183" s="3"/>
      <x:c r="C183" s="3"/>
      <x:c r="D183" s="3"/>
      <x:c r="E183" s="3"/>
      <x:c r="F183" s="3"/>
      <x:c r="G183" s="3"/>
      <x:c r="H183" s="3"/>
      <x:c r="I183" s="20"/>
      <x:c r="J183" s="20"/>
      <x:c r="K183" s="3"/>
      <x:c r="L183" s="3"/>
      <x:c r="M183" s="19" t="str">
        <x:f>IF(A183="","",IF(COUNTIFS($A$7:$A$306,A183,$B$7:$B$306,B183)&lt;&gt;1,"Duplicate rule version",IF(OR(B183="",D183="",E183="",F183="",K183="",L183=""),"Rule info missing",IF(AND(C183&lt;&gt;"",OR(C183=B183,COUNTIFS($A$7:$A$306,A183,$B$7:$B$306,C183)&lt;&gt;1)),"Invalid parent version ref",IF(AND(OR(D183="Trial",D183="Adopted"),OR(G183="",NOT(ISNUMBER(I183)),NOT(ISNUMBER(J183)))),"Adoption/recheck missing","Valid input")))))</x:f>
      </x:c>
    </x:row>
    <x:row r="184" ht="25" customHeight="1">
      <x:c r="A184" s="3"/>
      <x:c r="B184" s="3"/>
      <x:c r="C184" s="3"/>
      <x:c r="D184" s="3"/>
      <x:c r="E184" s="3"/>
      <x:c r="F184" s="3"/>
      <x:c r="G184" s="3"/>
      <x:c r="H184" s="3"/>
      <x:c r="I184" s="20"/>
      <x:c r="J184" s="20"/>
      <x:c r="K184" s="3"/>
      <x:c r="L184" s="3"/>
      <x:c r="M184" s="19" t="str">
        <x:f>IF(A184="","",IF(COUNTIFS($A$7:$A$306,A184,$B$7:$B$306,B184)&lt;&gt;1,"Duplicate rule version",IF(OR(B184="",D184="",E184="",F184="",K184="",L184=""),"Rule info missing",IF(AND(C184&lt;&gt;"",OR(C184=B184,COUNTIFS($A$7:$A$306,A184,$B$7:$B$306,C184)&lt;&gt;1)),"Invalid parent version ref",IF(AND(OR(D184="Trial",D184="Adopted"),OR(G184="",NOT(ISNUMBER(I184)),NOT(ISNUMBER(J184)))),"Adoption/recheck missing","Valid input")))))</x:f>
      </x:c>
    </x:row>
    <x:row r="185" ht="25" customHeight="1">
      <x:c r="A185" s="3"/>
      <x:c r="B185" s="3"/>
      <x:c r="C185" s="3"/>
      <x:c r="D185" s="3"/>
      <x:c r="E185" s="3"/>
      <x:c r="F185" s="3"/>
      <x:c r="G185" s="3"/>
      <x:c r="H185" s="3"/>
      <x:c r="I185" s="20"/>
      <x:c r="J185" s="20"/>
      <x:c r="K185" s="3"/>
      <x:c r="L185" s="3"/>
      <x:c r="M185" s="19" t="str">
        <x:f>IF(A185="","",IF(COUNTIFS($A$7:$A$306,A185,$B$7:$B$306,B185)&lt;&gt;1,"Duplicate rule version",IF(OR(B185="",D185="",E185="",F185="",K185="",L185=""),"Rule info missing",IF(AND(C185&lt;&gt;"",OR(C185=B185,COUNTIFS($A$7:$A$306,A185,$B$7:$B$306,C185)&lt;&gt;1)),"Invalid parent version ref",IF(AND(OR(D185="Trial",D185="Adopted"),OR(G185="",NOT(ISNUMBER(I185)),NOT(ISNUMBER(J185)))),"Adoption/recheck missing","Valid input")))))</x:f>
      </x:c>
    </x:row>
    <x:row r="186" ht="25" customHeight="1">
      <x:c r="A186" s="3"/>
      <x:c r="B186" s="3"/>
      <x:c r="C186" s="3"/>
      <x:c r="D186" s="3"/>
      <x:c r="E186" s="3"/>
      <x:c r="F186" s="3"/>
      <x:c r="G186" s="3"/>
      <x:c r="H186" s="3"/>
      <x:c r="I186" s="20"/>
      <x:c r="J186" s="20"/>
      <x:c r="K186" s="3"/>
      <x:c r="L186" s="3"/>
      <x:c r="M186" s="19" t="str">
        <x:f>IF(A186="","",IF(COUNTIFS($A$7:$A$306,A186,$B$7:$B$306,B186)&lt;&gt;1,"Duplicate rule version",IF(OR(B186="",D186="",E186="",F186="",K186="",L186=""),"Rule info missing",IF(AND(C186&lt;&gt;"",OR(C186=B186,COUNTIFS($A$7:$A$306,A186,$B$7:$B$306,C186)&lt;&gt;1)),"Invalid parent version ref",IF(AND(OR(D186="Trial",D186="Adopted"),OR(G186="",NOT(ISNUMBER(I186)),NOT(ISNUMBER(J186)))),"Adoption/recheck missing","Valid input")))))</x:f>
      </x:c>
    </x:row>
    <x:row r="187" ht="25" customHeight="1">
      <x:c r="A187" s="3"/>
      <x:c r="B187" s="3"/>
      <x:c r="C187" s="3"/>
      <x:c r="D187" s="3"/>
      <x:c r="E187" s="3"/>
      <x:c r="F187" s="3"/>
      <x:c r="G187" s="3"/>
      <x:c r="H187" s="3"/>
      <x:c r="I187" s="20"/>
      <x:c r="J187" s="20"/>
      <x:c r="K187" s="3"/>
      <x:c r="L187" s="3"/>
      <x:c r="M187" s="19" t="str">
        <x:f>IF(A187="","",IF(COUNTIFS($A$7:$A$306,A187,$B$7:$B$306,B187)&lt;&gt;1,"Duplicate rule version",IF(OR(B187="",D187="",E187="",F187="",K187="",L187=""),"Rule info missing",IF(AND(C187&lt;&gt;"",OR(C187=B187,COUNTIFS($A$7:$A$306,A187,$B$7:$B$306,C187)&lt;&gt;1)),"Invalid parent version ref",IF(AND(OR(D187="Trial",D187="Adopted"),OR(G187="",NOT(ISNUMBER(I187)),NOT(ISNUMBER(J187)))),"Adoption/recheck missing","Valid input")))))</x:f>
      </x:c>
    </x:row>
    <x:row r="188" ht="25" customHeight="1">
      <x:c r="A188" s="3"/>
      <x:c r="B188" s="3"/>
      <x:c r="C188" s="3"/>
      <x:c r="D188" s="3"/>
      <x:c r="E188" s="3"/>
      <x:c r="F188" s="3"/>
      <x:c r="G188" s="3"/>
      <x:c r="H188" s="3"/>
      <x:c r="I188" s="20"/>
      <x:c r="J188" s="20"/>
      <x:c r="K188" s="3"/>
      <x:c r="L188" s="3"/>
      <x:c r="M188" s="19" t="str">
        <x:f>IF(A188="","",IF(COUNTIFS($A$7:$A$306,A188,$B$7:$B$306,B188)&lt;&gt;1,"Duplicate rule version",IF(OR(B188="",D188="",E188="",F188="",K188="",L188=""),"Rule info missing",IF(AND(C188&lt;&gt;"",OR(C188=B188,COUNTIFS($A$7:$A$306,A188,$B$7:$B$306,C188)&lt;&gt;1)),"Invalid parent version ref",IF(AND(OR(D188="Trial",D188="Adopted"),OR(G188="",NOT(ISNUMBER(I188)),NOT(ISNUMBER(J188)))),"Adoption/recheck missing","Valid input")))))</x:f>
      </x:c>
    </x:row>
    <x:row r="189" ht="25" customHeight="1">
      <x:c r="A189" s="3"/>
      <x:c r="B189" s="3"/>
      <x:c r="C189" s="3"/>
      <x:c r="D189" s="3"/>
      <x:c r="E189" s="3"/>
      <x:c r="F189" s="3"/>
      <x:c r="G189" s="3"/>
      <x:c r="H189" s="3"/>
      <x:c r="I189" s="20"/>
      <x:c r="J189" s="20"/>
      <x:c r="K189" s="3"/>
      <x:c r="L189" s="3"/>
      <x:c r="M189" s="19" t="str">
        <x:f>IF(A189="","",IF(COUNTIFS($A$7:$A$306,A189,$B$7:$B$306,B189)&lt;&gt;1,"Duplicate rule version",IF(OR(B189="",D189="",E189="",F189="",K189="",L189=""),"Rule info missing",IF(AND(C189&lt;&gt;"",OR(C189=B189,COUNTIFS($A$7:$A$306,A189,$B$7:$B$306,C189)&lt;&gt;1)),"Invalid parent version ref",IF(AND(OR(D189="Trial",D189="Adopted"),OR(G189="",NOT(ISNUMBER(I189)),NOT(ISNUMBER(J189)))),"Adoption/recheck missing","Valid input")))))</x:f>
      </x:c>
    </x:row>
    <x:row r="190" ht="25" customHeight="1">
      <x:c r="A190" s="3"/>
      <x:c r="B190" s="3"/>
      <x:c r="C190" s="3"/>
      <x:c r="D190" s="3"/>
      <x:c r="E190" s="3"/>
      <x:c r="F190" s="3"/>
      <x:c r="G190" s="3"/>
      <x:c r="H190" s="3"/>
      <x:c r="I190" s="20"/>
      <x:c r="J190" s="20"/>
      <x:c r="K190" s="3"/>
      <x:c r="L190" s="3"/>
      <x:c r="M190" s="19" t="str">
        <x:f>IF(A190="","",IF(COUNTIFS($A$7:$A$306,A190,$B$7:$B$306,B190)&lt;&gt;1,"Duplicate rule version",IF(OR(B190="",D190="",E190="",F190="",K190="",L190=""),"Rule info missing",IF(AND(C190&lt;&gt;"",OR(C190=B190,COUNTIFS($A$7:$A$306,A190,$B$7:$B$306,C190)&lt;&gt;1)),"Invalid parent version ref",IF(AND(OR(D190="Trial",D190="Adopted"),OR(G190="",NOT(ISNUMBER(I190)),NOT(ISNUMBER(J190)))),"Adoption/recheck missing","Valid input")))))</x:f>
      </x:c>
    </x:row>
    <x:row r="191" ht="25" customHeight="1">
      <x:c r="A191" s="3"/>
      <x:c r="B191" s="3"/>
      <x:c r="C191" s="3"/>
      <x:c r="D191" s="3"/>
      <x:c r="E191" s="3"/>
      <x:c r="F191" s="3"/>
      <x:c r="G191" s="3"/>
      <x:c r="H191" s="3"/>
      <x:c r="I191" s="20"/>
      <x:c r="J191" s="20"/>
      <x:c r="K191" s="3"/>
      <x:c r="L191" s="3"/>
      <x:c r="M191" s="19" t="str">
        <x:f>IF(A191="","",IF(COUNTIFS($A$7:$A$306,A191,$B$7:$B$306,B191)&lt;&gt;1,"Duplicate rule version",IF(OR(B191="",D191="",E191="",F191="",K191="",L191=""),"Rule info missing",IF(AND(C191&lt;&gt;"",OR(C191=B191,COUNTIFS($A$7:$A$306,A191,$B$7:$B$306,C191)&lt;&gt;1)),"Invalid parent version ref",IF(AND(OR(D191="Trial",D191="Adopted"),OR(G191="",NOT(ISNUMBER(I191)),NOT(ISNUMBER(J191)))),"Adoption/recheck missing","Valid input")))))</x:f>
      </x:c>
    </x:row>
    <x:row r="192" ht="25" customHeight="1">
      <x:c r="A192" s="3"/>
      <x:c r="B192" s="3"/>
      <x:c r="C192" s="3"/>
      <x:c r="D192" s="3"/>
      <x:c r="E192" s="3"/>
      <x:c r="F192" s="3"/>
      <x:c r="G192" s="3"/>
      <x:c r="H192" s="3"/>
      <x:c r="I192" s="20"/>
      <x:c r="J192" s="20"/>
      <x:c r="K192" s="3"/>
      <x:c r="L192" s="3"/>
      <x:c r="M192" s="19" t="str">
        <x:f>IF(A192="","",IF(COUNTIFS($A$7:$A$306,A192,$B$7:$B$306,B192)&lt;&gt;1,"Duplicate rule version",IF(OR(B192="",D192="",E192="",F192="",K192="",L192=""),"Rule info missing",IF(AND(C192&lt;&gt;"",OR(C192=B192,COUNTIFS($A$7:$A$306,A192,$B$7:$B$306,C192)&lt;&gt;1)),"Invalid parent version ref",IF(AND(OR(D192="Trial",D192="Adopted"),OR(G192="",NOT(ISNUMBER(I192)),NOT(ISNUMBER(J192)))),"Adoption/recheck missing","Valid input")))))</x:f>
      </x:c>
    </x:row>
    <x:row r="193" ht="25" customHeight="1">
      <x:c r="A193" s="3"/>
      <x:c r="B193" s="3"/>
      <x:c r="C193" s="3"/>
      <x:c r="D193" s="3"/>
      <x:c r="E193" s="3"/>
      <x:c r="F193" s="3"/>
      <x:c r="G193" s="3"/>
      <x:c r="H193" s="3"/>
      <x:c r="I193" s="20"/>
      <x:c r="J193" s="20"/>
      <x:c r="K193" s="3"/>
      <x:c r="L193" s="3"/>
      <x:c r="M193" s="19" t="str">
        <x:f>IF(A193="","",IF(COUNTIFS($A$7:$A$306,A193,$B$7:$B$306,B193)&lt;&gt;1,"Duplicate rule version",IF(OR(B193="",D193="",E193="",F193="",K193="",L193=""),"Rule info missing",IF(AND(C193&lt;&gt;"",OR(C193=B193,COUNTIFS($A$7:$A$306,A193,$B$7:$B$306,C193)&lt;&gt;1)),"Invalid parent version ref",IF(AND(OR(D193="Trial",D193="Adopted"),OR(G193="",NOT(ISNUMBER(I193)),NOT(ISNUMBER(J193)))),"Adoption/recheck missing","Valid input")))))</x:f>
      </x:c>
    </x:row>
    <x:row r="194" ht="25" customHeight="1">
      <x:c r="A194" s="3"/>
      <x:c r="B194" s="3"/>
      <x:c r="C194" s="3"/>
      <x:c r="D194" s="3"/>
      <x:c r="E194" s="3"/>
      <x:c r="F194" s="3"/>
      <x:c r="G194" s="3"/>
      <x:c r="H194" s="3"/>
      <x:c r="I194" s="20"/>
      <x:c r="J194" s="20"/>
      <x:c r="K194" s="3"/>
      <x:c r="L194" s="3"/>
      <x:c r="M194" s="19" t="str">
        <x:f>IF(A194="","",IF(COUNTIFS($A$7:$A$306,A194,$B$7:$B$306,B194)&lt;&gt;1,"Duplicate rule version",IF(OR(B194="",D194="",E194="",F194="",K194="",L194=""),"Rule info missing",IF(AND(C194&lt;&gt;"",OR(C194=B194,COUNTIFS($A$7:$A$306,A194,$B$7:$B$306,C194)&lt;&gt;1)),"Invalid parent version ref",IF(AND(OR(D194="Trial",D194="Adopted"),OR(G194="",NOT(ISNUMBER(I194)),NOT(ISNUMBER(J194)))),"Adoption/recheck missing","Valid input")))))</x:f>
      </x:c>
    </x:row>
    <x:row r="195" ht="25" customHeight="1">
      <x:c r="A195" s="3"/>
      <x:c r="B195" s="3"/>
      <x:c r="C195" s="3"/>
      <x:c r="D195" s="3"/>
      <x:c r="E195" s="3"/>
      <x:c r="F195" s="3"/>
      <x:c r="G195" s="3"/>
      <x:c r="H195" s="3"/>
      <x:c r="I195" s="20"/>
      <x:c r="J195" s="20"/>
      <x:c r="K195" s="3"/>
      <x:c r="L195" s="3"/>
      <x:c r="M195" s="19" t="str">
        <x:f>IF(A195="","",IF(COUNTIFS($A$7:$A$306,A195,$B$7:$B$306,B195)&lt;&gt;1,"Duplicate rule version",IF(OR(B195="",D195="",E195="",F195="",K195="",L195=""),"Rule info missing",IF(AND(C195&lt;&gt;"",OR(C195=B195,COUNTIFS($A$7:$A$306,A195,$B$7:$B$306,C195)&lt;&gt;1)),"Invalid parent version ref",IF(AND(OR(D195="Trial",D195="Adopted"),OR(G195="",NOT(ISNUMBER(I195)),NOT(ISNUMBER(J195)))),"Adoption/recheck missing","Valid input")))))</x:f>
      </x:c>
    </x:row>
    <x:row r="196" ht="25" customHeight="1">
      <x:c r="A196" s="3"/>
      <x:c r="B196" s="3"/>
      <x:c r="C196" s="3"/>
      <x:c r="D196" s="3"/>
      <x:c r="E196" s="3"/>
      <x:c r="F196" s="3"/>
      <x:c r="G196" s="3"/>
      <x:c r="H196" s="3"/>
      <x:c r="I196" s="20"/>
      <x:c r="J196" s="20"/>
      <x:c r="K196" s="3"/>
      <x:c r="L196" s="3"/>
      <x:c r="M196" s="19" t="str">
        <x:f>IF(A196="","",IF(COUNTIFS($A$7:$A$306,A196,$B$7:$B$306,B196)&lt;&gt;1,"Duplicate rule version",IF(OR(B196="",D196="",E196="",F196="",K196="",L196=""),"Rule info missing",IF(AND(C196&lt;&gt;"",OR(C196=B196,COUNTIFS($A$7:$A$306,A196,$B$7:$B$306,C196)&lt;&gt;1)),"Invalid parent version ref",IF(AND(OR(D196="Trial",D196="Adopted"),OR(G196="",NOT(ISNUMBER(I196)),NOT(ISNUMBER(J196)))),"Adoption/recheck missing","Valid input")))))</x:f>
      </x:c>
    </x:row>
    <x:row r="197" ht="25" customHeight="1">
      <x:c r="A197" s="3"/>
      <x:c r="B197" s="3"/>
      <x:c r="C197" s="3"/>
      <x:c r="D197" s="3"/>
      <x:c r="E197" s="3"/>
      <x:c r="F197" s="3"/>
      <x:c r="G197" s="3"/>
      <x:c r="H197" s="3"/>
      <x:c r="I197" s="20"/>
      <x:c r="J197" s="20"/>
      <x:c r="K197" s="3"/>
      <x:c r="L197" s="3"/>
      <x:c r="M197" s="19" t="str">
        <x:f>IF(A197="","",IF(COUNTIFS($A$7:$A$306,A197,$B$7:$B$306,B197)&lt;&gt;1,"Duplicate rule version",IF(OR(B197="",D197="",E197="",F197="",K197="",L197=""),"Rule info missing",IF(AND(C197&lt;&gt;"",OR(C197=B197,COUNTIFS($A$7:$A$306,A197,$B$7:$B$306,C197)&lt;&gt;1)),"Invalid parent version ref",IF(AND(OR(D197="Trial",D197="Adopted"),OR(G197="",NOT(ISNUMBER(I197)),NOT(ISNUMBER(J197)))),"Adoption/recheck missing","Valid input")))))</x:f>
      </x:c>
    </x:row>
    <x:row r="198" ht="25" customHeight="1">
      <x:c r="A198" s="3"/>
      <x:c r="B198" s="3"/>
      <x:c r="C198" s="3"/>
      <x:c r="D198" s="3"/>
      <x:c r="E198" s="3"/>
      <x:c r="F198" s="3"/>
      <x:c r="G198" s="3"/>
      <x:c r="H198" s="3"/>
      <x:c r="I198" s="20"/>
      <x:c r="J198" s="20"/>
      <x:c r="K198" s="3"/>
      <x:c r="L198" s="3"/>
      <x:c r="M198" s="19" t="str">
        <x:f>IF(A198="","",IF(COUNTIFS($A$7:$A$306,A198,$B$7:$B$306,B198)&lt;&gt;1,"Duplicate rule version",IF(OR(B198="",D198="",E198="",F198="",K198="",L198=""),"Rule info missing",IF(AND(C198&lt;&gt;"",OR(C198=B198,COUNTIFS($A$7:$A$306,A198,$B$7:$B$306,C198)&lt;&gt;1)),"Invalid parent version ref",IF(AND(OR(D198="Trial",D198="Adopted"),OR(G198="",NOT(ISNUMBER(I198)),NOT(ISNUMBER(J198)))),"Adoption/recheck missing","Valid input")))))</x:f>
      </x:c>
    </x:row>
    <x:row r="199" ht="25" customHeight="1">
      <x:c r="A199" s="3"/>
      <x:c r="B199" s="3"/>
      <x:c r="C199" s="3"/>
      <x:c r="D199" s="3"/>
      <x:c r="E199" s="3"/>
      <x:c r="F199" s="3"/>
      <x:c r="G199" s="3"/>
      <x:c r="H199" s="3"/>
      <x:c r="I199" s="20"/>
      <x:c r="J199" s="20"/>
      <x:c r="K199" s="3"/>
      <x:c r="L199" s="3"/>
      <x:c r="M199" s="19" t="str">
        <x:f>IF(A199="","",IF(COUNTIFS($A$7:$A$306,A199,$B$7:$B$306,B199)&lt;&gt;1,"Duplicate rule version",IF(OR(B199="",D199="",E199="",F199="",K199="",L199=""),"Rule info missing",IF(AND(C199&lt;&gt;"",OR(C199=B199,COUNTIFS($A$7:$A$306,A199,$B$7:$B$306,C199)&lt;&gt;1)),"Invalid parent version ref",IF(AND(OR(D199="Trial",D199="Adopted"),OR(G199="",NOT(ISNUMBER(I199)),NOT(ISNUMBER(J199)))),"Adoption/recheck missing","Valid input")))))</x:f>
      </x:c>
    </x:row>
    <x:row r="200" ht="25" customHeight="1">
      <x:c r="A200" s="3"/>
      <x:c r="B200" s="3"/>
      <x:c r="C200" s="3"/>
      <x:c r="D200" s="3"/>
      <x:c r="E200" s="3"/>
      <x:c r="F200" s="3"/>
      <x:c r="G200" s="3"/>
      <x:c r="H200" s="3"/>
      <x:c r="I200" s="20"/>
      <x:c r="J200" s="20"/>
      <x:c r="K200" s="3"/>
      <x:c r="L200" s="3"/>
      <x:c r="M200" s="19" t="str">
        <x:f>IF(A200="","",IF(COUNTIFS($A$7:$A$306,A200,$B$7:$B$306,B200)&lt;&gt;1,"Duplicate rule version",IF(OR(B200="",D200="",E200="",F200="",K200="",L200=""),"Rule info missing",IF(AND(C200&lt;&gt;"",OR(C200=B200,COUNTIFS($A$7:$A$306,A200,$B$7:$B$306,C200)&lt;&gt;1)),"Invalid parent version ref",IF(AND(OR(D200="Trial",D200="Adopted"),OR(G200="",NOT(ISNUMBER(I200)),NOT(ISNUMBER(J200)))),"Adoption/recheck missing","Valid input")))))</x:f>
      </x:c>
    </x:row>
    <x:row r="201" ht="25" customHeight="1">
      <x:c r="A201" s="3"/>
      <x:c r="B201" s="3"/>
      <x:c r="C201" s="3"/>
      <x:c r="D201" s="3"/>
      <x:c r="E201" s="3"/>
      <x:c r="F201" s="3"/>
      <x:c r="G201" s="3"/>
      <x:c r="H201" s="3"/>
      <x:c r="I201" s="20"/>
      <x:c r="J201" s="20"/>
      <x:c r="K201" s="3"/>
      <x:c r="L201" s="3"/>
      <x:c r="M201" s="19" t="str">
        <x:f>IF(A201="","",IF(COUNTIFS($A$7:$A$306,A201,$B$7:$B$306,B201)&lt;&gt;1,"Duplicate rule version",IF(OR(B201="",D201="",E201="",F201="",K201="",L201=""),"Rule info missing",IF(AND(C201&lt;&gt;"",OR(C201=B201,COUNTIFS($A$7:$A$306,A201,$B$7:$B$306,C201)&lt;&gt;1)),"Invalid parent version ref",IF(AND(OR(D201="Trial",D201="Adopted"),OR(G201="",NOT(ISNUMBER(I201)),NOT(ISNUMBER(J201)))),"Adoption/recheck missing","Valid input")))))</x:f>
      </x:c>
    </x:row>
    <x:row r="202" ht="25" customHeight="1">
      <x:c r="A202" s="3"/>
      <x:c r="B202" s="3"/>
      <x:c r="C202" s="3"/>
      <x:c r="D202" s="3"/>
      <x:c r="E202" s="3"/>
      <x:c r="F202" s="3"/>
      <x:c r="G202" s="3"/>
      <x:c r="H202" s="3"/>
      <x:c r="I202" s="20"/>
      <x:c r="J202" s="20"/>
      <x:c r="K202" s="3"/>
      <x:c r="L202" s="3"/>
      <x:c r="M202" s="19" t="str">
        <x:f>IF(A202="","",IF(COUNTIFS($A$7:$A$306,A202,$B$7:$B$306,B202)&lt;&gt;1,"Duplicate rule version",IF(OR(B202="",D202="",E202="",F202="",K202="",L202=""),"Rule info missing",IF(AND(C202&lt;&gt;"",OR(C202=B202,COUNTIFS($A$7:$A$306,A202,$B$7:$B$306,C202)&lt;&gt;1)),"Invalid parent version ref",IF(AND(OR(D202="Trial",D202="Adopted"),OR(G202="",NOT(ISNUMBER(I202)),NOT(ISNUMBER(J202)))),"Adoption/recheck missing","Valid input")))))</x:f>
      </x:c>
    </x:row>
    <x:row r="203" ht="25" customHeight="1">
      <x:c r="A203" s="3"/>
      <x:c r="B203" s="3"/>
      <x:c r="C203" s="3"/>
      <x:c r="D203" s="3"/>
      <x:c r="E203" s="3"/>
      <x:c r="F203" s="3"/>
      <x:c r="G203" s="3"/>
      <x:c r="H203" s="3"/>
      <x:c r="I203" s="20"/>
      <x:c r="J203" s="20"/>
      <x:c r="K203" s="3"/>
      <x:c r="L203" s="3"/>
      <x:c r="M203" s="19" t="str">
        <x:f>IF(A203="","",IF(COUNTIFS($A$7:$A$306,A203,$B$7:$B$306,B203)&lt;&gt;1,"Duplicate rule version",IF(OR(B203="",D203="",E203="",F203="",K203="",L203=""),"Rule info missing",IF(AND(C203&lt;&gt;"",OR(C203=B203,COUNTIFS($A$7:$A$306,A203,$B$7:$B$306,C203)&lt;&gt;1)),"Invalid parent version ref",IF(AND(OR(D203="Trial",D203="Adopted"),OR(G203="",NOT(ISNUMBER(I203)),NOT(ISNUMBER(J203)))),"Adoption/recheck missing","Valid input")))))</x:f>
      </x:c>
    </x:row>
    <x:row r="204" ht="25" customHeight="1">
      <x:c r="A204" s="3"/>
      <x:c r="B204" s="3"/>
      <x:c r="C204" s="3"/>
      <x:c r="D204" s="3"/>
      <x:c r="E204" s="3"/>
      <x:c r="F204" s="3"/>
      <x:c r="G204" s="3"/>
      <x:c r="H204" s="3"/>
      <x:c r="I204" s="20"/>
      <x:c r="J204" s="20"/>
      <x:c r="K204" s="3"/>
      <x:c r="L204" s="3"/>
      <x:c r="M204" s="19" t="str">
        <x:f>IF(A204="","",IF(COUNTIFS($A$7:$A$306,A204,$B$7:$B$306,B204)&lt;&gt;1,"Duplicate rule version",IF(OR(B204="",D204="",E204="",F204="",K204="",L204=""),"Rule info missing",IF(AND(C204&lt;&gt;"",OR(C204=B204,COUNTIFS($A$7:$A$306,A204,$B$7:$B$306,C204)&lt;&gt;1)),"Invalid parent version ref",IF(AND(OR(D204="Trial",D204="Adopted"),OR(G204="",NOT(ISNUMBER(I204)),NOT(ISNUMBER(J204)))),"Adoption/recheck missing","Valid input")))))</x:f>
      </x:c>
    </x:row>
    <x:row r="205" ht="25" customHeight="1">
      <x:c r="A205" s="3"/>
      <x:c r="B205" s="3"/>
      <x:c r="C205" s="3"/>
      <x:c r="D205" s="3"/>
      <x:c r="E205" s="3"/>
      <x:c r="F205" s="3"/>
      <x:c r="G205" s="3"/>
      <x:c r="H205" s="3"/>
      <x:c r="I205" s="20"/>
      <x:c r="J205" s="20"/>
      <x:c r="K205" s="3"/>
      <x:c r="L205" s="3"/>
      <x:c r="M205" s="19" t="str">
        <x:f>IF(A205="","",IF(COUNTIFS($A$7:$A$306,A205,$B$7:$B$306,B205)&lt;&gt;1,"Duplicate rule version",IF(OR(B205="",D205="",E205="",F205="",K205="",L205=""),"Rule info missing",IF(AND(C205&lt;&gt;"",OR(C205=B205,COUNTIFS($A$7:$A$306,A205,$B$7:$B$306,C205)&lt;&gt;1)),"Invalid parent version ref",IF(AND(OR(D205="Trial",D205="Adopted"),OR(G205="",NOT(ISNUMBER(I205)),NOT(ISNUMBER(J205)))),"Adoption/recheck missing","Valid input")))))</x:f>
      </x:c>
    </x:row>
    <x:row r="206" ht="25" customHeight="1">
      <x:c r="A206" s="3"/>
      <x:c r="B206" s="3"/>
      <x:c r="C206" s="3"/>
      <x:c r="D206" s="3"/>
      <x:c r="E206" s="3"/>
      <x:c r="F206" s="3"/>
      <x:c r="G206" s="3"/>
      <x:c r="H206" s="3"/>
      <x:c r="I206" s="20"/>
      <x:c r="J206" s="20"/>
      <x:c r="K206" s="3"/>
      <x:c r="L206" s="3"/>
      <x:c r="M206" s="19" t="str">
        <x:f>IF(A206="","",IF(COUNTIFS($A$7:$A$306,A206,$B$7:$B$306,B206)&lt;&gt;1,"Duplicate rule version",IF(OR(B206="",D206="",E206="",F206="",K206="",L206=""),"Rule info missing",IF(AND(C206&lt;&gt;"",OR(C206=B206,COUNTIFS($A$7:$A$306,A206,$B$7:$B$306,C206)&lt;&gt;1)),"Invalid parent version ref",IF(AND(OR(D206="Trial",D206="Adopted"),OR(G206="",NOT(ISNUMBER(I206)),NOT(ISNUMBER(J206)))),"Adoption/recheck missing","Valid input")))))</x:f>
      </x:c>
    </x:row>
    <x:row r="207" ht="25" customHeight="1">
      <x:c r="A207" s="3"/>
      <x:c r="B207" s="3"/>
      <x:c r="C207" s="3"/>
      <x:c r="D207" s="3"/>
      <x:c r="E207" s="3"/>
      <x:c r="F207" s="3"/>
      <x:c r="G207" s="3"/>
      <x:c r="H207" s="3"/>
      <x:c r="I207" s="20"/>
      <x:c r="J207" s="20"/>
      <x:c r="K207" s="3"/>
      <x:c r="L207" s="3"/>
      <x:c r="M207" s="19" t="str">
        <x:f>IF(A207="","",IF(COUNTIFS($A$7:$A$306,A207,$B$7:$B$306,B207)&lt;&gt;1,"Duplicate rule version",IF(OR(B207="",D207="",E207="",F207="",K207="",L207=""),"Rule info missing",IF(AND(C207&lt;&gt;"",OR(C207=B207,COUNTIFS($A$7:$A$306,A207,$B$7:$B$306,C207)&lt;&gt;1)),"Invalid parent version ref",IF(AND(OR(D207="Trial",D207="Adopted"),OR(G207="",NOT(ISNUMBER(I207)),NOT(ISNUMBER(J207)))),"Adoption/recheck missing","Valid input")))))</x:f>
      </x:c>
    </x:row>
    <x:row r="208" ht="25" customHeight="1">
      <x:c r="A208" s="3"/>
      <x:c r="B208" s="3"/>
      <x:c r="C208" s="3"/>
      <x:c r="D208" s="3"/>
      <x:c r="E208" s="3"/>
      <x:c r="F208" s="3"/>
      <x:c r="G208" s="3"/>
      <x:c r="H208" s="3"/>
      <x:c r="I208" s="20"/>
      <x:c r="J208" s="20"/>
      <x:c r="K208" s="3"/>
      <x:c r="L208" s="3"/>
      <x:c r="M208" s="19" t="str">
        <x:f>IF(A208="","",IF(COUNTIFS($A$7:$A$306,A208,$B$7:$B$306,B208)&lt;&gt;1,"Duplicate rule version",IF(OR(B208="",D208="",E208="",F208="",K208="",L208=""),"Rule info missing",IF(AND(C208&lt;&gt;"",OR(C208=B208,COUNTIFS($A$7:$A$306,A208,$B$7:$B$306,C208)&lt;&gt;1)),"Invalid parent version ref",IF(AND(OR(D208="Trial",D208="Adopted"),OR(G208="",NOT(ISNUMBER(I208)),NOT(ISNUMBER(J208)))),"Adoption/recheck missing","Valid input")))))</x:f>
      </x:c>
    </x:row>
    <x:row r="209" ht="25" customHeight="1">
      <x:c r="A209" s="3"/>
      <x:c r="B209" s="3"/>
      <x:c r="C209" s="3"/>
      <x:c r="D209" s="3"/>
      <x:c r="E209" s="3"/>
      <x:c r="F209" s="3"/>
      <x:c r="G209" s="3"/>
      <x:c r="H209" s="3"/>
      <x:c r="I209" s="20"/>
      <x:c r="J209" s="20"/>
      <x:c r="K209" s="3"/>
      <x:c r="L209" s="3"/>
      <x:c r="M209" s="19" t="str">
        <x:f>IF(A209="","",IF(COUNTIFS($A$7:$A$306,A209,$B$7:$B$306,B209)&lt;&gt;1,"Duplicate rule version",IF(OR(B209="",D209="",E209="",F209="",K209="",L209=""),"Rule info missing",IF(AND(C209&lt;&gt;"",OR(C209=B209,COUNTIFS($A$7:$A$306,A209,$B$7:$B$306,C209)&lt;&gt;1)),"Invalid parent version ref",IF(AND(OR(D209="Trial",D209="Adopted"),OR(G209="",NOT(ISNUMBER(I209)),NOT(ISNUMBER(J209)))),"Adoption/recheck missing","Valid input")))))</x:f>
      </x:c>
    </x:row>
    <x:row r="210" ht="25" customHeight="1">
      <x:c r="A210" s="3"/>
      <x:c r="B210" s="3"/>
      <x:c r="C210" s="3"/>
      <x:c r="D210" s="3"/>
      <x:c r="E210" s="3"/>
      <x:c r="F210" s="3"/>
      <x:c r="G210" s="3"/>
      <x:c r="H210" s="3"/>
      <x:c r="I210" s="20"/>
      <x:c r="J210" s="20"/>
      <x:c r="K210" s="3"/>
      <x:c r="L210" s="3"/>
      <x:c r="M210" s="19" t="str">
        <x:f>IF(A210="","",IF(COUNTIFS($A$7:$A$306,A210,$B$7:$B$306,B210)&lt;&gt;1,"Duplicate rule version",IF(OR(B210="",D210="",E210="",F210="",K210="",L210=""),"Rule info missing",IF(AND(C210&lt;&gt;"",OR(C210=B210,COUNTIFS($A$7:$A$306,A210,$B$7:$B$306,C210)&lt;&gt;1)),"Invalid parent version ref",IF(AND(OR(D210="Trial",D210="Adopted"),OR(G210="",NOT(ISNUMBER(I210)),NOT(ISNUMBER(J210)))),"Adoption/recheck missing","Valid input")))))</x:f>
      </x:c>
    </x:row>
    <x:row r="211" ht="25" customHeight="1">
      <x:c r="A211" s="3"/>
      <x:c r="B211" s="3"/>
      <x:c r="C211" s="3"/>
      <x:c r="D211" s="3"/>
      <x:c r="E211" s="3"/>
      <x:c r="F211" s="3"/>
      <x:c r="G211" s="3"/>
      <x:c r="H211" s="3"/>
      <x:c r="I211" s="20"/>
      <x:c r="J211" s="20"/>
      <x:c r="K211" s="3"/>
      <x:c r="L211" s="3"/>
      <x:c r="M211" s="19" t="str">
        <x:f>IF(A211="","",IF(COUNTIFS($A$7:$A$306,A211,$B$7:$B$306,B211)&lt;&gt;1,"Duplicate rule version",IF(OR(B211="",D211="",E211="",F211="",K211="",L211=""),"Rule info missing",IF(AND(C211&lt;&gt;"",OR(C211=B211,COUNTIFS($A$7:$A$306,A211,$B$7:$B$306,C211)&lt;&gt;1)),"Invalid parent version ref",IF(AND(OR(D211="Trial",D211="Adopted"),OR(G211="",NOT(ISNUMBER(I211)),NOT(ISNUMBER(J211)))),"Adoption/recheck missing","Valid input")))))</x:f>
      </x:c>
    </x:row>
    <x:row r="212" ht="25" customHeight="1">
      <x:c r="A212" s="3"/>
      <x:c r="B212" s="3"/>
      <x:c r="C212" s="3"/>
      <x:c r="D212" s="3"/>
      <x:c r="E212" s="3"/>
      <x:c r="F212" s="3"/>
      <x:c r="G212" s="3"/>
      <x:c r="H212" s="3"/>
      <x:c r="I212" s="20"/>
      <x:c r="J212" s="20"/>
      <x:c r="K212" s="3"/>
      <x:c r="L212" s="3"/>
      <x:c r="M212" s="19" t="str">
        <x:f>IF(A212="","",IF(COUNTIFS($A$7:$A$306,A212,$B$7:$B$306,B212)&lt;&gt;1,"Duplicate rule version",IF(OR(B212="",D212="",E212="",F212="",K212="",L212=""),"Rule info missing",IF(AND(C212&lt;&gt;"",OR(C212=B212,COUNTIFS($A$7:$A$306,A212,$B$7:$B$306,C212)&lt;&gt;1)),"Invalid parent version ref",IF(AND(OR(D212="Trial",D212="Adopted"),OR(G212="",NOT(ISNUMBER(I212)),NOT(ISNUMBER(J212)))),"Adoption/recheck missing","Valid input")))))</x:f>
      </x:c>
    </x:row>
    <x:row r="213" ht="25" customHeight="1">
      <x:c r="A213" s="3"/>
      <x:c r="B213" s="3"/>
      <x:c r="C213" s="3"/>
      <x:c r="D213" s="3"/>
      <x:c r="E213" s="3"/>
      <x:c r="F213" s="3"/>
      <x:c r="G213" s="3"/>
      <x:c r="H213" s="3"/>
      <x:c r="I213" s="20"/>
      <x:c r="J213" s="20"/>
      <x:c r="K213" s="3"/>
      <x:c r="L213" s="3"/>
      <x:c r="M213" s="19" t="str">
        <x:f>IF(A213="","",IF(COUNTIFS($A$7:$A$306,A213,$B$7:$B$306,B213)&lt;&gt;1,"Duplicate rule version",IF(OR(B213="",D213="",E213="",F213="",K213="",L213=""),"Rule info missing",IF(AND(C213&lt;&gt;"",OR(C213=B213,COUNTIFS($A$7:$A$306,A213,$B$7:$B$306,C213)&lt;&gt;1)),"Invalid parent version ref",IF(AND(OR(D213="Trial",D213="Adopted"),OR(G213="",NOT(ISNUMBER(I213)),NOT(ISNUMBER(J213)))),"Adoption/recheck missing","Valid input")))))</x:f>
      </x:c>
    </x:row>
    <x:row r="214" ht="25" customHeight="1">
      <x:c r="A214" s="3"/>
      <x:c r="B214" s="3"/>
      <x:c r="C214" s="3"/>
      <x:c r="D214" s="3"/>
      <x:c r="E214" s="3"/>
      <x:c r="F214" s="3"/>
      <x:c r="G214" s="3"/>
      <x:c r="H214" s="3"/>
      <x:c r="I214" s="20"/>
      <x:c r="J214" s="20"/>
      <x:c r="K214" s="3"/>
      <x:c r="L214" s="3"/>
      <x:c r="M214" s="19" t="str">
        <x:f>IF(A214="","",IF(COUNTIFS($A$7:$A$306,A214,$B$7:$B$306,B214)&lt;&gt;1,"Duplicate rule version",IF(OR(B214="",D214="",E214="",F214="",K214="",L214=""),"Rule info missing",IF(AND(C214&lt;&gt;"",OR(C214=B214,COUNTIFS($A$7:$A$306,A214,$B$7:$B$306,C214)&lt;&gt;1)),"Invalid parent version ref",IF(AND(OR(D214="Trial",D214="Adopted"),OR(G214="",NOT(ISNUMBER(I214)),NOT(ISNUMBER(J214)))),"Adoption/recheck missing","Valid input")))))</x:f>
      </x:c>
    </x:row>
    <x:row r="215" ht="25" customHeight="1">
      <x:c r="A215" s="3"/>
      <x:c r="B215" s="3"/>
      <x:c r="C215" s="3"/>
      <x:c r="D215" s="3"/>
      <x:c r="E215" s="3"/>
      <x:c r="F215" s="3"/>
      <x:c r="G215" s="3"/>
      <x:c r="H215" s="3"/>
      <x:c r="I215" s="20"/>
      <x:c r="J215" s="20"/>
      <x:c r="K215" s="3"/>
      <x:c r="L215" s="3"/>
      <x:c r="M215" s="19" t="str">
        <x:f>IF(A215="","",IF(COUNTIFS($A$7:$A$306,A215,$B$7:$B$306,B215)&lt;&gt;1,"Duplicate rule version",IF(OR(B215="",D215="",E215="",F215="",K215="",L215=""),"Rule info missing",IF(AND(C215&lt;&gt;"",OR(C215=B215,COUNTIFS($A$7:$A$306,A215,$B$7:$B$306,C215)&lt;&gt;1)),"Invalid parent version ref",IF(AND(OR(D215="Trial",D215="Adopted"),OR(G215="",NOT(ISNUMBER(I215)),NOT(ISNUMBER(J215)))),"Adoption/recheck missing","Valid input")))))</x:f>
      </x:c>
    </x:row>
    <x:row r="216" ht="25" customHeight="1">
      <x:c r="A216" s="3"/>
      <x:c r="B216" s="3"/>
      <x:c r="C216" s="3"/>
      <x:c r="D216" s="3"/>
      <x:c r="E216" s="3"/>
      <x:c r="F216" s="3"/>
      <x:c r="G216" s="3"/>
      <x:c r="H216" s="3"/>
      <x:c r="I216" s="20"/>
      <x:c r="J216" s="20"/>
      <x:c r="K216" s="3"/>
      <x:c r="L216" s="3"/>
      <x:c r="M216" s="19" t="str">
        <x:f>IF(A216="","",IF(COUNTIFS($A$7:$A$306,A216,$B$7:$B$306,B216)&lt;&gt;1,"Duplicate rule version",IF(OR(B216="",D216="",E216="",F216="",K216="",L216=""),"Rule info missing",IF(AND(C216&lt;&gt;"",OR(C216=B216,COUNTIFS($A$7:$A$306,A216,$B$7:$B$306,C216)&lt;&gt;1)),"Invalid parent version ref",IF(AND(OR(D216="Trial",D216="Adopted"),OR(G216="",NOT(ISNUMBER(I216)),NOT(ISNUMBER(J216)))),"Adoption/recheck missing","Valid input")))))</x:f>
      </x:c>
    </x:row>
    <x:row r="217" ht="25" customHeight="1">
      <x:c r="A217" s="3"/>
      <x:c r="B217" s="3"/>
      <x:c r="C217" s="3"/>
      <x:c r="D217" s="3"/>
      <x:c r="E217" s="3"/>
      <x:c r="F217" s="3"/>
      <x:c r="G217" s="3"/>
      <x:c r="H217" s="3"/>
      <x:c r="I217" s="20"/>
      <x:c r="J217" s="20"/>
      <x:c r="K217" s="3"/>
      <x:c r="L217" s="3"/>
      <x:c r="M217" s="19" t="str">
        <x:f>IF(A217="","",IF(COUNTIFS($A$7:$A$306,A217,$B$7:$B$306,B217)&lt;&gt;1,"Duplicate rule version",IF(OR(B217="",D217="",E217="",F217="",K217="",L217=""),"Rule info missing",IF(AND(C217&lt;&gt;"",OR(C217=B217,COUNTIFS($A$7:$A$306,A217,$B$7:$B$306,C217)&lt;&gt;1)),"Invalid parent version ref",IF(AND(OR(D217="Trial",D217="Adopted"),OR(G217="",NOT(ISNUMBER(I217)),NOT(ISNUMBER(J217)))),"Adoption/recheck missing","Valid input")))))</x:f>
      </x:c>
    </x:row>
    <x:row r="218" ht="25" customHeight="1">
      <x:c r="A218" s="3"/>
      <x:c r="B218" s="3"/>
      <x:c r="C218" s="3"/>
      <x:c r="D218" s="3"/>
      <x:c r="E218" s="3"/>
      <x:c r="F218" s="3"/>
      <x:c r="G218" s="3"/>
      <x:c r="H218" s="3"/>
      <x:c r="I218" s="20"/>
      <x:c r="J218" s="20"/>
      <x:c r="K218" s="3"/>
      <x:c r="L218" s="3"/>
      <x:c r="M218" s="19" t="str">
        <x:f>IF(A218="","",IF(COUNTIFS($A$7:$A$306,A218,$B$7:$B$306,B218)&lt;&gt;1,"Duplicate rule version",IF(OR(B218="",D218="",E218="",F218="",K218="",L218=""),"Rule info missing",IF(AND(C218&lt;&gt;"",OR(C218=B218,COUNTIFS($A$7:$A$306,A218,$B$7:$B$306,C218)&lt;&gt;1)),"Invalid parent version ref",IF(AND(OR(D218="Trial",D218="Adopted"),OR(G218="",NOT(ISNUMBER(I218)),NOT(ISNUMBER(J218)))),"Adoption/recheck missing","Valid input")))))</x:f>
      </x:c>
    </x:row>
    <x:row r="219" ht="25" customHeight="1">
      <x:c r="A219" s="3"/>
      <x:c r="B219" s="3"/>
      <x:c r="C219" s="3"/>
      <x:c r="D219" s="3"/>
      <x:c r="E219" s="3"/>
      <x:c r="F219" s="3"/>
      <x:c r="G219" s="3"/>
      <x:c r="H219" s="3"/>
      <x:c r="I219" s="20"/>
      <x:c r="J219" s="20"/>
      <x:c r="K219" s="3"/>
      <x:c r="L219" s="3"/>
      <x:c r="M219" s="19" t="str">
        <x:f>IF(A219="","",IF(COUNTIFS($A$7:$A$306,A219,$B$7:$B$306,B219)&lt;&gt;1,"Duplicate rule version",IF(OR(B219="",D219="",E219="",F219="",K219="",L219=""),"Rule info missing",IF(AND(C219&lt;&gt;"",OR(C219=B219,COUNTIFS($A$7:$A$306,A219,$B$7:$B$306,C219)&lt;&gt;1)),"Invalid parent version ref",IF(AND(OR(D219="Trial",D219="Adopted"),OR(G219="",NOT(ISNUMBER(I219)),NOT(ISNUMBER(J219)))),"Adoption/recheck missing","Valid input")))))</x:f>
      </x:c>
    </x:row>
    <x:row r="220" ht="25" customHeight="1">
      <x:c r="A220" s="3"/>
      <x:c r="B220" s="3"/>
      <x:c r="C220" s="3"/>
      <x:c r="D220" s="3"/>
      <x:c r="E220" s="3"/>
      <x:c r="F220" s="3"/>
      <x:c r="G220" s="3"/>
      <x:c r="H220" s="3"/>
      <x:c r="I220" s="20"/>
      <x:c r="J220" s="20"/>
      <x:c r="K220" s="3"/>
      <x:c r="L220" s="3"/>
      <x:c r="M220" s="19" t="str">
        <x:f>IF(A220="","",IF(COUNTIFS($A$7:$A$306,A220,$B$7:$B$306,B220)&lt;&gt;1,"Duplicate rule version",IF(OR(B220="",D220="",E220="",F220="",K220="",L220=""),"Rule info missing",IF(AND(C220&lt;&gt;"",OR(C220=B220,COUNTIFS($A$7:$A$306,A220,$B$7:$B$306,C220)&lt;&gt;1)),"Invalid parent version ref",IF(AND(OR(D220="Trial",D220="Adopted"),OR(G220="",NOT(ISNUMBER(I220)),NOT(ISNUMBER(J220)))),"Adoption/recheck missing","Valid input")))))</x:f>
      </x:c>
    </x:row>
    <x:row r="221" ht="25" customHeight="1">
      <x:c r="A221" s="3"/>
      <x:c r="B221" s="3"/>
      <x:c r="C221" s="3"/>
      <x:c r="D221" s="3"/>
      <x:c r="E221" s="3"/>
      <x:c r="F221" s="3"/>
      <x:c r="G221" s="3"/>
      <x:c r="H221" s="3"/>
      <x:c r="I221" s="20"/>
      <x:c r="J221" s="20"/>
      <x:c r="K221" s="3"/>
      <x:c r="L221" s="3"/>
      <x:c r="M221" s="19" t="str">
        <x:f>IF(A221="","",IF(COUNTIFS($A$7:$A$306,A221,$B$7:$B$306,B221)&lt;&gt;1,"Duplicate rule version",IF(OR(B221="",D221="",E221="",F221="",K221="",L221=""),"Rule info missing",IF(AND(C221&lt;&gt;"",OR(C221=B221,COUNTIFS($A$7:$A$306,A221,$B$7:$B$306,C221)&lt;&gt;1)),"Invalid parent version ref",IF(AND(OR(D221="Trial",D221="Adopted"),OR(G221="",NOT(ISNUMBER(I221)),NOT(ISNUMBER(J221)))),"Adoption/recheck missing","Valid input")))))</x:f>
      </x:c>
    </x:row>
    <x:row r="222" ht="25" customHeight="1">
      <x:c r="A222" s="3"/>
      <x:c r="B222" s="3"/>
      <x:c r="C222" s="3"/>
      <x:c r="D222" s="3"/>
      <x:c r="E222" s="3"/>
      <x:c r="F222" s="3"/>
      <x:c r="G222" s="3"/>
      <x:c r="H222" s="3"/>
      <x:c r="I222" s="20"/>
      <x:c r="J222" s="20"/>
      <x:c r="K222" s="3"/>
      <x:c r="L222" s="3"/>
      <x:c r="M222" s="19" t="str">
        <x:f>IF(A222="","",IF(COUNTIFS($A$7:$A$306,A222,$B$7:$B$306,B222)&lt;&gt;1,"Duplicate rule version",IF(OR(B222="",D222="",E222="",F222="",K222="",L222=""),"Rule info missing",IF(AND(C222&lt;&gt;"",OR(C222=B222,COUNTIFS($A$7:$A$306,A222,$B$7:$B$306,C222)&lt;&gt;1)),"Invalid parent version ref",IF(AND(OR(D222="Trial",D222="Adopted"),OR(G222="",NOT(ISNUMBER(I222)),NOT(ISNUMBER(J222)))),"Adoption/recheck missing","Valid input")))))</x:f>
      </x:c>
    </x:row>
    <x:row r="223" ht="25" customHeight="1">
      <x:c r="A223" s="3"/>
      <x:c r="B223" s="3"/>
      <x:c r="C223" s="3"/>
      <x:c r="D223" s="3"/>
      <x:c r="E223" s="3"/>
      <x:c r="F223" s="3"/>
      <x:c r="G223" s="3"/>
      <x:c r="H223" s="3"/>
      <x:c r="I223" s="20"/>
      <x:c r="J223" s="20"/>
      <x:c r="K223" s="3"/>
      <x:c r="L223" s="3"/>
      <x:c r="M223" s="19" t="str">
        <x:f>IF(A223="","",IF(COUNTIFS($A$7:$A$306,A223,$B$7:$B$306,B223)&lt;&gt;1,"Duplicate rule version",IF(OR(B223="",D223="",E223="",F223="",K223="",L223=""),"Rule info missing",IF(AND(C223&lt;&gt;"",OR(C223=B223,COUNTIFS($A$7:$A$306,A223,$B$7:$B$306,C223)&lt;&gt;1)),"Invalid parent version ref",IF(AND(OR(D223="Trial",D223="Adopted"),OR(G223="",NOT(ISNUMBER(I223)),NOT(ISNUMBER(J223)))),"Adoption/recheck missing","Valid input")))))</x:f>
      </x:c>
    </x:row>
    <x:row r="224" ht="25" customHeight="1">
      <x:c r="A224" s="3"/>
      <x:c r="B224" s="3"/>
      <x:c r="C224" s="3"/>
      <x:c r="D224" s="3"/>
      <x:c r="E224" s="3"/>
      <x:c r="F224" s="3"/>
      <x:c r="G224" s="3"/>
      <x:c r="H224" s="3"/>
      <x:c r="I224" s="20"/>
      <x:c r="J224" s="20"/>
      <x:c r="K224" s="3"/>
      <x:c r="L224" s="3"/>
      <x:c r="M224" s="19" t="str">
        <x:f>IF(A224="","",IF(COUNTIFS($A$7:$A$306,A224,$B$7:$B$306,B224)&lt;&gt;1,"Duplicate rule version",IF(OR(B224="",D224="",E224="",F224="",K224="",L224=""),"Rule info missing",IF(AND(C224&lt;&gt;"",OR(C224=B224,COUNTIFS($A$7:$A$306,A224,$B$7:$B$306,C224)&lt;&gt;1)),"Invalid parent version ref",IF(AND(OR(D224="Trial",D224="Adopted"),OR(G224="",NOT(ISNUMBER(I224)),NOT(ISNUMBER(J224)))),"Adoption/recheck missing","Valid input")))))</x:f>
      </x:c>
    </x:row>
    <x:row r="225" ht="25" customHeight="1">
      <x:c r="A225" s="3"/>
      <x:c r="B225" s="3"/>
      <x:c r="C225" s="3"/>
      <x:c r="D225" s="3"/>
      <x:c r="E225" s="3"/>
      <x:c r="F225" s="3"/>
      <x:c r="G225" s="3"/>
      <x:c r="H225" s="3"/>
      <x:c r="I225" s="20"/>
      <x:c r="J225" s="20"/>
      <x:c r="K225" s="3"/>
      <x:c r="L225" s="3"/>
      <x:c r="M225" s="19" t="str">
        <x:f>IF(A225="","",IF(COUNTIFS($A$7:$A$306,A225,$B$7:$B$306,B225)&lt;&gt;1,"Duplicate rule version",IF(OR(B225="",D225="",E225="",F225="",K225="",L225=""),"Rule info missing",IF(AND(C225&lt;&gt;"",OR(C225=B225,COUNTIFS($A$7:$A$306,A225,$B$7:$B$306,C225)&lt;&gt;1)),"Invalid parent version ref",IF(AND(OR(D225="Trial",D225="Adopted"),OR(G225="",NOT(ISNUMBER(I225)),NOT(ISNUMBER(J225)))),"Adoption/recheck missing","Valid input")))))</x:f>
      </x:c>
    </x:row>
    <x:row r="226" ht="25" customHeight="1">
      <x:c r="A226" s="3"/>
      <x:c r="B226" s="3"/>
      <x:c r="C226" s="3"/>
      <x:c r="D226" s="3"/>
      <x:c r="E226" s="3"/>
      <x:c r="F226" s="3"/>
      <x:c r="G226" s="3"/>
      <x:c r="H226" s="3"/>
      <x:c r="I226" s="20"/>
      <x:c r="J226" s="20"/>
      <x:c r="K226" s="3"/>
      <x:c r="L226" s="3"/>
      <x:c r="M226" s="19" t="str">
        <x:f>IF(A226="","",IF(COUNTIFS($A$7:$A$306,A226,$B$7:$B$306,B226)&lt;&gt;1,"Duplicate rule version",IF(OR(B226="",D226="",E226="",F226="",K226="",L226=""),"Rule info missing",IF(AND(C226&lt;&gt;"",OR(C226=B226,COUNTIFS($A$7:$A$306,A226,$B$7:$B$306,C226)&lt;&gt;1)),"Invalid parent version ref",IF(AND(OR(D226="Trial",D226="Adopted"),OR(G226="",NOT(ISNUMBER(I226)),NOT(ISNUMBER(J226)))),"Adoption/recheck missing","Valid input")))))</x:f>
      </x:c>
    </x:row>
    <x:row r="227" ht="25" customHeight="1">
      <x:c r="A227" s="3"/>
      <x:c r="B227" s="3"/>
      <x:c r="C227" s="3"/>
      <x:c r="D227" s="3"/>
      <x:c r="E227" s="3"/>
      <x:c r="F227" s="3"/>
      <x:c r="G227" s="3"/>
      <x:c r="H227" s="3"/>
      <x:c r="I227" s="20"/>
      <x:c r="J227" s="20"/>
      <x:c r="K227" s="3"/>
      <x:c r="L227" s="3"/>
      <x:c r="M227" s="19" t="str">
        <x:f>IF(A227="","",IF(COUNTIFS($A$7:$A$306,A227,$B$7:$B$306,B227)&lt;&gt;1,"Duplicate rule version",IF(OR(B227="",D227="",E227="",F227="",K227="",L227=""),"Rule info missing",IF(AND(C227&lt;&gt;"",OR(C227=B227,COUNTIFS($A$7:$A$306,A227,$B$7:$B$306,C227)&lt;&gt;1)),"Invalid parent version ref",IF(AND(OR(D227="Trial",D227="Adopted"),OR(G227="",NOT(ISNUMBER(I227)),NOT(ISNUMBER(J227)))),"Adoption/recheck missing","Valid input")))))</x:f>
      </x:c>
    </x:row>
    <x:row r="228" ht="25" customHeight="1">
      <x:c r="A228" s="3"/>
      <x:c r="B228" s="3"/>
      <x:c r="C228" s="3"/>
      <x:c r="D228" s="3"/>
      <x:c r="E228" s="3"/>
      <x:c r="F228" s="3"/>
      <x:c r="G228" s="3"/>
      <x:c r="H228" s="3"/>
      <x:c r="I228" s="20"/>
      <x:c r="J228" s="20"/>
      <x:c r="K228" s="3"/>
      <x:c r="L228" s="3"/>
      <x:c r="M228" s="19" t="str">
        <x:f>IF(A228="","",IF(COUNTIFS($A$7:$A$306,A228,$B$7:$B$306,B228)&lt;&gt;1,"Duplicate rule version",IF(OR(B228="",D228="",E228="",F228="",K228="",L228=""),"Rule info missing",IF(AND(C228&lt;&gt;"",OR(C228=B228,COUNTIFS($A$7:$A$306,A228,$B$7:$B$306,C228)&lt;&gt;1)),"Invalid parent version ref",IF(AND(OR(D228="Trial",D228="Adopted"),OR(G228="",NOT(ISNUMBER(I228)),NOT(ISNUMBER(J228)))),"Adoption/recheck missing","Valid input")))))</x:f>
      </x:c>
    </x:row>
    <x:row r="229" ht="25" customHeight="1">
      <x:c r="A229" s="3"/>
      <x:c r="B229" s="3"/>
      <x:c r="C229" s="3"/>
      <x:c r="D229" s="3"/>
      <x:c r="E229" s="3"/>
      <x:c r="F229" s="3"/>
      <x:c r="G229" s="3"/>
      <x:c r="H229" s="3"/>
      <x:c r="I229" s="20"/>
      <x:c r="J229" s="20"/>
      <x:c r="K229" s="3"/>
      <x:c r="L229" s="3"/>
      <x:c r="M229" s="19" t="str">
        <x:f>IF(A229="","",IF(COUNTIFS($A$7:$A$306,A229,$B$7:$B$306,B229)&lt;&gt;1,"Duplicate rule version",IF(OR(B229="",D229="",E229="",F229="",K229="",L229=""),"Rule info missing",IF(AND(C229&lt;&gt;"",OR(C229=B229,COUNTIFS($A$7:$A$306,A229,$B$7:$B$306,C229)&lt;&gt;1)),"Invalid parent version ref",IF(AND(OR(D229="Trial",D229="Adopted"),OR(G229="",NOT(ISNUMBER(I229)),NOT(ISNUMBER(J229)))),"Adoption/recheck missing","Valid input")))))</x:f>
      </x:c>
    </x:row>
    <x:row r="230" ht="25" customHeight="1">
      <x:c r="A230" s="3"/>
      <x:c r="B230" s="3"/>
      <x:c r="C230" s="3"/>
      <x:c r="D230" s="3"/>
      <x:c r="E230" s="3"/>
      <x:c r="F230" s="3"/>
      <x:c r="G230" s="3"/>
      <x:c r="H230" s="3"/>
      <x:c r="I230" s="20"/>
      <x:c r="J230" s="20"/>
      <x:c r="K230" s="3"/>
      <x:c r="L230" s="3"/>
      <x:c r="M230" s="19" t="str">
        <x:f>IF(A230="","",IF(COUNTIFS($A$7:$A$306,A230,$B$7:$B$306,B230)&lt;&gt;1,"Duplicate rule version",IF(OR(B230="",D230="",E230="",F230="",K230="",L230=""),"Rule info missing",IF(AND(C230&lt;&gt;"",OR(C230=B230,COUNTIFS($A$7:$A$306,A230,$B$7:$B$306,C230)&lt;&gt;1)),"Invalid parent version ref",IF(AND(OR(D230="Trial",D230="Adopted"),OR(G230="",NOT(ISNUMBER(I230)),NOT(ISNUMBER(J230)))),"Adoption/recheck missing","Valid input")))))</x:f>
      </x:c>
    </x:row>
    <x:row r="231" ht="25" customHeight="1">
      <x:c r="A231" s="3"/>
      <x:c r="B231" s="3"/>
      <x:c r="C231" s="3"/>
      <x:c r="D231" s="3"/>
      <x:c r="E231" s="3"/>
      <x:c r="F231" s="3"/>
      <x:c r="G231" s="3"/>
      <x:c r="H231" s="3"/>
      <x:c r="I231" s="20"/>
      <x:c r="J231" s="20"/>
      <x:c r="K231" s="3"/>
      <x:c r="L231" s="3"/>
      <x:c r="M231" s="19" t="str">
        <x:f>IF(A231="","",IF(COUNTIFS($A$7:$A$306,A231,$B$7:$B$306,B231)&lt;&gt;1,"Duplicate rule version",IF(OR(B231="",D231="",E231="",F231="",K231="",L231=""),"Rule info missing",IF(AND(C231&lt;&gt;"",OR(C231=B231,COUNTIFS($A$7:$A$306,A231,$B$7:$B$306,C231)&lt;&gt;1)),"Invalid parent version ref",IF(AND(OR(D231="Trial",D231="Adopted"),OR(G231="",NOT(ISNUMBER(I231)),NOT(ISNUMBER(J231)))),"Adoption/recheck missing","Valid input")))))</x:f>
      </x:c>
    </x:row>
    <x:row r="232" ht="25" customHeight="1">
      <x:c r="A232" s="3"/>
      <x:c r="B232" s="3"/>
      <x:c r="C232" s="3"/>
      <x:c r="D232" s="3"/>
      <x:c r="E232" s="3"/>
      <x:c r="F232" s="3"/>
      <x:c r="G232" s="3"/>
      <x:c r="H232" s="3"/>
      <x:c r="I232" s="20"/>
      <x:c r="J232" s="20"/>
      <x:c r="K232" s="3"/>
      <x:c r="L232" s="3"/>
      <x:c r="M232" s="19" t="str">
        <x:f>IF(A232="","",IF(COUNTIFS($A$7:$A$306,A232,$B$7:$B$306,B232)&lt;&gt;1,"Duplicate rule version",IF(OR(B232="",D232="",E232="",F232="",K232="",L232=""),"Rule info missing",IF(AND(C232&lt;&gt;"",OR(C232=B232,COUNTIFS($A$7:$A$306,A232,$B$7:$B$306,C232)&lt;&gt;1)),"Invalid parent version ref",IF(AND(OR(D232="Trial",D232="Adopted"),OR(G232="",NOT(ISNUMBER(I232)),NOT(ISNUMBER(J232)))),"Adoption/recheck missing","Valid input")))))</x:f>
      </x:c>
    </x:row>
    <x:row r="233" ht="25" customHeight="1">
      <x:c r="A233" s="3"/>
      <x:c r="B233" s="3"/>
      <x:c r="C233" s="3"/>
      <x:c r="D233" s="3"/>
      <x:c r="E233" s="3"/>
      <x:c r="F233" s="3"/>
      <x:c r="G233" s="3"/>
      <x:c r="H233" s="3"/>
      <x:c r="I233" s="20"/>
      <x:c r="J233" s="20"/>
      <x:c r="K233" s="3"/>
      <x:c r="L233" s="3"/>
      <x:c r="M233" s="19" t="str">
        <x:f>IF(A233="","",IF(COUNTIFS($A$7:$A$306,A233,$B$7:$B$306,B233)&lt;&gt;1,"Duplicate rule version",IF(OR(B233="",D233="",E233="",F233="",K233="",L233=""),"Rule info missing",IF(AND(C233&lt;&gt;"",OR(C233=B233,COUNTIFS($A$7:$A$306,A233,$B$7:$B$306,C233)&lt;&gt;1)),"Invalid parent version ref",IF(AND(OR(D233="Trial",D233="Adopted"),OR(G233="",NOT(ISNUMBER(I233)),NOT(ISNUMBER(J233)))),"Adoption/recheck missing","Valid input")))))</x:f>
      </x:c>
    </x:row>
    <x:row r="234" ht="25" customHeight="1">
      <x:c r="A234" s="3"/>
      <x:c r="B234" s="3"/>
      <x:c r="C234" s="3"/>
      <x:c r="D234" s="3"/>
      <x:c r="E234" s="3"/>
      <x:c r="F234" s="3"/>
      <x:c r="G234" s="3"/>
      <x:c r="H234" s="3"/>
      <x:c r="I234" s="20"/>
      <x:c r="J234" s="20"/>
      <x:c r="K234" s="3"/>
      <x:c r="L234" s="3"/>
      <x:c r="M234" s="19" t="str">
        <x:f>IF(A234="","",IF(COUNTIFS($A$7:$A$306,A234,$B$7:$B$306,B234)&lt;&gt;1,"Duplicate rule version",IF(OR(B234="",D234="",E234="",F234="",K234="",L234=""),"Rule info missing",IF(AND(C234&lt;&gt;"",OR(C234=B234,COUNTIFS($A$7:$A$306,A234,$B$7:$B$306,C234)&lt;&gt;1)),"Invalid parent version ref",IF(AND(OR(D234="Trial",D234="Adopted"),OR(G234="",NOT(ISNUMBER(I234)),NOT(ISNUMBER(J234)))),"Adoption/recheck missing","Valid input")))))</x:f>
      </x:c>
    </x:row>
    <x:row r="235" ht="25" customHeight="1">
      <x:c r="A235" s="3"/>
      <x:c r="B235" s="3"/>
      <x:c r="C235" s="3"/>
      <x:c r="D235" s="3"/>
      <x:c r="E235" s="3"/>
      <x:c r="F235" s="3"/>
      <x:c r="G235" s="3"/>
      <x:c r="H235" s="3"/>
      <x:c r="I235" s="20"/>
      <x:c r="J235" s="20"/>
      <x:c r="K235" s="3"/>
      <x:c r="L235" s="3"/>
      <x:c r="M235" s="19" t="str">
        <x:f>IF(A235="","",IF(COUNTIFS($A$7:$A$306,A235,$B$7:$B$306,B235)&lt;&gt;1,"Duplicate rule version",IF(OR(B235="",D235="",E235="",F235="",K235="",L235=""),"Rule info missing",IF(AND(C235&lt;&gt;"",OR(C235=B235,COUNTIFS($A$7:$A$306,A235,$B$7:$B$306,C235)&lt;&gt;1)),"Invalid parent version ref",IF(AND(OR(D235="Trial",D235="Adopted"),OR(G235="",NOT(ISNUMBER(I235)),NOT(ISNUMBER(J235)))),"Adoption/recheck missing","Valid input")))))</x:f>
      </x:c>
    </x:row>
    <x:row r="236" ht="25" customHeight="1">
      <x:c r="A236" s="3"/>
      <x:c r="B236" s="3"/>
      <x:c r="C236" s="3"/>
      <x:c r="D236" s="3"/>
      <x:c r="E236" s="3"/>
      <x:c r="F236" s="3"/>
      <x:c r="G236" s="3"/>
      <x:c r="H236" s="3"/>
      <x:c r="I236" s="20"/>
      <x:c r="J236" s="20"/>
      <x:c r="K236" s="3"/>
      <x:c r="L236" s="3"/>
      <x:c r="M236" s="19" t="str">
        <x:f>IF(A236="","",IF(COUNTIFS($A$7:$A$306,A236,$B$7:$B$306,B236)&lt;&gt;1,"Duplicate rule version",IF(OR(B236="",D236="",E236="",F236="",K236="",L236=""),"Rule info missing",IF(AND(C236&lt;&gt;"",OR(C236=B236,COUNTIFS($A$7:$A$306,A236,$B$7:$B$306,C236)&lt;&gt;1)),"Invalid parent version ref",IF(AND(OR(D236="Trial",D236="Adopted"),OR(G236="",NOT(ISNUMBER(I236)),NOT(ISNUMBER(J236)))),"Adoption/recheck missing","Valid input")))))</x:f>
      </x:c>
    </x:row>
    <x:row r="237" ht="25" customHeight="1">
      <x:c r="A237" s="3"/>
      <x:c r="B237" s="3"/>
      <x:c r="C237" s="3"/>
      <x:c r="D237" s="3"/>
      <x:c r="E237" s="3"/>
      <x:c r="F237" s="3"/>
      <x:c r="G237" s="3"/>
      <x:c r="H237" s="3"/>
      <x:c r="I237" s="20"/>
      <x:c r="J237" s="20"/>
      <x:c r="K237" s="3"/>
      <x:c r="L237" s="3"/>
      <x:c r="M237" s="19" t="str">
        <x:f>IF(A237="","",IF(COUNTIFS($A$7:$A$306,A237,$B$7:$B$306,B237)&lt;&gt;1,"Duplicate rule version",IF(OR(B237="",D237="",E237="",F237="",K237="",L237=""),"Rule info missing",IF(AND(C237&lt;&gt;"",OR(C237=B237,COUNTIFS($A$7:$A$306,A237,$B$7:$B$306,C237)&lt;&gt;1)),"Invalid parent version ref",IF(AND(OR(D237="Trial",D237="Adopted"),OR(G237="",NOT(ISNUMBER(I237)),NOT(ISNUMBER(J237)))),"Adoption/recheck missing","Valid input")))))</x:f>
      </x:c>
    </x:row>
    <x:row r="238" ht="25" customHeight="1">
      <x:c r="A238" s="3"/>
      <x:c r="B238" s="3"/>
      <x:c r="C238" s="3"/>
      <x:c r="D238" s="3"/>
      <x:c r="E238" s="3"/>
      <x:c r="F238" s="3"/>
      <x:c r="G238" s="3"/>
      <x:c r="H238" s="3"/>
      <x:c r="I238" s="20"/>
      <x:c r="J238" s="20"/>
      <x:c r="K238" s="3"/>
      <x:c r="L238" s="3"/>
      <x:c r="M238" s="19" t="str">
        <x:f>IF(A238="","",IF(COUNTIFS($A$7:$A$306,A238,$B$7:$B$306,B238)&lt;&gt;1,"Duplicate rule version",IF(OR(B238="",D238="",E238="",F238="",K238="",L238=""),"Rule info missing",IF(AND(C238&lt;&gt;"",OR(C238=B238,COUNTIFS($A$7:$A$306,A238,$B$7:$B$306,C238)&lt;&gt;1)),"Invalid parent version ref",IF(AND(OR(D238="Trial",D238="Adopted"),OR(G238="",NOT(ISNUMBER(I238)),NOT(ISNUMBER(J238)))),"Adoption/recheck missing","Valid input")))))</x:f>
      </x:c>
    </x:row>
    <x:row r="239" ht="25" customHeight="1">
      <x:c r="A239" s="3"/>
      <x:c r="B239" s="3"/>
      <x:c r="C239" s="3"/>
      <x:c r="D239" s="3"/>
      <x:c r="E239" s="3"/>
      <x:c r="F239" s="3"/>
      <x:c r="G239" s="3"/>
      <x:c r="H239" s="3"/>
      <x:c r="I239" s="20"/>
      <x:c r="J239" s="20"/>
      <x:c r="K239" s="3"/>
      <x:c r="L239" s="3"/>
      <x:c r="M239" s="19" t="str">
        <x:f>IF(A239="","",IF(COUNTIFS($A$7:$A$306,A239,$B$7:$B$306,B239)&lt;&gt;1,"Duplicate rule version",IF(OR(B239="",D239="",E239="",F239="",K239="",L239=""),"Rule info missing",IF(AND(C239&lt;&gt;"",OR(C239=B239,COUNTIFS($A$7:$A$306,A239,$B$7:$B$306,C239)&lt;&gt;1)),"Invalid parent version ref",IF(AND(OR(D239="Trial",D239="Adopted"),OR(G239="",NOT(ISNUMBER(I239)),NOT(ISNUMBER(J239)))),"Adoption/recheck missing","Valid input")))))</x:f>
      </x:c>
    </x:row>
    <x:row r="240" ht="25" customHeight="1">
      <x:c r="A240" s="3"/>
      <x:c r="B240" s="3"/>
      <x:c r="C240" s="3"/>
      <x:c r="D240" s="3"/>
      <x:c r="E240" s="3"/>
      <x:c r="F240" s="3"/>
      <x:c r="G240" s="3"/>
      <x:c r="H240" s="3"/>
      <x:c r="I240" s="20"/>
      <x:c r="J240" s="20"/>
      <x:c r="K240" s="3"/>
      <x:c r="L240" s="3"/>
      <x:c r="M240" s="19" t="str">
        <x:f>IF(A240="","",IF(COUNTIFS($A$7:$A$306,A240,$B$7:$B$306,B240)&lt;&gt;1,"Duplicate rule version",IF(OR(B240="",D240="",E240="",F240="",K240="",L240=""),"Rule info missing",IF(AND(C240&lt;&gt;"",OR(C240=B240,COUNTIFS($A$7:$A$306,A240,$B$7:$B$306,C240)&lt;&gt;1)),"Invalid parent version ref",IF(AND(OR(D240="Trial",D240="Adopted"),OR(G240="",NOT(ISNUMBER(I240)),NOT(ISNUMBER(J240)))),"Adoption/recheck missing","Valid input")))))</x:f>
      </x:c>
    </x:row>
    <x:row r="241" ht="25" customHeight="1">
      <x:c r="A241" s="3"/>
      <x:c r="B241" s="3"/>
      <x:c r="C241" s="3"/>
      <x:c r="D241" s="3"/>
      <x:c r="E241" s="3"/>
      <x:c r="F241" s="3"/>
      <x:c r="G241" s="3"/>
      <x:c r="H241" s="3"/>
      <x:c r="I241" s="20"/>
      <x:c r="J241" s="20"/>
      <x:c r="K241" s="3"/>
      <x:c r="L241" s="3"/>
      <x:c r="M241" s="19" t="str">
        <x:f>IF(A241="","",IF(COUNTIFS($A$7:$A$306,A241,$B$7:$B$306,B241)&lt;&gt;1,"Duplicate rule version",IF(OR(B241="",D241="",E241="",F241="",K241="",L241=""),"Rule info missing",IF(AND(C241&lt;&gt;"",OR(C241=B241,COUNTIFS($A$7:$A$306,A241,$B$7:$B$306,C241)&lt;&gt;1)),"Invalid parent version ref",IF(AND(OR(D241="Trial",D241="Adopted"),OR(G241="",NOT(ISNUMBER(I241)),NOT(ISNUMBER(J241)))),"Adoption/recheck missing","Valid input")))))</x:f>
      </x:c>
    </x:row>
    <x:row r="242" ht="25" customHeight="1">
      <x:c r="A242" s="3"/>
      <x:c r="B242" s="3"/>
      <x:c r="C242" s="3"/>
      <x:c r="D242" s="3"/>
      <x:c r="E242" s="3"/>
      <x:c r="F242" s="3"/>
      <x:c r="G242" s="3"/>
      <x:c r="H242" s="3"/>
      <x:c r="I242" s="20"/>
      <x:c r="J242" s="20"/>
      <x:c r="K242" s="3"/>
      <x:c r="L242" s="3"/>
      <x:c r="M242" s="19" t="str">
        <x:f>IF(A242="","",IF(COUNTIFS($A$7:$A$306,A242,$B$7:$B$306,B242)&lt;&gt;1,"Duplicate rule version",IF(OR(B242="",D242="",E242="",F242="",K242="",L242=""),"Rule info missing",IF(AND(C242&lt;&gt;"",OR(C242=B242,COUNTIFS($A$7:$A$306,A242,$B$7:$B$306,C242)&lt;&gt;1)),"Invalid parent version ref",IF(AND(OR(D242="Trial",D242="Adopted"),OR(G242="",NOT(ISNUMBER(I242)),NOT(ISNUMBER(J242)))),"Adoption/recheck missing","Valid input")))))</x:f>
      </x:c>
    </x:row>
    <x:row r="243" ht="25" customHeight="1">
      <x:c r="A243" s="3"/>
      <x:c r="B243" s="3"/>
      <x:c r="C243" s="3"/>
      <x:c r="D243" s="3"/>
      <x:c r="E243" s="3"/>
      <x:c r="F243" s="3"/>
      <x:c r="G243" s="3"/>
      <x:c r="H243" s="3"/>
      <x:c r="I243" s="20"/>
      <x:c r="J243" s="20"/>
      <x:c r="K243" s="3"/>
      <x:c r="L243" s="3"/>
      <x:c r="M243" s="19" t="str">
        <x:f>IF(A243="","",IF(COUNTIFS($A$7:$A$306,A243,$B$7:$B$306,B243)&lt;&gt;1,"Duplicate rule version",IF(OR(B243="",D243="",E243="",F243="",K243="",L243=""),"Rule info missing",IF(AND(C243&lt;&gt;"",OR(C243=B243,COUNTIFS($A$7:$A$306,A243,$B$7:$B$306,C243)&lt;&gt;1)),"Invalid parent version ref",IF(AND(OR(D243="Trial",D243="Adopted"),OR(G243="",NOT(ISNUMBER(I243)),NOT(ISNUMBER(J243)))),"Adoption/recheck missing","Valid input")))))</x:f>
      </x:c>
    </x:row>
    <x:row r="244" ht="25" customHeight="1">
      <x:c r="A244" s="3"/>
      <x:c r="B244" s="3"/>
      <x:c r="C244" s="3"/>
      <x:c r="D244" s="3"/>
      <x:c r="E244" s="3"/>
      <x:c r="F244" s="3"/>
      <x:c r="G244" s="3"/>
      <x:c r="H244" s="3"/>
      <x:c r="I244" s="20"/>
      <x:c r="J244" s="20"/>
      <x:c r="K244" s="3"/>
      <x:c r="L244" s="3"/>
      <x:c r="M244" s="19" t="str">
        <x:f>IF(A244="","",IF(COUNTIFS($A$7:$A$306,A244,$B$7:$B$306,B244)&lt;&gt;1,"Duplicate rule version",IF(OR(B244="",D244="",E244="",F244="",K244="",L244=""),"Rule info missing",IF(AND(C244&lt;&gt;"",OR(C244=B244,COUNTIFS($A$7:$A$306,A244,$B$7:$B$306,C244)&lt;&gt;1)),"Invalid parent version ref",IF(AND(OR(D244="Trial",D244="Adopted"),OR(G244="",NOT(ISNUMBER(I244)),NOT(ISNUMBER(J244)))),"Adoption/recheck missing","Valid input")))))</x:f>
      </x:c>
    </x:row>
    <x:row r="245" ht="25" customHeight="1">
      <x:c r="A245" s="3"/>
      <x:c r="B245" s="3"/>
      <x:c r="C245" s="3"/>
      <x:c r="D245" s="3"/>
      <x:c r="E245" s="3"/>
      <x:c r="F245" s="3"/>
      <x:c r="G245" s="3"/>
      <x:c r="H245" s="3"/>
      <x:c r="I245" s="20"/>
      <x:c r="J245" s="20"/>
      <x:c r="K245" s="3"/>
      <x:c r="L245" s="3"/>
      <x:c r="M245" s="19" t="str">
        <x:f>IF(A245="","",IF(COUNTIFS($A$7:$A$306,A245,$B$7:$B$306,B245)&lt;&gt;1,"Duplicate rule version",IF(OR(B245="",D245="",E245="",F245="",K245="",L245=""),"Rule info missing",IF(AND(C245&lt;&gt;"",OR(C245=B245,COUNTIFS($A$7:$A$306,A245,$B$7:$B$306,C245)&lt;&gt;1)),"Invalid parent version ref",IF(AND(OR(D245="Trial",D245="Adopted"),OR(G245="",NOT(ISNUMBER(I245)),NOT(ISNUMBER(J245)))),"Adoption/recheck missing","Valid input")))))</x:f>
      </x:c>
    </x:row>
    <x:row r="246" ht="25" customHeight="1">
      <x:c r="A246" s="3"/>
      <x:c r="B246" s="3"/>
      <x:c r="C246" s="3"/>
      <x:c r="D246" s="3"/>
      <x:c r="E246" s="3"/>
      <x:c r="F246" s="3"/>
      <x:c r="G246" s="3"/>
      <x:c r="H246" s="3"/>
      <x:c r="I246" s="20"/>
      <x:c r="J246" s="20"/>
      <x:c r="K246" s="3"/>
      <x:c r="L246" s="3"/>
      <x:c r="M246" s="19" t="str">
        <x:f>IF(A246="","",IF(COUNTIFS($A$7:$A$306,A246,$B$7:$B$306,B246)&lt;&gt;1,"Duplicate rule version",IF(OR(B246="",D246="",E246="",F246="",K246="",L246=""),"Rule info missing",IF(AND(C246&lt;&gt;"",OR(C246=B246,COUNTIFS($A$7:$A$306,A246,$B$7:$B$306,C246)&lt;&gt;1)),"Invalid parent version ref",IF(AND(OR(D246="Trial",D246="Adopted"),OR(G246="",NOT(ISNUMBER(I246)),NOT(ISNUMBER(J246)))),"Adoption/recheck missing","Valid input")))))</x:f>
      </x:c>
    </x:row>
    <x:row r="247" ht="25" customHeight="1">
      <x:c r="A247" s="3"/>
      <x:c r="B247" s="3"/>
      <x:c r="C247" s="3"/>
      <x:c r="D247" s="3"/>
      <x:c r="E247" s="3"/>
      <x:c r="F247" s="3"/>
      <x:c r="G247" s="3"/>
      <x:c r="H247" s="3"/>
      <x:c r="I247" s="20"/>
      <x:c r="J247" s="20"/>
      <x:c r="K247" s="3"/>
      <x:c r="L247" s="3"/>
      <x:c r="M247" s="19" t="str">
        <x:f>IF(A247="","",IF(COUNTIFS($A$7:$A$306,A247,$B$7:$B$306,B247)&lt;&gt;1,"Duplicate rule version",IF(OR(B247="",D247="",E247="",F247="",K247="",L247=""),"Rule info missing",IF(AND(C247&lt;&gt;"",OR(C247=B247,COUNTIFS($A$7:$A$306,A247,$B$7:$B$306,C247)&lt;&gt;1)),"Invalid parent version ref",IF(AND(OR(D247="Trial",D247="Adopted"),OR(G247="",NOT(ISNUMBER(I247)),NOT(ISNUMBER(J247)))),"Adoption/recheck missing","Valid input")))))</x:f>
      </x:c>
    </x:row>
    <x:row r="248" ht="25" customHeight="1">
      <x:c r="A248" s="3"/>
      <x:c r="B248" s="3"/>
      <x:c r="C248" s="3"/>
      <x:c r="D248" s="3"/>
      <x:c r="E248" s="3"/>
      <x:c r="F248" s="3"/>
      <x:c r="G248" s="3"/>
      <x:c r="H248" s="3"/>
      <x:c r="I248" s="20"/>
      <x:c r="J248" s="20"/>
      <x:c r="K248" s="3"/>
      <x:c r="L248" s="3"/>
      <x:c r="M248" s="19" t="str">
        <x:f>IF(A248="","",IF(COUNTIFS($A$7:$A$306,A248,$B$7:$B$306,B248)&lt;&gt;1,"Duplicate rule version",IF(OR(B248="",D248="",E248="",F248="",K248="",L248=""),"Rule info missing",IF(AND(C248&lt;&gt;"",OR(C248=B248,COUNTIFS($A$7:$A$306,A248,$B$7:$B$306,C248)&lt;&gt;1)),"Invalid parent version ref",IF(AND(OR(D248="Trial",D248="Adopted"),OR(G248="",NOT(ISNUMBER(I248)),NOT(ISNUMBER(J248)))),"Adoption/recheck missing","Valid input")))))</x:f>
      </x:c>
    </x:row>
    <x:row r="249" ht="25" customHeight="1">
      <x:c r="A249" s="3"/>
      <x:c r="B249" s="3"/>
      <x:c r="C249" s="3"/>
      <x:c r="D249" s="3"/>
      <x:c r="E249" s="3"/>
      <x:c r="F249" s="3"/>
      <x:c r="G249" s="3"/>
      <x:c r="H249" s="3"/>
      <x:c r="I249" s="20"/>
      <x:c r="J249" s="20"/>
      <x:c r="K249" s="3"/>
      <x:c r="L249" s="3"/>
      <x:c r="M249" s="19" t="str">
        <x:f>IF(A249="","",IF(COUNTIFS($A$7:$A$306,A249,$B$7:$B$306,B249)&lt;&gt;1,"Duplicate rule version",IF(OR(B249="",D249="",E249="",F249="",K249="",L249=""),"Rule info missing",IF(AND(C249&lt;&gt;"",OR(C249=B249,COUNTIFS($A$7:$A$306,A249,$B$7:$B$306,C249)&lt;&gt;1)),"Invalid parent version ref",IF(AND(OR(D249="Trial",D249="Adopted"),OR(G249="",NOT(ISNUMBER(I249)),NOT(ISNUMBER(J249)))),"Adoption/recheck missing","Valid input")))))</x:f>
      </x:c>
    </x:row>
    <x:row r="250" ht="25" customHeight="1">
      <x:c r="A250" s="3"/>
      <x:c r="B250" s="3"/>
      <x:c r="C250" s="3"/>
      <x:c r="D250" s="3"/>
      <x:c r="E250" s="3"/>
      <x:c r="F250" s="3"/>
      <x:c r="G250" s="3"/>
      <x:c r="H250" s="3"/>
      <x:c r="I250" s="20"/>
      <x:c r="J250" s="20"/>
      <x:c r="K250" s="3"/>
      <x:c r="L250" s="3"/>
      <x:c r="M250" s="19" t="str">
        <x:f>IF(A250="","",IF(COUNTIFS($A$7:$A$306,A250,$B$7:$B$306,B250)&lt;&gt;1,"Duplicate rule version",IF(OR(B250="",D250="",E250="",F250="",K250="",L250=""),"Rule info missing",IF(AND(C250&lt;&gt;"",OR(C250=B250,COUNTIFS($A$7:$A$306,A250,$B$7:$B$306,C250)&lt;&gt;1)),"Invalid parent version ref",IF(AND(OR(D250="Trial",D250="Adopted"),OR(G250="",NOT(ISNUMBER(I250)),NOT(ISNUMBER(J250)))),"Adoption/recheck missing","Valid input")))))</x:f>
      </x:c>
    </x:row>
    <x:row r="251" ht="25" customHeight="1">
      <x:c r="A251" s="3"/>
      <x:c r="B251" s="3"/>
      <x:c r="C251" s="3"/>
      <x:c r="D251" s="3"/>
      <x:c r="E251" s="3"/>
      <x:c r="F251" s="3"/>
      <x:c r="G251" s="3"/>
      <x:c r="H251" s="3"/>
      <x:c r="I251" s="20"/>
      <x:c r="J251" s="20"/>
      <x:c r="K251" s="3"/>
      <x:c r="L251" s="3"/>
      <x:c r="M251" s="19" t="str">
        <x:f>IF(A251="","",IF(COUNTIFS($A$7:$A$306,A251,$B$7:$B$306,B251)&lt;&gt;1,"Duplicate rule version",IF(OR(B251="",D251="",E251="",F251="",K251="",L251=""),"Rule info missing",IF(AND(C251&lt;&gt;"",OR(C251=B251,COUNTIFS($A$7:$A$306,A251,$B$7:$B$306,C251)&lt;&gt;1)),"Invalid parent version ref",IF(AND(OR(D251="Trial",D251="Adopted"),OR(G251="",NOT(ISNUMBER(I251)),NOT(ISNUMBER(J251)))),"Adoption/recheck missing","Valid input")))))</x:f>
      </x:c>
    </x:row>
    <x:row r="252" ht="25" customHeight="1">
      <x:c r="A252" s="3"/>
      <x:c r="B252" s="3"/>
      <x:c r="C252" s="3"/>
      <x:c r="D252" s="3"/>
      <x:c r="E252" s="3"/>
      <x:c r="F252" s="3"/>
      <x:c r="G252" s="3"/>
      <x:c r="H252" s="3"/>
      <x:c r="I252" s="20"/>
      <x:c r="J252" s="20"/>
      <x:c r="K252" s="3"/>
      <x:c r="L252" s="3"/>
      <x:c r="M252" s="19" t="str">
        <x:f>IF(A252="","",IF(COUNTIFS($A$7:$A$306,A252,$B$7:$B$306,B252)&lt;&gt;1,"Duplicate rule version",IF(OR(B252="",D252="",E252="",F252="",K252="",L252=""),"Rule info missing",IF(AND(C252&lt;&gt;"",OR(C252=B252,COUNTIFS($A$7:$A$306,A252,$B$7:$B$306,C252)&lt;&gt;1)),"Invalid parent version ref",IF(AND(OR(D252="Trial",D252="Adopted"),OR(G252="",NOT(ISNUMBER(I252)),NOT(ISNUMBER(J252)))),"Adoption/recheck missing","Valid input")))))</x:f>
      </x:c>
    </x:row>
    <x:row r="253" ht="25" customHeight="1">
      <x:c r="A253" s="3"/>
      <x:c r="B253" s="3"/>
      <x:c r="C253" s="3"/>
      <x:c r="D253" s="3"/>
      <x:c r="E253" s="3"/>
      <x:c r="F253" s="3"/>
      <x:c r="G253" s="3"/>
      <x:c r="H253" s="3"/>
      <x:c r="I253" s="20"/>
      <x:c r="J253" s="20"/>
      <x:c r="K253" s="3"/>
      <x:c r="L253" s="3"/>
      <x:c r="M253" s="19" t="str">
        <x:f>IF(A253="","",IF(COUNTIFS($A$7:$A$306,A253,$B$7:$B$306,B253)&lt;&gt;1,"Duplicate rule version",IF(OR(B253="",D253="",E253="",F253="",K253="",L253=""),"Rule info missing",IF(AND(C253&lt;&gt;"",OR(C253=B253,COUNTIFS($A$7:$A$306,A253,$B$7:$B$306,C253)&lt;&gt;1)),"Invalid parent version ref",IF(AND(OR(D253="Trial",D253="Adopted"),OR(G253="",NOT(ISNUMBER(I253)),NOT(ISNUMBER(J253)))),"Adoption/recheck missing","Valid input")))))</x:f>
      </x:c>
    </x:row>
    <x:row r="254" ht="25" customHeight="1">
      <x:c r="A254" s="3"/>
      <x:c r="B254" s="3"/>
      <x:c r="C254" s="3"/>
      <x:c r="D254" s="3"/>
      <x:c r="E254" s="3"/>
      <x:c r="F254" s="3"/>
      <x:c r="G254" s="3"/>
      <x:c r="H254" s="3"/>
      <x:c r="I254" s="20"/>
      <x:c r="J254" s="20"/>
      <x:c r="K254" s="3"/>
      <x:c r="L254" s="3"/>
      <x:c r="M254" s="19" t="str">
        <x:f>IF(A254="","",IF(COUNTIFS($A$7:$A$306,A254,$B$7:$B$306,B254)&lt;&gt;1,"Duplicate rule version",IF(OR(B254="",D254="",E254="",F254="",K254="",L254=""),"Rule info missing",IF(AND(C254&lt;&gt;"",OR(C254=B254,COUNTIFS($A$7:$A$306,A254,$B$7:$B$306,C254)&lt;&gt;1)),"Invalid parent version ref",IF(AND(OR(D254="Trial",D254="Adopted"),OR(G254="",NOT(ISNUMBER(I254)),NOT(ISNUMBER(J254)))),"Adoption/recheck missing","Valid input")))))</x:f>
      </x:c>
    </x:row>
    <x:row r="255" ht="25" customHeight="1">
      <x:c r="A255" s="3"/>
      <x:c r="B255" s="3"/>
      <x:c r="C255" s="3"/>
      <x:c r="D255" s="3"/>
      <x:c r="E255" s="3"/>
      <x:c r="F255" s="3"/>
      <x:c r="G255" s="3"/>
      <x:c r="H255" s="3"/>
      <x:c r="I255" s="20"/>
      <x:c r="J255" s="20"/>
      <x:c r="K255" s="3"/>
      <x:c r="L255" s="3"/>
      <x:c r="M255" s="19" t="str">
        <x:f>IF(A255="","",IF(COUNTIFS($A$7:$A$306,A255,$B$7:$B$306,B255)&lt;&gt;1,"Duplicate rule version",IF(OR(B255="",D255="",E255="",F255="",K255="",L255=""),"Rule info missing",IF(AND(C255&lt;&gt;"",OR(C255=B255,COUNTIFS($A$7:$A$306,A255,$B$7:$B$306,C255)&lt;&gt;1)),"Invalid parent version ref",IF(AND(OR(D255="Trial",D255="Adopted"),OR(G255="",NOT(ISNUMBER(I255)),NOT(ISNUMBER(J255)))),"Adoption/recheck missing","Valid input")))))</x:f>
      </x:c>
    </x:row>
    <x:row r="256" ht="25" customHeight="1">
      <x:c r="A256" s="3"/>
      <x:c r="B256" s="3"/>
      <x:c r="C256" s="3"/>
      <x:c r="D256" s="3"/>
      <x:c r="E256" s="3"/>
      <x:c r="F256" s="3"/>
      <x:c r="G256" s="3"/>
      <x:c r="H256" s="3"/>
      <x:c r="I256" s="20"/>
      <x:c r="J256" s="20"/>
      <x:c r="K256" s="3"/>
      <x:c r="L256" s="3"/>
      <x:c r="M256" s="19" t="str">
        <x:f>IF(A256="","",IF(COUNTIFS($A$7:$A$306,A256,$B$7:$B$306,B256)&lt;&gt;1,"Duplicate rule version",IF(OR(B256="",D256="",E256="",F256="",K256="",L256=""),"Rule info missing",IF(AND(C256&lt;&gt;"",OR(C256=B256,COUNTIFS($A$7:$A$306,A256,$B$7:$B$306,C256)&lt;&gt;1)),"Invalid parent version ref",IF(AND(OR(D256="Trial",D256="Adopted"),OR(G256="",NOT(ISNUMBER(I256)),NOT(ISNUMBER(J256)))),"Adoption/recheck missing","Valid input")))))</x:f>
      </x:c>
    </x:row>
    <x:row r="257" ht="25" customHeight="1">
      <x:c r="A257" s="3"/>
      <x:c r="B257" s="3"/>
      <x:c r="C257" s="3"/>
      <x:c r="D257" s="3"/>
      <x:c r="E257" s="3"/>
      <x:c r="F257" s="3"/>
      <x:c r="G257" s="3"/>
      <x:c r="H257" s="3"/>
      <x:c r="I257" s="20"/>
      <x:c r="J257" s="20"/>
      <x:c r="K257" s="3"/>
      <x:c r="L257" s="3"/>
      <x:c r="M257" s="19" t="str">
        <x:f>IF(A257="","",IF(COUNTIFS($A$7:$A$306,A257,$B$7:$B$306,B257)&lt;&gt;1,"Duplicate rule version",IF(OR(B257="",D257="",E257="",F257="",K257="",L257=""),"Rule info missing",IF(AND(C257&lt;&gt;"",OR(C257=B257,COUNTIFS($A$7:$A$306,A257,$B$7:$B$306,C257)&lt;&gt;1)),"Invalid parent version ref",IF(AND(OR(D257="Trial",D257="Adopted"),OR(G257="",NOT(ISNUMBER(I257)),NOT(ISNUMBER(J257)))),"Adoption/recheck missing","Valid input")))))</x:f>
      </x:c>
    </x:row>
    <x:row r="258" ht="25" customHeight="1">
      <x:c r="A258" s="3"/>
      <x:c r="B258" s="3"/>
      <x:c r="C258" s="3"/>
      <x:c r="D258" s="3"/>
      <x:c r="E258" s="3"/>
      <x:c r="F258" s="3"/>
      <x:c r="G258" s="3"/>
      <x:c r="H258" s="3"/>
      <x:c r="I258" s="20"/>
      <x:c r="J258" s="20"/>
      <x:c r="K258" s="3"/>
      <x:c r="L258" s="3"/>
      <x:c r="M258" s="19" t="str">
        <x:f>IF(A258="","",IF(COUNTIFS($A$7:$A$306,A258,$B$7:$B$306,B258)&lt;&gt;1,"Duplicate rule version",IF(OR(B258="",D258="",E258="",F258="",K258="",L258=""),"Rule info missing",IF(AND(C258&lt;&gt;"",OR(C258=B258,COUNTIFS($A$7:$A$306,A258,$B$7:$B$306,C258)&lt;&gt;1)),"Invalid parent version ref",IF(AND(OR(D258="Trial",D258="Adopted"),OR(G258="",NOT(ISNUMBER(I258)),NOT(ISNUMBER(J258)))),"Adoption/recheck missing","Valid input")))))</x:f>
      </x:c>
    </x:row>
    <x:row r="259" ht="25" customHeight="1">
      <x:c r="A259" s="3"/>
      <x:c r="B259" s="3"/>
      <x:c r="C259" s="3"/>
      <x:c r="D259" s="3"/>
      <x:c r="E259" s="3"/>
      <x:c r="F259" s="3"/>
      <x:c r="G259" s="3"/>
      <x:c r="H259" s="3"/>
      <x:c r="I259" s="20"/>
      <x:c r="J259" s="20"/>
      <x:c r="K259" s="3"/>
      <x:c r="L259" s="3"/>
      <x:c r="M259" s="19" t="str">
        <x:f>IF(A259="","",IF(COUNTIFS($A$7:$A$306,A259,$B$7:$B$306,B259)&lt;&gt;1,"Duplicate rule version",IF(OR(B259="",D259="",E259="",F259="",K259="",L259=""),"Rule info missing",IF(AND(C259&lt;&gt;"",OR(C259=B259,COUNTIFS($A$7:$A$306,A259,$B$7:$B$306,C259)&lt;&gt;1)),"Invalid parent version ref",IF(AND(OR(D259="Trial",D259="Adopted"),OR(G259="",NOT(ISNUMBER(I259)),NOT(ISNUMBER(J259)))),"Adoption/recheck missing","Valid input")))))</x:f>
      </x:c>
    </x:row>
    <x:row r="260" ht="25" customHeight="1">
      <x:c r="A260" s="3"/>
      <x:c r="B260" s="3"/>
      <x:c r="C260" s="3"/>
      <x:c r="D260" s="3"/>
      <x:c r="E260" s="3"/>
      <x:c r="F260" s="3"/>
      <x:c r="G260" s="3"/>
      <x:c r="H260" s="3"/>
      <x:c r="I260" s="20"/>
      <x:c r="J260" s="20"/>
      <x:c r="K260" s="3"/>
      <x:c r="L260" s="3"/>
      <x:c r="M260" s="19" t="str">
        <x:f>IF(A260="","",IF(COUNTIFS($A$7:$A$306,A260,$B$7:$B$306,B260)&lt;&gt;1,"Duplicate rule version",IF(OR(B260="",D260="",E260="",F260="",K260="",L260=""),"Rule info missing",IF(AND(C260&lt;&gt;"",OR(C260=B260,COUNTIFS($A$7:$A$306,A260,$B$7:$B$306,C260)&lt;&gt;1)),"Invalid parent version ref",IF(AND(OR(D260="Trial",D260="Adopted"),OR(G260="",NOT(ISNUMBER(I260)),NOT(ISNUMBER(J260)))),"Adoption/recheck missing","Valid input")))))</x:f>
      </x:c>
    </x:row>
    <x:row r="261" ht="25" customHeight="1">
      <x:c r="A261" s="3"/>
      <x:c r="B261" s="3"/>
      <x:c r="C261" s="3"/>
      <x:c r="D261" s="3"/>
      <x:c r="E261" s="3"/>
      <x:c r="F261" s="3"/>
      <x:c r="G261" s="3"/>
      <x:c r="H261" s="3"/>
      <x:c r="I261" s="20"/>
      <x:c r="J261" s="20"/>
      <x:c r="K261" s="3"/>
      <x:c r="L261" s="3"/>
      <x:c r="M261" s="19" t="str">
        <x:f>IF(A261="","",IF(COUNTIFS($A$7:$A$306,A261,$B$7:$B$306,B261)&lt;&gt;1,"Duplicate rule version",IF(OR(B261="",D261="",E261="",F261="",K261="",L261=""),"Rule info missing",IF(AND(C261&lt;&gt;"",OR(C261=B261,COUNTIFS($A$7:$A$306,A261,$B$7:$B$306,C261)&lt;&gt;1)),"Invalid parent version ref",IF(AND(OR(D261="Trial",D261="Adopted"),OR(G261="",NOT(ISNUMBER(I261)),NOT(ISNUMBER(J261)))),"Adoption/recheck missing","Valid input")))))</x:f>
      </x:c>
    </x:row>
    <x:row r="262" ht="25" customHeight="1">
      <x:c r="A262" s="3"/>
      <x:c r="B262" s="3"/>
      <x:c r="C262" s="3"/>
      <x:c r="D262" s="3"/>
      <x:c r="E262" s="3"/>
      <x:c r="F262" s="3"/>
      <x:c r="G262" s="3"/>
      <x:c r="H262" s="3"/>
      <x:c r="I262" s="20"/>
      <x:c r="J262" s="20"/>
      <x:c r="K262" s="3"/>
      <x:c r="L262" s="3"/>
      <x:c r="M262" s="19" t="str">
        <x:f>IF(A262="","",IF(COUNTIFS($A$7:$A$306,A262,$B$7:$B$306,B262)&lt;&gt;1,"Duplicate rule version",IF(OR(B262="",D262="",E262="",F262="",K262="",L262=""),"Rule info missing",IF(AND(C262&lt;&gt;"",OR(C262=B262,COUNTIFS($A$7:$A$306,A262,$B$7:$B$306,C262)&lt;&gt;1)),"Invalid parent version ref",IF(AND(OR(D262="Trial",D262="Adopted"),OR(G262="",NOT(ISNUMBER(I262)),NOT(ISNUMBER(J262)))),"Adoption/recheck missing","Valid input")))))</x:f>
      </x:c>
    </x:row>
    <x:row r="263" ht="25" customHeight="1">
      <x:c r="A263" s="3"/>
      <x:c r="B263" s="3"/>
      <x:c r="C263" s="3"/>
      <x:c r="D263" s="3"/>
      <x:c r="E263" s="3"/>
      <x:c r="F263" s="3"/>
      <x:c r="G263" s="3"/>
      <x:c r="H263" s="3"/>
      <x:c r="I263" s="20"/>
      <x:c r="J263" s="20"/>
      <x:c r="K263" s="3"/>
      <x:c r="L263" s="3"/>
      <x:c r="M263" s="19" t="str">
        <x:f>IF(A263="","",IF(COUNTIFS($A$7:$A$306,A263,$B$7:$B$306,B263)&lt;&gt;1,"Duplicate rule version",IF(OR(B263="",D263="",E263="",F263="",K263="",L263=""),"Rule info missing",IF(AND(C263&lt;&gt;"",OR(C263=B263,COUNTIFS($A$7:$A$306,A263,$B$7:$B$306,C263)&lt;&gt;1)),"Invalid parent version ref",IF(AND(OR(D263="Trial",D263="Adopted"),OR(G263="",NOT(ISNUMBER(I263)),NOT(ISNUMBER(J263)))),"Adoption/recheck missing","Valid input")))))</x:f>
      </x:c>
    </x:row>
    <x:row r="264" ht="25" customHeight="1">
      <x:c r="A264" s="3"/>
      <x:c r="B264" s="3"/>
      <x:c r="C264" s="3"/>
      <x:c r="D264" s="3"/>
      <x:c r="E264" s="3"/>
      <x:c r="F264" s="3"/>
      <x:c r="G264" s="3"/>
      <x:c r="H264" s="3"/>
      <x:c r="I264" s="20"/>
      <x:c r="J264" s="20"/>
      <x:c r="K264" s="3"/>
      <x:c r="L264" s="3"/>
      <x:c r="M264" s="19" t="str">
        <x:f>IF(A264="","",IF(COUNTIFS($A$7:$A$306,A264,$B$7:$B$306,B264)&lt;&gt;1,"Duplicate rule version",IF(OR(B264="",D264="",E264="",F264="",K264="",L264=""),"Rule info missing",IF(AND(C264&lt;&gt;"",OR(C264=B264,COUNTIFS($A$7:$A$306,A264,$B$7:$B$306,C264)&lt;&gt;1)),"Invalid parent version ref",IF(AND(OR(D264="Trial",D264="Adopted"),OR(G264="",NOT(ISNUMBER(I264)),NOT(ISNUMBER(J264)))),"Adoption/recheck missing","Valid input")))))</x:f>
      </x:c>
    </x:row>
    <x:row r="265" ht="25" customHeight="1">
      <x:c r="A265" s="3"/>
      <x:c r="B265" s="3"/>
      <x:c r="C265" s="3"/>
      <x:c r="D265" s="3"/>
      <x:c r="E265" s="3"/>
      <x:c r="F265" s="3"/>
      <x:c r="G265" s="3"/>
      <x:c r="H265" s="3"/>
      <x:c r="I265" s="20"/>
      <x:c r="J265" s="20"/>
      <x:c r="K265" s="3"/>
      <x:c r="L265" s="3"/>
      <x:c r="M265" s="19" t="str">
        <x:f>IF(A265="","",IF(COUNTIFS($A$7:$A$306,A265,$B$7:$B$306,B265)&lt;&gt;1,"Duplicate rule version",IF(OR(B265="",D265="",E265="",F265="",K265="",L265=""),"Rule info missing",IF(AND(C265&lt;&gt;"",OR(C265=B265,COUNTIFS($A$7:$A$306,A265,$B$7:$B$306,C265)&lt;&gt;1)),"Invalid parent version ref",IF(AND(OR(D265="Trial",D265="Adopted"),OR(G265="",NOT(ISNUMBER(I265)),NOT(ISNUMBER(J265)))),"Adoption/recheck missing","Valid input")))))</x:f>
      </x:c>
    </x:row>
    <x:row r="266" ht="25" customHeight="1">
      <x:c r="A266" s="3"/>
      <x:c r="B266" s="3"/>
      <x:c r="C266" s="3"/>
      <x:c r="D266" s="3"/>
      <x:c r="E266" s="3"/>
      <x:c r="F266" s="3"/>
      <x:c r="G266" s="3"/>
      <x:c r="H266" s="3"/>
      <x:c r="I266" s="20"/>
      <x:c r="J266" s="20"/>
      <x:c r="K266" s="3"/>
      <x:c r="L266" s="3"/>
      <x:c r="M266" s="19" t="str">
        <x:f>IF(A266="","",IF(COUNTIFS($A$7:$A$306,A266,$B$7:$B$306,B266)&lt;&gt;1,"Duplicate rule version",IF(OR(B266="",D266="",E266="",F266="",K266="",L266=""),"Rule info missing",IF(AND(C266&lt;&gt;"",OR(C266=B266,COUNTIFS($A$7:$A$306,A266,$B$7:$B$306,C266)&lt;&gt;1)),"Invalid parent version ref",IF(AND(OR(D266="Trial",D266="Adopted"),OR(G266="",NOT(ISNUMBER(I266)),NOT(ISNUMBER(J266)))),"Adoption/recheck missing","Valid input")))))</x:f>
      </x:c>
    </x:row>
    <x:row r="267" ht="25" customHeight="1">
      <x:c r="A267" s="3"/>
      <x:c r="B267" s="3"/>
      <x:c r="C267" s="3"/>
      <x:c r="D267" s="3"/>
      <x:c r="E267" s="3"/>
      <x:c r="F267" s="3"/>
      <x:c r="G267" s="3"/>
      <x:c r="H267" s="3"/>
      <x:c r="I267" s="20"/>
      <x:c r="J267" s="20"/>
      <x:c r="K267" s="3"/>
      <x:c r="L267" s="3"/>
      <x:c r="M267" s="19" t="str">
        <x:f>IF(A267="","",IF(COUNTIFS($A$7:$A$306,A267,$B$7:$B$306,B267)&lt;&gt;1,"Duplicate rule version",IF(OR(B267="",D267="",E267="",F267="",K267="",L267=""),"Rule info missing",IF(AND(C267&lt;&gt;"",OR(C267=B267,COUNTIFS($A$7:$A$306,A267,$B$7:$B$306,C267)&lt;&gt;1)),"Invalid parent version ref",IF(AND(OR(D267="Trial",D267="Adopted"),OR(G267="",NOT(ISNUMBER(I267)),NOT(ISNUMBER(J267)))),"Adoption/recheck missing","Valid input")))))</x:f>
      </x:c>
    </x:row>
    <x:row r="268" ht="25" customHeight="1">
      <x:c r="A268" s="3"/>
      <x:c r="B268" s="3"/>
      <x:c r="C268" s="3"/>
      <x:c r="D268" s="3"/>
      <x:c r="E268" s="3"/>
      <x:c r="F268" s="3"/>
      <x:c r="G268" s="3"/>
      <x:c r="H268" s="3"/>
      <x:c r="I268" s="20"/>
      <x:c r="J268" s="20"/>
      <x:c r="K268" s="3"/>
      <x:c r="L268" s="3"/>
      <x:c r="M268" s="19" t="str">
        <x:f>IF(A268="","",IF(COUNTIFS($A$7:$A$306,A268,$B$7:$B$306,B268)&lt;&gt;1,"Duplicate rule version",IF(OR(B268="",D268="",E268="",F268="",K268="",L268=""),"Rule info missing",IF(AND(C268&lt;&gt;"",OR(C268=B268,COUNTIFS($A$7:$A$306,A268,$B$7:$B$306,C268)&lt;&gt;1)),"Invalid parent version ref",IF(AND(OR(D268="Trial",D268="Adopted"),OR(G268="",NOT(ISNUMBER(I268)),NOT(ISNUMBER(J268)))),"Adoption/recheck missing","Valid input")))))</x:f>
      </x:c>
    </x:row>
    <x:row r="269" ht="25" customHeight="1">
      <x:c r="A269" s="3"/>
      <x:c r="B269" s="3"/>
      <x:c r="C269" s="3"/>
      <x:c r="D269" s="3"/>
      <x:c r="E269" s="3"/>
      <x:c r="F269" s="3"/>
      <x:c r="G269" s="3"/>
      <x:c r="H269" s="3"/>
      <x:c r="I269" s="20"/>
      <x:c r="J269" s="20"/>
      <x:c r="K269" s="3"/>
      <x:c r="L269" s="3"/>
      <x:c r="M269" s="19" t="str">
        <x:f>IF(A269="","",IF(COUNTIFS($A$7:$A$306,A269,$B$7:$B$306,B269)&lt;&gt;1,"Duplicate rule version",IF(OR(B269="",D269="",E269="",F269="",K269="",L269=""),"Rule info missing",IF(AND(C269&lt;&gt;"",OR(C269=B269,COUNTIFS($A$7:$A$306,A269,$B$7:$B$306,C269)&lt;&gt;1)),"Invalid parent version ref",IF(AND(OR(D269="Trial",D269="Adopted"),OR(G269="",NOT(ISNUMBER(I269)),NOT(ISNUMBER(J269)))),"Adoption/recheck missing","Valid input")))))</x:f>
      </x:c>
    </x:row>
    <x:row r="270" ht="25" customHeight="1">
      <x:c r="A270" s="3"/>
      <x:c r="B270" s="3"/>
      <x:c r="C270" s="3"/>
      <x:c r="D270" s="3"/>
      <x:c r="E270" s="3"/>
      <x:c r="F270" s="3"/>
      <x:c r="G270" s="3"/>
      <x:c r="H270" s="3"/>
      <x:c r="I270" s="20"/>
      <x:c r="J270" s="20"/>
      <x:c r="K270" s="3"/>
      <x:c r="L270" s="3"/>
      <x:c r="M270" s="19" t="str">
        <x:f>IF(A270="","",IF(COUNTIFS($A$7:$A$306,A270,$B$7:$B$306,B270)&lt;&gt;1,"Duplicate rule version",IF(OR(B270="",D270="",E270="",F270="",K270="",L270=""),"Rule info missing",IF(AND(C270&lt;&gt;"",OR(C270=B270,COUNTIFS($A$7:$A$306,A270,$B$7:$B$306,C270)&lt;&gt;1)),"Invalid parent version ref",IF(AND(OR(D270="Trial",D270="Adopted"),OR(G270="",NOT(ISNUMBER(I270)),NOT(ISNUMBER(J270)))),"Adoption/recheck missing","Valid input")))))</x:f>
      </x:c>
    </x:row>
    <x:row r="271" ht="25" customHeight="1">
      <x:c r="A271" s="3"/>
      <x:c r="B271" s="3"/>
      <x:c r="C271" s="3"/>
      <x:c r="D271" s="3"/>
      <x:c r="E271" s="3"/>
      <x:c r="F271" s="3"/>
      <x:c r="G271" s="3"/>
      <x:c r="H271" s="3"/>
      <x:c r="I271" s="20"/>
      <x:c r="J271" s="20"/>
      <x:c r="K271" s="3"/>
      <x:c r="L271" s="3"/>
      <x:c r="M271" s="19" t="str">
        <x:f>IF(A271="","",IF(COUNTIFS($A$7:$A$306,A271,$B$7:$B$306,B271)&lt;&gt;1,"Duplicate rule version",IF(OR(B271="",D271="",E271="",F271="",K271="",L271=""),"Rule info missing",IF(AND(C271&lt;&gt;"",OR(C271=B271,COUNTIFS($A$7:$A$306,A271,$B$7:$B$306,C271)&lt;&gt;1)),"Invalid parent version ref",IF(AND(OR(D271="Trial",D271="Adopted"),OR(G271="",NOT(ISNUMBER(I271)),NOT(ISNUMBER(J271)))),"Adoption/recheck missing","Valid input")))))</x:f>
      </x:c>
    </x:row>
    <x:row r="272" ht="25" customHeight="1">
      <x:c r="A272" s="3"/>
      <x:c r="B272" s="3"/>
      <x:c r="C272" s="3"/>
      <x:c r="D272" s="3"/>
      <x:c r="E272" s="3"/>
      <x:c r="F272" s="3"/>
      <x:c r="G272" s="3"/>
      <x:c r="H272" s="3"/>
      <x:c r="I272" s="20"/>
      <x:c r="J272" s="20"/>
      <x:c r="K272" s="3"/>
      <x:c r="L272" s="3"/>
      <x:c r="M272" s="19" t="str">
        <x:f>IF(A272="","",IF(COUNTIFS($A$7:$A$306,A272,$B$7:$B$306,B272)&lt;&gt;1,"Duplicate rule version",IF(OR(B272="",D272="",E272="",F272="",K272="",L272=""),"Rule info missing",IF(AND(C272&lt;&gt;"",OR(C272=B272,COUNTIFS($A$7:$A$306,A272,$B$7:$B$306,C272)&lt;&gt;1)),"Invalid parent version ref",IF(AND(OR(D272="Trial",D272="Adopted"),OR(G272="",NOT(ISNUMBER(I272)),NOT(ISNUMBER(J272)))),"Adoption/recheck missing","Valid input")))))</x:f>
      </x:c>
    </x:row>
    <x:row r="273" ht="25" customHeight="1">
      <x:c r="A273" s="3"/>
      <x:c r="B273" s="3"/>
      <x:c r="C273" s="3"/>
      <x:c r="D273" s="3"/>
      <x:c r="E273" s="3"/>
      <x:c r="F273" s="3"/>
      <x:c r="G273" s="3"/>
      <x:c r="H273" s="3"/>
      <x:c r="I273" s="20"/>
      <x:c r="J273" s="20"/>
      <x:c r="K273" s="3"/>
      <x:c r="L273" s="3"/>
      <x:c r="M273" s="19" t="str">
        <x:f>IF(A273="","",IF(COUNTIFS($A$7:$A$306,A273,$B$7:$B$306,B273)&lt;&gt;1,"Duplicate rule version",IF(OR(B273="",D273="",E273="",F273="",K273="",L273=""),"Rule info missing",IF(AND(C273&lt;&gt;"",OR(C273=B273,COUNTIFS($A$7:$A$306,A273,$B$7:$B$306,C273)&lt;&gt;1)),"Invalid parent version ref",IF(AND(OR(D273="Trial",D273="Adopted"),OR(G273="",NOT(ISNUMBER(I273)),NOT(ISNUMBER(J273)))),"Adoption/recheck missing","Valid input")))))</x:f>
      </x:c>
    </x:row>
    <x:row r="274" ht="25" customHeight="1">
      <x:c r="A274" s="3"/>
      <x:c r="B274" s="3"/>
      <x:c r="C274" s="3"/>
      <x:c r="D274" s="3"/>
      <x:c r="E274" s="3"/>
      <x:c r="F274" s="3"/>
      <x:c r="G274" s="3"/>
      <x:c r="H274" s="3"/>
      <x:c r="I274" s="20"/>
      <x:c r="J274" s="20"/>
      <x:c r="K274" s="3"/>
      <x:c r="L274" s="3"/>
      <x:c r="M274" s="19" t="str">
        <x:f>IF(A274="","",IF(COUNTIFS($A$7:$A$306,A274,$B$7:$B$306,B274)&lt;&gt;1,"Duplicate rule version",IF(OR(B274="",D274="",E274="",F274="",K274="",L274=""),"Rule info missing",IF(AND(C274&lt;&gt;"",OR(C274=B274,COUNTIFS($A$7:$A$306,A274,$B$7:$B$306,C274)&lt;&gt;1)),"Invalid parent version ref",IF(AND(OR(D274="Trial",D274="Adopted"),OR(G274="",NOT(ISNUMBER(I274)),NOT(ISNUMBER(J274)))),"Adoption/recheck missing","Valid input")))))</x:f>
      </x:c>
    </x:row>
    <x:row r="275" ht="25" customHeight="1">
      <x:c r="A275" s="3"/>
      <x:c r="B275" s="3"/>
      <x:c r="C275" s="3"/>
      <x:c r="D275" s="3"/>
      <x:c r="E275" s="3"/>
      <x:c r="F275" s="3"/>
      <x:c r="G275" s="3"/>
      <x:c r="H275" s="3"/>
      <x:c r="I275" s="20"/>
      <x:c r="J275" s="20"/>
      <x:c r="K275" s="3"/>
      <x:c r="L275" s="3"/>
      <x:c r="M275" s="19" t="str">
        <x:f>IF(A275="","",IF(COUNTIFS($A$7:$A$306,A275,$B$7:$B$306,B275)&lt;&gt;1,"Duplicate rule version",IF(OR(B275="",D275="",E275="",F275="",K275="",L275=""),"Rule info missing",IF(AND(C275&lt;&gt;"",OR(C275=B275,COUNTIFS($A$7:$A$306,A275,$B$7:$B$306,C275)&lt;&gt;1)),"Invalid parent version ref",IF(AND(OR(D275="Trial",D275="Adopted"),OR(G275="",NOT(ISNUMBER(I275)),NOT(ISNUMBER(J275)))),"Adoption/recheck missing","Valid input")))))</x:f>
      </x:c>
    </x:row>
    <x:row r="276" ht="25" customHeight="1">
      <x:c r="A276" s="3"/>
      <x:c r="B276" s="3"/>
      <x:c r="C276" s="3"/>
      <x:c r="D276" s="3"/>
      <x:c r="E276" s="3"/>
      <x:c r="F276" s="3"/>
      <x:c r="G276" s="3"/>
      <x:c r="H276" s="3"/>
      <x:c r="I276" s="20"/>
      <x:c r="J276" s="20"/>
      <x:c r="K276" s="3"/>
      <x:c r="L276" s="3"/>
      <x:c r="M276" s="19" t="str">
        <x:f>IF(A276="","",IF(COUNTIFS($A$7:$A$306,A276,$B$7:$B$306,B276)&lt;&gt;1,"Duplicate rule version",IF(OR(B276="",D276="",E276="",F276="",K276="",L276=""),"Rule info missing",IF(AND(C276&lt;&gt;"",OR(C276=B276,COUNTIFS($A$7:$A$306,A276,$B$7:$B$306,C276)&lt;&gt;1)),"Invalid parent version ref",IF(AND(OR(D276="Trial",D276="Adopted"),OR(G276="",NOT(ISNUMBER(I276)),NOT(ISNUMBER(J276)))),"Adoption/recheck missing","Valid input")))))</x:f>
      </x:c>
    </x:row>
    <x:row r="277" ht="25" customHeight="1">
      <x:c r="A277" s="3"/>
      <x:c r="B277" s="3"/>
      <x:c r="C277" s="3"/>
      <x:c r="D277" s="3"/>
      <x:c r="E277" s="3"/>
      <x:c r="F277" s="3"/>
      <x:c r="G277" s="3"/>
      <x:c r="H277" s="3"/>
      <x:c r="I277" s="20"/>
      <x:c r="J277" s="20"/>
      <x:c r="K277" s="3"/>
      <x:c r="L277" s="3"/>
      <x:c r="M277" s="19" t="str">
        <x:f>IF(A277="","",IF(COUNTIFS($A$7:$A$306,A277,$B$7:$B$306,B277)&lt;&gt;1,"Duplicate rule version",IF(OR(B277="",D277="",E277="",F277="",K277="",L277=""),"Rule info missing",IF(AND(C277&lt;&gt;"",OR(C277=B277,COUNTIFS($A$7:$A$306,A277,$B$7:$B$306,C277)&lt;&gt;1)),"Invalid parent version ref",IF(AND(OR(D277="Trial",D277="Adopted"),OR(G277="",NOT(ISNUMBER(I277)),NOT(ISNUMBER(J277)))),"Adoption/recheck missing","Valid input")))))</x:f>
      </x:c>
    </x:row>
    <x:row r="278" ht="25" customHeight="1">
      <x:c r="A278" s="3"/>
      <x:c r="B278" s="3"/>
      <x:c r="C278" s="3"/>
      <x:c r="D278" s="3"/>
      <x:c r="E278" s="3"/>
      <x:c r="F278" s="3"/>
      <x:c r="G278" s="3"/>
      <x:c r="H278" s="3"/>
      <x:c r="I278" s="20"/>
      <x:c r="J278" s="20"/>
      <x:c r="K278" s="3"/>
      <x:c r="L278" s="3"/>
      <x:c r="M278" s="19" t="str">
        <x:f>IF(A278="","",IF(COUNTIFS($A$7:$A$306,A278,$B$7:$B$306,B278)&lt;&gt;1,"Duplicate rule version",IF(OR(B278="",D278="",E278="",F278="",K278="",L278=""),"Rule info missing",IF(AND(C278&lt;&gt;"",OR(C278=B278,COUNTIFS($A$7:$A$306,A278,$B$7:$B$306,C278)&lt;&gt;1)),"Invalid parent version ref",IF(AND(OR(D278="Trial",D278="Adopted"),OR(G278="",NOT(ISNUMBER(I278)),NOT(ISNUMBER(J278)))),"Adoption/recheck missing","Valid input")))))</x:f>
      </x:c>
    </x:row>
    <x:row r="279" ht="25" customHeight="1">
      <x:c r="A279" s="3"/>
      <x:c r="B279" s="3"/>
      <x:c r="C279" s="3"/>
      <x:c r="D279" s="3"/>
      <x:c r="E279" s="3"/>
      <x:c r="F279" s="3"/>
      <x:c r="G279" s="3"/>
      <x:c r="H279" s="3"/>
      <x:c r="I279" s="20"/>
      <x:c r="J279" s="20"/>
      <x:c r="K279" s="3"/>
      <x:c r="L279" s="3"/>
      <x:c r="M279" s="19" t="str">
        <x:f>IF(A279="","",IF(COUNTIFS($A$7:$A$306,A279,$B$7:$B$306,B279)&lt;&gt;1,"Duplicate rule version",IF(OR(B279="",D279="",E279="",F279="",K279="",L279=""),"Rule info missing",IF(AND(C279&lt;&gt;"",OR(C279=B279,COUNTIFS($A$7:$A$306,A279,$B$7:$B$306,C279)&lt;&gt;1)),"Invalid parent version ref",IF(AND(OR(D279="Trial",D279="Adopted"),OR(G279="",NOT(ISNUMBER(I279)),NOT(ISNUMBER(J279)))),"Adoption/recheck missing","Valid input")))))</x:f>
      </x:c>
    </x:row>
    <x:row r="280" ht="25" customHeight="1">
      <x:c r="A280" s="3"/>
      <x:c r="B280" s="3"/>
      <x:c r="C280" s="3"/>
      <x:c r="D280" s="3"/>
      <x:c r="E280" s="3"/>
      <x:c r="F280" s="3"/>
      <x:c r="G280" s="3"/>
      <x:c r="H280" s="3"/>
      <x:c r="I280" s="20"/>
      <x:c r="J280" s="20"/>
      <x:c r="K280" s="3"/>
      <x:c r="L280" s="3"/>
      <x:c r="M280" s="19" t="str">
        <x:f>IF(A280="","",IF(COUNTIFS($A$7:$A$306,A280,$B$7:$B$306,B280)&lt;&gt;1,"Duplicate rule version",IF(OR(B280="",D280="",E280="",F280="",K280="",L280=""),"Rule info missing",IF(AND(C280&lt;&gt;"",OR(C280=B280,COUNTIFS($A$7:$A$306,A280,$B$7:$B$306,C280)&lt;&gt;1)),"Invalid parent version ref",IF(AND(OR(D280="Trial",D280="Adopted"),OR(G280="",NOT(ISNUMBER(I280)),NOT(ISNUMBER(J280)))),"Adoption/recheck missing","Valid input")))))</x:f>
      </x:c>
    </x:row>
    <x:row r="281" ht="25" customHeight="1">
      <x:c r="A281" s="3"/>
      <x:c r="B281" s="3"/>
      <x:c r="C281" s="3"/>
      <x:c r="D281" s="3"/>
      <x:c r="E281" s="3"/>
      <x:c r="F281" s="3"/>
      <x:c r="G281" s="3"/>
      <x:c r="H281" s="3"/>
      <x:c r="I281" s="20"/>
      <x:c r="J281" s="20"/>
      <x:c r="K281" s="3"/>
      <x:c r="L281" s="3"/>
      <x:c r="M281" s="19" t="str">
        <x:f>IF(A281="","",IF(COUNTIFS($A$7:$A$306,A281,$B$7:$B$306,B281)&lt;&gt;1,"Duplicate rule version",IF(OR(B281="",D281="",E281="",F281="",K281="",L281=""),"Rule info missing",IF(AND(C281&lt;&gt;"",OR(C281=B281,COUNTIFS($A$7:$A$306,A281,$B$7:$B$306,C281)&lt;&gt;1)),"Invalid parent version ref",IF(AND(OR(D281="Trial",D281="Adopted"),OR(G281="",NOT(ISNUMBER(I281)),NOT(ISNUMBER(J281)))),"Adoption/recheck missing","Valid input")))))</x:f>
      </x:c>
    </x:row>
    <x:row r="282" ht="25" customHeight="1">
      <x:c r="A282" s="3"/>
      <x:c r="B282" s="3"/>
      <x:c r="C282" s="3"/>
      <x:c r="D282" s="3"/>
      <x:c r="E282" s="3"/>
      <x:c r="F282" s="3"/>
      <x:c r="G282" s="3"/>
      <x:c r="H282" s="3"/>
      <x:c r="I282" s="20"/>
      <x:c r="J282" s="20"/>
      <x:c r="K282" s="3"/>
      <x:c r="L282" s="3"/>
      <x:c r="M282" s="19" t="str">
        <x:f>IF(A282="","",IF(COUNTIFS($A$7:$A$306,A282,$B$7:$B$306,B282)&lt;&gt;1,"Duplicate rule version",IF(OR(B282="",D282="",E282="",F282="",K282="",L282=""),"Rule info missing",IF(AND(C282&lt;&gt;"",OR(C282=B282,COUNTIFS($A$7:$A$306,A282,$B$7:$B$306,C282)&lt;&gt;1)),"Invalid parent version ref",IF(AND(OR(D282="Trial",D282="Adopted"),OR(G282="",NOT(ISNUMBER(I282)),NOT(ISNUMBER(J282)))),"Adoption/recheck missing","Valid input")))))</x:f>
      </x:c>
    </x:row>
    <x:row r="283" ht="25" customHeight="1">
      <x:c r="A283" s="3"/>
      <x:c r="B283" s="3"/>
      <x:c r="C283" s="3"/>
      <x:c r="D283" s="3"/>
      <x:c r="E283" s="3"/>
      <x:c r="F283" s="3"/>
      <x:c r="G283" s="3"/>
      <x:c r="H283" s="3"/>
      <x:c r="I283" s="20"/>
      <x:c r="J283" s="20"/>
      <x:c r="K283" s="3"/>
      <x:c r="L283" s="3"/>
      <x:c r="M283" s="19" t="str">
        <x:f>IF(A283="","",IF(COUNTIFS($A$7:$A$306,A283,$B$7:$B$306,B283)&lt;&gt;1,"Duplicate rule version",IF(OR(B283="",D283="",E283="",F283="",K283="",L283=""),"Rule info missing",IF(AND(C283&lt;&gt;"",OR(C283=B283,COUNTIFS($A$7:$A$306,A283,$B$7:$B$306,C283)&lt;&gt;1)),"Invalid parent version ref",IF(AND(OR(D283="Trial",D283="Adopted"),OR(G283="",NOT(ISNUMBER(I283)),NOT(ISNUMBER(J283)))),"Adoption/recheck missing","Valid input")))))</x:f>
      </x:c>
    </x:row>
    <x:row r="284" ht="25" customHeight="1">
      <x:c r="A284" s="3"/>
      <x:c r="B284" s="3"/>
      <x:c r="C284" s="3"/>
      <x:c r="D284" s="3"/>
      <x:c r="E284" s="3"/>
      <x:c r="F284" s="3"/>
      <x:c r="G284" s="3"/>
      <x:c r="H284" s="3"/>
      <x:c r="I284" s="20"/>
      <x:c r="J284" s="20"/>
      <x:c r="K284" s="3"/>
      <x:c r="L284" s="3"/>
      <x:c r="M284" s="19" t="str">
        <x:f>IF(A284="","",IF(COUNTIFS($A$7:$A$306,A284,$B$7:$B$306,B284)&lt;&gt;1,"Duplicate rule version",IF(OR(B284="",D284="",E284="",F284="",K284="",L284=""),"Rule info missing",IF(AND(C284&lt;&gt;"",OR(C284=B284,COUNTIFS($A$7:$A$306,A284,$B$7:$B$306,C284)&lt;&gt;1)),"Invalid parent version ref",IF(AND(OR(D284="Trial",D284="Adopted"),OR(G284="",NOT(ISNUMBER(I284)),NOT(ISNUMBER(J284)))),"Adoption/recheck missing","Valid input")))))</x:f>
      </x:c>
    </x:row>
    <x:row r="285" ht="25" customHeight="1">
      <x:c r="A285" s="3"/>
      <x:c r="B285" s="3"/>
      <x:c r="C285" s="3"/>
      <x:c r="D285" s="3"/>
      <x:c r="E285" s="3"/>
      <x:c r="F285" s="3"/>
      <x:c r="G285" s="3"/>
      <x:c r="H285" s="3"/>
      <x:c r="I285" s="20"/>
      <x:c r="J285" s="20"/>
      <x:c r="K285" s="3"/>
      <x:c r="L285" s="3"/>
      <x:c r="M285" s="19" t="str">
        <x:f>IF(A285="","",IF(COUNTIFS($A$7:$A$306,A285,$B$7:$B$306,B285)&lt;&gt;1,"Duplicate rule version",IF(OR(B285="",D285="",E285="",F285="",K285="",L285=""),"Rule info missing",IF(AND(C285&lt;&gt;"",OR(C285=B285,COUNTIFS($A$7:$A$306,A285,$B$7:$B$306,C285)&lt;&gt;1)),"Invalid parent version ref",IF(AND(OR(D285="Trial",D285="Adopted"),OR(G285="",NOT(ISNUMBER(I285)),NOT(ISNUMBER(J285)))),"Adoption/recheck missing","Valid input")))))</x:f>
      </x:c>
    </x:row>
    <x:row r="286" ht="25" customHeight="1">
      <x:c r="A286" s="3"/>
      <x:c r="B286" s="3"/>
      <x:c r="C286" s="3"/>
      <x:c r="D286" s="3"/>
      <x:c r="E286" s="3"/>
      <x:c r="F286" s="3"/>
      <x:c r="G286" s="3"/>
      <x:c r="H286" s="3"/>
      <x:c r="I286" s="20"/>
      <x:c r="J286" s="20"/>
      <x:c r="K286" s="3"/>
      <x:c r="L286" s="3"/>
      <x:c r="M286" s="19" t="str">
        <x:f>IF(A286="","",IF(COUNTIFS($A$7:$A$306,A286,$B$7:$B$306,B286)&lt;&gt;1,"Duplicate rule version",IF(OR(B286="",D286="",E286="",F286="",K286="",L286=""),"Rule info missing",IF(AND(C286&lt;&gt;"",OR(C286=B286,COUNTIFS($A$7:$A$306,A286,$B$7:$B$306,C286)&lt;&gt;1)),"Invalid parent version ref",IF(AND(OR(D286="Trial",D286="Adopted"),OR(G286="",NOT(ISNUMBER(I286)),NOT(ISNUMBER(J286)))),"Adoption/recheck missing","Valid input")))))</x:f>
      </x:c>
    </x:row>
    <x:row r="287" ht="25" customHeight="1">
      <x:c r="A287" s="3"/>
      <x:c r="B287" s="3"/>
      <x:c r="C287" s="3"/>
      <x:c r="D287" s="3"/>
      <x:c r="E287" s="3"/>
      <x:c r="F287" s="3"/>
      <x:c r="G287" s="3"/>
      <x:c r="H287" s="3"/>
      <x:c r="I287" s="20"/>
      <x:c r="J287" s="20"/>
      <x:c r="K287" s="3"/>
      <x:c r="L287" s="3"/>
      <x:c r="M287" s="19" t="str">
        <x:f>IF(A287="","",IF(COUNTIFS($A$7:$A$306,A287,$B$7:$B$306,B287)&lt;&gt;1,"Duplicate rule version",IF(OR(B287="",D287="",E287="",F287="",K287="",L287=""),"Rule info missing",IF(AND(C287&lt;&gt;"",OR(C287=B287,COUNTIFS($A$7:$A$306,A287,$B$7:$B$306,C287)&lt;&gt;1)),"Invalid parent version ref",IF(AND(OR(D287="Trial",D287="Adopted"),OR(G287="",NOT(ISNUMBER(I287)),NOT(ISNUMBER(J287)))),"Adoption/recheck missing","Valid input")))))</x:f>
      </x:c>
    </x:row>
    <x:row r="288" ht="25" customHeight="1">
      <x:c r="A288" s="3"/>
      <x:c r="B288" s="3"/>
      <x:c r="C288" s="3"/>
      <x:c r="D288" s="3"/>
      <x:c r="E288" s="3"/>
      <x:c r="F288" s="3"/>
      <x:c r="G288" s="3"/>
      <x:c r="H288" s="3"/>
      <x:c r="I288" s="20"/>
      <x:c r="J288" s="20"/>
      <x:c r="K288" s="3"/>
      <x:c r="L288" s="3"/>
      <x:c r="M288" s="19" t="str">
        <x:f>IF(A288="","",IF(COUNTIFS($A$7:$A$306,A288,$B$7:$B$306,B288)&lt;&gt;1,"Duplicate rule version",IF(OR(B288="",D288="",E288="",F288="",K288="",L288=""),"Rule info missing",IF(AND(C288&lt;&gt;"",OR(C288=B288,COUNTIFS($A$7:$A$306,A288,$B$7:$B$306,C288)&lt;&gt;1)),"Invalid parent version ref",IF(AND(OR(D288="Trial",D288="Adopted"),OR(G288="",NOT(ISNUMBER(I288)),NOT(ISNUMBER(J288)))),"Adoption/recheck missing","Valid input")))))</x:f>
      </x:c>
    </x:row>
    <x:row r="289" ht="25" customHeight="1">
      <x:c r="A289" s="3"/>
      <x:c r="B289" s="3"/>
      <x:c r="C289" s="3"/>
      <x:c r="D289" s="3"/>
      <x:c r="E289" s="3"/>
      <x:c r="F289" s="3"/>
      <x:c r="G289" s="3"/>
      <x:c r="H289" s="3"/>
      <x:c r="I289" s="20"/>
      <x:c r="J289" s="20"/>
      <x:c r="K289" s="3"/>
      <x:c r="L289" s="3"/>
      <x:c r="M289" s="19" t="str">
        <x:f>IF(A289="","",IF(COUNTIFS($A$7:$A$306,A289,$B$7:$B$306,B289)&lt;&gt;1,"Duplicate rule version",IF(OR(B289="",D289="",E289="",F289="",K289="",L289=""),"Rule info missing",IF(AND(C289&lt;&gt;"",OR(C289=B289,COUNTIFS($A$7:$A$306,A289,$B$7:$B$306,C289)&lt;&gt;1)),"Invalid parent version ref",IF(AND(OR(D289="Trial",D289="Adopted"),OR(G289="",NOT(ISNUMBER(I289)),NOT(ISNUMBER(J289)))),"Adoption/recheck missing","Valid input")))))</x:f>
      </x:c>
    </x:row>
    <x:row r="290" ht="25" customHeight="1">
      <x:c r="A290" s="3"/>
      <x:c r="B290" s="3"/>
      <x:c r="C290" s="3"/>
      <x:c r="D290" s="3"/>
      <x:c r="E290" s="3"/>
      <x:c r="F290" s="3"/>
      <x:c r="G290" s="3"/>
      <x:c r="H290" s="3"/>
      <x:c r="I290" s="20"/>
      <x:c r="J290" s="20"/>
      <x:c r="K290" s="3"/>
      <x:c r="L290" s="3"/>
      <x:c r="M290" s="19" t="str">
        <x:f>IF(A290="","",IF(COUNTIFS($A$7:$A$306,A290,$B$7:$B$306,B290)&lt;&gt;1,"Duplicate rule version",IF(OR(B290="",D290="",E290="",F290="",K290="",L290=""),"Rule info missing",IF(AND(C290&lt;&gt;"",OR(C290=B290,COUNTIFS($A$7:$A$306,A290,$B$7:$B$306,C290)&lt;&gt;1)),"Invalid parent version ref",IF(AND(OR(D290="Trial",D290="Adopted"),OR(G290="",NOT(ISNUMBER(I290)),NOT(ISNUMBER(J290)))),"Adoption/recheck missing","Valid input")))))</x:f>
      </x:c>
    </x:row>
    <x:row r="291" ht="25" customHeight="1">
      <x:c r="A291" s="3"/>
      <x:c r="B291" s="3"/>
      <x:c r="C291" s="3"/>
      <x:c r="D291" s="3"/>
      <x:c r="E291" s="3"/>
      <x:c r="F291" s="3"/>
      <x:c r="G291" s="3"/>
      <x:c r="H291" s="3"/>
      <x:c r="I291" s="20"/>
      <x:c r="J291" s="20"/>
      <x:c r="K291" s="3"/>
      <x:c r="L291" s="3"/>
      <x:c r="M291" s="19" t="str">
        <x:f>IF(A291="","",IF(COUNTIFS($A$7:$A$306,A291,$B$7:$B$306,B291)&lt;&gt;1,"Duplicate rule version",IF(OR(B291="",D291="",E291="",F291="",K291="",L291=""),"Rule info missing",IF(AND(C291&lt;&gt;"",OR(C291=B291,COUNTIFS($A$7:$A$306,A291,$B$7:$B$306,C291)&lt;&gt;1)),"Invalid parent version ref",IF(AND(OR(D291="Trial",D291="Adopted"),OR(G291="",NOT(ISNUMBER(I291)),NOT(ISNUMBER(J291)))),"Adoption/recheck missing","Valid input")))))</x:f>
      </x:c>
    </x:row>
    <x:row r="292" ht="25" customHeight="1">
      <x:c r="A292" s="3"/>
      <x:c r="B292" s="3"/>
      <x:c r="C292" s="3"/>
      <x:c r="D292" s="3"/>
      <x:c r="E292" s="3"/>
      <x:c r="F292" s="3"/>
      <x:c r="G292" s="3"/>
      <x:c r="H292" s="3"/>
      <x:c r="I292" s="20"/>
      <x:c r="J292" s="20"/>
      <x:c r="K292" s="3"/>
      <x:c r="L292" s="3"/>
      <x:c r="M292" s="19" t="str">
        <x:f>IF(A292="","",IF(COUNTIFS($A$7:$A$306,A292,$B$7:$B$306,B292)&lt;&gt;1,"Duplicate rule version",IF(OR(B292="",D292="",E292="",F292="",K292="",L292=""),"Rule info missing",IF(AND(C292&lt;&gt;"",OR(C292=B292,COUNTIFS($A$7:$A$306,A292,$B$7:$B$306,C292)&lt;&gt;1)),"Invalid parent version ref",IF(AND(OR(D292="Trial",D292="Adopted"),OR(G292="",NOT(ISNUMBER(I292)),NOT(ISNUMBER(J292)))),"Adoption/recheck missing","Valid input")))))</x:f>
      </x:c>
    </x:row>
    <x:row r="293" ht="25" customHeight="1">
      <x:c r="A293" s="3"/>
      <x:c r="B293" s="3"/>
      <x:c r="C293" s="3"/>
      <x:c r="D293" s="3"/>
      <x:c r="E293" s="3"/>
      <x:c r="F293" s="3"/>
      <x:c r="G293" s="3"/>
      <x:c r="H293" s="3"/>
      <x:c r="I293" s="20"/>
      <x:c r="J293" s="20"/>
      <x:c r="K293" s="3"/>
      <x:c r="L293" s="3"/>
      <x:c r="M293" s="19" t="str">
        <x:f>IF(A293="","",IF(COUNTIFS($A$7:$A$306,A293,$B$7:$B$306,B293)&lt;&gt;1,"Duplicate rule version",IF(OR(B293="",D293="",E293="",F293="",K293="",L293=""),"Rule info missing",IF(AND(C293&lt;&gt;"",OR(C293=B293,COUNTIFS($A$7:$A$306,A293,$B$7:$B$306,C293)&lt;&gt;1)),"Invalid parent version ref",IF(AND(OR(D293="Trial",D293="Adopted"),OR(G293="",NOT(ISNUMBER(I293)),NOT(ISNUMBER(J293)))),"Adoption/recheck missing","Valid input")))))</x:f>
      </x:c>
    </x:row>
    <x:row r="294" ht="25" customHeight="1">
      <x:c r="A294" s="3"/>
      <x:c r="B294" s="3"/>
      <x:c r="C294" s="3"/>
      <x:c r="D294" s="3"/>
      <x:c r="E294" s="3"/>
      <x:c r="F294" s="3"/>
      <x:c r="G294" s="3"/>
      <x:c r="H294" s="3"/>
      <x:c r="I294" s="20"/>
      <x:c r="J294" s="20"/>
      <x:c r="K294" s="3"/>
      <x:c r="L294" s="3"/>
      <x:c r="M294" s="19" t="str">
        <x:f>IF(A294="","",IF(COUNTIFS($A$7:$A$306,A294,$B$7:$B$306,B294)&lt;&gt;1,"Duplicate rule version",IF(OR(B294="",D294="",E294="",F294="",K294="",L294=""),"Rule info missing",IF(AND(C294&lt;&gt;"",OR(C294=B294,COUNTIFS($A$7:$A$306,A294,$B$7:$B$306,C294)&lt;&gt;1)),"Invalid parent version ref",IF(AND(OR(D294="Trial",D294="Adopted"),OR(G294="",NOT(ISNUMBER(I294)),NOT(ISNUMBER(J294)))),"Adoption/recheck missing","Valid input")))))</x:f>
      </x:c>
    </x:row>
    <x:row r="295" ht="25" customHeight="1">
      <x:c r="A295" s="3"/>
      <x:c r="B295" s="3"/>
      <x:c r="C295" s="3"/>
      <x:c r="D295" s="3"/>
      <x:c r="E295" s="3"/>
      <x:c r="F295" s="3"/>
      <x:c r="G295" s="3"/>
      <x:c r="H295" s="3"/>
      <x:c r="I295" s="20"/>
      <x:c r="J295" s="20"/>
      <x:c r="K295" s="3"/>
      <x:c r="L295" s="3"/>
      <x:c r="M295" s="19" t="str">
        <x:f>IF(A295="","",IF(COUNTIFS($A$7:$A$306,A295,$B$7:$B$306,B295)&lt;&gt;1,"Duplicate rule version",IF(OR(B295="",D295="",E295="",F295="",K295="",L295=""),"Rule info missing",IF(AND(C295&lt;&gt;"",OR(C295=B295,COUNTIFS($A$7:$A$306,A295,$B$7:$B$306,C295)&lt;&gt;1)),"Invalid parent version ref",IF(AND(OR(D295="Trial",D295="Adopted"),OR(G295="",NOT(ISNUMBER(I295)),NOT(ISNUMBER(J295)))),"Adoption/recheck missing","Valid input")))))</x:f>
      </x:c>
    </x:row>
    <x:row r="296" ht="25" customHeight="1">
      <x:c r="A296" s="3"/>
      <x:c r="B296" s="3"/>
      <x:c r="C296" s="3"/>
      <x:c r="D296" s="3"/>
      <x:c r="E296" s="3"/>
      <x:c r="F296" s="3"/>
      <x:c r="G296" s="3"/>
      <x:c r="H296" s="3"/>
      <x:c r="I296" s="20"/>
      <x:c r="J296" s="20"/>
      <x:c r="K296" s="3"/>
      <x:c r="L296" s="3"/>
      <x:c r="M296" s="19" t="str">
        <x:f>IF(A296="","",IF(COUNTIFS($A$7:$A$306,A296,$B$7:$B$306,B296)&lt;&gt;1,"Duplicate rule version",IF(OR(B296="",D296="",E296="",F296="",K296="",L296=""),"Rule info missing",IF(AND(C296&lt;&gt;"",OR(C296=B296,COUNTIFS($A$7:$A$306,A296,$B$7:$B$306,C296)&lt;&gt;1)),"Invalid parent version ref",IF(AND(OR(D296="Trial",D296="Adopted"),OR(G296="",NOT(ISNUMBER(I296)),NOT(ISNUMBER(J296)))),"Adoption/recheck missing","Valid input")))))</x:f>
      </x:c>
    </x:row>
    <x:row r="297" ht="25" customHeight="1">
      <x:c r="A297" s="3"/>
      <x:c r="B297" s="3"/>
      <x:c r="C297" s="3"/>
      <x:c r="D297" s="3"/>
      <x:c r="E297" s="3"/>
      <x:c r="F297" s="3"/>
      <x:c r="G297" s="3"/>
      <x:c r="H297" s="3"/>
      <x:c r="I297" s="20"/>
      <x:c r="J297" s="20"/>
      <x:c r="K297" s="3"/>
      <x:c r="L297" s="3"/>
      <x:c r="M297" s="19" t="str">
        <x:f>IF(A297="","",IF(COUNTIFS($A$7:$A$306,A297,$B$7:$B$306,B297)&lt;&gt;1,"Duplicate rule version",IF(OR(B297="",D297="",E297="",F297="",K297="",L297=""),"Rule info missing",IF(AND(C297&lt;&gt;"",OR(C297=B297,COUNTIFS($A$7:$A$306,A297,$B$7:$B$306,C297)&lt;&gt;1)),"Invalid parent version ref",IF(AND(OR(D297="Trial",D297="Adopted"),OR(G297="",NOT(ISNUMBER(I297)),NOT(ISNUMBER(J297)))),"Adoption/recheck missing","Valid input")))))</x:f>
      </x:c>
    </x:row>
    <x:row r="298" ht="25" customHeight="1">
      <x:c r="A298" s="3"/>
      <x:c r="B298" s="3"/>
      <x:c r="C298" s="3"/>
      <x:c r="D298" s="3"/>
      <x:c r="E298" s="3"/>
      <x:c r="F298" s="3"/>
      <x:c r="G298" s="3"/>
      <x:c r="H298" s="3"/>
      <x:c r="I298" s="20"/>
      <x:c r="J298" s="20"/>
      <x:c r="K298" s="3"/>
      <x:c r="L298" s="3"/>
      <x:c r="M298" s="19" t="str">
        <x:f>IF(A298="","",IF(COUNTIFS($A$7:$A$306,A298,$B$7:$B$306,B298)&lt;&gt;1,"Duplicate rule version",IF(OR(B298="",D298="",E298="",F298="",K298="",L298=""),"Rule info missing",IF(AND(C298&lt;&gt;"",OR(C298=B298,COUNTIFS($A$7:$A$306,A298,$B$7:$B$306,C298)&lt;&gt;1)),"Invalid parent version ref",IF(AND(OR(D298="Trial",D298="Adopted"),OR(G298="",NOT(ISNUMBER(I298)),NOT(ISNUMBER(J298)))),"Adoption/recheck missing","Valid input")))))</x:f>
      </x:c>
    </x:row>
    <x:row r="299" ht="25" customHeight="1">
      <x:c r="A299" s="3"/>
      <x:c r="B299" s="3"/>
      <x:c r="C299" s="3"/>
      <x:c r="D299" s="3"/>
      <x:c r="E299" s="3"/>
      <x:c r="F299" s="3"/>
      <x:c r="G299" s="3"/>
      <x:c r="H299" s="3"/>
      <x:c r="I299" s="20"/>
      <x:c r="J299" s="20"/>
      <x:c r="K299" s="3"/>
      <x:c r="L299" s="3"/>
      <x:c r="M299" s="19" t="str">
        <x:f>IF(A299="","",IF(COUNTIFS($A$7:$A$306,A299,$B$7:$B$306,B299)&lt;&gt;1,"Duplicate rule version",IF(OR(B299="",D299="",E299="",F299="",K299="",L299=""),"Rule info missing",IF(AND(C299&lt;&gt;"",OR(C299=B299,COUNTIFS($A$7:$A$306,A299,$B$7:$B$306,C299)&lt;&gt;1)),"Invalid parent version ref",IF(AND(OR(D299="Trial",D299="Adopted"),OR(G299="",NOT(ISNUMBER(I299)),NOT(ISNUMBER(J299)))),"Adoption/recheck missing","Valid input")))))</x:f>
      </x:c>
    </x:row>
    <x:row r="300" ht="25" customHeight="1">
      <x:c r="A300" s="3"/>
      <x:c r="B300" s="3"/>
      <x:c r="C300" s="3"/>
      <x:c r="D300" s="3"/>
      <x:c r="E300" s="3"/>
      <x:c r="F300" s="3"/>
      <x:c r="G300" s="3"/>
      <x:c r="H300" s="3"/>
      <x:c r="I300" s="20"/>
      <x:c r="J300" s="20"/>
      <x:c r="K300" s="3"/>
      <x:c r="L300" s="3"/>
      <x:c r="M300" s="19" t="str">
        <x:f>IF(A300="","",IF(COUNTIFS($A$7:$A$306,A300,$B$7:$B$306,B300)&lt;&gt;1,"Duplicate rule version",IF(OR(B300="",D300="",E300="",F300="",K300="",L300=""),"Rule info missing",IF(AND(C300&lt;&gt;"",OR(C300=B300,COUNTIFS($A$7:$A$306,A300,$B$7:$B$306,C300)&lt;&gt;1)),"Invalid parent version ref",IF(AND(OR(D300="Trial",D300="Adopted"),OR(G300="",NOT(ISNUMBER(I300)),NOT(ISNUMBER(J300)))),"Adoption/recheck missing","Valid input")))))</x:f>
      </x:c>
    </x:row>
    <x:row r="301" ht="25" customHeight="1">
      <x:c r="A301" s="3"/>
      <x:c r="B301" s="3"/>
      <x:c r="C301" s="3"/>
      <x:c r="D301" s="3"/>
      <x:c r="E301" s="3"/>
      <x:c r="F301" s="3"/>
      <x:c r="G301" s="3"/>
      <x:c r="H301" s="3"/>
      <x:c r="I301" s="20"/>
      <x:c r="J301" s="20"/>
      <x:c r="K301" s="3"/>
      <x:c r="L301" s="3"/>
      <x:c r="M301" s="19" t="str">
        <x:f>IF(A301="","",IF(COUNTIFS($A$7:$A$306,A301,$B$7:$B$306,B301)&lt;&gt;1,"Duplicate rule version",IF(OR(B301="",D301="",E301="",F301="",K301="",L301=""),"Rule info missing",IF(AND(C301&lt;&gt;"",OR(C301=B301,COUNTIFS($A$7:$A$306,A301,$B$7:$B$306,C301)&lt;&gt;1)),"Invalid parent version ref",IF(AND(OR(D301="Trial",D301="Adopted"),OR(G301="",NOT(ISNUMBER(I301)),NOT(ISNUMBER(J301)))),"Adoption/recheck missing","Valid input")))))</x:f>
      </x:c>
    </x:row>
    <x:row r="302" ht="25" customHeight="1">
      <x:c r="A302" s="3"/>
      <x:c r="B302" s="3"/>
      <x:c r="C302" s="3"/>
      <x:c r="D302" s="3"/>
      <x:c r="E302" s="3"/>
      <x:c r="F302" s="3"/>
      <x:c r="G302" s="3"/>
      <x:c r="H302" s="3"/>
      <x:c r="I302" s="20"/>
      <x:c r="J302" s="20"/>
      <x:c r="K302" s="3"/>
      <x:c r="L302" s="3"/>
      <x:c r="M302" s="19" t="str">
        <x:f>IF(A302="","",IF(COUNTIFS($A$7:$A$306,A302,$B$7:$B$306,B302)&lt;&gt;1,"Duplicate rule version",IF(OR(B302="",D302="",E302="",F302="",K302="",L302=""),"Rule info missing",IF(AND(C302&lt;&gt;"",OR(C302=B302,COUNTIFS($A$7:$A$306,A302,$B$7:$B$306,C302)&lt;&gt;1)),"Invalid parent version ref",IF(AND(OR(D302="Trial",D302="Adopted"),OR(G302="",NOT(ISNUMBER(I302)),NOT(ISNUMBER(J302)))),"Adoption/recheck missing","Valid input")))))</x:f>
      </x:c>
    </x:row>
    <x:row r="303" ht="25" customHeight="1">
      <x:c r="A303" s="3"/>
      <x:c r="B303" s="3"/>
      <x:c r="C303" s="3"/>
      <x:c r="D303" s="3"/>
      <x:c r="E303" s="3"/>
      <x:c r="F303" s="3"/>
      <x:c r="G303" s="3"/>
      <x:c r="H303" s="3"/>
      <x:c r="I303" s="20"/>
      <x:c r="J303" s="20"/>
      <x:c r="K303" s="3"/>
      <x:c r="L303" s="3"/>
      <x:c r="M303" s="19" t="str">
        <x:f>IF(A303="","",IF(COUNTIFS($A$7:$A$306,A303,$B$7:$B$306,B303)&lt;&gt;1,"Duplicate rule version",IF(OR(B303="",D303="",E303="",F303="",K303="",L303=""),"Rule info missing",IF(AND(C303&lt;&gt;"",OR(C303=B303,COUNTIFS($A$7:$A$306,A303,$B$7:$B$306,C303)&lt;&gt;1)),"Invalid parent version ref",IF(AND(OR(D303="Trial",D303="Adopted"),OR(G303="",NOT(ISNUMBER(I303)),NOT(ISNUMBER(J303)))),"Adoption/recheck missing","Valid input")))))</x:f>
      </x:c>
    </x:row>
    <x:row r="304" ht="25" customHeight="1">
      <x:c r="A304" s="3"/>
      <x:c r="B304" s="3"/>
      <x:c r="C304" s="3"/>
      <x:c r="D304" s="3"/>
      <x:c r="E304" s="3"/>
      <x:c r="F304" s="3"/>
      <x:c r="G304" s="3"/>
      <x:c r="H304" s="3"/>
      <x:c r="I304" s="20"/>
      <x:c r="J304" s="20"/>
      <x:c r="K304" s="3"/>
      <x:c r="L304" s="3"/>
      <x:c r="M304" s="19" t="str">
        <x:f>IF(A304="","",IF(COUNTIFS($A$7:$A$306,A304,$B$7:$B$306,B304)&lt;&gt;1,"Duplicate rule version",IF(OR(B304="",D304="",E304="",F304="",K304="",L304=""),"Rule info missing",IF(AND(C304&lt;&gt;"",OR(C304=B304,COUNTIFS($A$7:$A$306,A304,$B$7:$B$306,C304)&lt;&gt;1)),"Invalid parent version ref",IF(AND(OR(D304="Trial",D304="Adopted"),OR(G304="",NOT(ISNUMBER(I304)),NOT(ISNUMBER(J304)))),"Adoption/recheck missing","Valid input")))))</x:f>
      </x:c>
    </x:row>
    <x:row r="305" ht="25" customHeight="1">
      <x:c r="A305" s="3"/>
      <x:c r="B305" s="3"/>
      <x:c r="C305" s="3"/>
      <x:c r="D305" s="3"/>
      <x:c r="E305" s="3"/>
      <x:c r="F305" s="3"/>
      <x:c r="G305" s="3"/>
      <x:c r="H305" s="3"/>
      <x:c r="I305" s="20"/>
      <x:c r="J305" s="20"/>
      <x:c r="K305" s="3"/>
      <x:c r="L305" s="3"/>
      <x:c r="M305" s="19" t="str">
        <x:f>IF(A305="","",IF(COUNTIFS($A$7:$A$306,A305,$B$7:$B$306,B305)&lt;&gt;1,"Duplicate rule version",IF(OR(B305="",D305="",E305="",F305="",K305="",L305=""),"Rule info missing",IF(AND(C305&lt;&gt;"",OR(C305=B305,COUNTIFS($A$7:$A$306,A305,$B$7:$B$306,C305)&lt;&gt;1)),"Invalid parent version ref",IF(AND(OR(D305="Trial",D305="Adopted"),OR(G305="",NOT(ISNUMBER(I305)),NOT(ISNUMBER(J305)))),"Adoption/recheck missing","Valid input")))))</x:f>
      </x:c>
    </x:row>
    <x:row r="306" ht="25" customHeight="1">
      <x:c r="A306" s="3"/>
      <x:c r="B306" s="3"/>
      <x:c r="C306" s="3"/>
      <x:c r="D306" s="3"/>
      <x:c r="E306" s="3"/>
      <x:c r="F306" s="3"/>
      <x:c r="G306" s="3"/>
      <x:c r="H306" s="3"/>
      <x:c r="I306" s="20"/>
      <x:c r="J306" s="20"/>
      <x:c r="K306" s="3"/>
      <x:c r="L306" s="3"/>
      <x:c r="M306" s="19" t="str">
        <x:f>IF(A306="","",IF(COUNTIFS($A$7:$A$306,A306,$B$7:$B$306,B306)&lt;&gt;1,"Duplicate rule version",IF(OR(B306="",D306="",E306="",F306="",K306="",L306=""),"Rule info missing",IF(AND(C306&lt;&gt;"",OR(C306=B306,COUNTIFS($A$7:$A$306,A306,$B$7:$B$306,C306)&lt;&gt;1)),"Invalid parent version ref",IF(AND(OR(D306="Trial",D306="Adopted"),OR(G306="",NOT(ISNUMBER(I306)),NOT(ISNUMBER(J306)))),"Adoption/recheck missing","Valid input")))))</x:f>
      </x:c>
    </x:row>
  </x:sheetData>
  <x:conditionalFormatting sqref="M7:M306">
    <x:cfRule type="expression" dxfId="7" priority="1">
      <x:formula>AND($A7&lt;&gt;"",M7&lt;&gt;"Valid input")</x:formula>
    </x:cfRule>
  </x:conditionalFormatting>
  <x:dataValidations count="1">
    <x:dataValidation type="list" sqref="D7:D306">
      <x:formula1>"Candidate,Trial,Adopted,Retired"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3d1fa9ec324d45"/>
  </x:tableParts>
</x:worksheet>
</file>