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734e7dcdc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总览" sheetId="1" r:id="R7eb79175b5af4de5"/>
    <x:sheet xmlns:r="http://schemas.openxmlformats.org/officeDocument/2006/relationships" name="方案版本" sheetId="2" r:id="Rf1bfbce6eba14b5b"/>
    <x:sheet xmlns:r="http://schemas.openxmlformats.org/officeDocument/2006/relationships" name="执行日志" sheetId="3" r:id="Rf81b81198f6f4bc2"/>
    <x:sheet xmlns:r="http://schemas.openxmlformats.org/officeDocument/2006/relationships" name="观测证据" sheetId="4" r:id="Rc2eca191eece42d6"/>
    <x:sheet xmlns:r="http://schemas.openxmlformats.org/officeDocument/2006/relationships" name="预测登记" sheetId="5" r:id="Rdd785f99576049b2"/>
    <x:sheet xmlns:r="http://schemas.openxmlformats.org/officeDocument/2006/relationships" name="复盘记录" sheetId="6" r:id="R5ac61b08c5574470"/>
    <x:sheet xmlns:r="http://schemas.openxmlformats.org/officeDocument/2006/relationships" name="更新日志" sheetId="7" r:id="R25ab8c1c1d054aac"/>
    <x:sheet xmlns:r="http://schemas.openxmlformats.org/officeDocument/2006/relationships" name="规则版本" sheetId="8" r:id="R0ed545ded945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yyyy-mm-dd hh:mm"/>
    <x:numFmt numFmtId="203" formatCode="0.0%"/>
  </x:numFmts>
  <x:fonts count="5">
    <x:font>
      <x:sz val="11"/>
      <x:name val="Carlito"/>
    </x:font>
    <x:font>
      <x:sz val="10"/>
      <x:color rgb="FF243247"/>
      <x:name val="Noto Sans CJK SC"/>
    </x:font>
    <x:font>
      <x:b/>
      <x:sz val="10"/>
      <x:color rgb="FFFFFFFF"/>
      <x:name val="Noto Sans CJK SC"/>
    </x:font>
    <x:font>
      <x:b/>
      <x:sz val="14"/>
      <x:color rgb="FF23374D"/>
      <x:name val="Noto Sans CJK SC"/>
    </x:font>
    <x:font>
      <x:sz val="10"/>
      <x:color rgb="FF596779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C"/>
      </x:patternFill>
    </x:fill>
    <x:fill>
      <x:patternFill patternType="solid">
        <x:fgColor rgb="FF23374D"/>
      </x:patternFill>
    </x:fill>
    <x:fill>
      <x:patternFill patternType="solid">
        <x:fgColor rgb="FFEFF2F5"/>
      </x:patternFill>
    </x:fill>
    <x:fill>
      <x:patternFill patternType="solid">
        <x:fgColor rgb="FFFFF0B8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b/>
        <x:color rgb="FF8A4700"/>
      </x:font>
      <x:fill>
        <x:patternFill patternType="solid">
          <x:bgColor rgb="FFFFE4B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139366d014377" /><Relationship Type="http://schemas.openxmlformats.org/officeDocument/2006/relationships/theme" Target="/xl/theme/theme1.xml" Id="R987f0a7ed05c46a1" /><Relationship Type="http://schemas.openxmlformats.org/officeDocument/2006/relationships/sharedStrings" Target="/xl/sharedStrings.xml" Id="Rcbe85e3d74574ccc" /><Relationship Type="http://schemas.openxmlformats.org/officeDocument/2006/relationships/worksheet" Target="/xl/worksheets/sheet1.xml" Id="R7eb79175b5af4de5" /><Relationship Type="http://schemas.openxmlformats.org/officeDocument/2006/relationships/worksheet" Target="/xl/worksheets/sheet2.xml" Id="Rf1bfbce6eba14b5b" /><Relationship Type="http://schemas.openxmlformats.org/officeDocument/2006/relationships/worksheet" Target="/xl/worksheets/sheet3.xml" Id="Rf81b81198f6f4bc2" /><Relationship Type="http://schemas.openxmlformats.org/officeDocument/2006/relationships/worksheet" Target="/xl/worksheets/sheet4.xml" Id="Rc2eca191eece42d6" /><Relationship Type="http://schemas.openxmlformats.org/officeDocument/2006/relationships/worksheet" Target="/xl/worksheets/sheet5.xml" Id="Rdd785f99576049b2" /><Relationship Type="http://schemas.openxmlformats.org/officeDocument/2006/relationships/worksheet" Target="/xl/worksheets/sheet6.xml" Id="R5ac61b08c5574470" /><Relationship Type="http://schemas.openxmlformats.org/officeDocument/2006/relationships/worksheet" Target="/xl/worksheets/sheet7.xml" Id="R25ab8c1c1d054aac" /><Relationship Type="http://schemas.openxmlformats.org/officeDocument/2006/relationships/worksheet" Target="/xl/worksheets/sheet8.xml" Id="R0ed545ded9454801" /></Relationships>
</file>

<file path=xl/tables/table1.xml><?xml version="1.0" encoding="utf-8"?>
<x:table xmlns:x="http://schemas.openxmlformats.org/spreadsheetml/2006/main" id="1" name="Cases" displayName="Cases" ref="A6:T306" headerRowCount="1" totalsRowCount="0" totalsRowShown="0">
  <x:tableColumns count="20">
    <x:tableColumn id="1" name="问题ID"/>
    <x:tableColumn id="2" name="问题标题"/>
    <x:tableColumn id="3" name="负责人"/>
    <x:tableColumn id="4" name="工作状态"/>
    <x:tableColumn id="5" name="行动相位"/>
    <x:tableColumn id="6" name="当前方案ID"/>
    <x:tableColumn id="7" name="理论版本"/>
    <x:tableColumn id="8" name="分析引用"/>
    <x:tableColumn id="9" name="下次复盘日"/>
    <x:tableColumn id="10" name="币种"/>
    <x:tableColumn id="11" name="现金预算"/>
    <x:tableColumn id="12" name="时间预算（小时）"/>
    <x:tableColumn id="13" name="累计支出"/>
    <x:tableColumn id="14" name="累计耗时（小时）"/>
    <x:tableColumn id="15" name="现金剩余"/>
    <x:tableColumn id="16" name="时间剩余（小时）"/>
    <x:tableColumn id="17" name="复盘提醒"/>
    <x:tableColumn id="18" name="登记提示"/>
    <x:tableColumn id="19" name="项目索引路径"/>
    <x:tableColumn id="20" name="结案文件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lans" displayName="Plans" ref="A6:N306" headerRowCount="1" totalsRowCount="0" totalsRowShown="0">
  <x:tableColumns count="14">
    <x:tableColumn id="1" name="方案ID"/>
    <x:tableColumn id="2" name="问题ID"/>
    <x:tableColumn id="3" name="父方案ID"/>
    <x:tableColumn id="4" name="分析ID"/>
    <x:tableColumn id="5" name="理论版本"/>
    <x:tableColumn id="6" name="协议版本"/>
    <x:tableColumn id="7" name="价值与目标版本"/>
    <x:tableColumn id="8" name="冻结时间"/>
    <x:tableColumn id="9" name="生效时间"/>
    <x:tableColumn id="10" name="决定人"/>
    <x:tableColumn id="11" name="行动相位"/>
    <x:tableColumn id="12" name="版本状态"/>
    <x:tableColumn id="13" name="方案文件"/>
    <x:tableColumn id="14" name="输入检查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xecution" displayName="Execution" ref="A6:P306" headerRowCount="1" totalsRowCount="0" totalsRowShown="0">
  <x:tableColumns count="16">
    <x:tableColumn id="1" name="执行ID"/>
    <x:tableColumn id="2" name="问题ID"/>
    <x:tableColumn id="3" name="方案ID"/>
    <x:tableColumn id="4" name="动作ID"/>
    <x:tableColumn id="5" name="发生时间"/>
    <x:tableColumn id="6" name="记录时间"/>
    <x:tableColumn id="7" name="实际动作与偏差"/>
    <x:tableColumn id="8" name="现金支出"/>
    <x:tableColumn id="9" name="币种"/>
    <x:tableColumn id="10" name="耗时（小时）"/>
    <x:tableColumn id="11" name="执行进展"/>
    <x:tableColumn id="12" name="记录状态"/>
    <x:tableColumn id="13" name="更正原EX"/>
    <x:tableColumn id="14" name="观测OB引用"/>
    <x:tableColumn id="15" name="原始记录文件"/>
    <x:tableColumn id="16" name="输入检查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Observations" displayName="Observations" ref="A6:P306" headerRowCount="1" totalsRowCount="0" totalsRowShown="0">
  <x:tableColumns count="16">
    <x:tableColumn id="1" name="观测ID"/>
    <x:tableColumn id="2" name="问题ID"/>
    <x:tableColumn id="3" name="方案ID"/>
    <x:tableColumn id="4" name="指标ID及版本"/>
    <x:tableColumn id="5" name="发生时间"/>
    <x:tableColumn id="6" name="记录时间"/>
    <x:tableColumn id="7" name="数值"/>
    <x:tableColumn id="8" name="单位"/>
    <x:tableColumn id="9" name="分母或样本量"/>
    <x:tableColumn id="10" name="原始观察内容"/>
    <x:tableColumn id="11" name="来源或附件"/>
    <x:tableColumn id="12" name="同源组ID"/>
    <x:tableColumn id="13" name="记录状态"/>
    <x:tableColumn id="14" name="更正原OB"/>
    <x:tableColumn id="15" name="记录文件"/>
    <x:tableColumn id="16" name="输入检查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edictions" displayName="Predictions" ref="A6:R306" headerRowCount="1" totalsRowCount="0" totalsRowShown="0">
  <x:tableColumns count="18">
    <x:tableColumn id="1" name="预测ID"/>
    <x:tableColumn id="2" name="问题ID"/>
    <x:tableColumn id="3" name="方案ID"/>
    <x:tableColumn id="4" name="登记时间"/>
    <x:tableColumn id="5" name="到期时间"/>
    <x:tableColumn id="6" name="事件与判定标准"/>
    <x:tableColumn id="7" name="预测概率"/>
    <x:tableColumn id="8" name="基准概率"/>
    <x:tableColumn id="9" name="判定状态"/>
    <x:tableColumn id="10" name="实际结果（0/1）"/>
    <x:tableColumn id="11" name="判定时间"/>
    <x:tableColumn id="12" name="证据OB引用"/>
    <x:tableColumn id="13" name="事前指定评价"/>
    <x:tableColumn id="14" name="Brier分数"/>
    <x:tableColumn id="15" name="基准Brier"/>
    <x:tableColumn id="16" name="相对改善"/>
    <x:tableColumn id="17" name="预测文件"/>
    <x:tableColumn id="18" name="输入检查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Reviews" displayName="Reviews" ref="A6:N306" headerRowCount="1" totalsRowCount="0" totalsRowShown="0">
  <x:tableColumns count="14">
    <x:tableColumn id="1" name="复盘ID"/>
    <x:tableColumn id="2" name="问题ID"/>
    <x:tableColumn id="3" name="方案ID"/>
    <x:tableColumn id="4" name="信息截止时间"/>
    <x:tableColumn id="5" name="复盘时间"/>
    <x:tableColumn id="6" name="原目标结果"/>
    <x:tableColumn id="7" name="当前价值判断"/>
    <x:tableColumn id="8" name="归因结论"/>
    <x:tableColumn id="9" name="关键OB引用"/>
    <x:tableColumn id="10" name="更新单ID"/>
    <x:tableColumn id="11" name="后续相位"/>
    <x:tableColumn id="12" name="下次复盘日"/>
    <x:tableColumn id="13" name="复盘文件"/>
    <x:tableColumn id="14" name="输入检查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Updates" displayName="Updates" ref="A6:N306" headerRowCount="1" totalsRowCount="0" totalsRowShown="0">
  <x:tableColumns count="14">
    <x:tableColumn id="1" name="更新ID"/>
    <x:tableColumn id="2" name="问题ID"/>
    <x:tableColumn id="3" name="触发复盘ID"/>
    <x:tableColumn id="4" name="更新对象"/>
    <x:tableColumn id="5" name="旧值或旧版本"/>
    <x:tableColumn id="6" name="新值或新版本"/>
    <x:tableColumn id="7" name="采纳状态"/>
    <x:tableColumn id="8" name="理由"/>
    <x:tableColumn id="9" name="依据OB引用"/>
    <x:tableColumn id="10" name="生效时间"/>
    <x:tableColumn id="11" name="决定人"/>
    <x:tableColumn id="12" name="下次验证"/>
    <x:tableColumn id="13" name="更新文件"/>
    <x:tableColumn id="14" name="输入检查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Rules" displayName="Rules" ref="A6:M306" headerRowCount="1" totalsRowCount="0" totalsRowShown="0">
  <x:tableColumns count="13">
    <x:tableColumn id="1" name="规则ID"/>
    <x:tableColumn id="2" name="版本"/>
    <x:tableColumn id="3" name="父版本"/>
    <x:tableColumn id="4" name="采用状态"/>
    <x:tableColumn id="5" name="规则命题"/>
    <x:tableColumn id="6" name="适用范围"/>
    <x:tableColumn id="7" name="支持案例与OB"/>
    <x:tableColumn id="8" name="反例与失败记录"/>
    <x:tableColumn id="9" name="采用时间"/>
    <x:tableColumn id="10" name="复核日期"/>
    <x:tableColumn id="11" name="负责人"/>
    <x:tableColumn id="12" name="规则文件"/>
    <x:tableColumn id="13" name="输入检查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7cdc2d4cd47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f8c7851d24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f9fc142ae245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a67bd445ac47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3f0a46348c46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0363e09a8e41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91cae7088b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f3d1fa9ec324d45" /></Relationships>
</file>

<file path=xl/worksheets/sheet1.xml><?xml version="1.0" encoding="utf-8"?>
<x:worksheet xmlns:x="http://schemas.openxmlformats.org/spreadsheetml/2006/main">
  <x:sheetPr>
    <x:tabColor rgb="FF2337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20" hidden="0" customWidth="1"/>
    <x:col min="5" max="5" width="20" hidden="0" customWidth="1"/>
    <x:col min="6" max="6" width="29" hidden="0" customWidth="1"/>
    <x:col min="7" max="7" width="20" hidden="0" customWidth="1"/>
    <x:col min="8" max="8" width="29" hidden="0" customWidth="1"/>
    <x:col min="9" max="9" width="2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9" hidden="0" customWidth="1"/>
    <x:col min="19" max="19" width="29" hidden="0" customWidth="1"/>
    <x:col min="20" max="20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5" customHeight="1">
      <x:c r="A2" s="16" t="str">
        <x:v>问题总览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3" ht="25" customHeight="1">
      <x:c r="A3" s="18" t="str">
        <x:v>评估日期</x:v>
      </x:c>
      <x:c r="B3" s="28" t="d">
        <x:v>2026-10-15T00:00:00.000Z</x:v>
      </x:c>
      <x:c r="C3" s="18" t="str">
        <x:v>每行一个问题。先更新评估日期，再查看复盘提醒。黄色输入，灰色计算。</x:v>
      </x:c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</x:row>
    <x:row r="4" ht="25" customHeight="1">
      <x:c r="A4" s="2" t="str">
        <x:v>已登记问题</x:v>
      </x:c>
      <x:c r="B4" s="2" t="n">
        <x:f>COUNTA('问题总览'!$A$7:$A$306)</x:f>
        <x:v>0</x:v>
      </x:c>
      <x:c r="C4" s="2"/>
      <x:c r="D4" s="2" t="str">
        <x:v>应复盘问题</x:v>
      </x:c>
      <x:c r="E4" s="2" t="n">
        <x:f>COUNTIFS('问题总览'!$Q$7:$Q$306,"应复盘")</x:f>
        <x:v>0</x:v>
      </x:c>
      <x:c r="F4" s="2"/>
      <x:c r="G4" s="2" t="str">
        <x:v>未结案问题</x:v>
      </x:c>
      <x:c r="H4" s="2" t="n">
        <x:f>B4-COUNTIFS('问题总览'!$D$7:$D$306,"已结案")</x:f>
        <x:v>0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0" customHeight="1">
      <x:c r="A6" s="12" t="str">
        <x:v>问题ID</x:v>
      </x:c>
      <x:c r="B6" s="13" t="str">
        <x:v>问题标题</x:v>
      </x:c>
      <x:c r="C6" s="13" t="str">
        <x:v>负责人</x:v>
      </x:c>
      <x:c r="D6" s="13" t="str">
        <x:v>工作状态</x:v>
      </x:c>
      <x:c r="E6" s="13" t="str">
        <x:v>行动相位</x:v>
      </x:c>
      <x:c r="F6" s="13" t="str">
        <x:v>当前方案ID</x:v>
      </x:c>
      <x:c r="G6" s="13" t="str">
        <x:v>理论版本</x:v>
      </x:c>
      <x:c r="H6" s="13" t="str">
        <x:v>分析引用</x:v>
      </x:c>
      <x:c r="I6" s="13" t="str">
        <x:v>下次复盘日</x:v>
      </x:c>
      <x:c r="J6" s="13" t="str">
        <x:v>币种</x:v>
      </x:c>
      <x:c r="K6" s="13" t="str">
        <x:v>现金预算</x:v>
      </x:c>
      <x:c r="L6" s="13" t="str">
        <x:v>时间预算（小时）</x:v>
      </x:c>
      <x:c r="M6" s="13" t="str">
        <x:v>累计支出</x:v>
      </x:c>
      <x:c r="N6" s="13" t="str">
        <x:v>累计耗时（小时）</x:v>
      </x:c>
      <x:c r="O6" s="13" t="str">
        <x:v>现金剩余</x:v>
      </x:c>
      <x:c r="P6" s="13" t="str">
        <x:v>时间剩余（小时）</x:v>
      </x:c>
      <x:c r="Q6" s="13" t="str">
        <x:v>复盘提醒</x:v>
      </x:c>
      <x:c r="R6" s="13" t="str">
        <x:v>登记提示</x:v>
      </x:c>
      <x:c r="S6" s="13" t="str">
        <x:v>项目索引路径</x:v>
      </x:c>
      <x:c r="T6" s="14" t="str">
        <x:v>结案文件</x:v>
      </x:c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20"/>
      <x:c r="J7" s="3"/>
      <x:c r="K7" s="22"/>
      <x:c r="L7" s="22"/>
      <x:c r="M7" s="24" t="str">
        <x:f>IF(A7="","",IF(COUNTIFS('执行日志'!$B$7:$B$306,A7)=0,"",IF(COUNTIFS('执行日志'!$B$7:$B$306,A7,'执行日志'!$L$7:$L$306,"有效",'执行日志'!$P$7:$P$306,"&lt;&gt;有效输入")&gt;0,"待核对",IF(COUNTIFS('执行日志'!$B$7:$B$306,A7,'执行日志'!$P$7:$P$306,"有效输入")=0,"",SUMIFS('执行日志'!$H$7:$H$306,'执行日志'!$B$7:$B$306,A7,'执行日志'!$P$7:$P$306,"有效输入")))))</x:f>
      </x:c>
      <x:c r="N7" s="24" t="str">
        <x:f>IF(A7="","",IF(COUNTIFS('执行日志'!$B$7:$B$306,A7)=0,"",IF(COUNTIFS('执行日志'!$B$7:$B$306,A7,'执行日志'!$L$7:$L$306,"有效",'执行日志'!$P$7:$P$306,"&lt;&gt;有效输入")&gt;0,"待核对",IF(COUNTIFS('执行日志'!$B$7:$B$306,A7,'执行日志'!$P$7:$P$306,"有效输入")=0,"",SUMIFS('执行日志'!$J$7:$J$306,'执行日志'!$B$7:$B$306,A7,'执行日志'!$P$7:$P$306,"有效输入")))))</x:f>
      </x:c>
      <x:c r="O7" s="24" t="str">
        <x:f>IF(A7="","",IF(NOT(ISNUMBER(K7)),"待定预算",IF(NOT(ISNUMBER(M7)),"暂无有效流水",K7-M7)))</x:f>
      </x:c>
      <x:c r="P7" s="24" t="str">
        <x:f>IF(A7="","",IF(NOT(ISNUMBER(L7)),"待定预算",IF(NOT(ISNUMBER(N7)),"暂无有效流水",L7-N7)))</x:f>
      </x:c>
      <x:c r="Q7" s="19" t="str">
        <x:f>IF(A7="","",IF(D7="已结案","已结案",IF(NOT(ISNUMBER(I7)),"待定复盘日",IF(NOT(ISNUMBER($B$3)),"待定评估日",IF(I7&lt;=$B$3,"应复盘","未到期")))))</x:f>
      </x:c>
      <x:c r="R7" s="19" t="str">
        <x:f>IF(A7="","",IF(COUNTIFS($A$7:$A$306,A7)&lt;&gt;1,"问题编号重复",IF(OR(B7="",C7="",D7="",G7="",S7=""),"待补基础信息",IF(AND(F7&lt;&gt;"",COUNTIFS('方案版本'!$A$7:$A$306,F7,'方案版本'!$B$7:$B$306,A7,'方案版本'!$L$7:$L$306,"已冻结")&lt;&gt;1),"当前方案引用无效",IF(AND(D7="执行中",F7=""),"执行缺方案",IF(AND(D7="已结案",OR(T7="",COUNTIFS('复盘记录'!$B$7:$B$306,A7)=0,COUNTIFS('更新日志'!$B$7:$B$306,A7)=0)),"结案资料待补","基础记录齐备"))))))</x:f>
      </x:c>
      <x:c r="S7" s="3"/>
      <x:c r="T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20"/>
      <x:c r="J8" s="3"/>
      <x:c r="K8" s="22"/>
      <x:c r="L8" s="22"/>
      <x:c r="M8" s="24" t="str">
        <x:f>IF(A8="","",IF(COUNTIFS('执行日志'!$B$7:$B$306,A8)=0,"",IF(COUNTIFS('执行日志'!$B$7:$B$306,A8,'执行日志'!$L$7:$L$306,"有效",'执行日志'!$P$7:$P$306,"&lt;&gt;有效输入")&gt;0,"待核对",IF(COUNTIFS('执行日志'!$B$7:$B$306,A8,'执行日志'!$P$7:$P$306,"有效输入")=0,"",SUMIFS('执行日志'!$H$7:$H$306,'执行日志'!$B$7:$B$306,A8,'执行日志'!$P$7:$P$306,"有效输入")))))</x:f>
      </x:c>
      <x:c r="N8" s="24" t="str">
        <x:f>IF(A8="","",IF(COUNTIFS('执行日志'!$B$7:$B$306,A8)=0,"",IF(COUNTIFS('执行日志'!$B$7:$B$306,A8,'执行日志'!$L$7:$L$306,"有效",'执行日志'!$P$7:$P$306,"&lt;&gt;有效输入")&gt;0,"待核对",IF(COUNTIFS('执行日志'!$B$7:$B$306,A8,'执行日志'!$P$7:$P$306,"有效输入")=0,"",SUMIFS('执行日志'!$J$7:$J$306,'执行日志'!$B$7:$B$306,A8,'执行日志'!$P$7:$P$306,"有效输入")))))</x:f>
      </x:c>
      <x:c r="O8" s="24" t="str">
        <x:f>IF(A8="","",IF(NOT(ISNUMBER(K8)),"待定预算",IF(NOT(ISNUMBER(M8)),"暂无有效流水",K8-M8)))</x:f>
      </x:c>
      <x:c r="P8" s="24" t="str">
        <x:f>IF(A8="","",IF(NOT(ISNUMBER(L8)),"待定预算",IF(NOT(ISNUMBER(N8)),"暂无有效流水",L8-N8)))</x:f>
      </x:c>
      <x:c r="Q8" s="19" t="str">
        <x:f>IF(A8="","",IF(D8="已结案","已结案",IF(NOT(ISNUMBER(I8)),"待定复盘日",IF(NOT(ISNUMBER($B$3)),"待定评估日",IF(I8&lt;=$B$3,"应复盘","未到期")))))</x:f>
      </x:c>
      <x:c r="R8" s="19" t="str">
        <x:f>IF(A8="","",IF(COUNTIFS($A$7:$A$306,A8)&lt;&gt;1,"问题编号重复",IF(OR(B8="",C8="",D8="",G8="",S8=""),"待补基础信息",IF(AND(F8&lt;&gt;"",COUNTIFS('方案版本'!$A$7:$A$306,F8,'方案版本'!$B$7:$B$306,A8,'方案版本'!$L$7:$L$306,"已冻结")&lt;&gt;1),"当前方案引用无效",IF(AND(D8="执行中",F8=""),"执行缺方案",IF(AND(D8="已结案",OR(T8="",COUNTIFS('复盘记录'!$B$7:$B$306,A8)=0,COUNTIFS('更新日志'!$B$7:$B$306,A8)=0)),"结案资料待补","基础记录齐备"))))))</x:f>
      </x:c>
      <x:c r="S8" s="3"/>
      <x:c r="T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20"/>
      <x:c r="J9" s="3"/>
      <x:c r="K9" s="22"/>
      <x:c r="L9" s="22"/>
      <x:c r="M9" s="24" t="str">
        <x:f>IF(A9="","",IF(COUNTIFS('执行日志'!$B$7:$B$306,A9)=0,"",IF(COUNTIFS('执行日志'!$B$7:$B$306,A9,'执行日志'!$L$7:$L$306,"有效",'执行日志'!$P$7:$P$306,"&lt;&gt;有效输入")&gt;0,"待核对",IF(COUNTIFS('执行日志'!$B$7:$B$306,A9,'执行日志'!$P$7:$P$306,"有效输入")=0,"",SUMIFS('执行日志'!$H$7:$H$306,'执行日志'!$B$7:$B$306,A9,'执行日志'!$P$7:$P$306,"有效输入")))))</x:f>
      </x:c>
      <x:c r="N9" s="24" t="str">
        <x:f>IF(A9="","",IF(COUNTIFS('执行日志'!$B$7:$B$306,A9)=0,"",IF(COUNTIFS('执行日志'!$B$7:$B$306,A9,'执行日志'!$L$7:$L$306,"有效",'执行日志'!$P$7:$P$306,"&lt;&gt;有效输入")&gt;0,"待核对",IF(COUNTIFS('执行日志'!$B$7:$B$306,A9,'执行日志'!$P$7:$P$306,"有效输入")=0,"",SUMIFS('执行日志'!$J$7:$J$306,'执行日志'!$B$7:$B$306,A9,'执行日志'!$P$7:$P$306,"有效输入")))))</x:f>
      </x:c>
      <x:c r="O9" s="24" t="str">
        <x:f>IF(A9="","",IF(NOT(ISNUMBER(K9)),"待定预算",IF(NOT(ISNUMBER(M9)),"暂无有效流水",K9-M9)))</x:f>
      </x:c>
      <x:c r="P9" s="24" t="str">
        <x:f>IF(A9="","",IF(NOT(ISNUMBER(L9)),"待定预算",IF(NOT(ISNUMBER(N9)),"暂无有效流水",L9-N9)))</x:f>
      </x:c>
      <x:c r="Q9" s="19" t="str">
        <x:f>IF(A9="","",IF(D9="已结案","已结案",IF(NOT(ISNUMBER(I9)),"待定复盘日",IF(NOT(ISNUMBER($B$3)),"待定评估日",IF(I9&lt;=$B$3,"应复盘","未到期")))))</x:f>
      </x:c>
      <x:c r="R9" s="19" t="str">
        <x:f>IF(A9="","",IF(COUNTIFS($A$7:$A$306,A9)&lt;&gt;1,"问题编号重复",IF(OR(B9="",C9="",D9="",G9="",S9=""),"待补基础信息",IF(AND(F9&lt;&gt;"",COUNTIFS('方案版本'!$A$7:$A$306,F9,'方案版本'!$B$7:$B$306,A9,'方案版本'!$L$7:$L$306,"已冻结")&lt;&gt;1),"当前方案引用无效",IF(AND(D9="执行中",F9=""),"执行缺方案",IF(AND(D9="已结案",OR(T9="",COUNTIFS('复盘记录'!$B$7:$B$306,A9)=0,COUNTIFS('更新日志'!$B$7:$B$306,A9)=0)),"结案资料待补","基础记录齐备"))))))</x:f>
      </x:c>
      <x:c r="S9" s="3"/>
      <x:c r="T9" s="3"/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20"/>
      <x:c r="J10" s="3"/>
      <x:c r="K10" s="22"/>
      <x:c r="L10" s="22"/>
      <x:c r="M10" s="24" t="str">
        <x:f>IF(A10="","",IF(COUNTIFS('执行日志'!$B$7:$B$306,A10)=0,"",IF(COUNTIFS('执行日志'!$B$7:$B$306,A10,'执行日志'!$L$7:$L$306,"有效",'执行日志'!$P$7:$P$306,"&lt;&gt;有效输入")&gt;0,"待核对",IF(COUNTIFS('执行日志'!$B$7:$B$306,A10,'执行日志'!$P$7:$P$306,"有效输入")=0,"",SUMIFS('执行日志'!$H$7:$H$306,'执行日志'!$B$7:$B$306,A10,'执行日志'!$P$7:$P$306,"有效输入")))))</x:f>
      </x:c>
      <x:c r="N10" s="24" t="str">
        <x:f>IF(A10="","",IF(COUNTIFS('执行日志'!$B$7:$B$306,A10)=0,"",IF(COUNTIFS('执行日志'!$B$7:$B$306,A10,'执行日志'!$L$7:$L$306,"有效",'执行日志'!$P$7:$P$306,"&lt;&gt;有效输入")&gt;0,"待核对",IF(COUNTIFS('执行日志'!$B$7:$B$306,A10,'执行日志'!$P$7:$P$306,"有效输入")=0,"",SUMIFS('执行日志'!$J$7:$J$306,'执行日志'!$B$7:$B$306,A10,'执行日志'!$P$7:$P$306,"有效输入")))))</x:f>
      </x:c>
      <x:c r="O10" s="24" t="str">
        <x:f>IF(A10="","",IF(NOT(ISNUMBER(K10)),"待定预算",IF(NOT(ISNUMBER(M10)),"暂无有效流水",K10-M10)))</x:f>
      </x:c>
      <x:c r="P10" s="24" t="str">
        <x:f>IF(A10="","",IF(NOT(ISNUMBER(L10)),"待定预算",IF(NOT(ISNUMBER(N10)),"暂无有效流水",L10-N10)))</x:f>
      </x:c>
      <x:c r="Q10" s="19" t="str">
        <x:f>IF(A10="","",IF(D10="已结案","已结案",IF(NOT(ISNUMBER(I10)),"待定复盘日",IF(NOT(ISNUMBER($B$3)),"待定评估日",IF(I10&lt;=$B$3,"应复盘","未到期")))))</x:f>
      </x:c>
      <x:c r="R10" s="19" t="str">
        <x:f>IF(A10="","",IF(COUNTIFS($A$7:$A$306,A10)&lt;&gt;1,"问题编号重复",IF(OR(B10="",C10="",D10="",G10="",S10=""),"待补基础信息",IF(AND(F10&lt;&gt;"",COUNTIFS('方案版本'!$A$7:$A$306,F10,'方案版本'!$B$7:$B$306,A10,'方案版本'!$L$7:$L$306,"已冻结")&lt;&gt;1),"当前方案引用无效",IF(AND(D10="执行中",F10=""),"执行缺方案",IF(AND(D10="已结案",OR(T10="",COUNTIFS('复盘记录'!$B$7:$B$306,A10)=0,COUNTIFS('更新日志'!$B$7:$B$306,A10)=0)),"结案资料待补","基础记录齐备"))))))</x:f>
      </x:c>
      <x:c r="S10" s="3"/>
      <x:c r="T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20"/>
      <x:c r="J11" s="3"/>
      <x:c r="K11" s="22"/>
      <x:c r="L11" s="22"/>
      <x:c r="M11" s="24" t="str">
        <x:f>IF(A11="","",IF(COUNTIFS('执行日志'!$B$7:$B$306,A11)=0,"",IF(COUNTIFS('执行日志'!$B$7:$B$306,A11,'执行日志'!$L$7:$L$306,"有效",'执行日志'!$P$7:$P$306,"&lt;&gt;有效输入")&gt;0,"待核对",IF(COUNTIFS('执行日志'!$B$7:$B$306,A11,'执行日志'!$P$7:$P$306,"有效输入")=0,"",SUMIFS('执行日志'!$H$7:$H$306,'执行日志'!$B$7:$B$306,A11,'执行日志'!$P$7:$P$306,"有效输入")))))</x:f>
      </x:c>
      <x:c r="N11" s="24" t="str">
        <x:f>IF(A11="","",IF(COUNTIFS('执行日志'!$B$7:$B$306,A11)=0,"",IF(COUNTIFS('执行日志'!$B$7:$B$306,A11,'执行日志'!$L$7:$L$306,"有效",'执行日志'!$P$7:$P$306,"&lt;&gt;有效输入")&gt;0,"待核对",IF(COUNTIFS('执行日志'!$B$7:$B$306,A11,'执行日志'!$P$7:$P$306,"有效输入")=0,"",SUMIFS('执行日志'!$J$7:$J$306,'执行日志'!$B$7:$B$306,A11,'执行日志'!$P$7:$P$306,"有效输入")))))</x:f>
      </x:c>
      <x:c r="O11" s="24" t="str">
        <x:f>IF(A11="","",IF(NOT(ISNUMBER(K11)),"待定预算",IF(NOT(ISNUMBER(M11)),"暂无有效流水",K11-M11)))</x:f>
      </x:c>
      <x:c r="P11" s="24" t="str">
        <x:f>IF(A11="","",IF(NOT(ISNUMBER(L11)),"待定预算",IF(NOT(ISNUMBER(N11)),"暂无有效流水",L11-N11)))</x:f>
      </x:c>
      <x:c r="Q11" s="19" t="str">
        <x:f>IF(A11="","",IF(D11="已结案","已结案",IF(NOT(ISNUMBER(I11)),"待定复盘日",IF(NOT(ISNUMBER($B$3)),"待定评估日",IF(I11&lt;=$B$3,"应复盘","未到期")))))</x:f>
      </x:c>
      <x:c r="R11" s="19" t="str">
        <x:f>IF(A11="","",IF(COUNTIFS($A$7:$A$306,A11)&lt;&gt;1,"问题编号重复",IF(OR(B11="",C11="",D11="",G11="",S11=""),"待补基础信息",IF(AND(F11&lt;&gt;"",COUNTIFS('方案版本'!$A$7:$A$306,F11,'方案版本'!$B$7:$B$306,A11,'方案版本'!$L$7:$L$306,"已冻结")&lt;&gt;1),"当前方案引用无效",IF(AND(D11="执行中",F11=""),"执行缺方案",IF(AND(D11="已结案",OR(T11="",COUNTIFS('复盘记录'!$B$7:$B$306,A11)=0,COUNTIFS('更新日志'!$B$7:$B$306,A11)=0)),"结案资料待补","基础记录齐备"))))))</x:f>
      </x:c>
      <x:c r="S11" s="3"/>
      <x:c r="T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20"/>
      <x:c r="J12" s="3"/>
      <x:c r="K12" s="22"/>
      <x:c r="L12" s="22"/>
      <x:c r="M12" s="24" t="str">
        <x:f>IF(A12="","",IF(COUNTIFS('执行日志'!$B$7:$B$306,A12)=0,"",IF(COUNTIFS('执行日志'!$B$7:$B$306,A12,'执行日志'!$L$7:$L$306,"有效",'执行日志'!$P$7:$P$306,"&lt;&gt;有效输入")&gt;0,"待核对",IF(COUNTIFS('执行日志'!$B$7:$B$306,A12,'执行日志'!$P$7:$P$306,"有效输入")=0,"",SUMIFS('执行日志'!$H$7:$H$306,'执行日志'!$B$7:$B$306,A12,'执行日志'!$P$7:$P$306,"有效输入")))))</x:f>
      </x:c>
      <x:c r="N12" s="24" t="str">
        <x:f>IF(A12="","",IF(COUNTIFS('执行日志'!$B$7:$B$306,A12)=0,"",IF(COUNTIFS('执行日志'!$B$7:$B$306,A12,'执行日志'!$L$7:$L$306,"有效",'执行日志'!$P$7:$P$306,"&lt;&gt;有效输入")&gt;0,"待核对",IF(COUNTIFS('执行日志'!$B$7:$B$306,A12,'执行日志'!$P$7:$P$306,"有效输入")=0,"",SUMIFS('执行日志'!$J$7:$J$306,'执行日志'!$B$7:$B$306,A12,'执行日志'!$P$7:$P$306,"有效输入")))))</x:f>
      </x:c>
      <x:c r="O12" s="24" t="str">
        <x:f>IF(A12="","",IF(NOT(ISNUMBER(K12)),"待定预算",IF(NOT(ISNUMBER(M12)),"暂无有效流水",K12-M12)))</x:f>
      </x:c>
      <x:c r="P12" s="24" t="str">
        <x:f>IF(A12="","",IF(NOT(ISNUMBER(L12)),"待定预算",IF(NOT(ISNUMBER(N12)),"暂无有效流水",L12-N12)))</x:f>
      </x:c>
      <x:c r="Q12" s="19" t="str">
        <x:f>IF(A12="","",IF(D12="已结案","已结案",IF(NOT(ISNUMBER(I12)),"待定复盘日",IF(NOT(ISNUMBER($B$3)),"待定评估日",IF(I12&lt;=$B$3,"应复盘","未到期")))))</x:f>
      </x:c>
      <x:c r="R12" s="19" t="str">
        <x:f>IF(A12="","",IF(COUNTIFS($A$7:$A$306,A12)&lt;&gt;1,"问题编号重复",IF(OR(B12="",C12="",D12="",G12="",S12=""),"待补基础信息",IF(AND(F12&lt;&gt;"",COUNTIFS('方案版本'!$A$7:$A$306,F12,'方案版本'!$B$7:$B$306,A12,'方案版本'!$L$7:$L$306,"已冻结")&lt;&gt;1),"当前方案引用无效",IF(AND(D12="执行中",F12=""),"执行缺方案",IF(AND(D12="已结案",OR(T12="",COUNTIFS('复盘记录'!$B$7:$B$306,A12)=0,COUNTIFS('更新日志'!$B$7:$B$306,A12)=0)),"结案资料待补","基础记录齐备"))))))</x:f>
      </x:c>
      <x:c r="S12" s="3"/>
      <x:c r="T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20"/>
      <x:c r="J13" s="3"/>
      <x:c r="K13" s="22"/>
      <x:c r="L13" s="22"/>
      <x:c r="M13" s="24" t="str">
        <x:f>IF(A13="","",IF(COUNTIFS('执行日志'!$B$7:$B$306,A13)=0,"",IF(COUNTIFS('执行日志'!$B$7:$B$306,A13,'执行日志'!$L$7:$L$306,"有效",'执行日志'!$P$7:$P$306,"&lt;&gt;有效输入")&gt;0,"待核对",IF(COUNTIFS('执行日志'!$B$7:$B$306,A13,'执行日志'!$P$7:$P$306,"有效输入")=0,"",SUMIFS('执行日志'!$H$7:$H$306,'执行日志'!$B$7:$B$306,A13,'执行日志'!$P$7:$P$306,"有效输入")))))</x:f>
      </x:c>
      <x:c r="N13" s="24" t="str">
        <x:f>IF(A13="","",IF(COUNTIFS('执行日志'!$B$7:$B$306,A13)=0,"",IF(COUNTIFS('执行日志'!$B$7:$B$306,A13,'执行日志'!$L$7:$L$306,"有效",'执行日志'!$P$7:$P$306,"&lt;&gt;有效输入")&gt;0,"待核对",IF(COUNTIFS('执行日志'!$B$7:$B$306,A13,'执行日志'!$P$7:$P$306,"有效输入")=0,"",SUMIFS('执行日志'!$J$7:$J$306,'执行日志'!$B$7:$B$306,A13,'执行日志'!$P$7:$P$306,"有效输入")))))</x:f>
      </x:c>
      <x:c r="O13" s="24" t="str">
        <x:f>IF(A13="","",IF(NOT(ISNUMBER(K13)),"待定预算",IF(NOT(ISNUMBER(M13)),"暂无有效流水",K13-M13)))</x:f>
      </x:c>
      <x:c r="P13" s="24" t="str">
        <x:f>IF(A13="","",IF(NOT(ISNUMBER(L13)),"待定预算",IF(NOT(ISNUMBER(N13)),"暂无有效流水",L13-N13)))</x:f>
      </x:c>
      <x:c r="Q13" s="19" t="str">
        <x:f>IF(A13="","",IF(D13="已结案","已结案",IF(NOT(ISNUMBER(I13)),"待定复盘日",IF(NOT(ISNUMBER($B$3)),"待定评估日",IF(I13&lt;=$B$3,"应复盘","未到期")))))</x:f>
      </x:c>
      <x:c r="R13" s="19" t="str">
        <x:f>IF(A13="","",IF(COUNTIFS($A$7:$A$306,A13)&lt;&gt;1,"问题编号重复",IF(OR(B13="",C13="",D13="",G13="",S13=""),"待补基础信息",IF(AND(F13&lt;&gt;"",COUNTIFS('方案版本'!$A$7:$A$306,F13,'方案版本'!$B$7:$B$306,A13,'方案版本'!$L$7:$L$306,"已冻结")&lt;&gt;1),"当前方案引用无效",IF(AND(D13="执行中",F13=""),"执行缺方案",IF(AND(D13="已结案",OR(T13="",COUNTIFS('复盘记录'!$B$7:$B$306,A13)=0,COUNTIFS('更新日志'!$B$7:$B$306,A13)=0)),"结案资料待补","基础记录齐备"))))))</x:f>
      </x:c>
      <x:c r="S13" s="3"/>
      <x:c r="T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20"/>
      <x:c r="J14" s="3"/>
      <x:c r="K14" s="22"/>
      <x:c r="L14" s="22"/>
      <x:c r="M14" s="24" t="str">
        <x:f>IF(A14="","",IF(COUNTIFS('执行日志'!$B$7:$B$306,A14)=0,"",IF(COUNTIFS('执行日志'!$B$7:$B$306,A14,'执行日志'!$L$7:$L$306,"有效",'执行日志'!$P$7:$P$306,"&lt;&gt;有效输入")&gt;0,"待核对",IF(COUNTIFS('执行日志'!$B$7:$B$306,A14,'执行日志'!$P$7:$P$306,"有效输入")=0,"",SUMIFS('执行日志'!$H$7:$H$306,'执行日志'!$B$7:$B$306,A14,'执行日志'!$P$7:$P$306,"有效输入")))))</x:f>
      </x:c>
      <x:c r="N14" s="24" t="str">
        <x:f>IF(A14="","",IF(COUNTIFS('执行日志'!$B$7:$B$306,A14)=0,"",IF(COUNTIFS('执行日志'!$B$7:$B$306,A14,'执行日志'!$L$7:$L$306,"有效",'执行日志'!$P$7:$P$306,"&lt;&gt;有效输入")&gt;0,"待核对",IF(COUNTIFS('执行日志'!$B$7:$B$306,A14,'执行日志'!$P$7:$P$306,"有效输入")=0,"",SUMIFS('执行日志'!$J$7:$J$306,'执行日志'!$B$7:$B$306,A14,'执行日志'!$P$7:$P$306,"有效输入")))))</x:f>
      </x:c>
      <x:c r="O14" s="24" t="str">
        <x:f>IF(A14="","",IF(NOT(ISNUMBER(K14)),"待定预算",IF(NOT(ISNUMBER(M14)),"暂无有效流水",K14-M14)))</x:f>
      </x:c>
      <x:c r="P14" s="24" t="str">
        <x:f>IF(A14="","",IF(NOT(ISNUMBER(L14)),"待定预算",IF(NOT(ISNUMBER(N14)),"暂无有效流水",L14-N14)))</x:f>
      </x:c>
      <x:c r="Q14" s="19" t="str">
        <x:f>IF(A14="","",IF(D14="已结案","已结案",IF(NOT(ISNUMBER(I14)),"待定复盘日",IF(NOT(ISNUMBER($B$3)),"待定评估日",IF(I14&lt;=$B$3,"应复盘","未到期")))))</x:f>
      </x:c>
      <x:c r="R14" s="19" t="str">
        <x:f>IF(A14="","",IF(COUNTIFS($A$7:$A$306,A14)&lt;&gt;1,"问题编号重复",IF(OR(B14="",C14="",D14="",G14="",S14=""),"待补基础信息",IF(AND(F14&lt;&gt;"",COUNTIFS('方案版本'!$A$7:$A$306,F14,'方案版本'!$B$7:$B$306,A14,'方案版本'!$L$7:$L$306,"已冻结")&lt;&gt;1),"当前方案引用无效",IF(AND(D14="执行中",F14=""),"执行缺方案",IF(AND(D14="已结案",OR(T14="",COUNTIFS('复盘记录'!$B$7:$B$306,A14)=0,COUNTIFS('更新日志'!$B$7:$B$306,A14)=0)),"结案资料待补","基础记录齐备"))))))</x:f>
      </x:c>
      <x:c r="S14" s="3"/>
      <x:c r="T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20"/>
      <x:c r="J15" s="3"/>
      <x:c r="K15" s="22"/>
      <x:c r="L15" s="22"/>
      <x:c r="M15" s="24" t="str">
        <x:f>IF(A15="","",IF(COUNTIFS('执行日志'!$B$7:$B$306,A15)=0,"",IF(COUNTIFS('执行日志'!$B$7:$B$306,A15,'执行日志'!$L$7:$L$306,"有效",'执行日志'!$P$7:$P$306,"&lt;&gt;有效输入")&gt;0,"待核对",IF(COUNTIFS('执行日志'!$B$7:$B$306,A15,'执行日志'!$P$7:$P$306,"有效输入")=0,"",SUMIFS('执行日志'!$H$7:$H$306,'执行日志'!$B$7:$B$306,A15,'执行日志'!$P$7:$P$306,"有效输入")))))</x:f>
      </x:c>
      <x:c r="N15" s="24" t="str">
        <x:f>IF(A15="","",IF(COUNTIFS('执行日志'!$B$7:$B$306,A15)=0,"",IF(COUNTIFS('执行日志'!$B$7:$B$306,A15,'执行日志'!$L$7:$L$306,"有效",'执行日志'!$P$7:$P$306,"&lt;&gt;有效输入")&gt;0,"待核对",IF(COUNTIFS('执行日志'!$B$7:$B$306,A15,'执行日志'!$P$7:$P$306,"有效输入")=0,"",SUMIFS('执行日志'!$J$7:$J$306,'执行日志'!$B$7:$B$306,A15,'执行日志'!$P$7:$P$306,"有效输入")))))</x:f>
      </x:c>
      <x:c r="O15" s="24" t="str">
        <x:f>IF(A15="","",IF(NOT(ISNUMBER(K15)),"待定预算",IF(NOT(ISNUMBER(M15)),"暂无有效流水",K15-M15)))</x:f>
      </x:c>
      <x:c r="P15" s="24" t="str">
        <x:f>IF(A15="","",IF(NOT(ISNUMBER(L15)),"待定预算",IF(NOT(ISNUMBER(N15)),"暂无有效流水",L15-N15)))</x:f>
      </x:c>
      <x:c r="Q15" s="19" t="str">
        <x:f>IF(A15="","",IF(D15="已结案","已结案",IF(NOT(ISNUMBER(I15)),"待定复盘日",IF(NOT(ISNUMBER($B$3)),"待定评估日",IF(I15&lt;=$B$3,"应复盘","未到期")))))</x:f>
      </x:c>
      <x:c r="R15" s="19" t="str">
        <x:f>IF(A15="","",IF(COUNTIFS($A$7:$A$306,A15)&lt;&gt;1,"问题编号重复",IF(OR(B15="",C15="",D15="",G15="",S15=""),"待补基础信息",IF(AND(F15&lt;&gt;"",COUNTIFS('方案版本'!$A$7:$A$306,F15,'方案版本'!$B$7:$B$306,A15,'方案版本'!$L$7:$L$306,"已冻结")&lt;&gt;1),"当前方案引用无效",IF(AND(D15="执行中",F15=""),"执行缺方案",IF(AND(D15="已结案",OR(T15="",COUNTIFS('复盘记录'!$B$7:$B$306,A15)=0,COUNTIFS('更新日志'!$B$7:$B$306,A15)=0)),"结案资料待补","基础记录齐备"))))))</x:f>
      </x:c>
      <x:c r="S15" s="3"/>
      <x:c r="T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20"/>
      <x:c r="J16" s="3"/>
      <x:c r="K16" s="22"/>
      <x:c r="L16" s="22"/>
      <x:c r="M16" s="24" t="str">
        <x:f>IF(A16="","",IF(COUNTIFS('执行日志'!$B$7:$B$306,A16)=0,"",IF(COUNTIFS('执行日志'!$B$7:$B$306,A16,'执行日志'!$L$7:$L$306,"有效",'执行日志'!$P$7:$P$306,"&lt;&gt;有效输入")&gt;0,"待核对",IF(COUNTIFS('执行日志'!$B$7:$B$306,A16,'执行日志'!$P$7:$P$306,"有效输入")=0,"",SUMIFS('执行日志'!$H$7:$H$306,'执行日志'!$B$7:$B$306,A16,'执行日志'!$P$7:$P$306,"有效输入")))))</x:f>
      </x:c>
      <x:c r="N16" s="24" t="str">
        <x:f>IF(A16="","",IF(COUNTIFS('执行日志'!$B$7:$B$306,A16)=0,"",IF(COUNTIFS('执行日志'!$B$7:$B$306,A16,'执行日志'!$L$7:$L$306,"有效",'执行日志'!$P$7:$P$306,"&lt;&gt;有效输入")&gt;0,"待核对",IF(COUNTIFS('执行日志'!$B$7:$B$306,A16,'执行日志'!$P$7:$P$306,"有效输入")=0,"",SUMIFS('执行日志'!$J$7:$J$306,'执行日志'!$B$7:$B$306,A16,'执行日志'!$P$7:$P$306,"有效输入")))))</x:f>
      </x:c>
      <x:c r="O16" s="24" t="str">
        <x:f>IF(A16="","",IF(NOT(ISNUMBER(K16)),"待定预算",IF(NOT(ISNUMBER(M16)),"暂无有效流水",K16-M16)))</x:f>
      </x:c>
      <x:c r="P16" s="24" t="str">
        <x:f>IF(A16="","",IF(NOT(ISNUMBER(L16)),"待定预算",IF(NOT(ISNUMBER(N16)),"暂无有效流水",L16-N16)))</x:f>
      </x:c>
      <x:c r="Q16" s="19" t="str">
        <x:f>IF(A16="","",IF(D16="已结案","已结案",IF(NOT(ISNUMBER(I16)),"待定复盘日",IF(NOT(ISNUMBER($B$3)),"待定评估日",IF(I16&lt;=$B$3,"应复盘","未到期")))))</x:f>
      </x:c>
      <x:c r="R16" s="19" t="str">
        <x:f>IF(A16="","",IF(COUNTIFS($A$7:$A$306,A16)&lt;&gt;1,"问题编号重复",IF(OR(B16="",C16="",D16="",G16="",S16=""),"待补基础信息",IF(AND(F16&lt;&gt;"",COUNTIFS('方案版本'!$A$7:$A$306,F16,'方案版本'!$B$7:$B$306,A16,'方案版本'!$L$7:$L$306,"已冻结")&lt;&gt;1),"当前方案引用无效",IF(AND(D16="执行中",F16=""),"执行缺方案",IF(AND(D16="已结案",OR(T16="",COUNTIFS('复盘记录'!$B$7:$B$306,A16)=0,COUNTIFS('更新日志'!$B$7:$B$306,A16)=0)),"结案资料待补","基础记录齐备"))))))</x:f>
      </x:c>
      <x:c r="S16" s="3"/>
      <x:c r="T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20"/>
      <x:c r="J17" s="3"/>
      <x:c r="K17" s="22"/>
      <x:c r="L17" s="22"/>
      <x:c r="M17" s="24" t="str">
        <x:f>IF(A17="","",IF(COUNTIFS('执行日志'!$B$7:$B$306,A17)=0,"",IF(COUNTIFS('执行日志'!$B$7:$B$306,A17,'执行日志'!$L$7:$L$306,"有效",'执行日志'!$P$7:$P$306,"&lt;&gt;有效输入")&gt;0,"待核对",IF(COUNTIFS('执行日志'!$B$7:$B$306,A17,'执行日志'!$P$7:$P$306,"有效输入")=0,"",SUMIFS('执行日志'!$H$7:$H$306,'执行日志'!$B$7:$B$306,A17,'执行日志'!$P$7:$P$306,"有效输入")))))</x:f>
      </x:c>
      <x:c r="N17" s="24" t="str">
        <x:f>IF(A17="","",IF(COUNTIFS('执行日志'!$B$7:$B$306,A17)=0,"",IF(COUNTIFS('执行日志'!$B$7:$B$306,A17,'执行日志'!$L$7:$L$306,"有效",'执行日志'!$P$7:$P$306,"&lt;&gt;有效输入")&gt;0,"待核对",IF(COUNTIFS('执行日志'!$B$7:$B$306,A17,'执行日志'!$P$7:$P$306,"有效输入")=0,"",SUMIFS('执行日志'!$J$7:$J$306,'执行日志'!$B$7:$B$306,A17,'执行日志'!$P$7:$P$306,"有效输入")))))</x:f>
      </x:c>
      <x:c r="O17" s="24" t="str">
        <x:f>IF(A17="","",IF(NOT(ISNUMBER(K17)),"待定预算",IF(NOT(ISNUMBER(M17)),"暂无有效流水",K17-M17)))</x:f>
      </x:c>
      <x:c r="P17" s="24" t="str">
        <x:f>IF(A17="","",IF(NOT(ISNUMBER(L17)),"待定预算",IF(NOT(ISNUMBER(N17)),"暂无有效流水",L17-N17)))</x:f>
      </x:c>
      <x:c r="Q17" s="19" t="str">
        <x:f>IF(A17="","",IF(D17="已结案","已结案",IF(NOT(ISNUMBER(I17)),"待定复盘日",IF(NOT(ISNUMBER($B$3)),"待定评估日",IF(I17&lt;=$B$3,"应复盘","未到期")))))</x:f>
      </x:c>
      <x:c r="R17" s="19" t="str">
        <x:f>IF(A17="","",IF(COUNTIFS($A$7:$A$306,A17)&lt;&gt;1,"问题编号重复",IF(OR(B17="",C17="",D17="",G17="",S17=""),"待补基础信息",IF(AND(F17&lt;&gt;"",COUNTIFS('方案版本'!$A$7:$A$306,F17,'方案版本'!$B$7:$B$306,A17,'方案版本'!$L$7:$L$306,"已冻结")&lt;&gt;1),"当前方案引用无效",IF(AND(D17="执行中",F17=""),"执行缺方案",IF(AND(D17="已结案",OR(T17="",COUNTIFS('复盘记录'!$B$7:$B$306,A17)=0,COUNTIFS('更新日志'!$B$7:$B$306,A17)=0)),"结案资料待补","基础记录齐备"))))))</x:f>
      </x:c>
      <x:c r="S17" s="3"/>
      <x:c r="T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20"/>
      <x:c r="J18" s="3"/>
      <x:c r="K18" s="22"/>
      <x:c r="L18" s="22"/>
      <x:c r="M18" s="24" t="str">
        <x:f>IF(A18="","",IF(COUNTIFS('执行日志'!$B$7:$B$306,A18)=0,"",IF(COUNTIFS('执行日志'!$B$7:$B$306,A18,'执行日志'!$L$7:$L$306,"有效",'执行日志'!$P$7:$P$306,"&lt;&gt;有效输入")&gt;0,"待核对",IF(COUNTIFS('执行日志'!$B$7:$B$306,A18,'执行日志'!$P$7:$P$306,"有效输入")=0,"",SUMIFS('执行日志'!$H$7:$H$306,'执行日志'!$B$7:$B$306,A18,'执行日志'!$P$7:$P$306,"有效输入")))))</x:f>
      </x:c>
      <x:c r="N18" s="24" t="str">
        <x:f>IF(A18="","",IF(COUNTIFS('执行日志'!$B$7:$B$306,A18)=0,"",IF(COUNTIFS('执行日志'!$B$7:$B$306,A18,'执行日志'!$L$7:$L$306,"有效",'执行日志'!$P$7:$P$306,"&lt;&gt;有效输入")&gt;0,"待核对",IF(COUNTIFS('执行日志'!$B$7:$B$306,A18,'执行日志'!$P$7:$P$306,"有效输入")=0,"",SUMIFS('执行日志'!$J$7:$J$306,'执行日志'!$B$7:$B$306,A18,'执行日志'!$P$7:$P$306,"有效输入")))))</x:f>
      </x:c>
      <x:c r="O18" s="24" t="str">
        <x:f>IF(A18="","",IF(NOT(ISNUMBER(K18)),"待定预算",IF(NOT(ISNUMBER(M18)),"暂无有效流水",K18-M18)))</x:f>
      </x:c>
      <x:c r="P18" s="24" t="str">
        <x:f>IF(A18="","",IF(NOT(ISNUMBER(L18)),"待定预算",IF(NOT(ISNUMBER(N18)),"暂无有效流水",L18-N18)))</x:f>
      </x:c>
      <x:c r="Q18" s="19" t="str">
        <x:f>IF(A18="","",IF(D18="已结案","已结案",IF(NOT(ISNUMBER(I18)),"待定复盘日",IF(NOT(ISNUMBER($B$3)),"待定评估日",IF(I18&lt;=$B$3,"应复盘","未到期")))))</x:f>
      </x:c>
      <x:c r="R18" s="19" t="str">
        <x:f>IF(A18="","",IF(COUNTIFS($A$7:$A$306,A18)&lt;&gt;1,"问题编号重复",IF(OR(B18="",C18="",D18="",G18="",S18=""),"待补基础信息",IF(AND(F18&lt;&gt;"",COUNTIFS('方案版本'!$A$7:$A$306,F18,'方案版本'!$B$7:$B$306,A18,'方案版本'!$L$7:$L$306,"已冻结")&lt;&gt;1),"当前方案引用无效",IF(AND(D18="执行中",F18=""),"执行缺方案",IF(AND(D18="已结案",OR(T18="",COUNTIFS('复盘记录'!$B$7:$B$306,A18)=0,COUNTIFS('更新日志'!$B$7:$B$306,A18)=0)),"结案资料待补","基础记录齐备"))))))</x:f>
      </x:c>
      <x:c r="S18" s="3"/>
      <x:c r="T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20"/>
      <x:c r="J19" s="3"/>
      <x:c r="K19" s="22"/>
      <x:c r="L19" s="22"/>
      <x:c r="M19" s="24" t="str">
        <x:f>IF(A19="","",IF(COUNTIFS('执行日志'!$B$7:$B$306,A19)=0,"",IF(COUNTIFS('执行日志'!$B$7:$B$306,A19,'执行日志'!$L$7:$L$306,"有效",'执行日志'!$P$7:$P$306,"&lt;&gt;有效输入")&gt;0,"待核对",IF(COUNTIFS('执行日志'!$B$7:$B$306,A19,'执行日志'!$P$7:$P$306,"有效输入")=0,"",SUMIFS('执行日志'!$H$7:$H$306,'执行日志'!$B$7:$B$306,A19,'执行日志'!$P$7:$P$306,"有效输入")))))</x:f>
      </x:c>
      <x:c r="N19" s="24" t="str">
        <x:f>IF(A19="","",IF(COUNTIFS('执行日志'!$B$7:$B$306,A19)=0,"",IF(COUNTIFS('执行日志'!$B$7:$B$306,A19,'执行日志'!$L$7:$L$306,"有效",'执行日志'!$P$7:$P$306,"&lt;&gt;有效输入")&gt;0,"待核对",IF(COUNTIFS('执行日志'!$B$7:$B$306,A19,'执行日志'!$P$7:$P$306,"有效输入")=0,"",SUMIFS('执行日志'!$J$7:$J$306,'执行日志'!$B$7:$B$306,A19,'执行日志'!$P$7:$P$306,"有效输入")))))</x:f>
      </x:c>
      <x:c r="O19" s="24" t="str">
        <x:f>IF(A19="","",IF(NOT(ISNUMBER(K19)),"待定预算",IF(NOT(ISNUMBER(M19)),"暂无有效流水",K19-M19)))</x:f>
      </x:c>
      <x:c r="P19" s="24" t="str">
        <x:f>IF(A19="","",IF(NOT(ISNUMBER(L19)),"待定预算",IF(NOT(ISNUMBER(N19)),"暂无有效流水",L19-N19)))</x:f>
      </x:c>
      <x:c r="Q19" s="19" t="str">
        <x:f>IF(A19="","",IF(D19="已结案","已结案",IF(NOT(ISNUMBER(I19)),"待定复盘日",IF(NOT(ISNUMBER($B$3)),"待定评估日",IF(I19&lt;=$B$3,"应复盘","未到期")))))</x:f>
      </x:c>
      <x:c r="R19" s="19" t="str">
        <x:f>IF(A19="","",IF(COUNTIFS($A$7:$A$306,A19)&lt;&gt;1,"问题编号重复",IF(OR(B19="",C19="",D19="",G19="",S19=""),"待补基础信息",IF(AND(F19&lt;&gt;"",COUNTIFS('方案版本'!$A$7:$A$306,F19,'方案版本'!$B$7:$B$306,A19,'方案版本'!$L$7:$L$306,"已冻结")&lt;&gt;1),"当前方案引用无效",IF(AND(D19="执行中",F19=""),"执行缺方案",IF(AND(D19="已结案",OR(T19="",COUNTIFS('复盘记录'!$B$7:$B$306,A19)=0,COUNTIFS('更新日志'!$B$7:$B$306,A19)=0)),"结案资料待补","基础记录齐备"))))))</x:f>
      </x:c>
      <x:c r="S19" s="3"/>
      <x:c r="T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20"/>
      <x:c r="J20" s="3"/>
      <x:c r="K20" s="22"/>
      <x:c r="L20" s="22"/>
      <x:c r="M20" s="24" t="str">
        <x:f>IF(A20="","",IF(COUNTIFS('执行日志'!$B$7:$B$306,A20)=0,"",IF(COUNTIFS('执行日志'!$B$7:$B$306,A20,'执行日志'!$L$7:$L$306,"有效",'执行日志'!$P$7:$P$306,"&lt;&gt;有效输入")&gt;0,"待核对",IF(COUNTIFS('执行日志'!$B$7:$B$306,A20,'执行日志'!$P$7:$P$306,"有效输入")=0,"",SUMIFS('执行日志'!$H$7:$H$306,'执行日志'!$B$7:$B$306,A20,'执行日志'!$P$7:$P$306,"有效输入")))))</x:f>
      </x:c>
      <x:c r="N20" s="24" t="str">
        <x:f>IF(A20="","",IF(COUNTIFS('执行日志'!$B$7:$B$306,A20)=0,"",IF(COUNTIFS('执行日志'!$B$7:$B$306,A20,'执行日志'!$L$7:$L$306,"有效",'执行日志'!$P$7:$P$306,"&lt;&gt;有效输入")&gt;0,"待核对",IF(COUNTIFS('执行日志'!$B$7:$B$306,A20,'执行日志'!$P$7:$P$306,"有效输入")=0,"",SUMIFS('执行日志'!$J$7:$J$306,'执行日志'!$B$7:$B$306,A20,'执行日志'!$P$7:$P$306,"有效输入")))))</x:f>
      </x:c>
      <x:c r="O20" s="24" t="str">
        <x:f>IF(A20="","",IF(NOT(ISNUMBER(K20)),"待定预算",IF(NOT(ISNUMBER(M20)),"暂无有效流水",K20-M20)))</x:f>
      </x:c>
      <x:c r="P20" s="24" t="str">
        <x:f>IF(A20="","",IF(NOT(ISNUMBER(L20)),"待定预算",IF(NOT(ISNUMBER(N20)),"暂无有效流水",L20-N20)))</x:f>
      </x:c>
      <x:c r="Q20" s="19" t="str">
        <x:f>IF(A20="","",IF(D20="已结案","已结案",IF(NOT(ISNUMBER(I20)),"待定复盘日",IF(NOT(ISNUMBER($B$3)),"待定评估日",IF(I20&lt;=$B$3,"应复盘","未到期")))))</x:f>
      </x:c>
      <x:c r="R20" s="19" t="str">
        <x:f>IF(A20="","",IF(COUNTIFS($A$7:$A$306,A20)&lt;&gt;1,"问题编号重复",IF(OR(B20="",C20="",D20="",G20="",S20=""),"待补基础信息",IF(AND(F20&lt;&gt;"",COUNTIFS('方案版本'!$A$7:$A$306,F20,'方案版本'!$B$7:$B$306,A20,'方案版本'!$L$7:$L$306,"已冻结")&lt;&gt;1),"当前方案引用无效",IF(AND(D20="执行中",F20=""),"执行缺方案",IF(AND(D20="已结案",OR(T20="",COUNTIFS('复盘记录'!$B$7:$B$306,A20)=0,COUNTIFS('更新日志'!$B$7:$B$306,A20)=0)),"结案资料待补","基础记录齐备"))))))</x:f>
      </x:c>
      <x:c r="S20" s="3"/>
      <x:c r="T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20"/>
      <x:c r="J21" s="3"/>
      <x:c r="K21" s="22"/>
      <x:c r="L21" s="22"/>
      <x:c r="M21" s="24" t="str">
        <x:f>IF(A21="","",IF(COUNTIFS('执行日志'!$B$7:$B$306,A21)=0,"",IF(COUNTIFS('执行日志'!$B$7:$B$306,A21,'执行日志'!$L$7:$L$306,"有效",'执行日志'!$P$7:$P$306,"&lt;&gt;有效输入")&gt;0,"待核对",IF(COUNTIFS('执行日志'!$B$7:$B$306,A21,'执行日志'!$P$7:$P$306,"有效输入")=0,"",SUMIFS('执行日志'!$H$7:$H$306,'执行日志'!$B$7:$B$306,A21,'执行日志'!$P$7:$P$306,"有效输入")))))</x:f>
      </x:c>
      <x:c r="N21" s="24" t="str">
        <x:f>IF(A21="","",IF(COUNTIFS('执行日志'!$B$7:$B$306,A21)=0,"",IF(COUNTIFS('执行日志'!$B$7:$B$306,A21,'执行日志'!$L$7:$L$306,"有效",'执行日志'!$P$7:$P$306,"&lt;&gt;有效输入")&gt;0,"待核对",IF(COUNTIFS('执行日志'!$B$7:$B$306,A21,'执行日志'!$P$7:$P$306,"有效输入")=0,"",SUMIFS('执行日志'!$J$7:$J$306,'执行日志'!$B$7:$B$306,A21,'执行日志'!$P$7:$P$306,"有效输入")))))</x:f>
      </x:c>
      <x:c r="O21" s="24" t="str">
        <x:f>IF(A21="","",IF(NOT(ISNUMBER(K21)),"待定预算",IF(NOT(ISNUMBER(M21)),"暂无有效流水",K21-M21)))</x:f>
      </x:c>
      <x:c r="P21" s="24" t="str">
        <x:f>IF(A21="","",IF(NOT(ISNUMBER(L21)),"待定预算",IF(NOT(ISNUMBER(N21)),"暂无有效流水",L21-N21)))</x:f>
      </x:c>
      <x:c r="Q21" s="19" t="str">
        <x:f>IF(A21="","",IF(D21="已结案","已结案",IF(NOT(ISNUMBER(I21)),"待定复盘日",IF(NOT(ISNUMBER($B$3)),"待定评估日",IF(I21&lt;=$B$3,"应复盘","未到期")))))</x:f>
      </x:c>
      <x:c r="R21" s="19" t="str">
        <x:f>IF(A21="","",IF(COUNTIFS($A$7:$A$306,A21)&lt;&gt;1,"问题编号重复",IF(OR(B21="",C21="",D21="",G21="",S21=""),"待补基础信息",IF(AND(F21&lt;&gt;"",COUNTIFS('方案版本'!$A$7:$A$306,F21,'方案版本'!$B$7:$B$306,A21,'方案版本'!$L$7:$L$306,"已冻结")&lt;&gt;1),"当前方案引用无效",IF(AND(D21="执行中",F21=""),"执行缺方案",IF(AND(D21="已结案",OR(T21="",COUNTIFS('复盘记录'!$B$7:$B$306,A21)=0,COUNTIFS('更新日志'!$B$7:$B$306,A21)=0)),"结案资料待补","基础记录齐备"))))))</x:f>
      </x:c>
      <x:c r="S21" s="3"/>
      <x:c r="T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20"/>
      <x:c r="J22" s="3"/>
      <x:c r="K22" s="22"/>
      <x:c r="L22" s="22"/>
      <x:c r="M22" s="24" t="str">
        <x:f>IF(A22="","",IF(COUNTIFS('执行日志'!$B$7:$B$306,A22)=0,"",IF(COUNTIFS('执行日志'!$B$7:$B$306,A22,'执行日志'!$L$7:$L$306,"有效",'执行日志'!$P$7:$P$306,"&lt;&gt;有效输入")&gt;0,"待核对",IF(COUNTIFS('执行日志'!$B$7:$B$306,A22,'执行日志'!$P$7:$P$306,"有效输入")=0,"",SUMIFS('执行日志'!$H$7:$H$306,'执行日志'!$B$7:$B$306,A22,'执行日志'!$P$7:$P$306,"有效输入")))))</x:f>
      </x:c>
      <x:c r="N22" s="24" t="str">
        <x:f>IF(A22="","",IF(COUNTIFS('执行日志'!$B$7:$B$306,A22)=0,"",IF(COUNTIFS('执行日志'!$B$7:$B$306,A22,'执行日志'!$L$7:$L$306,"有效",'执行日志'!$P$7:$P$306,"&lt;&gt;有效输入")&gt;0,"待核对",IF(COUNTIFS('执行日志'!$B$7:$B$306,A22,'执行日志'!$P$7:$P$306,"有效输入")=0,"",SUMIFS('执行日志'!$J$7:$J$306,'执行日志'!$B$7:$B$306,A22,'执行日志'!$P$7:$P$306,"有效输入")))))</x:f>
      </x:c>
      <x:c r="O22" s="24" t="str">
        <x:f>IF(A22="","",IF(NOT(ISNUMBER(K22)),"待定预算",IF(NOT(ISNUMBER(M22)),"暂无有效流水",K22-M22)))</x:f>
      </x:c>
      <x:c r="P22" s="24" t="str">
        <x:f>IF(A22="","",IF(NOT(ISNUMBER(L22)),"待定预算",IF(NOT(ISNUMBER(N22)),"暂无有效流水",L22-N22)))</x:f>
      </x:c>
      <x:c r="Q22" s="19" t="str">
        <x:f>IF(A22="","",IF(D22="已结案","已结案",IF(NOT(ISNUMBER(I22)),"待定复盘日",IF(NOT(ISNUMBER($B$3)),"待定评估日",IF(I22&lt;=$B$3,"应复盘","未到期")))))</x:f>
      </x:c>
      <x:c r="R22" s="19" t="str">
        <x:f>IF(A22="","",IF(COUNTIFS($A$7:$A$306,A22)&lt;&gt;1,"问题编号重复",IF(OR(B22="",C22="",D22="",G22="",S22=""),"待补基础信息",IF(AND(F22&lt;&gt;"",COUNTIFS('方案版本'!$A$7:$A$306,F22,'方案版本'!$B$7:$B$306,A22,'方案版本'!$L$7:$L$306,"已冻结")&lt;&gt;1),"当前方案引用无效",IF(AND(D22="执行中",F22=""),"执行缺方案",IF(AND(D22="已结案",OR(T22="",COUNTIFS('复盘记录'!$B$7:$B$306,A22)=0,COUNTIFS('更新日志'!$B$7:$B$306,A22)=0)),"结案资料待补","基础记录齐备"))))))</x:f>
      </x:c>
      <x:c r="S22" s="3"/>
      <x:c r="T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20"/>
      <x:c r="J23" s="3"/>
      <x:c r="K23" s="22"/>
      <x:c r="L23" s="22"/>
      <x:c r="M23" s="24" t="str">
        <x:f>IF(A23="","",IF(COUNTIFS('执行日志'!$B$7:$B$306,A23)=0,"",IF(COUNTIFS('执行日志'!$B$7:$B$306,A23,'执行日志'!$L$7:$L$306,"有效",'执行日志'!$P$7:$P$306,"&lt;&gt;有效输入")&gt;0,"待核对",IF(COUNTIFS('执行日志'!$B$7:$B$306,A23,'执行日志'!$P$7:$P$306,"有效输入")=0,"",SUMIFS('执行日志'!$H$7:$H$306,'执行日志'!$B$7:$B$306,A23,'执行日志'!$P$7:$P$306,"有效输入")))))</x:f>
      </x:c>
      <x:c r="N23" s="24" t="str">
        <x:f>IF(A23="","",IF(COUNTIFS('执行日志'!$B$7:$B$306,A23)=0,"",IF(COUNTIFS('执行日志'!$B$7:$B$306,A23,'执行日志'!$L$7:$L$306,"有效",'执行日志'!$P$7:$P$306,"&lt;&gt;有效输入")&gt;0,"待核对",IF(COUNTIFS('执行日志'!$B$7:$B$306,A23,'执行日志'!$P$7:$P$306,"有效输入")=0,"",SUMIFS('执行日志'!$J$7:$J$306,'执行日志'!$B$7:$B$306,A23,'执行日志'!$P$7:$P$306,"有效输入")))))</x:f>
      </x:c>
      <x:c r="O23" s="24" t="str">
        <x:f>IF(A23="","",IF(NOT(ISNUMBER(K23)),"待定预算",IF(NOT(ISNUMBER(M23)),"暂无有效流水",K23-M23)))</x:f>
      </x:c>
      <x:c r="P23" s="24" t="str">
        <x:f>IF(A23="","",IF(NOT(ISNUMBER(L23)),"待定预算",IF(NOT(ISNUMBER(N23)),"暂无有效流水",L23-N23)))</x:f>
      </x:c>
      <x:c r="Q23" s="19" t="str">
        <x:f>IF(A23="","",IF(D23="已结案","已结案",IF(NOT(ISNUMBER(I23)),"待定复盘日",IF(NOT(ISNUMBER($B$3)),"待定评估日",IF(I23&lt;=$B$3,"应复盘","未到期")))))</x:f>
      </x:c>
      <x:c r="R23" s="19" t="str">
        <x:f>IF(A23="","",IF(COUNTIFS($A$7:$A$306,A23)&lt;&gt;1,"问题编号重复",IF(OR(B23="",C23="",D23="",G23="",S23=""),"待补基础信息",IF(AND(F23&lt;&gt;"",COUNTIFS('方案版本'!$A$7:$A$306,F23,'方案版本'!$B$7:$B$306,A23,'方案版本'!$L$7:$L$306,"已冻结")&lt;&gt;1),"当前方案引用无效",IF(AND(D23="执行中",F23=""),"执行缺方案",IF(AND(D23="已结案",OR(T23="",COUNTIFS('复盘记录'!$B$7:$B$306,A23)=0,COUNTIFS('更新日志'!$B$7:$B$306,A23)=0)),"结案资料待补","基础记录齐备"))))))</x:f>
      </x:c>
      <x:c r="S23" s="3"/>
      <x:c r="T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20"/>
      <x:c r="J24" s="3"/>
      <x:c r="K24" s="22"/>
      <x:c r="L24" s="22"/>
      <x:c r="M24" s="24" t="str">
        <x:f>IF(A24="","",IF(COUNTIFS('执行日志'!$B$7:$B$306,A24)=0,"",IF(COUNTIFS('执行日志'!$B$7:$B$306,A24,'执行日志'!$L$7:$L$306,"有效",'执行日志'!$P$7:$P$306,"&lt;&gt;有效输入")&gt;0,"待核对",IF(COUNTIFS('执行日志'!$B$7:$B$306,A24,'执行日志'!$P$7:$P$306,"有效输入")=0,"",SUMIFS('执行日志'!$H$7:$H$306,'执行日志'!$B$7:$B$306,A24,'执行日志'!$P$7:$P$306,"有效输入")))))</x:f>
      </x:c>
      <x:c r="N24" s="24" t="str">
        <x:f>IF(A24="","",IF(COUNTIFS('执行日志'!$B$7:$B$306,A24)=0,"",IF(COUNTIFS('执行日志'!$B$7:$B$306,A24,'执行日志'!$L$7:$L$306,"有效",'执行日志'!$P$7:$P$306,"&lt;&gt;有效输入")&gt;0,"待核对",IF(COUNTIFS('执行日志'!$B$7:$B$306,A24,'执行日志'!$P$7:$P$306,"有效输入")=0,"",SUMIFS('执行日志'!$J$7:$J$306,'执行日志'!$B$7:$B$306,A24,'执行日志'!$P$7:$P$306,"有效输入")))))</x:f>
      </x:c>
      <x:c r="O24" s="24" t="str">
        <x:f>IF(A24="","",IF(NOT(ISNUMBER(K24)),"待定预算",IF(NOT(ISNUMBER(M24)),"暂无有效流水",K24-M24)))</x:f>
      </x:c>
      <x:c r="P24" s="24" t="str">
        <x:f>IF(A24="","",IF(NOT(ISNUMBER(L24)),"待定预算",IF(NOT(ISNUMBER(N24)),"暂无有效流水",L24-N24)))</x:f>
      </x:c>
      <x:c r="Q24" s="19" t="str">
        <x:f>IF(A24="","",IF(D24="已结案","已结案",IF(NOT(ISNUMBER(I24)),"待定复盘日",IF(NOT(ISNUMBER($B$3)),"待定评估日",IF(I24&lt;=$B$3,"应复盘","未到期")))))</x:f>
      </x:c>
      <x:c r="R24" s="19" t="str">
        <x:f>IF(A24="","",IF(COUNTIFS($A$7:$A$306,A24)&lt;&gt;1,"问题编号重复",IF(OR(B24="",C24="",D24="",G24="",S24=""),"待补基础信息",IF(AND(F24&lt;&gt;"",COUNTIFS('方案版本'!$A$7:$A$306,F24,'方案版本'!$B$7:$B$306,A24,'方案版本'!$L$7:$L$306,"已冻结")&lt;&gt;1),"当前方案引用无效",IF(AND(D24="执行中",F24=""),"执行缺方案",IF(AND(D24="已结案",OR(T24="",COUNTIFS('复盘记录'!$B$7:$B$306,A24)=0,COUNTIFS('更新日志'!$B$7:$B$306,A24)=0)),"结案资料待补","基础记录齐备"))))))</x:f>
      </x:c>
      <x:c r="S24" s="3"/>
      <x:c r="T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20"/>
      <x:c r="J25" s="3"/>
      <x:c r="K25" s="22"/>
      <x:c r="L25" s="22"/>
      <x:c r="M25" s="24" t="str">
        <x:f>IF(A25="","",IF(COUNTIFS('执行日志'!$B$7:$B$306,A25)=0,"",IF(COUNTIFS('执行日志'!$B$7:$B$306,A25,'执行日志'!$L$7:$L$306,"有效",'执行日志'!$P$7:$P$306,"&lt;&gt;有效输入")&gt;0,"待核对",IF(COUNTIFS('执行日志'!$B$7:$B$306,A25,'执行日志'!$P$7:$P$306,"有效输入")=0,"",SUMIFS('执行日志'!$H$7:$H$306,'执行日志'!$B$7:$B$306,A25,'执行日志'!$P$7:$P$306,"有效输入")))))</x:f>
      </x:c>
      <x:c r="N25" s="24" t="str">
        <x:f>IF(A25="","",IF(COUNTIFS('执行日志'!$B$7:$B$306,A25)=0,"",IF(COUNTIFS('执行日志'!$B$7:$B$306,A25,'执行日志'!$L$7:$L$306,"有效",'执行日志'!$P$7:$P$306,"&lt;&gt;有效输入")&gt;0,"待核对",IF(COUNTIFS('执行日志'!$B$7:$B$306,A25,'执行日志'!$P$7:$P$306,"有效输入")=0,"",SUMIFS('执行日志'!$J$7:$J$306,'执行日志'!$B$7:$B$306,A25,'执行日志'!$P$7:$P$306,"有效输入")))))</x:f>
      </x:c>
      <x:c r="O25" s="24" t="str">
        <x:f>IF(A25="","",IF(NOT(ISNUMBER(K25)),"待定预算",IF(NOT(ISNUMBER(M25)),"暂无有效流水",K25-M25)))</x:f>
      </x:c>
      <x:c r="P25" s="24" t="str">
        <x:f>IF(A25="","",IF(NOT(ISNUMBER(L25)),"待定预算",IF(NOT(ISNUMBER(N25)),"暂无有效流水",L25-N25)))</x:f>
      </x:c>
      <x:c r="Q25" s="19" t="str">
        <x:f>IF(A25="","",IF(D25="已结案","已结案",IF(NOT(ISNUMBER(I25)),"待定复盘日",IF(NOT(ISNUMBER($B$3)),"待定评估日",IF(I25&lt;=$B$3,"应复盘","未到期")))))</x:f>
      </x:c>
      <x:c r="R25" s="19" t="str">
        <x:f>IF(A25="","",IF(COUNTIFS($A$7:$A$306,A25)&lt;&gt;1,"问题编号重复",IF(OR(B25="",C25="",D25="",G25="",S25=""),"待补基础信息",IF(AND(F25&lt;&gt;"",COUNTIFS('方案版本'!$A$7:$A$306,F25,'方案版本'!$B$7:$B$306,A25,'方案版本'!$L$7:$L$306,"已冻结")&lt;&gt;1),"当前方案引用无效",IF(AND(D25="执行中",F25=""),"执行缺方案",IF(AND(D25="已结案",OR(T25="",COUNTIFS('复盘记录'!$B$7:$B$306,A25)=0,COUNTIFS('更新日志'!$B$7:$B$306,A25)=0)),"结案资料待补","基础记录齐备"))))))</x:f>
      </x:c>
      <x:c r="S25" s="3"/>
      <x:c r="T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20"/>
      <x:c r="J26" s="3"/>
      <x:c r="K26" s="22"/>
      <x:c r="L26" s="22"/>
      <x:c r="M26" s="24" t="str">
        <x:f>IF(A26="","",IF(COUNTIFS('执行日志'!$B$7:$B$306,A26)=0,"",IF(COUNTIFS('执行日志'!$B$7:$B$306,A26,'执行日志'!$L$7:$L$306,"有效",'执行日志'!$P$7:$P$306,"&lt;&gt;有效输入")&gt;0,"待核对",IF(COUNTIFS('执行日志'!$B$7:$B$306,A26,'执行日志'!$P$7:$P$306,"有效输入")=0,"",SUMIFS('执行日志'!$H$7:$H$306,'执行日志'!$B$7:$B$306,A26,'执行日志'!$P$7:$P$306,"有效输入")))))</x:f>
      </x:c>
      <x:c r="N26" s="24" t="str">
        <x:f>IF(A26="","",IF(COUNTIFS('执行日志'!$B$7:$B$306,A26)=0,"",IF(COUNTIFS('执行日志'!$B$7:$B$306,A26,'执行日志'!$L$7:$L$306,"有效",'执行日志'!$P$7:$P$306,"&lt;&gt;有效输入")&gt;0,"待核对",IF(COUNTIFS('执行日志'!$B$7:$B$306,A26,'执行日志'!$P$7:$P$306,"有效输入")=0,"",SUMIFS('执行日志'!$J$7:$J$306,'执行日志'!$B$7:$B$306,A26,'执行日志'!$P$7:$P$306,"有效输入")))))</x:f>
      </x:c>
      <x:c r="O26" s="24" t="str">
        <x:f>IF(A26="","",IF(NOT(ISNUMBER(K26)),"待定预算",IF(NOT(ISNUMBER(M26)),"暂无有效流水",K26-M26)))</x:f>
      </x:c>
      <x:c r="P26" s="24" t="str">
        <x:f>IF(A26="","",IF(NOT(ISNUMBER(L26)),"待定预算",IF(NOT(ISNUMBER(N26)),"暂无有效流水",L26-N26)))</x:f>
      </x:c>
      <x:c r="Q26" s="19" t="str">
        <x:f>IF(A26="","",IF(D26="已结案","已结案",IF(NOT(ISNUMBER(I26)),"待定复盘日",IF(NOT(ISNUMBER($B$3)),"待定评估日",IF(I26&lt;=$B$3,"应复盘","未到期")))))</x:f>
      </x:c>
      <x:c r="R26" s="19" t="str">
        <x:f>IF(A26="","",IF(COUNTIFS($A$7:$A$306,A26)&lt;&gt;1,"问题编号重复",IF(OR(B26="",C26="",D26="",G26="",S26=""),"待补基础信息",IF(AND(F26&lt;&gt;"",COUNTIFS('方案版本'!$A$7:$A$306,F26,'方案版本'!$B$7:$B$306,A26,'方案版本'!$L$7:$L$306,"已冻结")&lt;&gt;1),"当前方案引用无效",IF(AND(D26="执行中",F26=""),"执行缺方案",IF(AND(D26="已结案",OR(T26="",COUNTIFS('复盘记录'!$B$7:$B$306,A26)=0,COUNTIFS('更新日志'!$B$7:$B$306,A26)=0)),"结案资料待补","基础记录齐备"))))))</x:f>
      </x:c>
      <x:c r="S26" s="3"/>
      <x:c r="T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20"/>
      <x:c r="J27" s="3"/>
      <x:c r="K27" s="22"/>
      <x:c r="L27" s="22"/>
      <x:c r="M27" s="24" t="str">
        <x:f>IF(A27="","",IF(COUNTIFS('执行日志'!$B$7:$B$306,A27)=0,"",IF(COUNTIFS('执行日志'!$B$7:$B$306,A27,'执行日志'!$L$7:$L$306,"有效",'执行日志'!$P$7:$P$306,"&lt;&gt;有效输入")&gt;0,"待核对",IF(COUNTIFS('执行日志'!$B$7:$B$306,A27,'执行日志'!$P$7:$P$306,"有效输入")=0,"",SUMIFS('执行日志'!$H$7:$H$306,'执行日志'!$B$7:$B$306,A27,'执行日志'!$P$7:$P$306,"有效输入")))))</x:f>
      </x:c>
      <x:c r="N27" s="24" t="str">
        <x:f>IF(A27="","",IF(COUNTIFS('执行日志'!$B$7:$B$306,A27)=0,"",IF(COUNTIFS('执行日志'!$B$7:$B$306,A27,'执行日志'!$L$7:$L$306,"有效",'执行日志'!$P$7:$P$306,"&lt;&gt;有效输入")&gt;0,"待核对",IF(COUNTIFS('执行日志'!$B$7:$B$306,A27,'执行日志'!$P$7:$P$306,"有效输入")=0,"",SUMIFS('执行日志'!$J$7:$J$306,'执行日志'!$B$7:$B$306,A27,'执行日志'!$P$7:$P$306,"有效输入")))))</x:f>
      </x:c>
      <x:c r="O27" s="24" t="str">
        <x:f>IF(A27="","",IF(NOT(ISNUMBER(K27)),"待定预算",IF(NOT(ISNUMBER(M27)),"暂无有效流水",K27-M27)))</x:f>
      </x:c>
      <x:c r="P27" s="24" t="str">
        <x:f>IF(A27="","",IF(NOT(ISNUMBER(L27)),"待定预算",IF(NOT(ISNUMBER(N27)),"暂无有效流水",L27-N27)))</x:f>
      </x:c>
      <x:c r="Q27" s="19" t="str">
        <x:f>IF(A27="","",IF(D27="已结案","已结案",IF(NOT(ISNUMBER(I27)),"待定复盘日",IF(NOT(ISNUMBER($B$3)),"待定评估日",IF(I27&lt;=$B$3,"应复盘","未到期")))))</x:f>
      </x:c>
      <x:c r="R27" s="19" t="str">
        <x:f>IF(A27="","",IF(COUNTIFS($A$7:$A$306,A27)&lt;&gt;1,"问题编号重复",IF(OR(B27="",C27="",D27="",G27="",S27=""),"待补基础信息",IF(AND(F27&lt;&gt;"",COUNTIFS('方案版本'!$A$7:$A$306,F27,'方案版本'!$B$7:$B$306,A27,'方案版本'!$L$7:$L$306,"已冻结")&lt;&gt;1),"当前方案引用无效",IF(AND(D27="执行中",F27=""),"执行缺方案",IF(AND(D27="已结案",OR(T27="",COUNTIFS('复盘记录'!$B$7:$B$306,A27)=0,COUNTIFS('更新日志'!$B$7:$B$306,A27)=0)),"结案资料待补","基础记录齐备"))))))</x:f>
      </x:c>
      <x:c r="S27" s="3"/>
      <x:c r="T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20"/>
      <x:c r="J28" s="3"/>
      <x:c r="K28" s="22"/>
      <x:c r="L28" s="22"/>
      <x:c r="M28" s="24" t="str">
        <x:f>IF(A28="","",IF(COUNTIFS('执行日志'!$B$7:$B$306,A28)=0,"",IF(COUNTIFS('执行日志'!$B$7:$B$306,A28,'执行日志'!$L$7:$L$306,"有效",'执行日志'!$P$7:$P$306,"&lt;&gt;有效输入")&gt;0,"待核对",IF(COUNTIFS('执行日志'!$B$7:$B$306,A28,'执行日志'!$P$7:$P$306,"有效输入")=0,"",SUMIFS('执行日志'!$H$7:$H$306,'执行日志'!$B$7:$B$306,A28,'执行日志'!$P$7:$P$306,"有效输入")))))</x:f>
      </x:c>
      <x:c r="N28" s="24" t="str">
        <x:f>IF(A28="","",IF(COUNTIFS('执行日志'!$B$7:$B$306,A28)=0,"",IF(COUNTIFS('执行日志'!$B$7:$B$306,A28,'执行日志'!$L$7:$L$306,"有效",'执行日志'!$P$7:$P$306,"&lt;&gt;有效输入")&gt;0,"待核对",IF(COUNTIFS('执行日志'!$B$7:$B$306,A28,'执行日志'!$P$7:$P$306,"有效输入")=0,"",SUMIFS('执行日志'!$J$7:$J$306,'执行日志'!$B$7:$B$306,A28,'执行日志'!$P$7:$P$306,"有效输入")))))</x:f>
      </x:c>
      <x:c r="O28" s="24" t="str">
        <x:f>IF(A28="","",IF(NOT(ISNUMBER(K28)),"待定预算",IF(NOT(ISNUMBER(M28)),"暂无有效流水",K28-M28)))</x:f>
      </x:c>
      <x:c r="P28" s="24" t="str">
        <x:f>IF(A28="","",IF(NOT(ISNUMBER(L28)),"待定预算",IF(NOT(ISNUMBER(N28)),"暂无有效流水",L28-N28)))</x:f>
      </x:c>
      <x:c r="Q28" s="19" t="str">
        <x:f>IF(A28="","",IF(D28="已结案","已结案",IF(NOT(ISNUMBER(I28)),"待定复盘日",IF(NOT(ISNUMBER($B$3)),"待定评估日",IF(I28&lt;=$B$3,"应复盘","未到期")))))</x:f>
      </x:c>
      <x:c r="R28" s="19" t="str">
        <x:f>IF(A28="","",IF(COUNTIFS($A$7:$A$306,A28)&lt;&gt;1,"问题编号重复",IF(OR(B28="",C28="",D28="",G28="",S28=""),"待补基础信息",IF(AND(F28&lt;&gt;"",COUNTIFS('方案版本'!$A$7:$A$306,F28,'方案版本'!$B$7:$B$306,A28,'方案版本'!$L$7:$L$306,"已冻结")&lt;&gt;1),"当前方案引用无效",IF(AND(D28="执行中",F28=""),"执行缺方案",IF(AND(D28="已结案",OR(T28="",COUNTIFS('复盘记录'!$B$7:$B$306,A28)=0,COUNTIFS('更新日志'!$B$7:$B$306,A28)=0)),"结案资料待补","基础记录齐备"))))))</x:f>
      </x:c>
      <x:c r="S28" s="3"/>
      <x:c r="T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20"/>
      <x:c r="J29" s="3"/>
      <x:c r="K29" s="22"/>
      <x:c r="L29" s="22"/>
      <x:c r="M29" s="24" t="str">
        <x:f>IF(A29="","",IF(COUNTIFS('执行日志'!$B$7:$B$306,A29)=0,"",IF(COUNTIFS('执行日志'!$B$7:$B$306,A29,'执行日志'!$L$7:$L$306,"有效",'执行日志'!$P$7:$P$306,"&lt;&gt;有效输入")&gt;0,"待核对",IF(COUNTIFS('执行日志'!$B$7:$B$306,A29,'执行日志'!$P$7:$P$306,"有效输入")=0,"",SUMIFS('执行日志'!$H$7:$H$306,'执行日志'!$B$7:$B$306,A29,'执行日志'!$P$7:$P$306,"有效输入")))))</x:f>
      </x:c>
      <x:c r="N29" s="24" t="str">
        <x:f>IF(A29="","",IF(COUNTIFS('执行日志'!$B$7:$B$306,A29)=0,"",IF(COUNTIFS('执行日志'!$B$7:$B$306,A29,'执行日志'!$L$7:$L$306,"有效",'执行日志'!$P$7:$P$306,"&lt;&gt;有效输入")&gt;0,"待核对",IF(COUNTIFS('执行日志'!$B$7:$B$306,A29,'执行日志'!$P$7:$P$306,"有效输入")=0,"",SUMIFS('执行日志'!$J$7:$J$306,'执行日志'!$B$7:$B$306,A29,'执行日志'!$P$7:$P$306,"有效输入")))))</x:f>
      </x:c>
      <x:c r="O29" s="24" t="str">
        <x:f>IF(A29="","",IF(NOT(ISNUMBER(K29)),"待定预算",IF(NOT(ISNUMBER(M29)),"暂无有效流水",K29-M29)))</x:f>
      </x:c>
      <x:c r="P29" s="24" t="str">
        <x:f>IF(A29="","",IF(NOT(ISNUMBER(L29)),"待定预算",IF(NOT(ISNUMBER(N29)),"暂无有效流水",L29-N29)))</x:f>
      </x:c>
      <x:c r="Q29" s="19" t="str">
        <x:f>IF(A29="","",IF(D29="已结案","已结案",IF(NOT(ISNUMBER(I29)),"待定复盘日",IF(NOT(ISNUMBER($B$3)),"待定评估日",IF(I29&lt;=$B$3,"应复盘","未到期")))))</x:f>
      </x:c>
      <x:c r="R29" s="19" t="str">
        <x:f>IF(A29="","",IF(COUNTIFS($A$7:$A$306,A29)&lt;&gt;1,"问题编号重复",IF(OR(B29="",C29="",D29="",G29="",S29=""),"待补基础信息",IF(AND(F29&lt;&gt;"",COUNTIFS('方案版本'!$A$7:$A$306,F29,'方案版本'!$B$7:$B$306,A29,'方案版本'!$L$7:$L$306,"已冻结")&lt;&gt;1),"当前方案引用无效",IF(AND(D29="执行中",F29=""),"执行缺方案",IF(AND(D29="已结案",OR(T29="",COUNTIFS('复盘记录'!$B$7:$B$306,A29)=0,COUNTIFS('更新日志'!$B$7:$B$306,A29)=0)),"结案资料待补","基础记录齐备"))))))</x:f>
      </x:c>
      <x:c r="S29" s="3"/>
      <x:c r="T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20"/>
      <x:c r="J30" s="3"/>
      <x:c r="K30" s="22"/>
      <x:c r="L30" s="22"/>
      <x:c r="M30" s="24" t="str">
        <x:f>IF(A30="","",IF(COUNTIFS('执行日志'!$B$7:$B$306,A30)=0,"",IF(COUNTIFS('执行日志'!$B$7:$B$306,A30,'执行日志'!$L$7:$L$306,"有效",'执行日志'!$P$7:$P$306,"&lt;&gt;有效输入")&gt;0,"待核对",IF(COUNTIFS('执行日志'!$B$7:$B$306,A30,'执行日志'!$P$7:$P$306,"有效输入")=0,"",SUMIFS('执行日志'!$H$7:$H$306,'执行日志'!$B$7:$B$306,A30,'执行日志'!$P$7:$P$306,"有效输入")))))</x:f>
      </x:c>
      <x:c r="N30" s="24" t="str">
        <x:f>IF(A30="","",IF(COUNTIFS('执行日志'!$B$7:$B$306,A30)=0,"",IF(COUNTIFS('执行日志'!$B$7:$B$306,A30,'执行日志'!$L$7:$L$306,"有效",'执行日志'!$P$7:$P$306,"&lt;&gt;有效输入")&gt;0,"待核对",IF(COUNTIFS('执行日志'!$B$7:$B$306,A30,'执行日志'!$P$7:$P$306,"有效输入")=0,"",SUMIFS('执行日志'!$J$7:$J$306,'执行日志'!$B$7:$B$306,A30,'执行日志'!$P$7:$P$306,"有效输入")))))</x:f>
      </x:c>
      <x:c r="O30" s="24" t="str">
        <x:f>IF(A30="","",IF(NOT(ISNUMBER(K30)),"待定预算",IF(NOT(ISNUMBER(M30)),"暂无有效流水",K30-M30)))</x:f>
      </x:c>
      <x:c r="P30" s="24" t="str">
        <x:f>IF(A30="","",IF(NOT(ISNUMBER(L30)),"待定预算",IF(NOT(ISNUMBER(N30)),"暂无有效流水",L30-N30)))</x:f>
      </x:c>
      <x:c r="Q30" s="19" t="str">
        <x:f>IF(A30="","",IF(D30="已结案","已结案",IF(NOT(ISNUMBER(I30)),"待定复盘日",IF(NOT(ISNUMBER($B$3)),"待定评估日",IF(I30&lt;=$B$3,"应复盘","未到期")))))</x:f>
      </x:c>
      <x:c r="R30" s="19" t="str">
        <x:f>IF(A30="","",IF(COUNTIFS($A$7:$A$306,A30)&lt;&gt;1,"问题编号重复",IF(OR(B30="",C30="",D30="",G30="",S30=""),"待补基础信息",IF(AND(F30&lt;&gt;"",COUNTIFS('方案版本'!$A$7:$A$306,F30,'方案版本'!$B$7:$B$306,A30,'方案版本'!$L$7:$L$306,"已冻结")&lt;&gt;1),"当前方案引用无效",IF(AND(D30="执行中",F30=""),"执行缺方案",IF(AND(D30="已结案",OR(T30="",COUNTIFS('复盘记录'!$B$7:$B$306,A30)=0,COUNTIFS('更新日志'!$B$7:$B$306,A30)=0)),"结案资料待补","基础记录齐备"))))))</x:f>
      </x:c>
      <x:c r="S30" s="3"/>
      <x:c r="T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20"/>
      <x:c r="J31" s="3"/>
      <x:c r="K31" s="22"/>
      <x:c r="L31" s="22"/>
      <x:c r="M31" s="24" t="str">
        <x:f>IF(A31="","",IF(COUNTIFS('执行日志'!$B$7:$B$306,A31)=0,"",IF(COUNTIFS('执行日志'!$B$7:$B$306,A31,'执行日志'!$L$7:$L$306,"有效",'执行日志'!$P$7:$P$306,"&lt;&gt;有效输入")&gt;0,"待核对",IF(COUNTIFS('执行日志'!$B$7:$B$306,A31,'执行日志'!$P$7:$P$306,"有效输入")=0,"",SUMIFS('执行日志'!$H$7:$H$306,'执行日志'!$B$7:$B$306,A31,'执行日志'!$P$7:$P$306,"有效输入")))))</x:f>
      </x:c>
      <x:c r="N31" s="24" t="str">
        <x:f>IF(A31="","",IF(COUNTIFS('执行日志'!$B$7:$B$306,A31)=0,"",IF(COUNTIFS('执行日志'!$B$7:$B$306,A31,'执行日志'!$L$7:$L$306,"有效",'执行日志'!$P$7:$P$306,"&lt;&gt;有效输入")&gt;0,"待核对",IF(COUNTIFS('执行日志'!$B$7:$B$306,A31,'执行日志'!$P$7:$P$306,"有效输入")=0,"",SUMIFS('执行日志'!$J$7:$J$306,'执行日志'!$B$7:$B$306,A31,'执行日志'!$P$7:$P$306,"有效输入")))))</x:f>
      </x:c>
      <x:c r="O31" s="24" t="str">
        <x:f>IF(A31="","",IF(NOT(ISNUMBER(K31)),"待定预算",IF(NOT(ISNUMBER(M31)),"暂无有效流水",K31-M31)))</x:f>
      </x:c>
      <x:c r="P31" s="24" t="str">
        <x:f>IF(A31="","",IF(NOT(ISNUMBER(L31)),"待定预算",IF(NOT(ISNUMBER(N31)),"暂无有效流水",L31-N31)))</x:f>
      </x:c>
      <x:c r="Q31" s="19" t="str">
        <x:f>IF(A31="","",IF(D31="已结案","已结案",IF(NOT(ISNUMBER(I31)),"待定复盘日",IF(NOT(ISNUMBER($B$3)),"待定评估日",IF(I31&lt;=$B$3,"应复盘","未到期")))))</x:f>
      </x:c>
      <x:c r="R31" s="19" t="str">
        <x:f>IF(A31="","",IF(COUNTIFS($A$7:$A$306,A31)&lt;&gt;1,"问题编号重复",IF(OR(B31="",C31="",D31="",G31="",S31=""),"待补基础信息",IF(AND(F31&lt;&gt;"",COUNTIFS('方案版本'!$A$7:$A$306,F31,'方案版本'!$B$7:$B$306,A31,'方案版本'!$L$7:$L$306,"已冻结")&lt;&gt;1),"当前方案引用无效",IF(AND(D31="执行中",F31=""),"执行缺方案",IF(AND(D31="已结案",OR(T31="",COUNTIFS('复盘记录'!$B$7:$B$306,A31)=0,COUNTIFS('更新日志'!$B$7:$B$306,A31)=0)),"结案资料待补","基础记录齐备"))))))</x:f>
      </x:c>
      <x:c r="S31" s="3"/>
      <x:c r="T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20"/>
      <x:c r="J32" s="3"/>
      <x:c r="K32" s="22"/>
      <x:c r="L32" s="22"/>
      <x:c r="M32" s="24" t="str">
        <x:f>IF(A32="","",IF(COUNTIFS('执行日志'!$B$7:$B$306,A32)=0,"",IF(COUNTIFS('执行日志'!$B$7:$B$306,A32,'执行日志'!$L$7:$L$306,"有效",'执行日志'!$P$7:$P$306,"&lt;&gt;有效输入")&gt;0,"待核对",IF(COUNTIFS('执行日志'!$B$7:$B$306,A32,'执行日志'!$P$7:$P$306,"有效输入")=0,"",SUMIFS('执行日志'!$H$7:$H$306,'执行日志'!$B$7:$B$306,A32,'执行日志'!$P$7:$P$306,"有效输入")))))</x:f>
      </x:c>
      <x:c r="N32" s="24" t="str">
        <x:f>IF(A32="","",IF(COUNTIFS('执行日志'!$B$7:$B$306,A32)=0,"",IF(COUNTIFS('执行日志'!$B$7:$B$306,A32,'执行日志'!$L$7:$L$306,"有效",'执行日志'!$P$7:$P$306,"&lt;&gt;有效输入")&gt;0,"待核对",IF(COUNTIFS('执行日志'!$B$7:$B$306,A32,'执行日志'!$P$7:$P$306,"有效输入")=0,"",SUMIFS('执行日志'!$J$7:$J$306,'执行日志'!$B$7:$B$306,A32,'执行日志'!$P$7:$P$306,"有效输入")))))</x:f>
      </x:c>
      <x:c r="O32" s="24" t="str">
        <x:f>IF(A32="","",IF(NOT(ISNUMBER(K32)),"待定预算",IF(NOT(ISNUMBER(M32)),"暂无有效流水",K32-M32)))</x:f>
      </x:c>
      <x:c r="P32" s="24" t="str">
        <x:f>IF(A32="","",IF(NOT(ISNUMBER(L32)),"待定预算",IF(NOT(ISNUMBER(N32)),"暂无有效流水",L32-N32)))</x:f>
      </x:c>
      <x:c r="Q32" s="19" t="str">
        <x:f>IF(A32="","",IF(D32="已结案","已结案",IF(NOT(ISNUMBER(I32)),"待定复盘日",IF(NOT(ISNUMBER($B$3)),"待定评估日",IF(I32&lt;=$B$3,"应复盘","未到期")))))</x:f>
      </x:c>
      <x:c r="R32" s="19" t="str">
        <x:f>IF(A32="","",IF(COUNTIFS($A$7:$A$306,A32)&lt;&gt;1,"问题编号重复",IF(OR(B32="",C32="",D32="",G32="",S32=""),"待补基础信息",IF(AND(F32&lt;&gt;"",COUNTIFS('方案版本'!$A$7:$A$306,F32,'方案版本'!$B$7:$B$306,A32,'方案版本'!$L$7:$L$306,"已冻结")&lt;&gt;1),"当前方案引用无效",IF(AND(D32="执行中",F32=""),"执行缺方案",IF(AND(D32="已结案",OR(T32="",COUNTIFS('复盘记录'!$B$7:$B$306,A32)=0,COUNTIFS('更新日志'!$B$7:$B$306,A32)=0)),"结案资料待补","基础记录齐备"))))))</x:f>
      </x:c>
      <x:c r="S32" s="3"/>
      <x:c r="T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20"/>
      <x:c r="J33" s="3"/>
      <x:c r="K33" s="22"/>
      <x:c r="L33" s="22"/>
      <x:c r="M33" s="24" t="str">
        <x:f>IF(A33="","",IF(COUNTIFS('执行日志'!$B$7:$B$306,A33)=0,"",IF(COUNTIFS('执行日志'!$B$7:$B$306,A33,'执行日志'!$L$7:$L$306,"有效",'执行日志'!$P$7:$P$306,"&lt;&gt;有效输入")&gt;0,"待核对",IF(COUNTIFS('执行日志'!$B$7:$B$306,A33,'执行日志'!$P$7:$P$306,"有效输入")=0,"",SUMIFS('执行日志'!$H$7:$H$306,'执行日志'!$B$7:$B$306,A33,'执行日志'!$P$7:$P$306,"有效输入")))))</x:f>
      </x:c>
      <x:c r="N33" s="24" t="str">
        <x:f>IF(A33="","",IF(COUNTIFS('执行日志'!$B$7:$B$306,A33)=0,"",IF(COUNTIFS('执行日志'!$B$7:$B$306,A33,'执行日志'!$L$7:$L$306,"有效",'执行日志'!$P$7:$P$306,"&lt;&gt;有效输入")&gt;0,"待核对",IF(COUNTIFS('执行日志'!$B$7:$B$306,A33,'执行日志'!$P$7:$P$306,"有效输入")=0,"",SUMIFS('执行日志'!$J$7:$J$306,'执行日志'!$B$7:$B$306,A33,'执行日志'!$P$7:$P$306,"有效输入")))))</x:f>
      </x:c>
      <x:c r="O33" s="24" t="str">
        <x:f>IF(A33="","",IF(NOT(ISNUMBER(K33)),"待定预算",IF(NOT(ISNUMBER(M33)),"暂无有效流水",K33-M33)))</x:f>
      </x:c>
      <x:c r="P33" s="24" t="str">
        <x:f>IF(A33="","",IF(NOT(ISNUMBER(L33)),"待定预算",IF(NOT(ISNUMBER(N33)),"暂无有效流水",L33-N33)))</x:f>
      </x:c>
      <x:c r="Q33" s="19" t="str">
        <x:f>IF(A33="","",IF(D33="已结案","已结案",IF(NOT(ISNUMBER(I33)),"待定复盘日",IF(NOT(ISNUMBER($B$3)),"待定评估日",IF(I33&lt;=$B$3,"应复盘","未到期")))))</x:f>
      </x:c>
      <x:c r="R33" s="19" t="str">
        <x:f>IF(A33="","",IF(COUNTIFS($A$7:$A$306,A33)&lt;&gt;1,"问题编号重复",IF(OR(B33="",C33="",D33="",G33="",S33=""),"待补基础信息",IF(AND(F33&lt;&gt;"",COUNTIFS('方案版本'!$A$7:$A$306,F33,'方案版本'!$B$7:$B$306,A33,'方案版本'!$L$7:$L$306,"已冻结")&lt;&gt;1),"当前方案引用无效",IF(AND(D33="执行中",F33=""),"执行缺方案",IF(AND(D33="已结案",OR(T33="",COUNTIFS('复盘记录'!$B$7:$B$306,A33)=0,COUNTIFS('更新日志'!$B$7:$B$306,A33)=0)),"结案资料待补","基础记录齐备"))))))</x:f>
      </x:c>
      <x:c r="S33" s="3"/>
      <x:c r="T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20"/>
      <x:c r="J34" s="3"/>
      <x:c r="K34" s="22"/>
      <x:c r="L34" s="22"/>
      <x:c r="M34" s="24" t="str">
        <x:f>IF(A34="","",IF(COUNTIFS('执行日志'!$B$7:$B$306,A34)=0,"",IF(COUNTIFS('执行日志'!$B$7:$B$306,A34,'执行日志'!$L$7:$L$306,"有效",'执行日志'!$P$7:$P$306,"&lt;&gt;有效输入")&gt;0,"待核对",IF(COUNTIFS('执行日志'!$B$7:$B$306,A34,'执行日志'!$P$7:$P$306,"有效输入")=0,"",SUMIFS('执行日志'!$H$7:$H$306,'执行日志'!$B$7:$B$306,A34,'执行日志'!$P$7:$P$306,"有效输入")))))</x:f>
      </x:c>
      <x:c r="N34" s="24" t="str">
        <x:f>IF(A34="","",IF(COUNTIFS('执行日志'!$B$7:$B$306,A34)=0,"",IF(COUNTIFS('执行日志'!$B$7:$B$306,A34,'执行日志'!$L$7:$L$306,"有效",'执行日志'!$P$7:$P$306,"&lt;&gt;有效输入")&gt;0,"待核对",IF(COUNTIFS('执行日志'!$B$7:$B$306,A34,'执行日志'!$P$7:$P$306,"有效输入")=0,"",SUMIFS('执行日志'!$J$7:$J$306,'执行日志'!$B$7:$B$306,A34,'执行日志'!$P$7:$P$306,"有效输入")))))</x:f>
      </x:c>
      <x:c r="O34" s="24" t="str">
        <x:f>IF(A34="","",IF(NOT(ISNUMBER(K34)),"待定预算",IF(NOT(ISNUMBER(M34)),"暂无有效流水",K34-M34)))</x:f>
      </x:c>
      <x:c r="P34" s="24" t="str">
        <x:f>IF(A34="","",IF(NOT(ISNUMBER(L34)),"待定预算",IF(NOT(ISNUMBER(N34)),"暂无有效流水",L34-N34)))</x:f>
      </x:c>
      <x:c r="Q34" s="19" t="str">
        <x:f>IF(A34="","",IF(D34="已结案","已结案",IF(NOT(ISNUMBER(I34)),"待定复盘日",IF(NOT(ISNUMBER($B$3)),"待定评估日",IF(I34&lt;=$B$3,"应复盘","未到期")))))</x:f>
      </x:c>
      <x:c r="R34" s="19" t="str">
        <x:f>IF(A34="","",IF(COUNTIFS($A$7:$A$306,A34)&lt;&gt;1,"问题编号重复",IF(OR(B34="",C34="",D34="",G34="",S34=""),"待补基础信息",IF(AND(F34&lt;&gt;"",COUNTIFS('方案版本'!$A$7:$A$306,F34,'方案版本'!$B$7:$B$306,A34,'方案版本'!$L$7:$L$306,"已冻结")&lt;&gt;1),"当前方案引用无效",IF(AND(D34="执行中",F34=""),"执行缺方案",IF(AND(D34="已结案",OR(T34="",COUNTIFS('复盘记录'!$B$7:$B$306,A34)=0,COUNTIFS('更新日志'!$B$7:$B$306,A34)=0)),"结案资料待补","基础记录齐备"))))))</x:f>
      </x:c>
      <x:c r="S34" s="3"/>
      <x:c r="T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20"/>
      <x:c r="J35" s="3"/>
      <x:c r="K35" s="22"/>
      <x:c r="L35" s="22"/>
      <x:c r="M35" s="24" t="str">
        <x:f>IF(A35="","",IF(COUNTIFS('执行日志'!$B$7:$B$306,A35)=0,"",IF(COUNTIFS('执行日志'!$B$7:$B$306,A35,'执行日志'!$L$7:$L$306,"有效",'执行日志'!$P$7:$P$306,"&lt;&gt;有效输入")&gt;0,"待核对",IF(COUNTIFS('执行日志'!$B$7:$B$306,A35,'执行日志'!$P$7:$P$306,"有效输入")=0,"",SUMIFS('执行日志'!$H$7:$H$306,'执行日志'!$B$7:$B$306,A35,'执行日志'!$P$7:$P$306,"有效输入")))))</x:f>
      </x:c>
      <x:c r="N35" s="24" t="str">
        <x:f>IF(A35="","",IF(COUNTIFS('执行日志'!$B$7:$B$306,A35)=0,"",IF(COUNTIFS('执行日志'!$B$7:$B$306,A35,'执行日志'!$L$7:$L$306,"有效",'执行日志'!$P$7:$P$306,"&lt;&gt;有效输入")&gt;0,"待核对",IF(COUNTIFS('执行日志'!$B$7:$B$306,A35,'执行日志'!$P$7:$P$306,"有效输入")=0,"",SUMIFS('执行日志'!$J$7:$J$306,'执行日志'!$B$7:$B$306,A35,'执行日志'!$P$7:$P$306,"有效输入")))))</x:f>
      </x:c>
      <x:c r="O35" s="24" t="str">
        <x:f>IF(A35="","",IF(NOT(ISNUMBER(K35)),"待定预算",IF(NOT(ISNUMBER(M35)),"暂无有效流水",K35-M35)))</x:f>
      </x:c>
      <x:c r="P35" s="24" t="str">
        <x:f>IF(A35="","",IF(NOT(ISNUMBER(L35)),"待定预算",IF(NOT(ISNUMBER(N35)),"暂无有效流水",L35-N35)))</x:f>
      </x:c>
      <x:c r="Q35" s="19" t="str">
        <x:f>IF(A35="","",IF(D35="已结案","已结案",IF(NOT(ISNUMBER(I35)),"待定复盘日",IF(NOT(ISNUMBER($B$3)),"待定评估日",IF(I35&lt;=$B$3,"应复盘","未到期")))))</x:f>
      </x:c>
      <x:c r="R35" s="19" t="str">
        <x:f>IF(A35="","",IF(COUNTIFS($A$7:$A$306,A35)&lt;&gt;1,"问题编号重复",IF(OR(B35="",C35="",D35="",G35="",S35=""),"待补基础信息",IF(AND(F35&lt;&gt;"",COUNTIFS('方案版本'!$A$7:$A$306,F35,'方案版本'!$B$7:$B$306,A35,'方案版本'!$L$7:$L$306,"已冻结")&lt;&gt;1),"当前方案引用无效",IF(AND(D35="执行中",F35=""),"执行缺方案",IF(AND(D35="已结案",OR(T35="",COUNTIFS('复盘记录'!$B$7:$B$306,A35)=0,COUNTIFS('更新日志'!$B$7:$B$306,A35)=0)),"结案资料待补","基础记录齐备"))))))</x:f>
      </x:c>
      <x:c r="S35" s="3"/>
      <x:c r="T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20"/>
      <x:c r="J36" s="3"/>
      <x:c r="K36" s="22"/>
      <x:c r="L36" s="22"/>
      <x:c r="M36" s="24" t="str">
        <x:f>IF(A36="","",IF(COUNTIFS('执行日志'!$B$7:$B$306,A36)=0,"",IF(COUNTIFS('执行日志'!$B$7:$B$306,A36,'执行日志'!$L$7:$L$306,"有效",'执行日志'!$P$7:$P$306,"&lt;&gt;有效输入")&gt;0,"待核对",IF(COUNTIFS('执行日志'!$B$7:$B$306,A36,'执行日志'!$P$7:$P$306,"有效输入")=0,"",SUMIFS('执行日志'!$H$7:$H$306,'执行日志'!$B$7:$B$306,A36,'执行日志'!$P$7:$P$306,"有效输入")))))</x:f>
      </x:c>
      <x:c r="N36" s="24" t="str">
        <x:f>IF(A36="","",IF(COUNTIFS('执行日志'!$B$7:$B$306,A36)=0,"",IF(COUNTIFS('执行日志'!$B$7:$B$306,A36,'执行日志'!$L$7:$L$306,"有效",'执行日志'!$P$7:$P$306,"&lt;&gt;有效输入")&gt;0,"待核对",IF(COUNTIFS('执行日志'!$B$7:$B$306,A36,'执行日志'!$P$7:$P$306,"有效输入")=0,"",SUMIFS('执行日志'!$J$7:$J$306,'执行日志'!$B$7:$B$306,A36,'执行日志'!$P$7:$P$306,"有效输入")))))</x:f>
      </x:c>
      <x:c r="O36" s="24" t="str">
        <x:f>IF(A36="","",IF(NOT(ISNUMBER(K36)),"待定预算",IF(NOT(ISNUMBER(M36)),"暂无有效流水",K36-M36)))</x:f>
      </x:c>
      <x:c r="P36" s="24" t="str">
        <x:f>IF(A36="","",IF(NOT(ISNUMBER(L36)),"待定预算",IF(NOT(ISNUMBER(N36)),"暂无有效流水",L36-N36)))</x:f>
      </x:c>
      <x:c r="Q36" s="19" t="str">
        <x:f>IF(A36="","",IF(D36="已结案","已结案",IF(NOT(ISNUMBER(I36)),"待定复盘日",IF(NOT(ISNUMBER($B$3)),"待定评估日",IF(I36&lt;=$B$3,"应复盘","未到期")))))</x:f>
      </x:c>
      <x:c r="R36" s="19" t="str">
        <x:f>IF(A36="","",IF(COUNTIFS($A$7:$A$306,A36)&lt;&gt;1,"问题编号重复",IF(OR(B36="",C36="",D36="",G36="",S36=""),"待补基础信息",IF(AND(F36&lt;&gt;"",COUNTIFS('方案版本'!$A$7:$A$306,F36,'方案版本'!$B$7:$B$306,A36,'方案版本'!$L$7:$L$306,"已冻结")&lt;&gt;1),"当前方案引用无效",IF(AND(D36="执行中",F36=""),"执行缺方案",IF(AND(D36="已结案",OR(T36="",COUNTIFS('复盘记录'!$B$7:$B$306,A36)=0,COUNTIFS('更新日志'!$B$7:$B$306,A36)=0)),"结案资料待补","基础记录齐备"))))))</x:f>
      </x:c>
      <x:c r="S36" s="3"/>
      <x:c r="T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20"/>
      <x:c r="J37" s="3"/>
      <x:c r="K37" s="22"/>
      <x:c r="L37" s="22"/>
      <x:c r="M37" s="24" t="str">
        <x:f>IF(A37="","",IF(COUNTIFS('执行日志'!$B$7:$B$306,A37)=0,"",IF(COUNTIFS('执行日志'!$B$7:$B$306,A37,'执行日志'!$L$7:$L$306,"有效",'执行日志'!$P$7:$P$306,"&lt;&gt;有效输入")&gt;0,"待核对",IF(COUNTIFS('执行日志'!$B$7:$B$306,A37,'执行日志'!$P$7:$P$306,"有效输入")=0,"",SUMIFS('执行日志'!$H$7:$H$306,'执行日志'!$B$7:$B$306,A37,'执行日志'!$P$7:$P$306,"有效输入")))))</x:f>
      </x:c>
      <x:c r="N37" s="24" t="str">
        <x:f>IF(A37="","",IF(COUNTIFS('执行日志'!$B$7:$B$306,A37)=0,"",IF(COUNTIFS('执行日志'!$B$7:$B$306,A37,'执行日志'!$L$7:$L$306,"有效",'执行日志'!$P$7:$P$306,"&lt;&gt;有效输入")&gt;0,"待核对",IF(COUNTIFS('执行日志'!$B$7:$B$306,A37,'执行日志'!$P$7:$P$306,"有效输入")=0,"",SUMIFS('执行日志'!$J$7:$J$306,'执行日志'!$B$7:$B$306,A37,'执行日志'!$P$7:$P$306,"有效输入")))))</x:f>
      </x:c>
      <x:c r="O37" s="24" t="str">
        <x:f>IF(A37="","",IF(NOT(ISNUMBER(K37)),"待定预算",IF(NOT(ISNUMBER(M37)),"暂无有效流水",K37-M37)))</x:f>
      </x:c>
      <x:c r="P37" s="24" t="str">
        <x:f>IF(A37="","",IF(NOT(ISNUMBER(L37)),"待定预算",IF(NOT(ISNUMBER(N37)),"暂无有效流水",L37-N37)))</x:f>
      </x:c>
      <x:c r="Q37" s="19" t="str">
        <x:f>IF(A37="","",IF(D37="已结案","已结案",IF(NOT(ISNUMBER(I37)),"待定复盘日",IF(NOT(ISNUMBER($B$3)),"待定评估日",IF(I37&lt;=$B$3,"应复盘","未到期")))))</x:f>
      </x:c>
      <x:c r="R37" s="19" t="str">
        <x:f>IF(A37="","",IF(COUNTIFS($A$7:$A$306,A37)&lt;&gt;1,"问题编号重复",IF(OR(B37="",C37="",D37="",G37="",S37=""),"待补基础信息",IF(AND(F37&lt;&gt;"",COUNTIFS('方案版本'!$A$7:$A$306,F37,'方案版本'!$B$7:$B$306,A37,'方案版本'!$L$7:$L$306,"已冻结")&lt;&gt;1),"当前方案引用无效",IF(AND(D37="执行中",F37=""),"执行缺方案",IF(AND(D37="已结案",OR(T37="",COUNTIFS('复盘记录'!$B$7:$B$306,A37)=0,COUNTIFS('更新日志'!$B$7:$B$306,A37)=0)),"结案资料待补","基础记录齐备"))))))</x:f>
      </x:c>
      <x:c r="S37" s="3"/>
      <x:c r="T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20"/>
      <x:c r="J38" s="3"/>
      <x:c r="K38" s="22"/>
      <x:c r="L38" s="22"/>
      <x:c r="M38" s="24" t="str">
        <x:f>IF(A38="","",IF(COUNTIFS('执行日志'!$B$7:$B$306,A38)=0,"",IF(COUNTIFS('执行日志'!$B$7:$B$306,A38,'执行日志'!$L$7:$L$306,"有效",'执行日志'!$P$7:$P$306,"&lt;&gt;有效输入")&gt;0,"待核对",IF(COUNTIFS('执行日志'!$B$7:$B$306,A38,'执行日志'!$P$7:$P$306,"有效输入")=0,"",SUMIFS('执行日志'!$H$7:$H$306,'执行日志'!$B$7:$B$306,A38,'执行日志'!$P$7:$P$306,"有效输入")))))</x:f>
      </x:c>
      <x:c r="N38" s="24" t="str">
        <x:f>IF(A38="","",IF(COUNTIFS('执行日志'!$B$7:$B$306,A38)=0,"",IF(COUNTIFS('执行日志'!$B$7:$B$306,A38,'执行日志'!$L$7:$L$306,"有效",'执行日志'!$P$7:$P$306,"&lt;&gt;有效输入")&gt;0,"待核对",IF(COUNTIFS('执行日志'!$B$7:$B$306,A38,'执行日志'!$P$7:$P$306,"有效输入")=0,"",SUMIFS('执行日志'!$J$7:$J$306,'执行日志'!$B$7:$B$306,A38,'执行日志'!$P$7:$P$306,"有效输入")))))</x:f>
      </x:c>
      <x:c r="O38" s="24" t="str">
        <x:f>IF(A38="","",IF(NOT(ISNUMBER(K38)),"待定预算",IF(NOT(ISNUMBER(M38)),"暂无有效流水",K38-M38)))</x:f>
      </x:c>
      <x:c r="P38" s="24" t="str">
        <x:f>IF(A38="","",IF(NOT(ISNUMBER(L38)),"待定预算",IF(NOT(ISNUMBER(N38)),"暂无有效流水",L38-N38)))</x:f>
      </x:c>
      <x:c r="Q38" s="19" t="str">
        <x:f>IF(A38="","",IF(D38="已结案","已结案",IF(NOT(ISNUMBER(I38)),"待定复盘日",IF(NOT(ISNUMBER($B$3)),"待定评估日",IF(I38&lt;=$B$3,"应复盘","未到期")))))</x:f>
      </x:c>
      <x:c r="R38" s="19" t="str">
        <x:f>IF(A38="","",IF(COUNTIFS($A$7:$A$306,A38)&lt;&gt;1,"问题编号重复",IF(OR(B38="",C38="",D38="",G38="",S38=""),"待补基础信息",IF(AND(F38&lt;&gt;"",COUNTIFS('方案版本'!$A$7:$A$306,F38,'方案版本'!$B$7:$B$306,A38,'方案版本'!$L$7:$L$306,"已冻结")&lt;&gt;1),"当前方案引用无效",IF(AND(D38="执行中",F38=""),"执行缺方案",IF(AND(D38="已结案",OR(T38="",COUNTIFS('复盘记录'!$B$7:$B$306,A38)=0,COUNTIFS('更新日志'!$B$7:$B$306,A38)=0)),"结案资料待补","基础记录齐备"))))))</x:f>
      </x:c>
      <x:c r="S38" s="3"/>
      <x:c r="T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20"/>
      <x:c r="J39" s="3"/>
      <x:c r="K39" s="22"/>
      <x:c r="L39" s="22"/>
      <x:c r="M39" s="24" t="str">
        <x:f>IF(A39="","",IF(COUNTIFS('执行日志'!$B$7:$B$306,A39)=0,"",IF(COUNTIFS('执行日志'!$B$7:$B$306,A39,'执行日志'!$L$7:$L$306,"有效",'执行日志'!$P$7:$P$306,"&lt;&gt;有效输入")&gt;0,"待核对",IF(COUNTIFS('执行日志'!$B$7:$B$306,A39,'执行日志'!$P$7:$P$306,"有效输入")=0,"",SUMIFS('执行日志'!$H$7:$H$306,'执行日志'!$B$7:$B$306,A39,'执行日志'!$P$7:$P$306,"有效输入")))))</x:f>
      </x:c>
      <x:c r="N39" s="24" t="str">
        <x:f>IF(A39="","",IF(COUNTIFS('执行日志'!$B$7:$B$306,A39)=0,"",IF(COUNTIFS('执行日志'!$B$7:$B$306,A39,'执行日志'!$L$7:$L$306,"有效",'执行日志'!$P$7:$P$306,"&lt;&gt;有效输入")&gt;0,"待核对",IF(COUNTIFS('执行日志'!$B$7:$B$306,A39,'执行日志'!$P$7:$P$306,"有效输入")=0,"",SUMIFS('执行日志'!$J$7:$J$306,'执行日志'!$B$7:$B$306,A39,'执行日志'!$P$7:$P$306,"有效输入")))))</x:f>
      </x:c>
      <x:c r="O39" s="24" t="str">
        <x:f>IF(A39="","",IF(NOT(ISNUMBER(K39)),"待定预算",IF(NOT(ISNUMBER(M39)),"暂无有效流水",K39-M39)))</x:f>
      </x:c>
      <x:c r="P39" s="24" t="str">
        <x:f>IF(A39="","",IF(NOT(ISNUMBER(L39)),"待定预算",IF(NOT(ISNUMBER(N39)),"暂无有效流水",L39-N39)))</x:f>
      </x:c>
      <x:c r="Q39" s="19" t="str">
        <x:f>IF(A39="","",IF(D39="已结案","已结案",IF(NOT(ISNUMBER(I39)),"待定复盘日",IF(NOT(ISNUMBER($B$3)),"待定评估日",IF(I39&lt;=$B$3,"应复盘","未到期")))))</x:f>
      </x:c>
      <x:c r="R39" s="19" t="str">
        <x:f>IF(A39="","",IF(COUNTIFS($A$7:$A$306,A39)&lt;&gt;1,"问题编号重复",IF(OR(B39="",C39="",D39="",G39="",S39=""),"待补基础信息",IF(AND(F39&lt;&gt;"",COUNTIFS('方案版本'!$A$7:$A$306,F39,'方案版本'!$B$7:$B$306,A39,'方案版本'!$L$7:$L$306,"已冻结")&lt;&gt;1),"当前方案引用无效",IF(AND(D39="执行中",F39=""),"执行缺方案",IF(AND(D39="已结案",OR(T39="",COUNTIFS('复盘记录'!$B$7:$B$306,A39)=0,COUNTIFS('更新日志'!$B$7:$B$306,A39)=0)),"结案资料待补","基础记录齐备"))))))</x:f>
      </x:c>
      <x:c r="S39" s="3"/>
      <x:c r="T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20"/>
      <x:c r="J40" s="3"/>
      <x:c r="K40" s="22"/>
      <x:c r="L40" s="22"/>
      <x:c r="M40" s="24" t="str">
        <x:f>IF(A40="","",IF(COUNTIFS('执行日志'!$B$7:$B$306,A40)=0,"",IF(COUNTIFS('执行日志'!$B$7:$B$306,A40,'执行日志'!$L$7:$L$306,"有效",'执行日志'!$P$7:$P$306,"&lt;&gt;有效输入")&gt;0,"待核对",IF(COUNTIFS('执行日志'!$B$7:$B$306,A40,'执行日志'!$P$7:$P$306,"有效输入")=0,"",SUMIFS('执行日志'!$H$7:$H$306,'执行日志'!$B$7:$B$306,A40,'执行日志'!$P$7:$P$306,"有效输入")))))</x:f>
      </x:c>
      <x:c r="N40" s="24" t="str">
        <x:f>IF(A40="","",IF(COUNTIFS('执行日志'!$B$7:$B$306,A40)=0,"",IF(COUNTIFS('执行日志'!$B$7:$B$306,A40,'执行日志'!$L$7:$L$306,"有效",'执行日志'!$P$7:$P$306,"&lt;&gt;有效输入")&gt;0,"待核对",IF(COUNTIFS('执行日志'!$B$7:$B$306,A40,'执行日志'!$P$7:$P$306,"有效输入")=0,"",SUMIFS('执行日志'!$J$7:$J$306,'执行日志'!$B$7:$B$306,A40,'执行日志'!$P$7:$P$306,"有效输入")))))</x:f>
      </x:c>
      <x:c r="O40" s="24" t="str">
        <x:f>IF(A40="","",IF(NOT(ISNUMBER(K40)),"待定预算",IF(NOT(ISNUMBER(M40)),"暂无有效流水",K40-M40)))</x:f>
      </x:c>
      <x:c r="P40" s="24" t="str">
        <x:f>IF(A40="","",IF(NOT(ISNUMBER(L40)),"待定预算",IF(NOT(ISNUMBER(N40)),"暂无有效流水",L40-N40)))</x:f>
      </x:c>
      <x:c r="Q40" s="19" t="str">
        <x:f>IF(A40="","",IF(D40="已结案","已结案",IF(NOT(ISNUMBER(I40)),"待定复盘日",IF(NOT(ISNUMBER($B$3)),"待定评估日",IF(I40&lt;=$B$3,"应复盘","未到期")))))</x:f>
      </x:c>
      <x:c r="R40" s="19" t="str">
        <x:f>IF(A40="","",IF(COUNTIFS($A$7:$A$306,A40)&lt;&gt;1,"问题编号重复",IF(OR(B40="",C40="",D40="",G40="",S40=""),"待补基础信息",IF(AND(F40&lt;&gt;"",COUNTIFS('方案版本'!$A$7:$A$306,F40,'方案版本'!$B$7:$B$306,A40,'方案版本'!$L$7:$L$306,"已冻结")&lt;&gt;1),"当前方案引用无效",IF(AND(D40="执行中",F40=""),"执行缺方案",IF(AND(D40="已结案",OR(T40="",COUNTIFS('复盘记录'!$B$7:$B$306,A40)=0,COUNTIFS('更新日志'!$B$7:$B$306,A40)=0)),"结案资料待补","基础记录齐备"))))))</x:f>
      </x:c>
      <x:c r="S40" s="3"/>
      <x:c r="T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20"/>
      <x:c r="J41" s="3"/>
      <x:c r="K41" s="22"/>
      <x:c r="L41" s="22"/>
      <x:c r="M41" s="24" t="str">
        <x:f>IF(A41="","",IF(COUNTIFS('执行日志'!$B$7:$B$306,A41)=0,"",IF(COUNTIFS('执行日志'!$B$7:$B$306,A41,'执行日志'!$L$7:$L$306,"有效",'执行日志'!$P$7:$P$306,"&lt;&gt;有效输入")&gt;0,"待核对",IF(COUNTIFS('执行日志'!$B$7:$B$306,A41,'执行日志'!$P$7:$P$306,"有效输入")=0,"",SUMIFS('执行日志'!$H$7:$H$306,'执行日志'!$B$7:$B$306,A41,'执行日志'!$P$7:$P$306,"有效输入")))))</x:f>
      </x:c>
      <x:c r="N41" s="24" t="str">
        <x:f>IF(A41="","",IF(COUNTIFS('执行日志'!$B$7:$B$306,A41)=0,"",IF(COUNTIFS('执行日志'!$B$7:$B$306,A41,'执行日志'!$L$7:$L$306,"有效",'执行日志'!$P$7:$P$306,"&lt;&gt;有效输入")&gt;0,"待核对",IF(COUNTIFS('执行日志'!$B$7:$B$306,A41,'执行日志'!$P$7:$P$306,"有效输入")=0,"",SUMIFS('执行日志'!$J$7:$J$306,'执行日志'!$B$7:$B$306,A41,'执行日志'!$P$7:$P$306,"有效输入")))))</x:f>
      </x:c>
      <x:c r="O41" s="24" t="str">
        <x:f>IF(A41="","",IF(NOT(ISNUMBER(K41)),"待定预算",IF(NOT(ISNUMBER(M41)),"暂无有效流水",K41-M41)))</x:f>
      </x:c>
      <x:c r="P41" s="24" t="str">
        <x:f>IF(A41="","",IF(NOT(ISNUMBER(L41)),"待定预算",IF(NOT(ISNUMBER(N41)),"暂无有效流水",L41-N41)))</x:f>
      </x:c>
      <x:c r="Q41" s="19" t="str">
        <x:f>IF(A41="","",IF(D41="已结案","已结案",IF(NOT(ISNUMBER(I41)),"待定复盘日",IF(NOT(ISNUMBER($B$3)),"待定评估日",IF(I41&lt;=$B$3,"应复盘","未到期")))))</x:f>
      </x:c>
      <x:c r="R41" s="19" t="str">
        <x:f>IF(A41="","",IF(COUNTIFS($A$7:$A$306,A41)&lt;&gt;1,"问题编号重复",IF(OR(B41="",C41="",D41="",G41="",S41=""),"待补基础信息",IF(AND(F41&lt;&gt;"",COUNTIFS('方案版本'!$A$7:$A$306,F41,'方案版本'!$B$7:$B$306,A41,'方案版本'!$L$7:$L$306,"已冻结")&lt;&gt;1),"当前方案引用无效",IF(AND(D41="执行中",F41=""),"执行缺方案",IF(AND(D41="已结案",OR(T41="",COUNTIFS('复盘记录'!$B$7:$B$306,A41)=0,COUNTIFS('更新日志'!$B$7:$B$306,A41)=0)),"结案资料待补","基础记录齐备"))))))</x:f>
      </x:c>
      <x:c r="S41" s="3"/>
      <x:c r="T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20"/>
      <x:c r="J42" s="3"/>
      <x:c r="K42" s="22"/>
      <x:c r="L42" s="22"/>
      <x:c r="M42" s="24" t="str">
        <x:f>IF(A42="","",IF(COUNTIFS('执行日志'!$B$7:$B$306,A42)=0,"",IF(COUNTIFS('执行日志'!$B$7:$B$306,A42,'执行日志'!$L$7:$L$306,"有效",'执行日志'!$P$7:$P$306,"&lt;&gt;有效输入")&gt;0,"待核对",IF(COUNTIFS('执行日志'!$B$7:$B$306,A42,'执行日志'!$P$7:$P$306,"有效输入")=0,"",SUMIFS('执行日志'!$H$7:$H$306,'执行日志'!$B$7:$B$306,A42,'执行日志'!$P$7:$P$306,"有效输入")))))</x:f>
      </x:c>
      <x:c r="N42" s="24" t="str">
        <x:f>IF(A42="","",IF(COUNTIFS('执行日志'!$B$7:$B$306,A42)=0,"",IF(COUNTIFS('执行日志'!$B$7:$B$306,A42,'执行日志'!$L$7:$L$306,"有效",'执行日志'!$P$7:$P$306,"&lt;&gt;有效输入")&gt;0,"待核对",IF(COUNTIFS('执行日志'!$B$7:$B$306,A42,'执行日志'!$P$7:$P$306,"有效输入")=0,"",SUMIFS('执行日志'!$J$7:$J$306,'执行日志'!$B$7:$B$306,A42,'执行日志'!$P$7:$P$306,"有效输入")))))</x:f>
      </x:c>
      <x:c r="O42" s="24" t="str">
        <x:f>IF(A42="","",IF(NOT(ISNUMBER(K42)),"待定预算",IF(NOT(ISNUMBER(M42)),"暂无有效流水",K42-M42)))</x:f>
      </x:c>
      <x:c r="P42" s="24" t="str">
        <x:f>IF(A42="","",IF(NOT(ISNUMBER(L42)),"待定预算",IF(NOT(ISNUMBER(N42)),"暂无有效流水",L42-N42)))</x:f>
      </x:c>
      <x:c r="Q42" s="19" t="str">
        <x:f>IF(A42="","",IF(D42="已结案","已结案",IF(NOT(ISNUMBER(I42)),"待定复盘日",IF(NOT(ISNUMBER($B$3)),"待定评估日",IF(I42&lt;=$B$3,"应复盘","未到期")))))</x:f>
      </x:c>
      <x:c r="R42" s="19" t="str">
        <x:f>IF(A42="","",IF(COUNTIFS($A$7:$A$306,A42)&lt;&gt;1,"问题编号重复",IF(OR(B42="",C42="",D42="",G42="",S42=""),"待补基础信息",IF(AND(F42&lt;&gt;"",COUNTIFS('方案版本'!$A$7:$A$306,F42,'方案版本'!$B$7:$B$306,A42,'方案版本'!$L$7:$L$306,"已冻结")&lt;&gt;1),"当前方案引用无效",IF(AND(D42="执行中",F42=""),"执行缺方案",IF(AND(D42="已结案",OR(T42="",COUNTIFS('复盘记录'!$B$7:$B$306,A42)=0,COUNTIFS('更新日志'!$B$7:$B$306,A42)=0)),"结案资料待补","基础记录齐备"))))))</x:f>
      </x:c>
      <x:c r="S42" s="3"/>
      <x:c r="T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20"/>
      <x:c r="J43" s="3"/>
      <x:c r="K43" s="22"/>
      <x:c r="L43" s="22"/>
      <x:c r="M43" s="24" t="str">
        <x:f>IF(A43="","",IF(COUNTIFS('执行日志'!$B$7:$B$306,A43)=0,"",IF(COUNTIFS('执行日志'!$B$7:$B$306,A43,'执行日志'!$L$7:$L$306,"有效",'执行日志'!$P$7:$P$306,"&lt;&gt;有效输入")&gt;0,"待核对",IF(COUNTIFS('执行日志'!$B$7:$B$306,A43,'执行日志'!$P$7:$P$306,"有效输入")=0,"",SUMIFS('执行日志'!$H$7:$H$306,'执行日志'!$B$7:$B$306,A43,'执行日志'!$P$7:$P$306,"有效输入")))))</x:f>
      </x:c>
      <x:c r="N43" s="24" t="str">
        <x:f>IF(A43="","",IF(COUNTIFS('执行日志'!$B$7:$B$306,A43)=0,"",IF(COUNTIFS('执行日志'!$B$7:$B$306,A43,'执行日志'!$L$7:$L$306,"有效",'执行日志'!$P$7:$P$306,"&lt;&gt;有效输入")&gt;0,"待核对",IF(COUNTIFS('执行日志'!$B$7:$B$306,A43,'执行日志'!$P$7:$P$306,"有效输入")=0,"",SUMIFS('执行日志'!$J$7:$J$306,'执行日志'!$B$7:$B$306,A43,'执行日志'!$P$7:$P$306,"有效输入")))))</x:f>
      </x:c>
      <x:c r="O43" s="24" t="str">
        <x:f>IF(A43="","",IF(NOT(ISNUMBER(K43)),"待定预算",IF(NOT(ISNUMBER(M43)),"暂无有效流水",K43-M43)))</x:f>
      </x:c>
      <x:c r="P43" s="24" t="str">
        <x:f>IF(A43="","",IF(NOT(ISNUMBER(L43)),"待定预算",IF(NOT(ISNUMBER(N43)),"暂无有效流水",L43-N43)))</x:f>
      </x:c>
      <x:c r="Q43" s="19" t="str">
        <x:f>IF(A43="","",IF(D43="已结案","已结案",IF(NOT(ISNUMBER(I43)),"待定复盘日",IF(NOT(ISNUMBER($B$3)),"待定评估日",IF(I43&lt;=$B$3,"应复盘","未到期")))))</x:f>
      </x:c>
      <x:c r="R43" s="19" t="str">
        <x:f>IF(A43="","",IF(COUNTIFS($A$7:$A$306,A43)&lt;&gt;1,"问题编号重复",IF(OR(B43="",C43="",D43="",G43="",S43=""),"待补基础信息",IF(AND(F43&lt;&gt;"",COUNTIFS('方案版本'!$A$7:$A$306,F43,'方案版本'!$B$7:$B$306,A43,'方案版本'!$L$7:$L$306,"已冻结")&lt;&gt;1),"当前方案引用无效",IF(AND(D43="执行中",F43=""),"执行缺方案",IF(AND(D43="已结案",OR(T43="",COUNTIFS('复盘记录'!$B$7:$B$306,A43)=0,COUNTIFS('更新日志'!$B$7:$B$306,A43)=0)),"结案资料待补","基础记录齐备"))))))</x:f>
      </x:c>
      <x:c r="S43" s="3"/>
      <x:c r="T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20"/>
      <x:c r="J44" s="3"/>
      <x:c r="K44" s="22"/>
      <x:c r="L44" s="22"/>
      <x:c r="M44" s="24" t="str">
        <x:f>IF(A44="","",IF(COUNTIFS('执行日志'!$B$7:$B$306,A44)=0,"",IF(COUNTIFS('执行日志'!$B$7:$B$306,A44,'执行日志'!$L$7:$L$306,"有效",'执行日志'!$P$7:$P$306,"&lt;&gt;有效输入")&gt;0,"待核对",IF(COUNTIFS('执行日志'!$B$7:$B$306,A44,'执行日志'!$P$7:$P$306,"有效输入")=0,"",SUMIFS('执行日志'!$H$7:$H$306,'执行日志'!$B$7:$B$306,A44,'执行日志'!$P$7:$P$306,"有效输入")))))</x:f>
      </x:c>
      <x:c r="N44" s="24" t="str">
        <x:f>IF(A44="","",IF(COUNTIFS('执行日志'!$B$7:$B$306,A44)=0,"",IF(COUNTIFS('执行日志'!$B$7:$B$306,A44,'执行日志'!$L$7:$L$306,"有效",'执行日志'!$P$7:$P$306,"&lt;&gt;有效输入")&gt;0,"待核对",IF(COUNTIFS('执行日志'!$B$7:$B$306,A44,'执行日志'!$P$7:$P$306,"有效输入")=0,"",SUMIFS('执行日志'!$J$7:$J$306,'执行日志'!$B$7:$B$306,A44,'执行日志'!$P$7:$P$306,"有效输入")))))</x:f>
      </x:c>
      <x:c r="O44" s="24" t="str">
        <x:f>IF(A44="","",IF(NOT(ISNUMBER(K44)),"待定预算",IF(NOT(ISNUMBER(M44)),"暂无有效流水",K44-M44)))</x:f>
      </x:c>
      <x:c r="P44" s="24" t="str">
        <x:f>IF(A44="","",IF(NOT(ISNUMBER(L44)),"待定预算",IF(NOT(ISNUMBER(N44)),"暂无有效流水",L44-N44)))</x:f>
      </x:c>
      <x:c r="Q44" s="19" t="str">
        <x:f>IF(A44="","",IF(D44="已结案","已结案",IF(NOT(ISNUMBER(I44)),"待定复盘日",IF(NOT(ISNUMBER($B$3)),"待定评估日",IF(I44&lt;=$B$3,"应复盘","未到期")))))</x:f>
      </x:c>
      <x:c r="R44" s="19" t="str">
        <x:f>IF(A44="","",IF(COUNTIFS($A$7:$A$306,A44)&lt;&gt;1,"问题编号重复",IF(OR(B44="",C44="",D44="",G44="",S44=""),"待补基础信息",IF(AND(F44&lt;&gt;"",COUNTIFS('方案版本'!$A$7:$A$306,F44,'方案版本'!$B$7:$B$306,A44,'方案版本'!$L$7:$L$306,"已冻结")&lt;&gt;1),"当前方案引用无效",IF(AND(D44="执行中",F44=""),"执行缺方案",IF(AND(D44="已结案",OR(T44="",COUNTIFS('复盘记录'!$B$7:$B$306,A44)=0,COUNTIFS('更新日志'!$B$7:$B$306,A44)=0)),"结案资料待补","基础记录齐备"))))))</x:f>
      </x:c>
      <x:c r="S44" s="3"/>
      <x:c r="T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20"/>
      <x:c r="J45" s="3"/>
      <x:c r="K45" s="22"/>
      <x:c r="L45" s="22"/>
      <x:c r="M45" s="24" t="str">
        <x:f>IF(A45="","",IF(COUNTIFS('执行日志'!$B$7:$B$306,A45)=0,"",IF(COUNTIFS('执行日志'!$B$7:$B$306,A45,'执行日志'!$L$7:$L$306,"有效",'执行日志'!$P$7:$P$306,"&lt;&gt;有效输入")&gt;0,"待核对",IF(COUNTIFS('执行日志'!$B$7:$B$306,A45,'执行日志'!$P$7:$P$306,"有效输入")=0,"",SUMIFS('执行日志'!$H$7:$H$306,'执行日志'!$B$7:$B$306,A45,'执行日志'!$P$7:$P$306,"有效输入")))))</x:f>
      </x:c>
      <x:c r="N45" s="24" t="str">
        <x:f>IF(A45="","",IF(COUNTIFS('执行日志'!$B$7:$B$306,A45)=0,"",IF(COUNTIFS('执行日志'!$B$7:$B$306,A45,'执行日志'!$L$7:$L$306,"有效",'执行日志'!$P$7:$P$306,"&lt;&gt;有效输入")&gt;0,"待核对",IF(COUNTIFS('执行日志'!$B$7:$B$306,A45,'执行日志'!$P$7:$P$306,"有效输入")=0,"",SUMIFS('执行日志'!$J$7:$J$306,'执行日志'!$B$7:$B$306,A45,'执行日志'!$P$7:$P$306,"有效输入")))))</x:f>
      </x:c>
      <x:c r="O45" s="24" t="str">
        <x:f>IF(A45="","",IF(NOT(ISNUMBER(K45)),"待定预算",IF(NOT(ISNUMBER(M45)),"暂无有效流水",K45-M45)))</x:f>
      </x:c>
      <x:c r="P45" s="24" t="str">
        <x:f>IF(A45="","",IF(NOT(ISNUMBER(L45)),"待定预算",IF(NOT(ISNUMBER(N45)),"暂无有效流水",L45-N45)))</x:f>
      </x:c>
      <x:c r="Q45" s="19" t="str">
        <x:f>IF(A45="","",IF(D45="已结案","已结案",IF(NOT(ISNUMBER(I45)),"待定复盘日",IF(NOT(ISNUMBER($B$3)),"待定评估日",IF(I45&lt;=$B$3,"应复盘","未到期")))))</x:f>
      </x:c>
      <x:c r="R45" s="19" t="str">
        <x:f>IF(A45="","",IF(COUNTIFS($A$7:$A$306,A45)&lt;&gt;1,"问题编号重复",IF(OR(B45="",C45="",D45="",G45="",S45=""),"待补基础信息",IF(AND(F45&lt;&gt;"",COUNTIFS('方案版本'!$A$7:$A$306,F45,'方案版本'!$B$7:$B$306,A45,'方案版本'!$L$7:$L$306,"已冻结")&lt;&gt;1),"当前方案引用无效",IF(AND(D45="执行中",F45=""),"执行缺方案",IF(AND(D45="已结案",OR(T45="",COUNTIFS('复盘记录'!$B$7:$B$306,A45)=0,COUNTIFS('更新日志'!$B$7:$B$306,A45)=0)),"结案资料待补","基础记录齐备"))))))</x:f>
      </x:c>
      <x:c r="S45" s="3"/>
      <x:c r="T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20"/>
      <x:c r="J46" s="3"/>
      <x:c r="K46" s="22"/>
      <x:c r="L46" s="22"/>
      <x:c r="M46" s="24" t="str">
        <x:f>IF(A46="","",IF(COUNTIFS('执行日志'!$B$7:$B$306,A46)=0,"",IF(COUNTIFS('执行日志'!$B$7:$B$306,A46,'执行日志'!$L$7:$L$306,"有效",'执行日志'!$P$7:$P$306,"&lt;&gt;有效输入")&gt;0,"待核对",IF(COUNTIFS('执行日志'!$B$7:$B$306,A46,'执行日志'!$P$7:$P$306,"有效输入")=0,"",SUMIFS('执行日志'!$H$7:$H$306,'执行日志'!$B$7:$B$306,A46,'执行日志'!$P$7:$P$306,"有效输入")))))</x:f>
      </x:c>
      <x:c r="N46" s="24" t="str">
        <x:f>IF(A46="","",IF(COUNTIFS('执行日志'!$B$7:$B$306,A46)=0,"",IF(COUNTIFS('执行日志'!$B$7:$B$306,A46,'执行日志'!$L$7:$L$306,"有效",'执行日志'!$P$7:$P$306,"&lt;&gt;有效输入")&gt;0,"待核对",IF(COUNTIFS('执行日志'!$B$7:$B$306,A46,'执行日志'!$P$7:$P$306,"有效输入")=0,"",SUMIFS('执行日志'!$J$7:$J$306,'执行日志'!$B$7:$B$306,A46,'执行日志'!$P$7:$P$306,"有效输入")))))</x:f>
      </x:c>
      <x:c r="O46" s="24" t="str">
        <x:f>IF(A46="","",IF(NOT(ISNUMBER(K46)),"待定预算",IF(NOT(ISNUMBER(M46)),"暂无有效流水",K46-M46)))</x:f>
      </x:c>
      <x:c r="P46" s="24" t="str">
        <x:f>IF(A46="","",IF(NOT(ISNUMBER(L46)),"待定预算",IF(NOT(ISNUMBER(N46)),"暂无有效流水",L46-N46)))</x:f>
      </x:c>
      <x:c r="Q46" s="19" t="str">
        <x:f>IF(A46="","",IF(D46="已结案","已结案",IF(NOT(ISNUMBER(I46)),"待定复盘日",IF(NOT(ISNUMBER($B$3)),"待定评估日",IF(I46&lt;=$B$3,"应复盘","未到期")))))</x:f>
      </x:c>
      <x:c r="R46" s="19" t="str">
        <x:f>IF(A46="","",IF(COUNTIFS($A$7:$A$306,A46)&lt;&gt;1,"问题编号重复",IF(OR(B46="",C46="",D46="",G46="",S46=""),"待补基础信息",IF(AND(F46&lt;&gt;"",COUNTIFS('方案版本'!$A$7:$A$306,F46,'方案版本'!$B$7:$B$306,A46,'方案版本'!$L$7:$L$306,"已冻结")&lt;&gt;1),"当前方案引用无效",IF(AND(D46="执行中",F46=""),"执行缺方案",IF(AND(D46="已结案",OR(T46="",COUNTIFS('复盘记录'!$B$7:$B$306,A46)=0,COUNTIFS('更新日志'!$B$7:$B$306,A46)=0)),"结案资料待补","基础记录齐备"))))))</x:f>
      </x:c>
      <x:c r="S46" s="3"/>
      <x:c r="T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20"/>
      <x:c r="J47" s="3"/>
      <x:c r="K47" s="22"/>
      <x:c r="L47" s="22"/>
      <x:c r="M47" s="24" t="str">
        <x:f>IF(A47="","",IF(COUNTIFS('执行日志'!$B$7:$B$306,A47)=0,"",IF(COUNTIFS('执行日志'!$B$7:$B$306,A47,'执行日志'!$L$7:$L$306,"有效",'执行日志'!$P$7:$P$306,"&lt;&gt;有效输入")&gt;0,"待核对",IF(COUNTIFS('执行日志'!$B$7:$B$306,A47,'执行日志'!$P$7:$P$306,"有效输入")=0,"",SUMIFS('执行日志'!$H$7:$H$306,'执行日志'!$B$7:$B$306,A47,'执行日志'!$P$7:$P$306,"有效输入")))))</x:f>
      </x:c>
      <x:c r="N47" s="24" t="str">
        <x:f>IF(A47="","",IF(COUNTIFS('执行日志'!$B$7:$B$306,A47)=0,"",IF(COUNTIFS('执行日志'!$B$7:$B$306,A47,'执行日志'!$L$7:$L$306,"有效",'执行日志'!$P$7:$P$306,"&lt;&gt;有效输入")&gt;0,"待核对",IF(COUNTIFS('执行日志'!$B$7:$B$306,A47,'执行日志'!$P$7:$P$306,"有效输入")=0,"",SUMIFS('执行日志'!$J$7:$J$306,'执行日志'!$B$7:$B$306,A47,'执行日志'!$P$7:$P$306,"有效输入")))))</x:f>
      </x:c>
      <x:c r="O47" s="24" t="str">
        <x:f>IF(A47="","",IF(NOT(ISNUMBER(K47)),"待定预算",IF(NOT(ISNUMBER(M47)),"暂无有效流水",K47-M47)))</x:f>
      </x:c>
      <x:c r="P47" s="24" t="str">
        <x:f>IF(A47="","",IF(NOT(ISNUMBER(L47)),"待定预算",IF(NOT(ISNUMBER(N47)),"暂无有效流水",L47-N47)))</x:f>
      </x:c>
      <x:c r="Q47" s="19" t="str">
        <x:f>IF(A47="","",IF(D47="已结案","已结案",IF(NOT(ISNUMBER(I47)),"待定复盘日",IF(NOT(ISNUMBER($B$3)),"待定评估日",IF(I47&lt;=$B$3,"应复盘","未到期")))))</x:f>
      </x:c>
      <x:c r="R47" s="19" t="str">
        <x:f>IF(A47="","",IF(COUNTIFS($A$7:$A$306,A47)&lt;&gt;1,"问题编号重复",IF(OR(B47="",C47="",D47="",G47="",S47=""),"待补基础信息",IF(AND(F47&lt;&gt;"",COUNTIFS('方案版本'!$A$7:$A$306,F47,'方案版本'!$B$7:$B$306,A47,'方案版本'!$L$7:$L$306,"已冻结")&lt;&gt;1),"当前方案引用无效",IF(AND(D47="执行中",F47=""),"执行缺方案",IF(AND(D47="已结案",OR(T47="",COUNTIFS('复盘记录'!$B$7:$B$306,A47)=0,COUNTIFS('更新日志'!$B$7:$B$306,A47)=0)),"结案资料待补","基础记录齐备"))))))</x:f>
      </x:c>
      <x:c r="S47" s="3"/>
      <x:c r="T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20"/>
      <x:c r="J48" s="3"/>
      <x:c r="K48" s="22"/>
      <x:c r="L48" s="22"/>
      <x:c r="M48" s="24" t="str">
        <x:f>IF(A48="","",IF(COUNTIFS('执行日志'!$B$7:$B$306,A48)=0,"",IF(COUNTIFS('执行日志'!$B$7:$B$306,A48,'执行日志'!$L$7:$L$306,"有效",'执行日志'!$P$7:$P$306,"&lt;&gt;有效输入")&gt;0,"待核对",IF(COUNTIFS('执行日志'!$B$7:$B$306,A48,'执行日志'!$P$7:$P$306,"有效输入")=0,"",SUMIFS('执行日志'!$H$7:$H$306,'执行日志'!$B$7:$B$306,A48,'执行日志'!$P$7:$P$306,"有效输入")))))</x:f>
      </x:c>
      <x:c r="N48" s="24" t="str">
        <x:f>IF(A48="","",IF(COUNTIFS('执行日志'!$B$7:$B$306,A48)=0,"",IF(COUNTIFS('执行日志'!$B$7:$B$306,A48,'执行日志'!$L$7:$L$306,"有效",'执行日志'!$P$7:$P$306,"&lt;&gt;有效输入")&gt;0,"待核对",IF(COUNTIFS('执行日志'!$B$7:$B$306,A48,'执行日志'!$P$7:$P$306,"有效输入")=0,"",SUMIFS('执行日志'!$J$7:$J$306,'执行日志'!$B$7:$B$306,A48,'执行日志'!$P$7:$P$306,"有效输入")))))</x:f>
      </x:c>
      <x:c r="O48" s="24" t="str">
        <x:f>IF(A48="","",IF(NOT(ISNUMBER(K48)),"待定预算",IF(NOT(ISNUMBER(M48)),"暂无有效流水",K48-M48)))</x:f>
      </x:c>
      <x:c r="P48" s="24" t="str">
        <x:f>IF(A48="","",IF(NOT(ISNUMBER(L48)),"待定预算",IF(NOT(ISNUMBER(N48)),"暂无有效流水",L48-N48)))</x:f>
      </x:c>
      <x:c r="Q48" s="19" t="str">
        <x:f>IF(A48="","",IF(D48="已结案","已结案",IF(NOT(ISNUMBER(I48)),"待定复盘日",IF(NOT(ISNUMBER($B$3)),"待定评估日",IF(I48&lt;=$B$3,"应复盘","未到期")))))</x:f>
      </x:c>
      <x:c r="R48" s="19" t="str">
        <x:f>IF(A48="","",IF(COUNTIFS($A$7:$A$306,A48)&lt;&gt;1,"问题编号重复",IF(OR(B48="",C48="",D48="",G48="",S48=""),"待补基础信息",IF(AND(F48&lt;&gt;"",COUNTIFS('方案版本'!$A$7:$A$306,F48,'方案版本'!$B$7:$B$306,A48,'方案版本'!$L$7:$L$306,"已冻结")&lt;&gt;1),"当前方案引用无效",IF(AND(D48="执行中",F48=""),"执行缺方案",IF(AND(D48="已结案",OR(T48="",COUNTIFS('复盘记录'!$B$7:$B$306,A48)=0,COUNTIFS('更新日志'!$B$7:$B$306,A48)=0)),"结案资料待补","基础记录齐备"))))))</x:f>
      </x:c>
      <x:c r="S48" s="3"/>
      <x:c r="T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20"/>
      <x:c r="J49" s="3"/>
      <x:c r="K49" s="22"/>
      <x:c r="L49" s="22"/>
      <x:c r="M49" s="24" t="str">
        <x:f>IF(A49="","",IF(COUNTIFS('执行日志'!$B$7:$B$306,A49)=0,"",IF(COUNTIFS('执行日志'!$B$7:$B$306,A49,'执行日志'!$L$7:$L$306,"有效",'执行日志'!$P$7:$P$306,"&lt;&gt;有效输入")&gt;0,"待核对",IF(COUNTIFS('执行日志'!$B$7:$B$306,A49,'执行日志'!$P$7:$P$306,"有效输入")=0,"",SUMIFS('执行日志'!$H$7:$H$306,'执行日志'!$B$7:$B$306,A49,'执行日志'!$P$7:$P$306,"有效输入")))))</x:f>
      </x:c>
      <x:c r="N49" s="24" t="str">
        <x:f>IF(A49="","",IF(COUNTIFS('执行日志'!$B$7:$B$306,A49)=0,"",IF(COUNTIFS('执行日志'!$B$7:$B$306,A49,'执行日志'!$L$7:$L$306,"有效",'执行日志'!$P$7:$P$306,"&lt;&gt;有效输入")&gt;0,"待核对",IF(COUNTIFS('执行日志'!$B$7:$B$306,A49,'执行日志'!$P$7:$P$306,"有效输入")=0,"",SUMIFS('执行日志'!$J$7:$J$306,'执行日志'!$B$7:$B$306,A49,'执行日志'!$P$7:$P$306,"有效输入")))))</x:f>
      </x:c>
      <x:c r="O49" s="24" t="str">
        <x:f>IF(A49="","",IF(NOT(ISNUMBER(K49)),"待定预算",IF(NOT(ISNUMBER(M49)),"暂无有效流水",K49-M49)))</x:f>
      </x:c>
      <x:c r="P49" s="24" t="str">
        <x:f>IF(A49="","",IF(NOT(ISNUMBER(L49)),"待定预算",IF(NOT(ISNUMBER(N49)),"暂无有效流水",L49-N49)))</x:f>
      </x:c>
      <x:c r="Q49" s="19" t="str">
        <x:f>IF(A49="","",IF(D49="已结案","已结案",IF(NOT(ISNUMBER(I49)),"待定复盘日",IF(NOT(ISNUMBER($B$3)),"待定评估日",IF(I49&lt;=$B$3,"应复盘","未到期")))))</x:f>
      </x:c>
      <x:c r="R49" s="19" t="str">
        <x:f>IF(A49="","",IF(COUNTIFS($A$7:$A$306,A49)&lt;&gt;1,"问题编号重复",IF(OR(B49="",C49="",D49="",G49="",S49=""),"待补基础信息",IF(AND(F49&lt;&gt;"",COUNTIFS('方案版本'!$A$7:$A$306,F49,'方案版本'!$B$7:$B$306,A49,'方案版本'!$L$7:$L$306,"已冻结")&lt;&gt;1),"当前方案引用无效",IF(AND(D49="执行中",F49=""),"执行缺方案",IF(AND(D49="已结案",OR(T49="",COUNTIFS('复盘记录'!$B$7:$B$306,A49)=0,COUNTIFS('更新日志'!$B$7:$B$306,A49)=0)),"结案资料待补","基础记录齐备"))))))</x:f>
      </x:c>
      <x:c r="S49" s="3"/>
      <x:c r="T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20"/>
      <x:c r="J50" s="3"/>
      <x:c r="K50" s="22"/>
      <x:c r="L50" s="22"/>
      <x:c r="M50" s="24" t="str">
        <x:f>IF(A50="","",IF(COUNTIFS('执行日志'!$B$7:$B$306,A50)=0,"",IF(COUNTIFS('执行日志'!$B$7:$B$306,A50,'执行日志'!$L$7:$L$306,"有效",'执行日志'!$P$7:$P$306,"&lt;&gt;有效输入")&gt;0,"待核对",IF(COUNTIFS('执行日志'!$B$7:$B$306,A50,'执行日志'!$P$7:$P$306,"有效输入")=0,"",SUMIFS('执行日志'!$H$7:$H$306,'执行日志'!$B$7:$B$306,A50,'执行日志'!$P$7:$P$306,"有效输入")))))</x:f>
      </x:c>
      <x:c r="N50" s="24" t="str">
        <x:f>IF(A50="","",IF(COUNTIFS('执行日志'!$B$7:$B$306,A50)=0,"",IF(COUNTIFS('执行日志'!$B$7:$B$306,A50,'执行日志'!$L$7:$L$306,"有效",'执行日志'!$P$7:$P$306,"&lt;&gt;有效输入")&gt;0,"待核对",IF(COUNTIFS('执行日志'!$B$7:$B$306,A50,'执行日志'!$P$7:$P$306,"有效输入")=0,"",SUMIFS('执行日志'!$J$7:$J$306,'执行日志'!$B$7:$B$306,A50,'执行日志'!$P$7:$P$306,"有效输入")))))</x:f>
      </x:c>
      <x:c r="O50" s="24" t="str">
        <x:f>IF(A50="","",IF(NOT(ISNUMBER(K50)),"待定预算",IF(NOT(ISNUMBER(M50)),"暂无有效流水",K50-M50)))</x:f>
      </x:c>
      <x:c r="P50" s="24" t="str">
        <x:f>IF(A50="","",IF(NOT(ISNUMBER(L50)),"待定预算",IF(NOT(ISNUMBER(N50)),"暂无有效流水",L50-N50)))</x:f>
      </x:c>
      <x:c r="Q50" s="19" t="str">
        <x:f>IF(A50="","",IF(D50="已结案","已结案",IF(NOT(ISNUMBER(I50)),"待定复盘日",IF(NOT(ISNUMBER($B$3)),"待定评估日",IF(I50&lt;=$B$3,"应复盘","未到期")))))</x:f>
      </x:c>
      <x:c r="R50" s="19" t="str">
        <x:f>IF(A50="","",IF(COUNTIFS($A$7:$A$306,A50)&lt;&gt;1,"问题编号重复",IF(OR(B50="",C50="",D50="",G50="",S50=""),"待补基础信息",IF(AND(F50&lt;&gt;"",COUNTIFS('方案版本'!$A$7:$A$306,F50,'方案版本'!$B$7:$B$306,A50,'方案版本'!$L$7:$L$306,"已冻结")&lt;&gt;1),"当前方案引用无效",IF(AND(D50="执行中",F50=""),"执行缺方案",IF(AND(D50="已结案",OR(T50="",COUNTIFS('复盘记录'!$B$7:$B$306,A50)=0,COUNTIFS('更新日志'!$B$7:$B$306,A50)=0)),"结案资料待补","基础记录齐备"))))))</x:f>
      </x:c>
      <x:c r="S50" s="3"/>
      <x:c r="T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20"/>
      <x:c r="J51" s="3"/>
      <x:c r="K51" s="22"/>
      <x:c r="L51" s="22"/>
      <x:c r="M51" s="24" t="str">
        <x:f>IF(A51="","",IF(COUNTIFS('执行日志'!$B$7:$B$306,A51)=0,"",IF(COUNTIFS('执行日志'!$B$7:$B$306,A51,'执行日志'!$L$7:$L$306,"有效",'执行日志'!$P$7:$P$306,"&lt;&gt;有效输入")&gt;0,"待核对",IF(COUNTIFS('执行日志'!$B$7:$B$306,A51,'执行日志'!$P$7:$P$306,"有效输入")=0,"",SUMIFS('执行日志'!$H$7:$H$306,'执行日志'!$B$7:$B$306,A51,'执行日志'!$P$7:$P$306,"有效输入")))))</x:f>
      </x:c>
      <x:c r="N51" s="24" t="str">
        <x:f>IF(A51="","",IF(COUNTIFS('执行日志'!$B$7:$B$306,A51)=0,"",IF(COUNTIFS('执行日志'!$B$7:$B$306,A51,'执行日志'!$L$7:$L$306,"有效",'执行日志'!$P$7:$P$306,"&lt;&gt;有效输入")&gt;0,"待核对",IF(COUNTIFS('执行日志'!$B$7:$B$306,A51,'执行日志'!$P$7:$P$306,"有效输入")=0,"",SUMIFS('执行日志'!$J$7:$J$306,'执行日志'!$B$7:$B$306,A51,'执行日志'!$P$7:$P$306,"有效输入")))))</x:f>
      </x:c>
      <x:c r="O51" s="24" t="str">
        <x:f>IF(A51="","",IF(NOT(ISNUMBER(K51)),"待定预算",IF(NOT(ISNUMBER(M51)),"暂无有效流水",K51-M51)))</x:f>
      </x:c>
      <x:c r="P51" s="24" t="str">
        <x:f>IF(A51="","",IF(NOT(ISNUMBER(L51)),"待定预算",IF(NOT(ISNUMBER(N51)),"暂无有效流水",L51-N51)))</x:f>
      </x:c>
      <x:c r="Q51" s="19" t="str">
        <x:f>IF(A51="","",IF(D51="已结案","已结案",IF(NOT(ISNUMBER(I51)),"待定复盘日",IF(NOT(ISNUMBER($B$3)),"待定评估日",IF(I51&lt;=$B$3,"应复盘","未到期")))))</x:f>
      </x:c>
      <x:c r="R51" s="19" t="str">
        <x:f>IF(A51="","",IF(COUNTIFS($A$7:$A$306,A51)&lt;&gt;1,"问题编号重复",IF(OR(B51="",C51="",D51="",G51="",S51=""),"待补基础信息",IF(AND(F51&lt;&gt;"",COUNTIFS('方案版本'!$A$7:$A$306,F51,'方案版本'!$B$7:$B$306,A51,'方案版本'!$L$7:$L$306,"已冻结")&lt;&gt;1),"当前方案引用无效",IF(AND(D51="执行中",F51=""),"执行缺方案",IF(AND(D51="已结案",OR(T51="",COUNTIFS('复盘记录'!$B$7:$B$306,A51)=0,COUNTIFS('更新日志'!$B$7:$B$306,A51)=0)),"结案资料待补","基础记录齐备"))))))</x:f>
      </x:c>
      <x:c r="S51" s="3"/>
      <x:c r="T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20"/>
      <x:c r="J52" s="3"/>
      <x:c r="K52" s="22"/>
      <x:c r="L52" s="22"/>
      <x:c r="M52" s="24" t="str">
        <x:f>IF(A52="","",IF(COUNTIFS('执行日志'!$B$7:$B$306,A52)=0,"",IF(COUNTIFS('执行日志'!$B$7:$B$306,A52,'执行日志'!$L$7:$L$306,"有效",'执行日志'!$P$7:$P$306,"&lt;&gt;有效输入")&gt;0,"待核对",IF(COUNTIFS('执行日志'!$B$7:$B$306,A52,'执行日志'!$P$7:$P$306,"有效输入")=0,"",SUMIFS('执行日志'!$H$7:$H$306,'执行日志'!$B$7:$B$306,A52,'执行日志'!$P$7:$P$306,"有效输入")))))</x:f>
      </x:c>
      <x:c r="N52" s="24" t="str">
        <x:f>IF(A52="","",IF(COUNTIFS('执行日志'!$B$7:$B$306,A52)=0,"",IF(COUNTIFS('执行日志'!$B$7:$B$306,A52,'执行日志'!$L$7:$L$306,"有效",'执行日志'!$P$7:$P$306,"&lt;&gt;有效输入")&gt;0,"待核对",IF(COUNTIFS('执行日志'!$B$7:$B$306,A52,'执行日志'!$P$7:$P$306,"有效输入")=0,"",SUMIFS('执行日志'!$J$7:$J$306,'执行日志'!$B$7:$B$306,A52,'执行日志'!$P$7:$P$306,"有效输入")))))</x:f>
      </x:c>
      <x:c r="O52" s="24" t="str">
        <x:f>IF(A52="","",IF(NOT(ISNUMBER(K52)),"待定预算",IF(NOT(ISNUMBER(M52)),"暂无有效流水",K52-M52)))</x:f>
      </x:c>
      <x:c r="P52" s="24" t="str">
        <x:f>IF(A52="","",IF(NOT(ISNUMBER(L52)),"待定预算",IF(NOT(ISNUMBER(N52)),"暂无有效流水",L52-N52)))</x:f>
      </x:c>
      <x:c r="Q52" s="19" t="str">
        <x:f>IF(A52="","",IF(D52="已结案","已结案",IF(NOT(ISNUMBER(I52)),"待定复盘日",IF(NOT(ISNUMBER($B$3)),"待定评估日",IF(I52&lt;=$B$3,"应复盘","未到期")))))</x:f>
      </x:c>
      <x:c r="R52" s="19" t="str">
        <x:f>IF(A52="","",IF(COUNTIFS($A$7:$A$306,A52)&lt;&gt;1,"问题编号重复",IF(OR(B52="",C52="",D52="",G52="",S52=""),"待补基础信息",IF(AND(F52&lt;&gt;"",COUNTIFS('方案版本'!$A$7:$A$306,F52,'方案版本'!$B$7:$B$306,A52,'方案版本'!$L$7:$L$306,"已冻结")&lt;&gt;1),"当前方案引用无效",IF(AND(D52="执行中",F52=""),"执行缺方案",IF(AND(D52="已结案",OR(T52="",COUNTIFS('复盘记录'!$B$7:$B$306,A52)=0,COUNTIFS('更新日志'!$B$7:$B$306,A52)=0)),"结案资料待补","基础记录齐备"))))))</x:f>
      </x:c>
      <x:c r="S52" s="3"/>
      <x:c r="T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20"/>
      <x:c r="J53" s="3"/>
      <x:c r="K53" s="22"/>
      <x:c r="L53" s="22"/>
      <x:c r="M53" s="24" t="str">
        <x:f>IF(A53="","",IF(COUNTIFS('执行日志'!$B$7:$B$306,A53)=0,"",IF(COUNTIFS('执行日志'!$B$7:$B$306,A53,'执行日志'!$L$7:$L$306,"有效",'执行日志'!$P$7:$P$306,"&lt;&gt;有效输入")&gt;0,"待核对",IF(COUNTIFS('执行日志'!$B$7:$B$306,A53,'执行日志'!$P$7:$P$306,"有效输入")=0,"",SUMIFS('执行日志'!$H$7:$H$306,'执行日志'!$B$7:$B$306,A53,'执行日志'!$P$7:$P$306,"有效输入")))))</x:f>
      </x:c>
      <x:c r="N53" s="24" t="str">
        <x:f>IF(A53="","",IF(COUNTIFS('执行日志'!$B$7:$B$306,A53)=0,"",IF(COUNTIFS('执行日志'!$B$7:$B$306,A53,'执行日志'!$L$7:$L$306,"有效",'执行日志'!$P$7:$P$306,"&lt;&gt;有效输入")&gt;0,"待核对",IF(COUNTIFS('执行日志'!$B$7:$B$306,A53,'执行日志'!$P$7:$P$306,"有效输入")=0,"",SUMIFS('执行日志'!$J$7:$J$306,'执行日志'!$B$7:$B$306,A53,'执行日志'!$P$7:$P$306,"有效输入")))))</x:f>
      </x:c>
      <x:c r="O53" s="24" t="str">
        <x:f>IF(A53="","",IF(NOT(ISNUMBER(K53)),"待定预算",IF(NOT(ISNUMBER(M53)),"暂无有效流水",K53-M53)))</x:f>
      </x:c>
      <x:c r="P53" s="24" t="str">
        <x:f>IF(A53="","",IF(NOT(ISNUMBER(L53)),"待定预算",IF(NOT(ISNUMBER(N53)),"暂无有效流水",L53-N53)))</x:f>
      </x:c>
      <x:c r="Q53" s="19" t="str">
        <x:f>IF(A53="","",IF(D53="已结案","已结案",IF(NOT(ISNUMBER(I53)),"待定复盘日",IF(NOT(ISNUMBER($B$3)),"待定评估日",IF(I53&lt;=$B$3,"应复盘","未到期")))))</x:f>
      </x:c>
      <x:c r="R53" s="19" t="str">
        <x:f>IF(A53="","",IF(COUNTIFS($A$7:$A$306,A53)&lt;&gt;1,"问题编号重复",IF(OR(B53="",C53="",D53="",G53="",S53=""),"待补基础信息",IF(AND(F53&lt;&gt;"",COUNTIFS('方案版本'!$A$7:$A$306,F53,'方案版本'!$B$7:$B$306,A53,'方案版本'!$L$7:$L$306,"已冻结")&lt;&gt;1),"当前方案引用无效",IF(AND(D53="执行中",F53=""),"执行缺方案",IF(AND(D53="已结案",OR(T53="",COUNTIFS('复盘记录'!$B$7:$B$306,A53)=0,COUNTIFS('更新日志'!$B$7:$B$306,A53)=0)),"结案资料待补","基础记录齐备"))))))</x:f>
      </x:c>
      <x:c r="S53" s="3"/>
      <x:c r="T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20"/>
      <x:c r="J54" s="3"/>
      <x:c r="K54" s="22"/>
      <x:c r="L54" s="22"/>
      <x:c r="M54" s="24" t="str">
        <x:f>IF(A54="","",IF(COUNTIFS('执行日志'!$B$7:$B$306,A54)=0,"",IF(COUNTIFS('执行日志'!$B$7:$B$306,A54,'执行日志'!$L$7:$L$306,"有效",'执行日志'!$P$7:$P$306,"&lt;&gt;有效输入")&gt;0,"待核对",IF(COUNTIFS('执行日志'!$B$7:$B$306,A54,'执行日志'!$P$7:$P$306,"有效输入")=0,"",SUMIFS('执行日志'!$H$7:$H$306,'执行日志'!$B$7:$B$306,A54,'执行日志'!$P$7:$P$306,"有效输入")))))</x:f>
      </x:c>
      <x:c r="N54" s="24" t="str">
        <x:f>IF(A54="","",IF(COUNTIFS('执行日志'!$B$7:$B$306,A54)=0,"",IF(COUNTIFS('执行日志'!$B$7:$B$306,A54,'执行日志'!$L$7:$L$306,"有效",'执行日志'!$P$7:$P$306,"&lt;&gt;有效输入")&gt;0,"待核对",IF(COUNTIFS('执行日志'!$B$7:$B$306,A54,'执行日志'!$P$7:$P$306,"有效输入")=0,"",SUMIFS('执行日志'!$J$7:$J$306,'执行日志'!$B$7:$B$306,A54,'执行日志'!$P$7:$P$306,"有效输入")))))</x:f>
      </x:c>
      <x:c r="O54" s="24" t="str">
        <x:f>IF(A54="","",IF(NOT(ISNUMBER(K54)),"待定预算",IF(NOT(ISNUMBER(M54)),"暂无有效流水",K54-M54)))</x:f>
      </x:c>
      <x:c r="P54" s="24" t="str">
        <x:f>IF(A54="","",IF(NOT(ISNUMBER(L54)),"待定预算",IF(NOT(ISNUMBER(N54)),"暂无有效流水",L54-N54)))</x:f>
      </x:c>
      <x:c r="Q54" s="19" t="str">
        <x:f>IF(A54="","",IF(D54="已结案","已结案",IF(NOT(ISNUMBER(I54)),"待定复盘日",IF(NOT(ISNUMBER($B$3)),"待定评估日",IF(I54&lt;=$B$3,"应复盘","未到期")))))</x:f>
      </x:c>
      <x:c r="R54" s="19" t="str">
        <x:f>IF(A54="","",IF(COUNTIFS($A$7:$A$306,A54)&lt;&gt;1,"问题编号重复",IF(OR(B54="",C54="",D54="",G54="",S54=""),"待补基础信息",IF(AND(F54&lt;&gt;"",COUNTIFS('方案版本'!$A$7:$A$306,F54,'方案版本'!$B$7:$B$306,A54,'方案版本'!$L$7:$L$306,"已冻结")&lt;&gt;1),"当前方案引用无效",IF(AND(D54="执行中",F54=""),"执行缺方案",IF(AND(D54="已结案",OR(T54="",COUNTIFS('复盘记录'!$B$7:$B$306,A54)=0,COUNTIFS('更新日志'!$B$7:$B$306,A54)=0)),"结案资料待补","基础记录齐备"))))))</x:f>
      </x:c>
      <x:c r="S54" s="3"/>
      <x:c r="T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20"/>
      <x:c r="J55" s="3"/>
      <x:c r="K55" s="22"/>
      <x:c r="L55" s="22"/>
      <x:c r="M55" s="24" t="str">
        <x:f>IF(A55="","",IF(COUNTIFS('执行日志'!$B$7:$B$306,A55)=0,"",IF(COUNTIFS('执行日志'!$B$7:$B$306,A55,'执行日志'!$L$7:$L$306,"有效",'执行日志'!$P$7:$P$306,"&lt;&gt;有效输入")&gt;0,"待核对",IF(COUNTIFS('执行日志'!$B$7:$B$306,A55,'执行日志'!$P$7:$P$306,"有效输入")=0,"",SUMIFS('执行日志'!$H$7:$H$306,'执行日志'!$B$7:$B$306,A55,'执行日志'!$P$7:$P$306,"有效输入")))))</x:f>
      </x:c>
      <x:c r="N55" s="24" t="str">
        <x:f>IF(A55="","",IF(COUNTIFS('执行日志'!$B$7:$B$306,A55)=0,"",IF(COUNTIFS('执行日志'!$B$7:$B$306,A55,'执行日志'!$L$7:$L$306,"有效",'执行日志'!$P$7:$P$306,"&lt;&gt;有效输入")&gt;0,"待核对",IF(COUNTIFS('执行日志'!$B$7:$B$306,A55,'执行日志'!$P$7:$P$306,"有效输入")=0,"",SUMIFS('执行日志'!$J$7:$J$306,'执行日志'!$B$7:$B$306,A55,'执行日志'!$P$7:$P$306,"有效输入")))))</x:f>
      </x:c>
      <x:c r="O55" s="24" t="str">
        <x:f>IF(A55="","",IF(NOT(ISNUMBER(K55)),"待定预算",IF(NOT(ISNUMBER(M55)),"暂无有效流水",K55-M55)))</x:f>
      </x:c>
      <x:c r="P55" s="24" t="str">
        <x:f>IF(A55="","",IF(NOT(ISNUMBER(L55)),"待定预算",IF(NOT(ISNUMBER(N55)),"暂无有效流水",L55-N55)))</x:f>
      </x:c>
      <x:c r="Q55" s="19" t="str">
        <x:f>IF(A55="","",IF(D55="已结案","已结案",IF(NOT(ISNUMBER(I55)),"待定复盘日",IF(NOT(ISNUMBER($B$3)),"待定评估日",IF(I55&lt;=$B$3,"应复盘","未到期")))))</x:f>
      </x:c>
      <x:c r="R55" s="19" t="str">
        <x:f>IF(A55="","",IF(COUNTIFS($A$7:$A$306,A55)&lt;&gt;1,"问题编号重复",IF(OR(B55="",C55="",D55="",G55="",S55=""),"待补基础信息",IF(AND(F55&lt;&gt;"",COUNTIFS('方案版本'!$A$7:$A$306,F55,'方案版本'!$B$7:$B$306,A55,'方案版本'!$L$7:$L$306,"已冻结")&lt;&gt;1),"当前方案引用无效",IF(AND(D55="执行中",F55=""),"执行缺方案",IF(AND(D55="已结案",OR(T55="",COUNTIFS('复盘记录'!$B$7:$B$306,A55)=0,COUNTIFS('更新日志'!$B$7:$B$306,A55)=0)),"结案资料待补","基础记录齐备"))))))</x:f>
      </x:c>
      <x:c r="S55" s="3"/>
      <x:c r="T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20"/>
      <x:c r="J56" s="3"/>
      <x:c r="K56" s="22"/>
      <x:c r="L56" s="22"/>
      <x:c r="M56" s="24" t="str">
        <x:f>IF(A56="","",IF(COUNTIFS('执行日志'!$B$7:$B$306,A56)=0,"",IF(COUNTIFS('执行日志'!$B$7:$B$306,A56,'执行日志'!$L$7:$L$306,"有效",'执行日志'!$P$7:$P$306,"&lt;&gt;有效输入")&gt;0,"待核对",IF(COUNTIFS('执行日志'!$B$7:$B$306,A56,'执行日志'!$P$7:$P$306,"有效输入")=0,"",SUMIFS('执行日志'!$H$7:$H$306,'执行日志'!$B$7:$B$306,A56,'执行日志'!$P$7:$P$306,"有效输入")))))</x:f>
      </x:c>
      <x:c r="N56" s="24" t="str">
        <x:f>IF(A56="","",IF(COUNTIFS('执行日志'!$B$7:$B$306,A56)=0,"",IF(COUNTIFS('执行日志'!$B$7:$B$306,A56,'执行日志'!$L$7:$L$306,"有效",'执行日志'!$P$7:$P$306,"&lt;&gt;有效输入")&gt;0,"待核对",IF(COUNTIFS('执行日志'!$B$7:$B$306,A56,'执行日志'!$P$7:$P$306,"有效输入")=0,"",SUMIFS('执行日志'!$J$7:$J$306,'执行日志'!$B$7:$B$306,A56,'执行日志'!$P$7:$P$306,"有效输入")))))</x:f>
      </x:c>
      <x:c r="O56" s="24" t="str">
        <x:f>IF(A56="","",IF(NOT(ISNUMBER(K56)),"待定预算",IF(NOT(ISNUMBER(M56)),"暂无有效流水",K56-M56)))</x:f>
      </x:c>
      <x:c r="P56" s="24" t="str">
        <x:f>IF(A56="","",IF(NOT(ISNUMBER(L56)),"待定预算",IF(NOT(ISNUMBER(N56)),"暂无有效流水",L56-N56)))</x:f>
      </x:c>
      <x:c r="Q56" s="19" t="str">
        <x:f>IF(A56="","",IF(D56="已结案","已结案",IF(NOT(ISNUMBER(I56)),"待定复盘日",IF(NOT(ISNUMBER($B$3)),"待定评估日",IF(I56&lt;=$B$3,"应复盘","未到期")))))</x:f>
      </x:c>
      <x:c r="R56" s="19" t="str">
        <x:f>IF(A56="","",IF(COUNTIFS($A$7:$A$306,A56)&lt;&gt;1,"问题编号重复",IF(OR(B56="",C56="",D56="",G56="",S56=""),"待补基础信息",IF(AND(F56&lt;&gt;"",COUNTIFS('方案版本'!$A$7:$A$306,F56,'方案版本'!$B$7:$B$306,A56,'方案版本'!$L$7:$L$306,"已冻结")&lt;&gt;1),"当前方案引用无效",IF(AND(D56="执行中",F56=""),"执行缺方案",IF(AND(D56="已结案",OR(T56="",COUNTIFS('复盘记录'!$B$7:$B$306,A56)=0,COUNTIFS('更新日志'!$B$7:$B$306,A56)=0)),"结案资料待补","基础记录齐备"))))))</x:f>
      </x:c>
      <x:c r="S56" s="3"/>
      <x:c r="T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20"/>
      <x:c r="J57" s="3"/>
      <x:c r="K57" s="22"/>
      <x:c r="L57" s="22"/>
      <x:c r="M57" s="24" t="str">
        <x:f>IF(A57="","",IF(COUNTIFS('执行日志'!$B$7:$B$306,A57)=0,"",IF(COUNTIFS('执行日志'!$B$7:$B$306,A57,'执行日志'!$L$7:$L$306,"有效",'执行日志'!$P$7:$P$306,"&lt;&gt;有效输入")&gt;0,"待核对",IF(COUNTIFS('执行日志'!$B$7:$B$306,A57,'执行日志'!$P$7:$P$306,"有效输入")=0,"",SUMIFS('执行日志'!$H$7:$H$306,'执行日志'!$B$7:$B$306,A57,'执行日志'!$P$7:$P$306,"有效输入")))))</x:f>
      </x:c>
      <x:c r="N57" s="24" t="str">
        <x:f>IF(A57="","",IF(COUNTIFS('执行日志'!$B$7:$B$306,A57)=0,"",IF(COUNTIFS('执行日志'!$B$7:$B$306,A57,'执行日志'!$L$7:$L$306,"有效",'执行日志'!$P$7:$P$306,"&lt;&gt;有效输入")&gt;0,"待核对",IF(COUNTIFS('执行日志'!$B$7:$B$306,A57,'执行日志'!$P$7:$P$306,"有效输入")=0,"",SUMIFS('执行日志'!$J$7:$J$306,'执行日志'!$B$7:$B$306,A57,'执行日志'!$P$7:$P$306,"有效输入")))))</x:f>
      </x:c>
      <x:c r="O57" s="24" t="str">
        <x:f>IF(A57="","",IF(NOT(ISNUMBER(K57)),"待定预算",IF(NOT(ISNUMBER(M57)),"暂无有效流水",K57-M57)))</x:f>
      </x:c>
      <x:c r="P57" s="24" t="str">
        <x:f>IF(A57="","",IF(NOT(ISNUMBER(L57)),"待定预算",IF(NOT(ISNUMBER(N57)),"暂无有效流水",L57-N57)))</x:f>
      </x:c>
      <x:c r="Q57" s="19" t="str">
        <x:f>IF(A57="","",IF(D57="已结案","已结案",IF(NOT(ISNUMBER(I57)),"待定复盘日",IF(NOT(ISNUMBER($B$3)),"待定评估日",IF(I57&lt;=$B$3,"应复盘","未到期")))))</x:f>
      </x:c>
      <x:c r="R57" s="19" t="str">
        <x:f>IF(A57="","",IF(COUNTIFS($A$7:$A$306,A57)&lt;&gt;1,"问题编号重复",IF(OR(B57="",C57="",D57="",G57="",S57=""),"待补基础信息",IF(AND(F57&lt;&gt;"",COUNTIFS('方案版本'!$A$7:$A$306,F57,'方案版本'!$B$7:$B$306,A57,'方案版本'!$L$7:$L$306,"已冻结")&lt;&gt;1),"当前方案引用无效",IF(AND(D57="执行中",F57=""),"执行缺方案",IF(AND(D57="已结案",OR(T57="",COUNTIFS('复盘记录'!$B$7:$B$306,A57)=0,COUNTIFS('更新日志'!$B$7:$B$306,A57)=0)),"结案资料待补","基础记录齐备"))))))</x:f>
      </x:c>
      <x:c r="S57" s="3"/>
      <x:c r="T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20"/>
      <x:c r="J58" s="3"/>
      <x:c r="K58" s="22"/>
      <x:c r="L58" s="22"/>
      <x:c r="M58" s="24" t="str">
        <x:f>IF(A58="","",IF(COUNTIFS('执行日志'!$B$7:$B$306,A58)=0,"",IF(COUNTIFS('执行日志'!$B$7:$B$306,A58,'执行日志'!$L$7:$L$306,"有效",'执行日志'!$P$7:$P$306,"&lt;&gt;有效输入")&gt;0,"待核对",IF(COUNTIFS('执行日志'!$B$7:$B$306,A58,'执行日志'!$P$7:$P$306,"有效输入")=0,"",SUMIFS('执行日志'!$H$7:$H$306,'执行日志'!$B$7:$B$306,A58,'执行日志'!$P$7:$P$306,"有效输入")))))</x:f>
      </x:c>
      <x:c r="N58" s="24" t="str">
        <x:f>IF(A58="","",IF(COUNTIFS('执行日志'!$B$7:$B$306,A58)=0,"",IF(COUNTIFS('执行日志'!$B$7:$B$306,A58,'执行日志'!$L$7:$L$306,"有效",'执行日志'!$P$7:$P$306,"&lt;&gt;有效输入")&gt;0,"待核对",IF(COUNTIFS('执行日志'!$B$7:$B$306,A58,'执行日志'!$P$7:$P$306,"有效输入")=0,"",SUMIFS('执行日志'!$J$7:$J$306,'执行日志'!$B$7:$B$306,A58,'执行日志'!$P$7:$P$306,"有效输入")))))</x:f>
      </x:c>
      <x:c r="O58" s="24" t="str">
        <x:f>IF(A58="","",IF(NOT(ISNUMBER(K58)),"待定预算",IF(NOT(ISNUMBER(M58)),"暂无有效流水",K58-M58)))</x:f>
      </x:c>
      <x:c r="P58" s="24" t="str">
        <x:f>IF(A58="","",IF(NOT(ISNUMBER(L58)),"待定预算",IF(NOT(ISNUMBER(N58)),"暂无有效流水",L58-N58)))</x:f>
      </x:c>
      <x:c r="Q58" s="19" t="str">
        <x:f>IF(A58="","",IF(D58="已结案","已结案",IF(NOT(ISNUMBER(I58)),"待定复盘日",IF(NOT(ISNUMBER($B$3)),"待定评估日",IF(I58&lt;=$B$3,"应复盘","未到期")))))</x:f>
      </x:c>
      <x:c r="R58" s="19" t="str">
        <x:f>IF(A58="","",IF(COUNTIFS($A$7:$A$306,A58)&lt;&gt;1,"问题编号重复",IF(OR(B58="",C58="",D58="",G58="",S58=""),"待补基础信息",IF(AND(F58&lt;&gt;"",COUNTIFS('方案版本'!$A$7:$A$306,F58,'方案版本'!$B$7:$B$306,A58,'方案版本'!$L$7:$L$306,"已冻结")&lt;&gt;1),"当前方案引用无效",IF(AND(D58="执行中",F58=""),"执行缺方案",IF(AND(D58="已结案",OR(T58="",COUNTIFS('复盘记录'!$B$7:$B$306,A58)=0,COUNTIFS('更新日志'!$B$7:$B$306,A58)=0)),"结案资料待补","基础记录齐备"))))))</x:f>
      </x:c>
      <x:c r="S58" s="3"/>
      <x:c r="T58" s="3"/>
    </x:row>
    <x:row r="59" ht="25" customHeight="1">
      <x:c r="A59" s="3"/>
      <x:c r="B59" s="3"/>
      <x:c r="C59" s="3"/>
      <x:c r="D59" s="3"/>
      <x:c r="E59" s="3"/>
      <x:c r="F59" s="3"/>
      <x:c r="G59" s="3"/>
      <x:c r="H59" s="3"/>
      <x:c r="I59" s="20"/>
      <x:c r="J59" s="3"/>
      <x:c r="K59" s="22"/>
      <x:c r="L59" s="22"/>
      <x:c r="M59" s="24" t="str">
        <x:f>IF(A59="","",IF(COUNTIFS('执行日志'!$B$7:$B$306,A59)=0,"",IF(COUNTIFS('执行日志'!$B$7:$B$306,A59,'执行日志'!$L$7:$L$306,"有效",'执行日志'!$P$7:$P$306,"&lt;&gt;有效输入")&gt;0,"待核对",IF(COUNTIFS('执行日志'!$B$7:$B$306,A59,'执行日志'!$P$7:$P$306,"有效输入")=0,"",SUMIFS('执行日志'!$H$7:$H$306,'执行日志'!$B$7:$B$306,A59,'执行日志'!$P$7:$P$306,"有效输入")))))</x:f>
      </x:c>
      <x:c r="N59" s="24" t="str">
        <x:f>IF(A59="","",IF(COUNTIFS('执行日志'!$B$7:$B$306,A59)=0,"",IF(COUNTIFS('执行日志'!$B$7:$B$306,A59,'执行日志'!$L$7:$L$306,"有效",'执行日志'!$P$7:$P$306,"&lt;&gt;有效输入")&gt;0,"待核对",IF(COUNTIFS('执行日志'!$B$7:$B$306,A59,'执行日志'!$P$7:$P$306,"有效输入")=0,"",SUMIFS('执行日志'!$J$7:$J$306,'执行日志'!$B$7:$B$306,A59,'执行日志'!$P$7:$P$306,"有效输入")))))</x:f>
      </x:c>
      <x:c r="O59" s="24" t="str">
        <x:f>IF(A59="","",IF(NOT(ISNUMBER(K59)),"待定预算",IF(NOT(ISNUMBER(M59)),"暂无有效流水",K59-M59)))</x:f>
      </x:c>
      <x:c r="P59" s="24" t="str">
        <x:f>IF(A59="","",IF(NOT(ISNUMBER(L59)),"待定预算",IF(NOT(ISNUMBER(N59)),"暂无有效流水",L59-N59)))</x:f>
      </x:c>
      <x:c r="Q59" s="19" t="str">
        <x:f>IF(A59="","",IF(D59="已结案","已结案",IF(NOT(ISNUMBER(I59)),"待定复盘日",IF(NOT(ISNUMBER($B$3)),"待定评估日",IF(I59&lt;=$B$3,"应复盘","未到期")))))</x:f>
      </x:c>
      <x:c r="R59" s="19" t="str">
        <x:f>IF(A59="","",IF(COUNTIFS($A$7:$A$306,A59)&lt;&gt;1,"问题编号重复",IF(OR(B59="",C59="",D59="",G59="",S59=""),"待补基础信息",IF(AND(F59&lt;&gt;"",COUNTIFS('方案版本'!$A$7:$A$306,F59,'方案版本'!$B$7:$B$306,A59,'方案版本'!$L$7:$L$306,"已冻结")&lt;&gt;1),"当前方案引用无效",IF(AND(D59="执行中",F59=""),"执行缺方案",IF(AND(D59="已结案",OR(T59="",COUNTIFS('复盘记录'!$B$7:$B$306,A59)=0,COUNTIFS('更新日志'!$B$7:$B$306,A59)=0)),"结案资料待补","基础记录齐备"))))))</x:f>
      </x:c>
      <x:c r="S59" s="3"/>
      <x:c r="T59" s="3"/>
    </x:row>
    <x:row r="60" ht="25" customHeight="1">
      <x:c r="A60" s="3"/>
      <x:c r="B60" s="3"/>
      <x:c r="C60" s="3"/>
      <x:c r="D60" s="3"/>
      <x:c r="E60" s="3"/>
      <x:c r="F60" s="3"/>
      <x:c r="G60" s="3"/>
      <x:c r="H60" s="3"/>
      <x:c r="I60" s="20"/>
      <x:c r="J60" s="3"/>
      <x:c r="K60" s="22"/>
      <x:c r="L60" s="22"/>
      <x:c r="M60" s="24" t="str">
        <x:f>IF(A60="","",IF(COUNTIFS('执行日志'!$B$7:$B$306,A60)=0,"",IF(COUNTIFS('执行日志'!$B$7:$B$306,A60,'执行日志'!$L$7:$L$306,"有效",'执行日志'!$P$7:$P$306,"&lt;&gt;有效输入")&gt;0,"待核对",IF(COUNTIFS('执行日志'!$B$7:$B$306,A60,'执行日志'!$P$7:$P$306,"有效输入")=0,"",SUMIFS('执行日志'!$H$7:$H$306,'执行日志'!$B$7:$B$306,A60,'执行日志'!$P$7:$P$306,"有效输入")))))</x:f>
      </x:c>
      <x:c r="N60" s="24" t="str">
        <x:f>IF(A60="","",IF(COUNTIFS('执行日志'!$B$7:$B$306,A60)=0,"",IF(COUNTIFS('执行日志'!$B$7:$B$306,A60,'执行日志'!$L$7:$L$306,"有效",'执行日志'!$P$7:$P$306,"&lt;&gt;有效输入")&gt;0,"待核对",IF(COUNTIFS('执行日志'!$B$7:$B$306,A60,'执行日志'!$P$7:$P$306,"有效输入")=0,"",SUMIFS('执行日志'!$J$7:$J$306,'执行日志'!$B$7:$B$306,A60,'执行日志'!$P$7:$P$306,"有效输入")))))</x:f>
      </x:c>
      <x:c r="O60" s="24" t="str">
        <x:f>IF(A60="","",IF(NOT(ISNUMBER(K60)),"待定预算",IF(NOT(ISNUMBER(M60)),"暂无有效流水",K60-M60)))</x:f>
      </x:c>
      <x:c r="P60" s="24" t="str">
        <x:f>IF(A60="","",IF(NOT(ISNUMBER(L60)),"待定预算",IF(NOT(ISNUMBER(N60)),"暂无有效流水",L60-N60)))</x:f>
      </x:c>
      <x:c r="Q60" s="19" t="str">
        <x:f>IF(A60="","",IF(D60="已结案","已结案",IF(NOT(ISNUMBER(I60)),"待定复盘日",IF(NOT(ISNUMBER($B$3)),"待定评估日",IF(I60&lt;=$B$3,"应复盘","未到期")))))</x:f>
      </x:c>
      <x:c r="R60" s="19" t="str">
        <x:f>IF(A60="","",IF(COUNTIFS($A$7:$A$306,A60)&lt;&gt;1,"问题编号重复",IF(OR(B60="",C60="",D60="",G60="",S60=""),"待补基础信息",IF(AND(F60&lt;&gt;"",COUNTIFS('方案版本'!$A$7:$A$306,F60,'方案版本'!$B$7:$B$306,A60,'方案版本'!$L$7:$L$306,"已冻结")&lt;&gt;1),"当前方案引用无效",IF(AND(D60="执行中",F60=""),"执行缺方案",IF(AND(D60="已结案",OR(T60="",COUNTIFS('复盘记录'!$B$7:$B$306,A60)=0,COUNTIFS('更新日志'!$B$7:$B$306,A60)=0)),"结案资料待补","基础记录齐备"))))))</x:f>
      </x:c>
      <x:c r="S60" s="3"/>
      <x:c r="T60" s="3"/>
    </x:row>
    <x:row r="61" ht="25" customHeight="1">
      <x:c r="A61" s="3"/>
      <x:c r="B61" s="3"/>
      <x:c r="C61" s="3"/>
      <x:c r="D61" s="3"/>
      <x:c r="E61" s="3"/>
      <x:c r="F61" s="3"/>
      <x:c r="G61" s="3"/>
      <x:c r="H61" s="3"/>
      <x:c r="I61" s="20"/>
      <x:c r="J61" s="3"/>
      <x:c r="K61" s="22"/>
      <x:c r="L61" s="22"/>
      <x:c r="M61" s="24" t="str">
        <x:f>IF(A61="","",IF(COUNTIFS('执行日志'!$B$7:$B$306,A61)=0,"",IF(COUNTIFS('执行日志'!$B$7:$B$306,A61,'执行日志'!$L$7:$L$306,"有效",'执行日志'!$P$7:$P$306,"&lt;&gt;有效输入")&gt;0,"待核对",IF(COUNTIFS('执行日志'!$B$7:$B$306,A61,'执行日志'!$P$7:$P$306,"有效输入")=0,"",SUMIFS('执行日志'!$H$7:$H$306,'执行日志'!$B$7:$B$306,A61,'执行日志'!$P$7:$P$306,"有效输入")))))</x:f>
      </x:c>
      <x:c r="N61" s="24" t="str">
        <x:f>IF(A61="","",IF(COUNTIFS('执行日志'!$B$7:$B$306,A61)=0,"",IF(COUNTIFS('执行日志'!$B$7:$B$306,A61,'执行日志'!$L$7:$L$306,"有效",'执行日志'!$P$7:$P$306,"&lt;&gt;有效输入")&gt;0,"待核对",IF(COUNTIFS('执行日志'!$B$7:$B$306,A61,'执行日志'!$P$7:$P$306,"有效输入")=0,"",SUMIFS('执行日志'!$J$7:$J$306,'执行日志'!$B$7:$B$306,A61,'执行日志'!$P$7:$P$306,"有效输入")))))</x:f>
      </x:c>
      <x:c r="O61" s="24" t="str">
        <x:f>IF(A61="","",IF(NOT(ISNUMBER(K61)),"待定预算",IF(NOT(ISNUMBER(M61)),"暂无有效流水",K61-M61)))</x:f>
      </x:c>
      <x:c r="P61" s="24" t="str">
        <x:f>IF(A61="","",IF(NOT(ISNUMBER(L61)),"待定预算",IF(NOT(ISNUMBER(N61)),"暂无有效流水",L61-N61)))</x:f>
      </x:c>
      <x:c r="Q61" s="19" t="str">
        <x:f>IF(A61="","",IF(D61="已结案","已结案",IF(NOT(ISNUMBER(I61)),"待定复盘日",IF(NOT(ISNUMBER($B$3)),"待定评估日",IF(I61&lt;=$B$3,"应复盘","未到期")))))</x:f>
      </x:c>
      <x:c r="R61" s="19" t="str">
        <x:f>IF(A61="","",IF(COUNTIFS($A$7:$A$306,A61)&lt;&gt;1,"问题编号重复",IF(OR(B61="",C61="",D61="",G61="",S61=""),"待补基础信息",IF(AND(F61&lt;&gt;"",COUNTIFS('方案版本'!$A$7:$A$306,F61,'方案版本'!$B$7:$B$306,A61,'方案版本'!$L$7:$L$306,"已冻结")&lt;&gt;1),"当前方案引用无效",IF(AND(D61="执行中",F61=""),"执行缺方案",IF(AND(D61="已结案",OR(T61="",COUNTIFS('复盘记录'!$B$7:$B$306,A61)=0,COUNTIFS('更新日志'!$B$7:$B$306,A61)=0)),"结案资料待补","基础记录齐备"))))))</x:f>
      </x:c>
      <x:c r="S61" s="3"/>
      <x:c r="T61" s="3"/>
    </x:row>
    <x:row r="62" ht="25" customHeight="1">
      <x:c r="A62" s="3"/>
      <x:c r="B62" s="3"/>
      <x:c r="C62" s="3"/>
      <x:c r="D62" s="3"/>
      <x:c r="E62" s="3"/>
      <x:c r="F62" s="3"/>
      <x:c r="G62" s="3"/>
      <x:c r="H62" s="3"/>
      <x:c r="I62" s="20"/>
      <x:c r="J62" s="3"/>
      <x:c r="K62" s="22"/>
      <x:c r="L62" s="22"/>
      <x:c r="M62" s="24" t="str">
        <x:f>IF(A62="","",IF(COUNTIFS('执行日志'!$B$7:$B$306,A62)=0,"",IF(COUNTIFS('执行日志'!$B$7:$B$306,A62,'执行日志'!$L$7:$L$306,"有效",'执行日志'!$P$7:$P$306,"&lt;&gt;有效输入")&gt;0,"待核对",IF(COUNTIFS('执行日志'!$B$7:$B$306,A62,'执行日志'!$P$7:$P$306,"有效输入")=0,"",SUMIFS('执行日志'!$H$7:$H$306,'执行日志'!$B$7:$B$306,A62,'执行日志'!$P$7:$P$306,"有效输入")))))</x:f>
      </x:c>
      <x:c r="N62" s="24" t="str">
        <x:f>IF(A62="","",IF(COUNTIFS('执行日志'!$B$7:$B$306,A62)=0,"",IF(COUNTIFS('执行日志'!$B$7:$B$306,A62,'执行日志'!$L$7:$L$306,"有效",'执行日志'!$P$7:$P$306,"&lt;&gt;有效输入")&gt;0,"待核对",IF(COUNTIFS('执行日志'!$B$7:$B$306,A62,'执行日志'!$P$7:$P$306,"有效输入")=0,"",SUMIFS('执行日志'!$J$7:$J$306,'执行日志'!$B$7:$B$306,A62,'执行日志'!$P$7:$P$306,"有效输入")))))</x:f>
      </x:c>
      <x:c r="O62" s="24" t="str">
        <x:f>IF(A62="","",IF(NOT(ISNUMBER(K62)),"待定预算",IF(NOT(ISNUMBER(M62)),"暂无有效流水",K62-M62)))</x:f>
      </x:c>
      <x:c r="P62" s="24" t="str">
        <x:f>IF(A62="","",IF(NOT(ISNUMBER(L62)),"待定预算",IF(NOT(ISNUMBER(N62)),"暂无有效流水",L62-N62)))</x:f>
      </x:c>
      <x:c r="Q62" s="19" t="str">
        <x:f>IF(A62="","",IF(D62="已结案","已结案",IF(NOT(ISNUMBER(I62)),"待定复盘日",IF(NOT(ISNUMBER($B$3)),"待定评估日",IF(I62&lt;=$B$3,"应复盘","未到期")))))</x:f>
      </x:c>
      <x:c r="R62" s="19" t="str">
        <x:f>IF(A62="","",IF(COUNTIFS($A$7:$A$306,A62)&lt;&gt;1,"问题编号重复",IF(OR(B62="",C62="",D62="",G62="",S62=""),"待补基础信息",IF(AND(F62&lt;&gt;"",COUNTIFS('方案版本'!$A$7:$A$306,F62,'方案版本'!$B$7:$B$306,A62,'方案版本'!$L$7:$L$306,"已冻结")&lt;&gt;1),"当前方案引用无效",IF(AND(D62="执行中",F62=""),"执行缺方案",IF(AND(D62="已结案",OR(T62="",COUNTIFS('复盘记录'!$B$7:$B$306,A62)=0,COUNTIFS('更新日志'!$B$7:$B$306,A62)=0)),"结案资料待补","基础记录齐备"))))))</x:f>
      </x:c>
      <x:c r="S62" s="3"/>
      <x:c r="T62" s="3"/>
    </x:row>
    <x:row r="63" ht="25" customHeight="1">
      <x:c r="A63" s="3"/>
      <x:c r="B63" s="3"/>
      <x:c r="C63" s="3"/>
      <x:c r="D63" s="3"/>
      <x:c r="E63" s="3"/>
      <x:c r="F63" s="3"/>
      <x:c r="G63" s="3"/>
      <x:c r="H63" s="3"/>
      <x:c r="I63" s="20"/>
      <x:c r="J63" s="3"/>
      <x:c r="K63" s="22"/>
      <x:c r="L63" s="22"/>
      <x:c r="M63" s="24" t="str">
        <x:f>IF(A63="","",IF(COUNTIFS('执行日志'!$B$7:$B$306,A63)=0,"",IF(COUNTIFS('执行日志'!$B$7:$B$306,A63,'执行日志'!$L$7:$L$306,"有效",'执行日志'!$P$7:$P$306,"&lt;&gt;有效输入")&gt;0,"待核对",IF(COUNTIFS('执行日志'!$B$7:$B$306,A63,'执行日志'!$P$7:$P$306,"有效输入")=0,"",SUMIFS('执行日志'!$H$7:$H$306,'执行日志'!$B$7:$B$306,A63,'执行日志'!$P$7:$P$306,"有效输入")))))</x:f>
      </x:c>
      <x:c r="N63" s="24" t="str">
        <x:f>IF(A63="","",IF(COUNTIFS('执行日志'!$B$7:$B$306,A63)=0,"",IF(COUNTIFS('执行日志'!$B$7:$B$306,A63,'执行日志'!$L$7:$L$306,"有效",'执行日志'!$P$7:$P$306,"&lt;&gt;有效输入")&gt;0,"待核对",IF(COUNTIFS('执行日志'!$B$7:$B$306,A63,'执行日志'!$P$7:$P$306,"有效输入")=0,"",SUMIFS('执行日志'!$J$7:$J$306,'执行日志'!$B$7:$B$306,A63,'执行日志'!$P$7:$P$306,"有效输入")))))</x:f>
      </x:c>
      <x:c r="O63" s="24" t="str">
        <x:f>IF(A63="","",IF(NOT(ISNUMBER(K63)),"待定预算",IF(NOT(ISNUMBER(M63)),"暂无有效流水",K63-M63)))</x:f>
      </x:c>
      <x:c r="P63" s="24" t="str">
        <x:f>IF(A63="","",IF(NOT(ISNUMBER(L63)),"待定预算",IF(NOT(ISNUMBER(N63)),"暂无有效流水",L63-N63)))</x:f>
      </x:c>
      <x:c r="Q63" s="19" t="str">
        <x:f>IF(A63="","",IF(D63="已结案","已结案",IF(NOT(ISNUMBER(I63)),"待定复盘日",IF(NOT(ISNUMBER($B$3)),"待定评估日",IF(I63&lt;=$B$3,"应复盘","未到期")))))</x:f>
      </x:c>
      <x:c r="R63" s="19" t="str">
        <x:f>IF(A63="","",IF(COUNTIFS($A$7:$A$306,A63)&lt;&gt;1,"问题编号重复",IF(OR(B63="",C63="",D63="",G63="",S63=""),"待补基础信息",IF(AND(F63&lt;&gt;"",COUNTIFS('方案版本'!$A$7:$A$306,F63,'方案版本'!$B$7:$B$306,A63,'方案版本'!$L$7:$L$306,"已冻结")&lt;&gt;1),"当前方案引用无效",IF(AND(D63="执行中",F63=""),"执行缺方案",IF(AND(D63="已结案",OR(T63="",COUNTIFS('复盘记录'!$B$7:$B$306,A63)=0,COUNTIFS('更新日志'!$B$7:$B$306,A63)=0)),"结案资料待补","基础记录齐备"))))))</x:f>
      </x:c>
      <x:c r="S63" s="3"/>
      <x:c r="T63" s="3"/>
    </x:row>
    <x:row r="64" ht="25" customHeight="1">
      <x:c r="A64" s="3"/>
      <x:c r="B64" s="3"/>
      <x:c r="C64" s="3"/>
      <x:c r="D64" s="3"/>
      <x:c r="E64" s="3"/>
      <x:c r="F64" s="3"/>
      <x:c r="G64" s="3"/>
      <x:c r="H64" s="3"/>
      <x:c r="I64" s="20"/>
      <x:c r="J64" s="3"/>
      <x:c r="K64" s="22"/>
      <x:c r="L64" s="22"/>
      <x:c r="M64" s="24" t="str">
        <x:f>IF(A64="","",IF(COUNTIFS('执行日志'!$B$7:$B$306,A64)=0,"",IF(COUNTIFS('执行日志'!$B$7:$B$306,A64,'执行日志'!$L$7:$L$306,"有效",'执行日志'!$P$7:$P$306,"&lt;&gt;有效输入")&gt;0,"待核对",IF(COUNTIFS('执行日志'!$B$7:$B$306,A64,'执行日志'!$P$7:$P$306,"有效输入")=0,"",SUMIFS('执行日志'!$H$7:$H$306,'执行日志'!$B$7:$B$306,A64,'执行日志'!$P$7:$P$306,"有效输入")))))</x:f>
      </x:c>
      <x:c r="N64" s="24" t="str">
        <x:f>IF(A64="","",IF(COUNTIFS('执行日志'!$B$7:$B$306,A64)=0,"",IF(COUNTIFS('执行日志'!$B$7:$B$306,A64,'执行日志'!$L$7:$L$306,"有效",'执行日志'!$P$7:$P$306,"&lt;&gt;有效输入")&gt;0,"待核对",IF(COUNTIFS('执行日志'!$B$7:$B$306,A64,'执行日志'!$P$7:$P$306,"有效输入")=0,"",SUMIFS('执行日志'!$J$7:$J$306,'执行日志'!$B$7:$B$306,A64,'执行日志'!$P$7:$P$306,"有效输入")))))</x:f>
      </x:c>
      <x:c r="O64" s="24" t="str">
        <x:f>IF(A64="","",IF(NOT(ISNUMBER(K64)),"待定预算",IF(NOT(ISNUMBER(M64)),"暂无有效流水",K64-M64)))</x:f>
      </x:c>
      <x:c r="P64" s="24" t="str">
        <x:f>IF(A64="","",IF(NOT(ISNUMBER(L64)),"待定预算",IF(NOT(ISNUMBER(N64)),"暂无有效流水",L64-N64)))</x:f>
      </x:c>
      <x:c r="Q64" s="19" t="str">
        <x:f>IF(A64="","",IF(D64="已结案","已结案",IF(NOT(ISNUMBER(I64)),"待定复盘日",IF(NOT(ISNUMBER($B$3)),"待定评估日",IF(I64&lt;=$B$3,"应复盘","未到期")))))</x:f>
      </x:c>
      <x:c r="R64" s="19" t="str">
        <x:f>IF(A64="","",IF(COUNTIFS($A$7:$A$306,A64)&lt;&gt;1,"问题编号重复",IF(OR(B64="",C64="",D64="",G64="",S64=""),"待补基础信息",IF(AND(F64&lt;&gt;"",COUNTIFS('方案版本'!$A$7:$A$306,F64,'方案版本'!$B$7:$B$306,A64,'方案版本'!$L$7:$L$306,"已冻结")&lt;&gt;1),"当前方案引用无效",IF(AND(D64="执行中",F64=""),"执行缺方案",IF(AND(D64="已结案",OR(T64="",COUNTIFS('复盘记录'!$B$7:$B$306,A64)=0,COUNTIFS('更新日志'!$B$7:$B$306,A64)=0)),"结案资料待补","基础记录齐备"))))))</x:f>
      </x:c>
      <x:c r="S64" s="3"/>
      <x:c r="T64" s="3"/>
    </x:row>
    <x:row r="65" ht="25" customHeight="1">
      <x:c r="A65" s="3"/>
      <x:c r="B65" s="3"/>
      <x:c r="C65" s="3"/>
      <x:c r="D65" s="3"/>
      <x:c r="E65" s="3"/>
      <x:c r="F65" s="3"/>
      <x:c r="G65" s="3"/>
      <x:c r="H65" s="3"/>
      <x:c r="I65" s="20"/>
      <x:c r="J65" s="3"/>
      <x:c r="K65" s="22"/>
      <x:c r="L65" s="22"/>
      <x:c r="M65" s="24" t="str">
        <x:f>IF(A65="","",IF(COUNTIFS('执行日志'!$B$7:$B$306,A65)=0,"",IF(COUNTIFS('执行日志'!$B$7:$B$306,A65,'执行日志'!$L$7:$L$306,"有效",'执行日志'!$P$7:$P$306,"&lt;&gt;有效输入")&gt;0,"待核对",IF(COUNTIFS('执行日志'!$B$7:$B$306,A65,'执行日志'!$P$7:$P$306,"有效输入")=0,"",SUMIFS('执行日志'!$H$7:$H$306,'执行日志'!$B$7:$B$306,A65,'执行日志'!$P$7:$P$306,"有效输入")))))</x:f>
      </x:c>
      <x:c r="N65" s="24" t="str">
        <x:f>IF(A65="","",IF(COUNTIFS('执行日志'!$B$7:$B$306,A65)=0,"",IF(COUNTIFS('执行日志'!$B$7:$B$306,A65,'执行日志'!$L$7:$L$306,"有效",'执行日志'!$P$7:$P$306,"&lt;&gt;有效输入")&gt;0,"待核对",IF(COUNTIFS('执行日志'!$B$7:$B$306,A65,'执行日志'!$P$7:$P$306,"有效输入")=0,"",SUMIFS('执行日志'!$J$7:$J$306,'执行日志'!$B$7:$B$306,A65,'执行日志'!$P$7:$P$306,"有效输入")))))</x:f>
      </x:c>
      <x:c r="O65" s="24" t="str">
        <x:f>IF(A65="","",IF(NOT(ISNUMBER(K65)),"待定预算",IF(NOT(ISNUMBER(M65)),"暂无有效流水",K65-M65)))</x:f>
      </x:c>
      <x:c r="P65" s="24" t="str">
        <x:f>IF(A65="","",IF(NOT(ISNUMBER(L65)),"待定预算",IF(NOT(ISNUMBER(N65)),"暂无有效流水",L65-N65)))</x:f>
      </x:c>
      <x:c r="Q65" s="19" t="str">
        <x:f>IF(A65="","",IF(D65="已结案","已结案",IF(NOT(ISNUMBER(I65)),"待定复盘日",IF(NOT(ISNUMBER($B$3)),"待定评估日",IF(I65&lt;=$B$3,"应复盘","未到期")))))</x:f>
      </x:c>
      <x:c r="R65" s="19" t="str">
        <x:f>IF(A65="","",IF(COUNTIFS($A$7:$A$306,A65)&lt;&gt;1,"问题编号重复",IF(OR(B65="",C65="",D65="",G65="",S65=""),"待补基础信息",IF(AND(F65&lt;&gt;"",COUNTIFS('方案版本'!$A$7:$A$306,F65,'方案版本'!$B$7:$B$306,A65,'方案版本'!$L$7:$L$306,"已冻结")&lt;&gt;1),"当前方案引用无效",IF(AND(D65="执行中",F65=""),"执行缺方案",IF(AND(D65="已结案",OR(T65="",COUNTIFS('复盘记录'!$B$7:$B$306,A65)=0,COUNTIFS('更新日志'!$B$7:$B$306,A65)=0)),"结案资料待补","基础记录齐备"))))))</x:f>
      </x:c>
      <x:c r="S65" s="3"/>
      <x:c r="T65" s="3"/>
    </x:row>
    <x:row r="66" ht="25" customHeight="1">
      <x:c r="A66" s="3"/>
      <x:c r="B66" s="3"/>
      <x:c r="C66" s="3"/>
      <x:c r="D66" s="3"/>
      <x:c r="E66" s="3"/>
      <x:c r="F66" s="3"/>
      <x:c r="G66" s="3"/>
      <x:c r="H66" s="3"/>
      <x:c r="I66" s="20"/>
      <x:c r="J66" s="3"/>
      <x:c r="K66" s="22"/>
      <x:c r="L66" s="22"/>
      <x:c r="M66" s="24" t="str">
        <x:f>IF(A66="","",IF(COUNTIFS('执行日志'!$B$7:$B$306,A66)=0,"",IF(COUNTIFS('执行日志'!$B$7:$B$306,A66,'执行日志'!$L$7:$L$306,"有效",'执行日志'!$P$7:$P$306,"&lt;&gt;有效输入")&gt;0,"待核对",IF(COUNTIFS('执行日志'!$B$7:$B$306,A66,'执行日志'!$P$7:$P$306,"有效输入")=0,"",SUMIFS('执行日志'!$H$7:$H$306,'执行日志'!$B$7:$B$306,A66,'执行日志'!$P$7:$P$306,"有效输入")))))</x:f>
      </x:c>
      <x:c r="N66" s="24" t="str">
        <x:f>IF(A66="","",IF(COUNTIFS('执行日志'!$B$7:$B$306,A66)=0,"",IF(COUNTIFS('执行日志'!$B$7:$B$306,A66,'执行日志'!$L$7:$L$306,"有效",'执行日志'!$P$7:$P$306,"&lt;&gt;有效输入")&gt;0,"待核对",IF(COUNTIFS('执行日志'!$B$7:$B$306,A66,'执行日志'!$P$7:$P$306,"有效输入")=0,"",SUMIFS('执行日志'!$J$7:$J$306,'执行日志'!$B$7:$B$306,A66,'执行日志'!$P$7:$P$306,"有效输入")))))</x:f>
      </x:c>
      <x:c r="O66" s="24" t="str">
        <x:f>IF(A66="","",IF(NOT(ISNUMBER(K66)),"待定预算",IF(NOT(ISNUMBER(M66)),"暂无有效流水",K66-M66)))</x:f>
      </x:c>
      <x:c r="P66" s="24" t="str">
        <x:f>IF(A66="","",IF(NOT(ISNUMBER(L66)),"待定预算",IF(NOT(ISNUMBER(N66)),"暂无有效流水",L66-N66)))</x:f>
      </x:c>
      <x:c r="Q66" s="19" t="str">
        <x:f>IF(A66="","",IF(D66="已结案","已结案",IF(NOT(ISNUMBER(I66)),"待定复盘日",IF(NOT(ISNUMBER($B$3)),"待定评估日",IF(I66&lt;=$B$3,"应复盘","未到期")))))</x:f>
      </x:c>
      <x:c r="R66" s="19" t="str">
        <x:f>IF(A66="","",IF(COUNTIFS($A$7:$A$306,A66)&lt;&gt;1,"问题编号重复",IF(OR(B66="",C66="",D66="",G66="",S66=""),"待补基础信息",IF(AND(F66&lt;&gt;"",COUNTIFS('方案版本'!$A$7:$A$306,F66,'方案版本'!$B$7:$B$306,A66,'方案版本'!$L$7:$L$306,"已冻结")&lt;&gt;1),"当前方案引用无效",IF(AND(D66="执行中",F66=""),"执行缺方案",IF(AND(D66="已结案",OR(T66="",COUNTIFS('复盘记录'!$B$7:$B$306,A66)=0,COUNTIFS('更新日志'!$B$7:$B$306,A66)=0)),"结案资料待补","基础记录齐备"))))))</x:f>
      </x:c>
      <x:c r="S66" s="3"/>
      <x:c r="T66" s="3"/>
    </x:row>
    <x:row r="67" ht="25" customHeight="1">
      <x:c r="A67" s="3"/>
      <x:c r="B67" s="3"/>
      <x:c r="C67" s="3"/>
      <x:c r="D67" s="3"/>
      <x:c r="E67" s="3"/>
      <x:c r="F67" s="3"/>
      <x:c r="G67" s="3"/>
      <x:c r="H67" s="3"/>
      <x:c r="I67" s="20"/>
      <x:c r="J67" s="3"/>
      <x:c r="K67" s="22"/>
      <x:c r="L67" s="22"/>
      <x:c r="M67" s="24" t="str">
        <x:f>IF(A67="","",IF(COUNTIFS('执行日志'!$B$7:$B$306,A67)=0,"",IF(COUNTIFS('执行日志'!$B$7:$B$306,A67,'执行日志'!$L$7:$L$306,"有效",'执行日志'!$P$7:$P$306,"&lt;&gt;有效输入")&gt;0,"待核对",IF(COUNTIFS('执行日志'!$B$7:$B$306,A67,'执行日志'!$P$7:$P$306,"有效输入")=0,"",SUMIFS('执行日志'!$H$7:$H$306,'执行日志'!$B$7:$B$306,A67,'执行日志'!$P$7:$P$306,"有效输入")))))</x:f>
      </x:c>
      <x:c r="N67" s="24" t="str">
        <x:f>IF(A67="","",IF(COUNTIFS('执行日志'!$B$7:$B$306,A67)=0,"",IF(COUNTIFS('执行日志'!$B$7:$B$306,A67,'执行日志'!$L$7:$L$306,"有效",'执行日志'!$P$7:$P$306,"&lt;&gt;有效输入")&gt;0,"待核对",IF(COUNTIFS('执行日志'!$B$7:$B$306,A67,'执行日志'!$P$7:$P$306,"有效输入")=0,"",SUMIFS('执行日志'!$J$7:$J$306,'执行日志'!$B$7:$B$306,A67,'执行日志'!$P$7:$P$306,"有效输入")))))</x:f>
      </x:c>
      <x:c r="O67" s="24" t="str">
        <x:f>IF(A67="","",IF(NOT(ISNUMBER(K67)),"待定预算",IF(NOT(ISNUMBER(M67)),"暂无有效流水",K67-M67)))</x:f>
      </x:c>
      <x:c r="P67" s="24" t="str">
        <x:f>IF(A67="","",IF(NOT(ISNUMBER(L67)),"待定预算",IF(NOT(ISNUMBER(N67)),"暂无有效流水",L67-N67)))</x:f>
      </x:c>
      <x:c r="Q67" s="19" t="str">
        <x:f>IF(A67="","",IF(D67="已结案","已结案",IF(NOT(ISNUMBER(I67)),"待定复盘日",IF(NOT(ISNUMBER($B$3)),"待定评估日",IF(I67&lt;=$B$3,"应复盘","未到期")))))</x:f>
      </x:c>
      <x:c r="R67" s="19" t="str">
        <x:f>IF(A67="","",IF(COUNTIFS($A$7:$A$306,A67)&lt;&gt;1,"问题编号重复",IF(OR(B67="",C67="",D67="",G67="",S67=""),"待补基础信息",IF(AND(F67&lt;&gt;"",COUNTIFS('方案版本'!$A$7:$A$306,F67,'方案版本'!$B$7:$B$306,A67,'方案版本'!$L$7:$L$306,"已冻结")&lt;&gt;1),"当前方案引用无效",IF(AND(D67="执行中",F67=""),"执行缺方案",IF(AND(D67="已结案",OR(T67="",COUNTIFS('复盘记录'!$B$7:$B$306,A67)=0,COUNTIFS('更新日志'!$B$7:$B$306,A67)=0)),"结案资料待补","基础记录齐备"))))))</x:f>
      </x:c>
      <x:c r="S67" s="3"/>
      <x:c r="T67" s="3"/>
    </x:row>
    <x:row r="68" ht="25" customHeight="1">
      <x:c r="A68" s="3"/>
      <x:c r="B68" s="3"/>
      <x:c r="C68" s="3"/>
      <x:c r="D68" s="3"/>
      <x:c r="E68" s="3"/>
      <x:c r="F68" s="3"/>
      <x:c r="G68" s="3"/>
      <x:c r="H68" s="3"/>
      <x:c r="I68" s="20"/>
      <x:c r="J68" s="3"/>
      <x:c r="K68" s="22"/>
      <x:c r="L68" s="22"/>
      <x:c r="M68" s="24" t="str">
        <x:f>IF(A68="","",IF(COUNTIFS('执行日志'!$B$7:$B$306,A68)=0,"",IF(COUNTIFS('执行日志'!$B$7:$B$306,A68,'执行日志'!$L$7:$L$306,"有效",'执行日志'!$P$7:$P$306,"&lt;&gt;有效输入")&gt;0,"待核对",IF(COUNTIFS('执行日志'!$B$7:$B$306,A68,'执行日志'!$P$7:$P$306,"有效输入")=0,"",SUMIFS('执行日志'!$H$7:$H$306,'执行日志'!$B$7:$B$306,A68,'执行日志'!$P$7:$P$306,"有效输入")))))</x:f>
      </x:c>
      <x:c r="N68" s="24" t="str">
        <x:f>IF(A68="","",IF(COUNTIFS('执行日志'!$B$7:$B$306,A68)=0,"",IF(COUNTIFS('执行日志'!$B$7:$B$306,A68,'执行日志'!$L$7:$L$306,"有效",'执行日志'!$P$7:$P$306,"&lt;&gt;有效输入")&gt;0,"待核对",IF(COUNTIFS('执行日志'!$B$7:$B$306,A68,'执行日志'!$P$7:$P$306,"有效输入")=0,"",SUMIFS('执行日志'!$J$7:$J$306,'执行日志'!$B$7:$B$306,A68,'执行日志'!$P$7:$P$306,"有效输入")))))</x:f>
      </x:c>
      <x:c r="O68" s="24" t="str">
        <x:f>IF(A68="","",IF(NOT(ISNUMBER(K68)),"待定预算",IF(NOT(ISNUMBER(M68)),"暂无有效流水",K68-M68)))</x:f>
      </x:c>
      <x:c r="P68" s="24" t="str">
        <x:f>IF(A68="","",IF(NOT(ISNUMBER(L68)),"待定预算",IF(NOT(ISNUMBER(N68)),"暂无有效流水",L68-N68)))</x:f>
      </x:c>
      <x:c r="Q68" s="19" t="str">
        <x:f>IF(A68="","",IF(D68="已结案","已结案",IF(NOT(ISNUMBER(I68)),"待定复盘日",IF(NOT(ISNUMBER($B$3)),"待定评估日",IF(I68&lt;=$B$3,"应复盘","未到期")))))</x:f>
      </x:c>
      <x:c r="R68" s="19" t="str">
        <x:f>IF(A68="","",IF(COUNTIFS($A$7:$A$306,A68)&lt;&gt;1,"问题编号重复",IF(OR(B68="",C68="",D68="",G68="",S68=""),"待补基础信息",IF(AND(F68&lt;&gt;"",COUNTIFS('方案版本'!$A$7:$A$306,F68,'方案版本'!$B$7:$B$306,A68,'方案版本'!$L$7:$L$306,"已冻结")&lt;&gt;1),"当前方案引用无效",IF(AND(D68="执行中",F68=""),"执行缺方案",IF(AND(D68="已结案",OR(T68="",COUNTIFS('复盘记录'!$B$7:$B$306,A68)=0,COUNTIFS('更新日志'!$B$7:$B$306,A68)=0)),"结案资料待补","基础记录齐备"))))))</x:f>
      </x:c>
      <x:c r="S68" s="3"/>
      <x:c r="T68" s="3"/>
    </x:row>
    <x:row r="69" ht="25" customHeight="1">
      <x:c r="A69" s="3"/>
      <x:c r="B69" s="3"/>
      <x:c r="C69" s="3"/>
      <x:c r="D69" s="3"/>
      <x:c r="E69" s="3"/>
      <x:c r="F69" s="3"/>
      <x:c r="G69" s="3"/>
      <x:c r="H69" s="3"/>
      <x:c r="I69" s="20"/>
      <x:c r="J69" s="3"/>
      <x:c r="K69" s="22"/>
      <x:c r="L69" s="22"/>
      <x:c r="M69" s="24" t="str">
        <x:f>IF(A69="","",IF(COUNTIFS('执行日志'!$B$7:$B$306,A69)=0,"",IF(COUNTIFS('执行日志'!$B$7:$B$306,A69,'执行日志'!$L$7:$L$306,"有效",'执行日志'!$P$7:$P$306,"&lt;&gt;有效输入")&gt;0,"待核对",IF(COUNTIFS('执行日志'!$B$7:$B$306,A69,'执行日志'!$P$7:$P$306,"有效输入")=0,"",SUMIFS('执行日志'!$H$7:$H$306,'执行日志'!$B$7:$B$306,A69,'执行日志'!$P$7:$P$306,"有效输入")))))</x:f>
      </x:c>
      <x:c r="N69" s="24" t="str">
        <x:f>IF(A69="","",IF(COUNTIFS('执行日志'!$B$7:$B$306,A69)=0,"",IF(COUNTIFS('执行日志'!$B$7:$B$306,A69,'执行日志'!$L$7:$L$306,"有效",'执行日志'!$P$7:$P$306,"&lt;&gt;有效输入")&gt;0,"待核对",IF(COUNTIFS('执行日志'!$B$7:$B$306,A69,'执行日志'!$P$7:$P$306,"有效输入")=0,"",SUMIFS('执行日志'!$J$7:$J$306,'执行日志'!$B$7:$B$306,A69,'执行日志'!$P$7:$P$306,"有效输入")))))</x:f>
      </x:c>
      <x:c r="O69" s="24" t="str">
        <x:f>IF(A69="","",IF(NOT(ISNUMBER(K69)),"待定预算",IF(NOT(ISNUMBER(M69)),"暂无有效流水",K69-M69)))</x:f>
      </x:c>
      <x:c r="P69" s="24" t="str">
        <x:f>IF(A69="","",IF(NOT(ISNUMBER(L69)),"待定预算",IF(NOT(ISNUMBER(N69)),"暂无有效流水",L69-N69)))</x:f>
      </x:c>
      <x:c r="Q69" s="19" t="str">
        <x:f>IF(A69="","",IF(D69="已结案","已结案",IF(NOT(ISNUMBER(I69)),"待定复盘日",IF(NOT(ISNUMBER($B$3)),"待定评估日",IF(I69&lt;=$B$3,"应复盘","未到期")))))</x:f>
      </x:c>
      <x:c r="R69" s="19" t="str">
        <x:f>IF(A69="","",IF(COUNTIFS($A$7:$A$306,A69)&lt;&gt;1,"问题编号重复",IF(OR(B69="",C69="",D69="",G69="",S69=""),"待补基础信息",IF(AND(F69&lt;&gt;"",COUNTIFS('方案版本'!$A$7:$A$306,F69,'方案版本'!$B$7:$B$306,A69,'方案版本'!$L$7:$L$306,"已冻结")&lt;&gt;1),"当前方案引用无效",IF(AND(D69="执行中",F69=""),"执行缺方案",IF(AND(D69="已结案",OR(T69="",COUNTIFS('复盘记录'!$B$7:$B$306,A69)=0,COUNTIFS('更新日志'!$B$7:$B$306,A69)=0)),"结案资料待补","基础记录齐备"))))))</x:f>
      </x:c>
      <x:c r="S69" s="3"/>
      <x:c r="T69" s="3"/>
    </x:row>
    <x:row r="70" ht="25" customHeight="1">
      <x:c r="A70" s="3"/>
      <x:c r="B70" s="3"/>
      <x:c r="C70" s="3"/>
      <x:c r="D70" s="3"/>
      <x:c r="E70" s="3"/>
      <x:c r="F70" s="3"/>
      <x:c r="G70" s="3"/>
      <x:c r="H70" s="3"/>
      <x:c r="I70" s="20"/>
      <x:c r="J70" s="3"/>
      <x:c r="K70" s="22"/>
      <x:c r="L70" s="22"/>
      <x:c r="M70" s="24" t="str">
        <x:f>IF(A70="","",IF(COUNTIFS('执行日志'!$B$7:$B$306,A70)=0,"",IF(COUNTIFS('执行日志'!$B$7:$B$306,A70,'执行日志'!$L$7:$L$306,"有效",'执行日志'!$P$7:$P$306,"&lt;&gt;有效输入")&gt;0,"待核对",IF(COUNTIFS('执行日志'!$B$7:$B$306,A70,'执行日志'!$P$7:$P$306,"有效输入")=0,"",SUMIFS('执行日志'!$H$7:$H$306,'执行日志'!$B$7:$B$306,A70,'执行日志'!$P$7:$P$306,"有效输入")))))</x:f>
      </x:c>
      <x:c r="N70" s="24" t="str">
        <x:f>IF(A70="","",IF(COUNTIFS('执行日志'!$B$7:$B$306,A70)=0,"",IF(COUNTIFS('执行日志'!$B$7:$B$306,A70,'执行日志'!$L$7:$L$306,"有效",'执行日志'!$P$7:$P$306,"&lt;&gt;有效输入")&gt;0,"待核对",IF(COUNTIFS('执行日志'!$B$7:$B$306,A70,'执行日志'!$P$7:$P$306,"有效输入")=0,"",SUMIFS('执行日志'!$J$7:$J$306,'执行日志'!$B$7:$B$306,A70,'执行日志'!$P$7:$P$306,"有效输入")))))</x:f>
      </x:c>
      <x:c r="O70" s="24" t="str">
        <x:f>IF(A70="","",IF(NOT(ISNUMBER(K70)),"待定预算",IF(NOT(ISNUMBER(M70)),"暂无有效流水",K70-M70)))</x:f>
      </x:c>
      <x:c r="P70" s="24" t="str">
        <x:f>IF(A70="","",IF(NOT(ISNUMBER(L70)),"待定预算",IF(NOT(ISNUMBER(N70)),"暂无有效流水",L70-N70)))</x:f>
      </x:c>
      <x:c r="Q70" s="19" t="str">
        <x:f>IF(A70="","",IF(D70="已结案","已结案",IF(NOT(ISNUMBER(I70)),"待定复盘日",IF(NOT(ISNUMBER($B$3)),"待定评估日",IF(I70&lt;=$B$3,"应复盘","未到期")))))</x:f>
      </x:c>
      <x:c r="R70" s="19" t="str">
        <x:f>IF(A70="","",IF(COUNTIFS($A$7:$A$306,A70)&lt;&gt;1,"问题编号重复",IF(OR(B70="",C70="",D70="",G70="",S70=""),"待补基础信息",IF(AND(F70&lt;&gt;"",COUNTIFS('方案版本'!$A$7:$A$306,F70,'方案版本'!$B$7:$B$306,A70,'方案版本'!$L$7:$L$306,"已冻结")&lt;&gt;1),"当前方案引用无效",IF(AND(D70="执行中",F70=""),"执行缺方案",IF(AND(D70="已结案",OR(T70="",COUNTIFS('复盘记录'!$B$7:$B$306,A70)=0,COUNTIFS('更新日志'!$B$7:$B$306,A70)=0)),"结案资料待补","基础记录齐备"))))))</x:f>
      </x:c>
      <x:c r="S70" s="3"/>
      <x:c r="T70" s="3"/>
    </x:row>
    <x:row r="71" ht="25" customHeight="1">
      <x:c r="A71" s="3"/>
      <x:c r="B71" s="3"/>
      <x:c r="C71" s="3"/>
      <x:c r="D71" s="3"/>
      <x:c r="E71" s="3"/>
      <x:c r="F71" s="3"/>
      <x:c r="G71" s="3"/>
      <x:c r="H71" s="3"/>
      <x:c r="I71" s="20"/>
      <x:c r="J71" s="3"/>
      <x:c r="K71" s="22"/>
      <x:c r="L71" s="22"/>
      <x:c r="M71" s="24" t="str">
        <x:f>IF(A71="","",IF(COUNTIFS('执行日志'!$B$7:$B$306,A71)=0,"",IF(COUNTIFS('执行日志'!$B$7:$B$306,A71,'执行日志'!$L$7:$L$306,"有效",'执行日志'!$P$7:$P$306,"&lt;&gt;有效输入")&gt;0,"待核对",IF(COUNTIFS('执行日志'!$B$7:$B$306,A71,'执行日志'!$P$7:$P$306,"有效输入")=0,"",SUMIFS('执行日志'!$H$7:$H$306,'执行日志'!$B$7:$B$306,A71,'执行日志'!$P$7:$P$306,"有效输入")))))</x:f>
      </x:c>
      <x:c r="N71" s="24" t="str">
        <x:f>IF(A71="","",IF(COUNTIFS('执行日志'!$B$7:$B$306,A71)=0,"",IF(COUNTIFS('执行日志'!$B$7:$B$306,A71,'执行日志'!$L$7:$L$306,"有效",'执行日志'!$P$7:$P$306,"&lt;&gt;有效输入")&gt;0,"待核对",IF(COUNTIFS('执行日志'!$B$7:$B$306,A71,'执行日志'!$P$7:$P$306,"有效输入")=0,"",SUMIFS('执行日志'!$J$7:$J$306,'执行日志'!$B$7:$B$306,A71,'执行日志'!$P$7:$P$306,"有效输入")))))</x:f>
      </x:c>
      <x:c r="O71" s="24" t="str">
        <x:f>IF(A71="","",IF(NOT(ISNUMBER(K71)),"待定预算",IF(NOT(ISNUMBER(M71)),"暂无有效流水",K71-M71)))</x:f>
      </x:c>
      <x:c r="P71" s="24" t="str">
        <x:f>IF(A71="","",IF(NOT(ISNUMBER(L71)),"待定预算",IF(NOT(ISNUMBER(N71)),"暂无有效流水",L71-N71)))</x:f>
      </x:c>
      <x:c r="Q71" s="19" t="str">
        <x:f>IF(A71="","",IF(D71="已结案","已结案",IF(NOT(ISNUMBER(I71)),"待定复盘日",IF(NOT(ISNUMBER($B$3)),"待定评估日",IF(I71&lt;=$B$3,"应复盘","未到期")))))</x:f>
      </x:c>
      <x:c r="R71" s="19" t="str">
        <x:f>IF(A71="","",IF(COUNTIFS($A$7:$A$306,A71)&lt;&gt;1,"问题编号重复",IF(OR(B71="",C71="",D71="",G71="",S71=""),"待补基础信息",IF(AND(F71&lt;&gt;"",COUNTIFS('方案版本'!$A$7:$A$306,F71,'方案版本'!$B$7:$B$306,A71,'方案版本'!$L$7:$L$306,"已冻结")&lt;&gt;1),"当前方案引用无效",IF(AND(D71="执行中",F71=""),"执行缺方案",IF(AND(D71="已结案",OR(T71="",COUNTIFS('复盘记录'!$B$7:$B$306,A71)=0,COUNTIFS('更新日志'!$B$7:$B$306,A71)=0)),"结案资料待补","基础记录齐备"))))))</x:f>
      </x:c>
      <x:c r="S71" s="3"/>
      <x:c r="T71" s="3"/>
    </x:row>
    <x:row r="72" ht="25" customHeight="1">
      <x:c r="A72" s="3"/>
      <x:c r="B72" s="3"/>
      <x:c r="C72" s="3"/>
      <x:c r="D72" s="3"/>
      <x:c r="E72" s="3"/>
      <x:c r="F72" s="3"/>
      <x:c r="G72" s="3"/>
      <x:c r="H72" s="3"/>
      <x:c r="I72" s="20"/>
      <x:c r="J72" s="3"/>
      <x:c r="K72" s="22"/>
      <x:c r="L72" s="22"/>
      <x:c r="M72" s="24" t="str">
        <x:f>IF(A72="","",IF(COUNTIFS('执行日志'!$B$7:$B$306,A72)=0,"",IF(COUNTIFS('执行日志'!$B$7:$B$306,A72,'执行日志'!$L$7:$L$306,"有效",'执行日志'!$P$7:$P$306,"&lt;&gt;有效输入")&gt;0,"待核对",IF(COUNTIFS('执行日志'!$B$7:$B$306,A72,'执行日志'!$P$7:$P$306,"有效输入")=0,"",SUMIFS('执行日志'!$H$7:$H$306,'执行日志'!$B$7:$B$306,A72,'执行日志'!$P$7:$P$306,"有效输入")))))</x:f>
      </x:c>
      <x:c r="N72" s="24" t="str">
        <x:f>IF(A72="","",IF(COUNTIFS('执行日志'!$B$7:$B$306,A72)=0,"",IF(COUNTIFS('执行日志'!$B$7:$B$306,A72,'执行日志'!$L$7:$L$306,"有效",'执行日志'!$P$7:$P$306,"&lt;&gt;有效输入")&gt;0,"待核对",IF(COUNTIFS('执行日志'!$B$7:$B$306,A72,'执行日志'!$P$7:$P$306,"有效输入")=0,"",SUMIFS('执行日志'!$J$7:$J$306,'执行日志'!$B$7:$B$306,A72,'执行日志'!$P$7:$P$306,"有效输入")))))</x:f>
      </x:c>
      <x:c r="O72" s="24" t="str">
        <x:f>IF(A72="","",IF(NOT(ISNUMBER(K72)),"待定预算",IF(NOT(ISNUMBER(M72)),"暂无有效流水",K72-M72)))</x:f>
      </x:c>
      <x:c r="P72" s="24" t="str">
        <x:f>IF(A72="","",IF(NOT(ISNUMBER(L72)),"待定预算",IF(NOT(ISNUMBER(N72)),"暂无有效流水",L72-N72)))</x:f>
      </x:c>
      <x:c r="Q72" s="19" t="str">
        <x:f>IF(A72="","",IF(D72="已结案","已结案",IF(NOT(ISNUMBER(I72)),"待定复盘日",IF(NOT(ISNUMBER($B$3)),"待定评估日",IF(I72&lt;=$B$3,"应复盘","未到期")))))</x:f>
      </x:c>
      <x:c r="R72" s="19" t="str">
        <x:f>IF(A72="","",IF(COUNTIFS($A$7:$A$306,A72)&lt;&gt;1,"问题编号重复",IF(OR(B72="",C72="",D72="",G72="",S72=""),"待补基础信息",IF(AND(F72&lt;&gt;"",COUNTIFS('方案版本'!$A$7:$A$306,F72,'方案版本'!$B$7:$B$306,A72,'方案版本'!$L$7:$L$306,"已冻结")&lt;&gt;1),"当前方案引用无效",IF(AND(D72="执行中",F72=""),"执行缺方案",IF(AND(D72="已结案",OR(T72="",COUNTIFS('复盘记录'!$B$7:$B$306,A72)=0,COUNTIFS('更新日志'!$B$7:$B$306,A72)=0)),"结案资料待补","基础记录齐备"))))))</x:f>
      </x:c>
      <x:c r="S72" s="3"/>
      <x:c r="T72" s="3"/>
    </x:row>
    <x:row r="73" ht="25" customHeight="1">
      <x:c r="A73" s="3"/>
      <x:c r="B73" s="3"/>
      <x:c r="C73" s="3"/>
      <x:c r="D73" s="3"/>
      <x:c r="E73" s="3"/>
      <x:c r="F73" s="3"/>
      <x:c r="G73" s="3"/>
      <x:c r="H73" s="3"/>
      <x:c r="I73" s="20"/>
      <x:c r="J73" s="3"/>
      <x:c r="K73" s="22"/>
      <x:c r="L73" s="22"/>
      <x:c r="M73" s="24" t="str">
        <x:f>IF(A73="","",IF(COUNTIFS('执行日志'!$B$7:$B$306,A73)=0,"",IF(COUNTIFS('执行日志'!$B$7:$B$306,A73,'执行日志'!$L$7:$L$306,"有效",'执行日志'!$P$7:$P$306,"&lt;&gt;有效输入")&gt;0,"待核对",IF(COUNTIFS('执行日志'!$B$7:$B$306,A73,'执行日志'!$P$7:$P$306,"有效输入")=0,"",SUMIFS('执行日志'!$H$7:$H$306,'执行日志'!$B$7:$B$306,A73,'执行日志'!$P$7:$P$306,"有效输入")))))</x:f>
      </x:c>
      <x:c r="N73" s="24" t="str">
        <x:f>IF(A73="","",IF(COUNTIFS('执行日志'!$B$7:$B$306,A73)=0,"",IF(COUNTIFS('执行日志'!$B$7:$B$306,A73,'执行日志'!$L$7:$L$306,"有效",'执行日志'!$P$7:$P$306,"&lt;&gt;有效输入")&gt;0,"待核对",IF(COUNTIFS('执行日志'!$B$7:$B$306,A73,'执行日志'!$P$7:$P$306,"有效输入")=0,"",SUMIFS('执行日志'!$J$7:$J$306,'执行日志'!$B$7:$B$306,A73,'执行日志'!$P$7:$P$306,"有效输入")))))</x:f>
      </x:c>
      <x:c r="O73" s="24" t="str">
        <x:f>IF(A73="","",IF(NOT(ISNUMBER(K73)),"待定预算",IF(NOT(ISNUMBER(M73)),"暂无有效流水",K73-M73)))</x:f>
      </x:c>
      <x:c r="P73" s="24" t="str">
        <x:f>IF(A73="","",IF(NOT(ISNUMBER(L73)),"待定预算",IF(NOT(ISNUMBER(N73)),"暂无有效流水",L73-N73)))</x:f>
      </x:c>
      <x:c r="Q73" s="19" t="str">
        <x:f>IF(A73="","",IF(D73="已结案","已结案",IF(NOT(ISNUMBER(I73)),"待定复盘日",IF(NOT(ISNUMBER($B$3)),"待定评估日",IF(I73&lt;=$B$3,"应复盘","未到期")))))</x:f>
      </x:c>
      <x:c r="R73" s="19" t="str">
        <x:f>IF(A73="","",IF(COUNTIFS($A$7:$A$306,A73)&lt;&gt;1,"问题编号重复",IF(OR(B73="",C73="",D73="",G73="",S73=""),"待补基础信息",IF(AND(F73&lt;&gt;"",COUNTIFS('方案版本'!$A$7:$A$306,F73,'方案版本'!$B$7:$B$306,A73,'方案版本'!$L$7:$L$306,"已冻结")&lt;&gt;1),"当前方案引用无效",IF(AND(D73="执行中",F73=""),"执行缺方案",IF(AND(D73="已结案",OR(T73="",COUNTIFS('复盘记录'!$B$7:$B$306,A73)=0,COUNTIFS('更新日志'!$B$7:$B$306,A73)=0)),"结案资料待补","基础记录齐备"))))))</x:f>
      </x:c>
      <x:c r="S73" s="3"/>
      <x:c r="T73" s="3"/>
    </x:row>
    <x:row r="74" ht="25" customHeight="1">
      <x:c r="A74" s="3"/>
      <x:c r="B74" s="3"/>
      <x:c r="C74" s="3"/>
      <x:c r="D74" s="3"/>
      <x:c r="E74" s="3"/>
      <x:c r="F74" s="3"/>
      <x:c r="G74" s="3"/>
      <x:c r="H74" s="3"/>
      <x:c r="I74" s="20"/>
      <x:c r="J74" s="3"/>
      <x:c r="K74" s="22"/>
      <x:c r="L74" s="22"/>
      <x:c r="M74" s="24" t="str">
        <x:f>IF(A74="","",IF(COUNTIFS('执行日志'!$B$7:$B$306,A74)=0,"",IF(COUNTIFS('执行日志'!$B$7:$B$306,A74,'执行日志'!$L$7:$L$306,"有效",'执行日志'!$P$7:$P$306,"&lt;&gt;有效输入")&gt;0,"待核对",IF(COUNTIFS('执行日志'!$B$7:$B$306,A74,'执行日志'!$P$7:$P$306,"有效输入")=0,"",SUMIFS('执行日志'!$H$7:$H$306,'执行日志'!$B$7:$B$306,A74,'执行日志'!$P$7:$P$306,"有效输入")))))</x:f>
      </x:c>
      <x:c r="N74" s="24" t="str">
        <x:f>IF(A74="","",IF(COUNTIFS('执行日志'!$B$7:$B$306,A74)=0,"",IF(COUNTIFS('执行日志'!$B$7:$B$306,A74,'执行日志'!$L$7:$L$306,"有效",'执行日志'!$P$7:$P$306,"&lt;&gt;有效输入")&gt;0,"待核对",IF(COUNTIFS('执行日志'!$B$7:$B$306,A74,'执行日志'!$P$7:$P$306,"有效输入")=0,"",SUMIFS('执行日志'!$J$7:$J$306,'执行日志'!$B$7:$B$306,A74,'执行日志'!$P$7:$P$306,"有效输入")))))</x:f>
      </x:c>
      <x:c r="O74" s="24" t="str">
        <x:f>IF(A74="","",IF(NOT(ISNUMBER(K74)),"待定预算",IF(NOT(ISNUMBER(M74)),"暂无有效流水",K74-M74)))</x:f>
      </x:c>
      <x:c r="P74" s="24" t="str">
        <x:f>IF(A74="","",IF(NOT(ISNUMBER(L74)),"待定预算",IF(NOT(ISNUMBER(N74)),"暂无有效流水",L74-N74)))</x:f>
      </x:c>
      <x:c r="Q74" s="19" t="str">
        <x:f>IF(A74="","",IF(D74="已结案","已结案",IF(NOT(ISNUMBER(I74)),"待定复盘日",IF(NOT(ISNUMBER($B$3)),"待定评估日",IF(I74&lt;=$B$3,"应复盘","未到期")))))</x:f>
      </x:c>
      <x:c r="R74" s="19" t="str">
        <x:f>IF(A74="","",IF(COUNTIFS($A$7:$A$306,A74)&lt;&gt;1,"问题编号重复",IF(OR(B74="",C74="",D74="",G74="",S74=""),"待补基础信息",IF(AND(F74&lt;&gt;"",COUNTIFS('方案版本'!$A$7:$A$306,F74,'方案版本'!$B$7:$B$306,A74,'方案版本'!$L$7:$L$306,"已冻结")&lt;&gt;1),"当前方案引用无效",IF(AND(D74="执行中",F74=""),"执行缺方案",IF(AND(D74="已结案",OR(T74="",COUNTIFS('复盘记录'!$B$7:$B$306,A74)=0,COUNTIFS('更新日志'!$B$7:$B$306,A74)=0)),"结案资料待补","基础记录齐备"))))))</x:f>
      </x:c>
      <x:c r="S74" s="3"/>
      <x:c r="T74" s="3"/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20"/>
      <x:c r="J75" s="3"/>
      <x:c r="K75" s="22"/>
      <x:c r="L75" s="22"/>
      <x:c r="M75" s="24" t="str">
        <x:f>IF(A75="","",IF(COUNTIFS('执行日志'!$B$7:$B$306,A75)=0,"",IF(COUNTIFS('执行日志'!$B$7:$B$306,A75,'执行日志'!$L$7:$L$306,"有效",'执行日志'!$P$7:$P$306,"&lt;&gt;有效输入")&gt;0,"待核对",IF(COUNTIFS('执行日志'!$B$7:$B$306,A75,'执行日志'!$P$7:$P$306,"有效输入")=0,"",SUMIFS('执行日志'!$H$7:$H$306,'执行日志'!$B$7:$B$306,A75,'执行日志'!$P$7:$P$306,"有效输入")))))</x:f>
      </x:c>
      <x:c r="N75" s="24" t="str">
        <x:f>IF(A75="","",IF(COUNTIFS('执行日志'!$B$7:$B$306,A75)=0,"",IF(COUNTIFS('执行日志'!$B$7:$B$306,A75,'执行日志'!$L$7:$L$306,"有效",'执行日志'!$P$7:$P$306,"&lt;&gt;有效输入")&gt;0,"待核对",IF(COUNTIFS('执行日志'!$B$7:$B$306,A75,'执行日志'!$P$7:$P$306,"有效输入")=0,"",SUMIFS('执行日志'!$J$7:$J$306,'执行日志'!$B$7:$B$306,A75,'执行日志'!$P$7:$P$306,"有效输入")))))</x:f>
      </x:c>
      <x:c r="O75" s="24" t="str">
        <x:f>IF(A75="","",IF(NOT(ISNUMBER(K75)),"待定预算",IF(NOT(ISNUMBER(M75)),"暂无有效流水",K75-M75)))</x:f>
      </x:c>
      <x:c r="P75" s="24" t="str">
        <x:f>IF(A75="","",IF(NOT(ISNUMBER(L75)),"待定预算",IF(NOT(ISNUMBER(N75)),"暂无有效流水",L75-N75)))</x:f>
      </x:c>
      <x:c r="Q75" s="19" t="str">
        <x:f>IF(A75="","",IF(D75="已结案","已结案",IF(NOT(ISNUMBER(I75)),"待定复盘日",IF(NOT(ISNUMBER($B$3)),"待定评估日",IF(I75&lt;=$B$3,"应复盘","未到期")))))</x:f>
      </x:c>
      <x:c r="R75" s="19" t="str">
        <x:f>IF(A75="","",IF(COUNTIFS($A$7:$A$306,A75)&lt;&gt;1,"问题编号重复",IF(OR(B75="",C75="",D75="",G75="",S75=""),"待补基础信息",IF(AND(F75&lt;&gt;"",COUNTIFS('方案版本'!$A$7:$A$306,F75,'方案版本'!$B$7:$B$306,A75,'方案版本'!$L$7:$L$306,"已冻结")&lt;&gt;1),"当前方案引用无效",IF(AND(D75="执行中",F75=""),"执行缺方案",IF(AND(D75="已结案",OR(T75="",COUNTIFS('复盘记录'!$B$7:$B$306,A75)=0,COUNTIFS('更新日志'!$B$7:$B$306,A75)=0)),"结案资料待补","基础记录齐备"))))))</x:f>
      </x:c>
      <x:c r="S75" s="3"/>
      <x:c r="T75" s="3"/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20"/>
      <x:c r="J76" s="3"/>
      <x:c r="K76" s="22"/>
      <x:c r="L76" s="22"/>
      <x:c r="M76" s="24" t="str">
        <x:f>IF(A76="","",IF(COUNTIFS('执行日志'!$B$7:$B$306,A76)=0,"",IF(COUNTIFS('执行日志'!$B$7:$B$306,A76,'执行日志'!$L$7:$L$306,"有效",'执行日志'!$P$7:$P$306,"&lt;&gt;有效输入")&gt;0,"待核对",IF(COUNTIFS('执行日志'!$B$7:$B$306,A76,'执行日志'!$P$7:$P$306,"有效输入")=0,"",SUMIFS('执行日志'!$H$7:$H$306,'执行日志'!$B$7:$B$306,A76,'执行日志'!$P$7:$P$306,"有效输入")))))</x:f>
      </x:c>
      <x:c r="N76" s="24" t="str">
        <x:f>IF(A76="","",IF(COUNTIFS('执行日志'!$B$7:$B$306,A76)=0,"",IF(COUNTIFS('执行日志'!$B$7:$B$306,A76,'执行日志'!$L$7:$L$306,"有效",'执行日志'!$P$7:$P$306,"&lt;&gt;有效输入")&gt;0,"待核对",IF(COUNTIFS('执行日志'!$B$7:$B$306,A76,'执行日志'!$P$7:$P$306,"有效输入")=0,"",SUMIFS('执行日志'!$J$7:$J$306,'执行日志'!$B$7:$B$306,A76,'执行日志'!$P$7:$P$306,"有效输入")))))</x:f>
      </x:c>
      <x:c r="O76" s="24" t="str">
        <x:f>IF(A76="","",IF(NOT(ISNUMBER(K76)),"待定预算",IF(NOT(ISNUMBER(M76)),"暂无有效流水",K76-M76)))</x:f>
      </x:c>
      <x:c r="P76" s="24" t="str">
        <x:f>IF(A76="","",IF(NOT(ISNUMBER(L76)),"待定预算",IF(NOT(ISNUMBER(N76)),"暂无有效流水",L76-N76)))</x:f>
      </x:c>
      <x:c r="Q76" s="19" t="str">
        <x:f>IF(A76="","",IF(D76="已结案","已结案",IF(NOT(ISNUMBER(I76)),"待定复盘日",IF(NOT(ISNUMBER($B$3)),"待定评估日",IF(I76&lt;=$B$3,"应复盘","未到期")))))</x:f>
      </x:c>
      <x:c r="R76" s="19" t="str">
        <x:f>IF(A76="","",IF(COUNTIFS($A$7:$A$306,A76)&lt;&gt;1,"问题编号重复",IF(OR(B76="",C76="",D76="",G76="",S76=""),"待补基础信息",IF(AND(F76&lt;&gt;"",COUNTIFS('方案版本'!$A$7:$A$306,F76,'方案版本'!$B$7:$B$306,A76,'方案版本'!$L$7:$L$306,"已冻结")&lt;&gt;1),"当前方案引用无效",IF(AND(D76="执行中",F76=""),"执行缺方案",IF(AND(D76="已结案",OR(T76="",COUNTIFS('复盘记录'!$B$7:$B$306,A76)=0,COUNTIFS('更新日志'!$B$7:$B$306,A76)=0)),"结案资料待补","基础记录齐备"))))))</x:f>
      </x:c>
      <x:c r="S76" s="3"/>
      <x:c r="T76" s="3"/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20"/>
      <x:c r="J77" s="3"/>
      <x:c r="K77" s="22"/>
      <x:c r="L77" s="22"/>
      <x:c r="M77" s="24" t="str">
        <x:f>IF(A77="","",IF(COUNTIFS('执行日志'!$B$7:$B$306,A77)=0,"",IF(COUNTIFS('执行日志'!$B$7:$B$306,A77,'执行日志'!$L$7:$L$306,"有效",'执行日志'!$P$7:$P$306,"&lt;&gt;有效输入")&gt;0,"待核对",IF(COUNTIFS('执行日志'!$B$7:$B$306,A77,'执行日志'!$P$7:$P$306,"有效输入")=0,"",SUMIFS('执行日志'!$H$7:$H$306,'执行日志'!$B$7:$B$306,A77,'执行日志'!$P$7:$P$306,"有效输入")))))</x:f>
      </x:c>
      <x:c r="N77" s="24" t="str">
        <x:f>IF(A77="","",IF(COUNTIFS('执行日志'!$B$7:$B$306,A77)=0,"",IF(COUNTIFS('执行日志'!$B$7:$B$306,A77,'执行日志'!$L$7:$L$306,"有效",'执行日志'!$P$7:$P$306,"&lt;&gt;有效输入")&gt;0,"待核对",IF(COUNTIFS('执行日志'!$B$7:$B$306,A77,'执行日志'!$P$7:$P$306,"有效输入")=0,"",SUMIFS('执行日志'!$J$7:$J$306,'执行日志'!$B$7:$B$306,A77,'执行日志'!$P$7:$P$306,"有效输入")))))</x:f>
      </x:c>
      <x:c r="O77" s="24" t="str">
        <x:f>IF(A77="","",IF(NOT(ISNUMBER(K77)),"待定预算",IF(NOT(ISNUMBER(M77)),"暂无有效流水",K77-M77)))</x:f>
      </x:c>
      <x:c r="P77" s="24" t="str">
        <x:f>IF(A77="","",IF(NOT(ISNUMBER(L77)),"待定预算",IF(NOT(ISNUMBER(N77)),"暂无有效流水",L77-N77)))</x:f>
      </x:c>
      <x:c r="Q77" s="19" t="str">
        <x:f>IF(A77="","",IF(D77="已结案","已结案",IF(NOT(ISNUMBER(I77)),"待定复盘日",IF(NOT(ISNUMBER($B$3)),"待定评估日",IF(I77&lt;=$B$3,"应复盘","未到期")))))</x:f>
      </x:c>
      <x:c r="R77" s="19" t="str">
        <x:f>IF(A77="","",IF(COUNTIFS($A$7:$A$306,A77)&lt;&gt;1,"问题编号重复",IF(OR(B77="",C77="",D77="",G77="",S77=""),"待补基础信息",IF(AND(F77&lt;&gt;"",COUNTIFS('方案版本'!$A$7:$A$306,F77,'方案版本'!$B$7:$B$306,A77,'方案版本'!$L$7:$L$306,"已冻结")&lt;&gt;1),"当前方案引用无效",IF(AND(D77="执行中",F77=""),"执行缺方案",IF(AND(D77="已结案",OR(T77="",COUNTIFS('复盘记录'!$B$7:$B$306,A77)=0,COUNTIFS('更新日志'!$B$7:$B$306,A77)=0)),"结案资料待补","基础记录齐备"))))))</x:f>
      </x:c>
      <x:c r="S77" s="3"/>
      <x:c r="T77" s="3"/>
    </x:row>
    <x:row r="78" ht="25" customHeight="1">
      <x:c r="A78" s="3"/>
      <x:c r="B78" s="3"/>
      <x:c r="C78" s="3"/>
      <x:c r="D78" s="3"/>
      <x:c r="E78" s="3"/>
      <x:c r="F78" s="3"/>
      <x:c r="G78" s="3"/>
      <x:c r="H78" s="3"/>
      <x:c r="I78" s="20"/>
      <x:c r="J78" s="3"/>
      <x:c r="K78" s="22"/>
      <x:c r="L78" s="22"/>
      <x:c r="M78" s="24" t="str">
        <x:f>IF(A78="","",IF(COUNTIFS('执行日志'!$B$7:$B$306,A78)=0,"",IF(COUNTIFS('执行日志'!$B$7:$B$306,A78,'执行日志'!$L$7:$L$306,"有效",'执行日志'!$P$7:$P$306,"&lt;&gt;有效输入")&gt;0,"待核对",IF(COUNTIFS('执行日志'!$B$7:$B$306,A78,'执行日志'!$P$7:$P$306,"有效输入")=0,"",SUMIFS('执行日志'!$H$7:$H$306,'执行日志'!$B$7:$B$306,A78,'执行日志'!$P$7:$P$306,"有效输入")))))</x:f>
      </x:c>
      <x:c r="N78" s="24" t="str">
        <x:f>IF(A78="","",IF(COUNTIFS('执行日志'!$B$7:$B$306,A78)=0,"",IF(COUNTIFS('执行日志'!$B$7:$B$306,A78,'执行日志'!$L$7:$L$306,"有效",'执行日志'!$P$7:$P$306,"&lt;&gt;有效输入")&gt;0,"待核对",IF(COUNTIFS('执行日志'!$B$7:$B$306,A78,'执行日志'!$P$7:$P$306,"有效输入")=0,"",SUMIFS('执行日志'!$J$7:$J$306,'执行日志'!$B$7:$B$306,A78,'执行日志'!$P$7:$P$306,"有效输入")))))</x:f>
      </x:c>
      <x:c r="O78" s="24" t="str">
        <x:f>IF(A78="","",IF(NOT(ISNUMBER(K78)),"待定预算",IF(NOT(ISNUMBER(M78)),"暂无有效流水",K78-M78)))</x:f>
      </x:c>
      <x:c r="P78" s="24" t="str">
        <x:f>IF(A78="","",IF(NOT(ISNUMBER(L78)),"待定预算",IF(NOT(ISNUMBER(N78)),"暂无有效流水",L78-N78)))</x:f>
      </x:c>
      <x:c r="Q78" s="19" t="str">
        <x:f>IF(A78="","",IF(D78="已结案","已结案",IF(NOT(ISNUMBER(I78)),"待定复盘日",IF(NOT(ISNUMBER($B$3)),"待定评估日",IF(I78&lt;=$B$3,"应复盘","未到期")))))</x:f>
      </x:c>
      <x:c r="R78" s="19" t="str">
        <x:f>IF(A78="","",IF(COUNTIFS($A$7:$A$306,A78)&lt;&gt;1,"问题编号重复",IF(OR(B78="",C78="",D78="",G78="",S78=""),"待补基础信息",IF(AND(F78&lt;&gt;"",COUNTIFS('方案版本'!$A$7:$A$306,F78,'方案版本'!$B$7:$B$306,A78,'方案版本'!$L$7:$L$306,"已冻结")&lt;&gt;1),"当前方案引用无效",IF(AND(D78="执行中",F78=""),"执行缺方案",IF(AND(D78="已结案",OR(T78="",COUNTIFS('复盘记录'!$B$7:$B$306,A78)=0,COUNTIFS('更新日志'!$B$7:$B$306,A78)=0)),"结案资料待补","基础记录齐备"))))))</x:f>
      </x:c>
      <x:c r="S78" s="3"/>
      <x:c r="T78" s="3"/>
    </x:row>
    <x:row r="79" ht="25" customHeight="1">
      <x:c r="A79" s="3"/>
      <x:c r="B79" s="3"/>
      <x:c r="C79" s="3"/>
      <x:c r="D79" s="3"/>
      <x:c r="E79" s="3"/>
      <x:c r="F79" s="3"/>
      <x:c r="G79" s="3"/>
      <x:c r="H79" s="3"/>
      <x:c r="I79" s="20"/>
      <x:c r="J79" s="3"/>
      <x:c r="K79" s="22"/>
      <x:c r="L79" s="22"/>
      <x:c r="M79" s="24" t="str">
        <x:f>IF(A79="","",IF(COUNTIFS('执行日志'!$B$7:$B$306,A79)=0,"",IF(COUNTIFS('执行日志'!$B$7:$B$306,A79,'执行日志'!$L$7:$L$306,"有效",'执行日志'!$P$7:$P$306,"&lt;&gt;有效输入")&gt;0,"待核对",IF(COUNTIFS('执行日志'!$B$7:$B$306,A79,'执行日志'!$P$7:$P$306,"有效输入")=0,"",SUMIFS('执行日志'!$H$7:$H$306,'执行日志'!$B$7:$B$306,A79,'执行日志'!$P$7:$P$306,"有效输入")))))</x:f>
      </x:c>
      <x:c r="N79" s="24" t="str">
        <x:f>IF(A79="","",IF(COUNTIFS('执行日志'!$B$7:$B$306,A79)=0,"",IF(COUNTIFS('执行日志'!$B$7:$B$306,A79,'执行日志'!$L$7:$L$306,"有效",'执行日志'!$P$7:$P$306,"&lt;&gt;有效输入")&gt;0,"待核对",IF(COUNTIFS('执行日志'!$B$7:$B$306,A79,'执行日志'!$P$7:$P$306,"有效输入")=0,"",SUMIFS('执行日志'!$J$7:$J$306,'执行日志'!$B$7:$B$306,A79,'执行日志'!$P$7:$P$306,"有效输入")))))</x:f>
      </x:c>
      <x:c r="O79" s="24" t="str">
        <x:f>IF(A79="","",IF(NOT(ISNUMBER(K79)),"待定预算",IF(NOT(ISNUMBER(M79)),"暂无有效流水",K79-M79)))</x:f>
      </x:c>
      <x:c r="P79" s="24" t="str">
        <x:f>IF(A79="","",IF(NOT(ISNUMBER(L79)),"待定预算",IF(NOT(ISNUMBER(N79)),"暂无有效流水",L79-N79)))</x:f>
      </x:c>
      <x:c r="Q79" s="19" t="str">
        <x:f>IF(A79="","",IF(D79="已结案","已结案",IF(NOT(ISNUMBER(I79)),"待定复盘日",IF(NOT(ISNUMBER($B$3)),"待定评估日",IF(I79&lt;=$B$3,"应复盘","未到期")))))</x:f>
      </x:c>
      <x:c r="R79" s="19" t="str">
        <x:f>IF(A79="","",IF(COUNTIFS($A$7:$A$306,A79)&lt;&gt;1,"问题编号重复",IF(OR(B79="",C79="",D79="",G79="",S79=""),"待补基础信息",IF(AND(F79&lt;&gt;"",COUNTIFS('方案版本'!$A$7:$A$306,F79,'方案版本'!$B$7:$B$306,A79,'方案版本'!$L$7:$L$306,"已冻结")&lt;&gt;1),"当前方案引用无效",IF(AND(D79="执行中",F79=""),"执行缺方案",IF(AND(D79="已结案",OR(T79="",COUNTIFS('复盘记录'!$B$7:$B$306,A79)=0,COUNTIFS('更新日志'!$B$7:$B$306,A79)=0)),"结案资料待补","基础记录齐备"))))))</x:f>
      </x:c>
      <x:c r="S79" s="3"/>
      <x:c r="T79" s="3"/>
    </x:row>
    <x:row r="80" ht="25" customHeight="1">
      <x:c r="A80" s="3"/>
      <x:c r="B80" s="3"/>
      <x:c r="C80" s="3"/>
      <x:c r="D80" s="3"/>
      <x:c r="E80" s="3"/>
      <x:c r="F80" s="3"/>
      <x:c r="G80" s="3"/>
      <x:c r="H80" s="3"/>
      <x:c r="I80" s="20"/>
      <x:c r="J80" s="3"/>
      <x:c r="K80" s="22"/>
      <x:c r="L80" s="22"/>
      <x:c r="M80" s="24" t="str">
        <x:f>IF(A80="","",IF(COUNTIFS('执行日志'!$B$7:$B$306,A80)=0,"",IF(COUNTIFS('执行日志'!$B$7:$B$306,A80,'执行日志'!$L$7:$L$306,"有效",'执行日志'!$P$7:$P$306,"&lt;&gt;有效输入")&gt;0,"待核对",IF(COUNTIFS('执行日志'!$B$7:$B$306,A80,'执行日志'!$P$7:$P$306,"有效输入")=0,"",SUMIFS('执行日志'!$H$7:$H$306,'执行日志'!$B$7:$B$306,A80,'执行日志'!$P$7:$P$306,"有效输入")))))</x:f>
      </x:c>
      <x:c r="N80" s="24" t="str">
        <x:f>IF(A80="","",IF(COUNTIFS('执行日志'!$B$7:$B$306,A80)=0,"",IF(COUNTIFS('执行日志'!$B$7:$B$306,A80,'执行日志'!$L$7:$L$306,"有效",'执行日志'!$P$7:$P$306,"&lt;&gt;有效输入")&gt;0,"待核对",IF(COUNTIFS('执行日志'!$B$7:$B$306,A80,'执行日志'!$P$7:$P$306,"有效输入")=0,"",SUMIFS('执行日志'!$J$7:$J$306,'执行日志'!$B$7:$B$306,A80,'执行日志'!$P$7:$P$306,"有效输入")))))</x:f>
      </x:c>
      <x:c r="O80" s="24" t="str">
        <x:f>IF(A80="","",IF(NOT(ISNUMBER(K80)),"待定预算",IF(NOT(ISNUMBER(M80)),"暂无有效流水",K80-M80)))</x:f>
      </x:c>
      <x:c r="P80" s="24" t="str">
        <x:f>IF(A80="","",IF(NOT(ISNUMBER(L80)),"待定预算",IF(NOT(ISNUMBER(N80)),"暂无有效流水",L80-N80)))</x:f>
      </x:c>
      <x:c r="Q80" s="19" t="str">
        <x:f>IF(A80="","",IF(D80="已结案","已结案",IF(NOT(ISNUMBER(I80)),"待定复盘日",IF(NOT(ISNUMBER($B$3)),"待定评估日",IF(I80&lt;=$B$3,"应复盘","未到期")))))</x:f>
      </x:c>
      <x:c r="R80" s="19" t="str">
        <x:f>IF(A80="","",IF(COUNTIFS($A$7:$A$306,A80)&lt;&gt;1,"问题编号重复",IF(OR(B80="",C80="",D80="",G80="",S80=""),"待补基础信息",IF(AND(F80&lt;&gt;"",COUNTIFS('方案版本'!$A$7:$A$306,F80,'方案版本'!$B$7:$B$306,A80,'方案版本'!$L$7:$L$306,"已冻结")&lt;&gt;1),"当前方案引用无效",IF(AND(D80="执行中",F80=""),"执行缺方案",IF(AND(D80="已结案",OR(T80="",COUNTIFS('复盘记录'!$B$7:$B$306,A80)=0,COUNTIFS('更新日志'!$B$7:$B$306,A80)=0)),"结案资料待补","基础记录齐备"))))))</x:f>
      </x:c>
      <x:c r="S80" s="3"/>
      <x:c r="T80" s="3"/>
    </x:row>
    <x:row r="81" ht="25" customHeight="1">
      <x:c r="A81" s="3"/>
      <x:c r="B81" s="3"/>
      <x:c r="C81" s="3"/>
      <x:c r="D81" s="3"/>
      <x:c r="E81" s="3"/>
      <x:c r="F81" s="3"/>
      <x:c r="G81" s="3"/>
      <x:c r="H81" s="3"/>
      <x:c r="I81" s="20"/>
      <x:c r="J81" s="3"/>
      <x:c r="K81" s="22"/>
      <x:c r="L81" s="22"/>
      <x:c r="M81" s="24" t="str">
        <x:f>IF(A81="","",IF(COUNTIFS('执行日志'!$B$7:$B$306,A81)=0,"",IF(COUNTIFS('执行日志'!$B$7:$B$306,A81,'执行日志'!$L$7:$L$306,"有效",'执行日志'!$P$7:$P$306,"&lt;&gt;有效输入")&gt;0,"待核对",IF(COUNTIFS('执行日志'!$B$7:$B$306,A81,'执行日志'!$P$7:$P$306,"有效输入")=0,"",SUMIFS('执行日志'!$H$7:$H$306,'执行日志'!$B$7:$B$306,A81,'执行日志'!$P$7:$P$306,"有效输入")))))</x:f>
      </x:c>
      <x:c r="N81" s="24" t="str">
        <x:f>IF(A81="","",IF(COUNTIFS('执行日志'!$B$7:$B$306,A81)=0,"",IF(COUNTIFS('执行日志'!$B$7:$B$306,A81,'执行日志'!$L$7:$L$306,"有效",'执行日志'!$P$7:$P$306,"&lt;&gt;有效输入")&gt;0,"待核对",IF(COUNTIFS('执行日志'!$B$7:$B$306,A81,'执行日志'!$P$7:$P$306,"有效输入")=0,"",SUMIFS('执行日志'!$J$7:$J$306,'执行日志'!$B$7:$B$306,A81,'执行日志'!$P$7:$P$306,"有效输入")))))</x:f>
      </x:c>
      <x:c r="O81" s="24" t="str">
        <x:f>IF(A81="","",IF(NOT(ISNUMBER(K81)),"待定预算",IF(NOT(ISNUMBER(M81)),"暂无有效流水",K81-M81)))</x:f>
      </x:c>
      <x:c r="P81" s="24" t="str">
        <x:f>IF(A81="","",IF(NOT(ISNUMBER(L81)),"待定预算",IF(NOT(ISNUMBER(N81)),"暂无有效流水",L81-N81)))</x:f>
      </x:c>
      <x:c r="Q81" s="19" t="str">
        <x:f>IF(A81="","",IF(D81="已结案","已结案",IF(NOT(ISNUMBER(I81)),"待定复盘日",IF(NOT(ISNUMBER($B$3)),"待定评估日",IF(I81&lt;=$B$3,"应复盘","未到期")))))</x:f>
      </x:c>
      <x:c r="R81" s="19" t="str">
        <x:f>IF(A81="","",IF(COUNTIFS($A$7:$A$306,A81)&lt;&gt;1,"问题编号重复",IF(OR(B81="",C81="",D81="",G81="",S81=""),"待补基础信息",IF(AND(F81&lt;&gt;"",COUNTIFS('方案版本'!$A$7:$A$306,F81,'方案版本'!$B$7:$B$306,A81,'方案版本'!$L$7:$L$306,"已冻结")&lt;&gt;1),"当前方案引用无效",IF(AND(D81="执行中",F81=""),"执行缺方案",IF(AND(D81="已结案",OR(T81="",COUNTIFS('复盘记录'!$B$7:$B$306,A81)=0,COUNTIFS('更新日志'!$B$7:$B$306,A81)=0)),"结案资料待补","基础记录齐备"))))))</x:f>
      </x:c>
      <x:c r="S81" s="3"/>
      <x:c r="T81" s="3"/>
    </x:row>
    <x:row r="82" ht="25" customHeight="1">
      <x:c r="A82" s="3"/>
      <x:c r="B82" s="3"/>
      <x:c r="C82" s="3"/>
      <x:c r="D82" s="3"/>
      <x:c r="E82" s="3"/>
      <x:c r="F82" s="3"/>
      <x:c r="G82" s="3"/>
      <x:c r="H82" s="3"/>
      <x:c r="I82" s="20"/>
      <x:c r="J82" s="3"/>
      <x:c r="K82" s="22"/>
      <x:c r="L82" s="22"/>
      <x:c r="M82" s="24" t="str">
        <x:f>IF(A82="","",IF(COUNTIFS('执行日志'!$B$7:$B$306,A82)=0,"",IF(COUNTIFS('执行日志'!$B$7:$B$306,A82,'执行日志'!$L$7:$L$306,"有效",'执行日志'!$P$7:$P$306,"&lt;&gt;有效输入")&gt;0,"待核对",IF(COUNTIFS('执行日志'!$B$7:$B$306,A82,'执行日志'!$P$7:$P$306,"有效输入")=0,"",SUMIFS('执行日志'!$H$7:$H$306,'执行日志'!$B$7:$B$306,A82,'执行日志'!$P$7:$P$306,"有效输入")))))</x:f>
      </x:c>
      <x:c r="N82" s="24" t="str">
        <x:f>IF(A82="","",IF(COUNTIFS('执行日志'!$B$7:$B$306,A82)=0,"",IF(COUNTIFS('执行日志'!$B$7:$B$306,A82,'执行日志'!$L$7:$L$306,"有效",'执行日志'!$P$7:$P$306,"&lt;&gt;有效输入")&gt;0,"待核对",IF(COUNTIFS('执行日志'!$B$7:$B$306,A82,'执行日志'!$P$7:$P$306,"有效输入")=0,"",SUMIFS('执行日志'!$J$7:$J$306,'执行日志'!$B$7:$B$306,A82,'执行日志'!$P$7:$P$306,"有效输入")))))</x:f>
      </x:c>
      <x:c r="O82" s="24" t="str">
        <x:f>IF(A82="","",IF(NOT(ISNUMBER(K82)),"待定预算",IF(NOT(ISNUMBER(M82)),"暂无有效流水",K82-M82)))</x:f>
      </x:c>
      <x:c r="P82" s="24" t="str">
        <x:f>IF(A82="","",IF(NOT(ISNUMBER(L82)),"待定预算",IF(NOT(ISNUMBER(N82)),"暂无有效流水",L82-N82)))</x:f>
      </x:c>
      <x:c r="Q82" s="19" t="str">
        <x:f>IF(A82="","",IF(D82="已结案","已结案",IF(NOT(ISNUMBER(I82)),"待定复盘日",IF(NOT(ISNUMBER($B$3)),"待定评估日",IF(I82&lt;=$B$3,"应复盘","未到期")))))</x:f>
      </x:c>
      <x:c r="R82" s="19" t="str">
        <x:f>IF(A82="","",IF(COUNTIFS($A$7:$A$306,A82)&lt;&gt;1,"问题编号重复",IF(OR(B82="",C82="",D82="",G82="",S82=""),"待补基础信息",IF(AND(F82&lt;&gt;"",COUNTIFS('方案版本'!$A$7:$A$306,F82,'方案版本'!$B$7:$B$306,A82,'方案版本'!$L$7:$L$306,"已冻结")&lt;&gt;1),"当前方案引用无效",IF(AND(D82="执行中",F82=""),"执行缺方案",IF(AND(D82="已结案",OR(T82="",COUNTIFS('复盘记录'!$B$7:$B$306,A82)=0,COUNTIFS('更新日志'!$B$7:$B$306,A82)=0)),"结案资料待补","基础记录齐备"))))))</x:f>
      </x:c>
      <x:c r="S82" s="3"/>
      <x:c r="T82" s="3"/>
    </x:row>
    <x:row r="83" ht="25" customHeight="1">
      <x:c r="A83" s="3"/>
      <x:c r="B83" s="3"/>
      <x:c r="C83" s="3"/>
      <x:c r="D83" s="3"/>
      <x:c r="E83" s="3"/>
      <x:c r="F83" s="3"/>
      <x:c r="G83" s="3"/>
      <x:c r="H83" s="3"/>
      <x:c r="I83" s="20"/>
      <x:c r="J83" s="3"/>
      <x:c r="K83" s="22"/>
      <x:c r="L83" s="22"/>
      <x:c r="M83" s="24" t="str">
        <x:f>IF(A83="","",IF(COUNTIFS('执行日志'!$B$7:$B$306,A83)=0,"",IF(COUNTIFS('执行日志'!$B$7:$B$306,A83,'执行日志'!$L$7:$L$306,"有效",'执行日志'!$P$7:$P$306,"&lt;&gt;有效输入")&gt;0,"待核对",IF(COUNTIFS('执行日志'!$B$7:$B$306,A83,'执行日志'!$P$7:$P$306,"有效输入")=0,"",SUMIFS('执行日志'!$H$7:$H$306,'执行日志'!$B$7:$B$306,A83,'执行日志'!$P$7:$P$306,"有效输入")))))</x:f>
      </x:c>
      <x:c r="N83" s="24" t="str">
        <x:f>IF(A83="","",IF(COUNTIFS('执行日志'!$B$7:$B$306,A83)=0,"",IF(COUNTIFS('执行日志'!$B$7:$B$306,A83,'执行日志'!$L$7:$L$306,"有效",'执行日志'!$P$7:$P$306,"&lt;&gt;有效输入")&gt;0,"待核对",IF(COUNTIFS('执行日志'!$B$7:$B$306,A83,'执行日志'!$P$7:$P$306,"有效输入")=0,"",SUMIFS('执行日志'!$J$7:$J$306,'执行日志'!$B$7:$B$306,A83,'执行日志'!$P$7:$P$306,"有效输入")))))</x:f>
      </x:c>
      <x:c r="O83" s="24" t="str">
        <x:f>IF(A83="","",IF(NOT(ISNUMBER(K83)),"待定预算",IF(NOT(ISNUMBER(M83)),"暂无有效流水",K83-M83)))</x:f>
      </x:c>
      <x:c r="P83" s="24" t="str">
        <x:f>IF(A83="","",IF(NOT(ISNUMBER(L83)),"待定预算",IF(NOT(ISNUMBER(N83)),"暂无有效流水",L83-N83)))</x:f>
      </x:c>
      <x:c r="Q83" s="19" t="str">
        <x:f>IF(A83="","",IF(D83="已结案","已结案",IF(NOT(ISNUMBER(I83)),"待定复盘日",IF(NOT(ISNUMBER($B$3)),"待定评估日",IF(I83&lt;=$B$3,"应复盘","未到期")))))</x:f>
      </x:c>
      <x:c r="R83" s="19" t="str">
        <x:f>IF(A83="","",IF(COUNTIFS($A$7:$A$306,A83)&lt;&gt;1,"问题编号重复",IF(OR(B83="",C83="",D83="",G83="",S83=""),"待补基础信息",IF(AND(F83&lt;&gt;"",COUNTIFS('方案版本'!$A$7:$A$306,F83,'方案版本'!$B$7:$B$306,A83,'方案版本'!$L$7:$L$306,"已冻结")&lt;&gt;1),"当前方案引用无效",IF(AND(D83="执行中",F83=""),"执行缺方案",IF(AND(D83="已结案",OR(T83="",COUNTIFS('复盘记录'!$B$7:$B$306,A83)=0,COUNTIFS('更新日志'!$B$7:$B$306,A83)=0)),"结案资料待补","基础记录齐备"))))))</x:f>
      </x:c>
      <x:c r="S83" s="3"/>
      <x:c r="T83" s="3"/>
    </x:row>
    <x:row r="84" ht="25" customHeight="1">
      <x:c r="A84" s="3"/>
      <x:c r="B84" s="3"/>
      <x:c r="C84" s="3"/>
      <x:c r="D84" s="3"/>
      <x:c r="E84" s="3"/>
      <x:c r="F84" s="3"/>
      <x:c r="G84" s="3"/>
      <x:c r="H84" s="3"/>
      <x:c r="I84" s="20"/>
      <x:c r="J84" s="3"/>
      <x:c r="K84" s="22"/>
      <x:c r="L84" s="22"/>
      <x:c r="M84" s="24" t="str">
        <x:f>IF(A84="","",IF(COUNTIFS('执行日志'!$B$7:$B$306,A84)=0,"",IF(COUNTIFS('执行日志'!$B$7:$B$306,A84,'执行日志'!$L$7:$L$306,"有效",'执行日志'!$P$7:$P$306,"&lt;&gt;有效输入")&gt;0,"待核对",IF(COUNTIFS('执行日志'!$B$7:$B$306,A84,'执行日志'!$P$7:$P$306,"有效输入")=0,"",SUMIFS('执行日志'!$H$7:$H$306,'执行日志'!$B$7:$B$306,A84,'执行日志'!$P$7:$P$306,"有效输入")))))</x:f>
      </x:c>
      <x:c r="N84" s="24" t="str">
        <x:f>IF(A84="","",IF(COUNTIFS('执行日志'!$B$7:$B$306,A84)=0,"",IF(COUNTIFS('执行日志'!$B$7:$B$306,A84,'执行日志'!$L$7:$L$306,"有效",'执行日志'!$P$7:$P$306,"&lt;&gt;有效输入")&gt;0,"待核对",IF(COUNTIFS('执行日志'!$B$7:$B$306,A84,'执行日志'!$P$7:$P$306,"有效输入")=0,"",SUMIFS('执行日志'!$J$7:$J$306,'执行日志'!$B$7:$B$306,A84,'执行日志'!$P$7:$P$306,"有效输入")))))</x:f>
      </x:c>
      <x:c r="O84" s="24" t="str">
        <x:f>IF(A84="","",IF(NOT(ISNUMBER(K84)),"待定预算",IF(NOT(ISNUMBER(M84)),"暂无有效流水",K84-M84)))</x:f>
      </x:c>
      <x:c r="P84" s="24" t="str">
        <x:f>IF(A84="","",IF(NOT(ISNUMBER(L84)),"待定预算",IF(NOT(ISNUMBER(N84)),"暂无有效流水",L84-N84)))</x:f>
      </x:c>
      <x:c r="Q84" s="19" t="str">
        <x:f>IF(A84="","",IF(D84="已结案","已结案",IF(NOT(ISNUMBER(I84)),"待定复盘日",IF(NOT(ISNUMBER($B$3)),"待定评估日",IF(I84&lt;=$B$3,"应复盘","未到期")))))</x:f>
      </x:c>
      <x:c r="R84" s="19" t="str">
        <x:f>IF(A84="","",IF(COUNTIFS($A$7:$A$306,A84)&lt;&gt;1,"问题编号重复",IF(OR(B84="",C84="",D84="",G84="",S84=""),"待补基础信息",IF(AND(F84&lt;&gt;"",COUNTIFS('方案版本'!$A$7:$A$306,F84,'方案版本'!$B$7:$B$306,A84,'方案版本'!$L$7:$L$306,"已冻结")&lt;&gt;1),"当前方案引用无效",IF(AND(D84="执行中",F84=""),"执行缺方案",IF(AND(D84="已结案",OR(T84="",COUNTIFS('复盘记录'!$B$7:$B$306,A84)=0,COUNTIFS('更新日志'!$B$7:$B$306,A84)=0)),"结案资料待补","基础记录齐备"))))))</x:f>
      </x:c>
      <x:c r="S84" s="3"/>
      <x:c r="T84" s="3"/>
    </x:row>
    <x:row r="85" ht="25" customHeight="1">
      <x:c r="A85" s="3"/>
      <x:c r="B85" s="3"/>
      <x:c r="C85" s="3"/>
      <x:c r="D85" s="3"/>
      <x:c r="E85" s="3"/>
      <x:c r="F85" s="3"/>
      <x:c r="G85" s="3"/>
      <x:c r="H85" s="3"/>
      <x:c r="I85" s="20"/>
      <x:c r="J85" s="3"/>
      <x:c r="K85" s="22"/>
      <x:c r="L85" s="22"/>
      <x:c r="M85" s="24" t="str">
        <x:f>IF(A85="","",IF(COUNTIFS('执行日志'!$B$7:$B$306,A85)=0,"",IF(COUNTIFS('执行日志'!$B$7:$B$306,A85,'执行日志'!$L$7:$L$306,"有效",'执行日志'!$P$7:$P$306,"&lt;&gt;有效输入")&gt;0,"待核对",IF(COUNTIFS('执行日志'!$B$7:$B$306,A85,'执行日志'!$P$7:$P$306,"有效输入")=0,"",SUMIFS('执行日志'!$H$7:$H$306,'执行日志'!$B$7:$B$306,A85,'执行日志'!$P$7:$P$306,"有效输入")))))</x:f>
      </x:c>
      <x:c r="N85" s="24" t="str">
        <x:f>IF(A85="","",IF(COUNTIFS('执行日志'!$B$7:$B$306,A85)=0,"",IF(COUNTIFS('执行日志'!$B$7:$B$306,A85,'执行日志'!$L$7:$L$306,"有效",'执行日志'!$P$7:$P$306,"&lt;&gt;有效输入")&gt;0,"待核对",IF(COUNTIFS('执行日志'!$B$7:$B$306,A85,'执行日志'!$P$7:$P$306,"有效输入")=0,"",SUMIFS('执行日志'!$J$7:$J$306,'执行日志'!$B$7:$B$306,A85,'执行日志'!$P$7:$P$306,"有效输入")))))</x:f>
      </x:c>
      <x:c r="O85" s="24" t="str">
        <x:f>IF(A85="","",IF(NOT(ISNUMBER(K85)),"待定预算",IF(NOT(ISNUMBER(M85)),"暂无有效流水",K85-M85)))</x:f>
      </x:c>
      <x:c r="P85" s="24" t="str">
        <x:f>IF(A85="","",IF(NOT(ISNUMBER(L85)),"待定预算",IF(NOT(ISNUMBER(N85)),"暂无有效流水",L85-N85)))</x:f>
      </x:c>
      <x:c r="Q85" s="19" t="str">
        <x:f>IF(A85="","",IF(D85="已结案","已结案",IF(NOT(ISNUMBER(I85)),"待定复盘日",IF(NOT(ISNUMBER($B$3)),"待定评估日",IF(I85&lt;=$B$3,"应复盘","未到期")))))</x:f>
      </x:c>
      <x:c r="R85" s="19" t="str">
        <x:f>IF(A85="","",IF(COUNTIFS($A$7:$A$306,A85)&lt;&gt;1,"问题编号重复",IF(OR(B85="",C85="",D85="",G85="",S85=""),"待补基础信息",IF(AND(F85&lt;&gt;"",COUNTIFS('方案版本'!$A$7:$A$306,F85,'方案版本'!$B$7:$B$306,A85,'方案版本'!$L$7:$L$306,"已冻结")&lt;&gt;1),"当前方案引用无效",IF(AND(D85="执行中",F85=""),"执行缺方案",IF(AND(D85="已结案",OR(T85="",COUNTIFS('复盘记录'!$B$7:$B$306,A85)=0,COUNTIFS('更新日志'!$B$7:$B$306,A85)=0)),"结案资料待补","基础记录齐备"))))))</x:f>
      </x:c>
      <x:c r="S85" s="3"/>
      <x:c r="T85" s="3"/>
    </x:row>
    <x:row r="86" ht="25" customHeight="1">
      <x:c r="A86" s="3"/>
      <x:c r="B86" s="3"/>
      <x:c r="C86" s="3"/>
      <x:c r="D86" s="3"/>
      <x:c r="E86" s="3"/>
      <x:c r="F86" s="3"/>
      <x:c r="G86" s="3"/>
      <x:c r="H86" s="3"/>
      <x:c r="I86" s="20"/>
      <x:c r="J86" s="3"/>
      <x:c r="K86" s="22"/>
      <x:c r="L86" s="22"/>
      <x:c r="M86" s="24" t="str">
        <x:f>IF(A86="","",IF(COUNTIFS('执行日志'!$B$7:$B$306,A86)=0,"",IF(COUNTIFS('执行日志'!$B$7:$B$306,A86,'执行日志'!$L$7:$L$306,"有效",'执行日志'!$P$7:$P$306,"&lt;&gt;有效输入")&gt;0,"待核对",IF(COUNTIFS('执行日志'!$B$7:$B$306,A86,'执行日志'!$P$7:$P$306,"有效输入")=0,"",SUMIFS('执行日志'!$H$7:$H$306,'执行日志'!$B$7:$B$306,A86,'执行日志'!$P$7:$P$306,"有效输入")))))</x:f>
      </x:c>
      <x:c r="N86" s="24" t="str">
        <x:f>IF(A86="","",IF(COUNTIFS('执行日志'!$B$7:$B$306,A86)=0,"",IF(COUNTIFS('执行日志'!$B$7:$B$306,A86,'执行日志'!$L$7:$L$306,"有效",'执行日志'!$P$7:$P$306,"&lt;&gt;有效输入")&gt;0,"待核对",IF(COUNTIFS('执行日志'!$B$7:$B$306,A86,'执行日志'!$P$7:$P$306,"有效输入")=0,"",SUMIFS('执行日志'!$J$7:$J$306,'执行日志'!$B$7:$B$306,A86,'执行日志'!$P$7:$P$306,"有效输入")))))</x:f>
      </x:c>
      <x:c r="O86" s="24" t="str">
        <x:f>IF(A86="","",IF(NOT(ISNUMBER(K86)),"待定预算",IF(NOT(ISNUMBER(M86)),"暂无有效流水",K86-M86)))</x:f>
      </x:c>
      <x:c r="P86" s="24" t="str">
        <x:f>IF(A86="","",IF(NOT(ISNUMBER(L86)),"待定预算",IF(NOT(ISNUMBER(N86)),"暂无有效流水",L86-N86)))</x:f>
      </x:c>
      <x:c r="Q86" s="19" t="str">
        <x:f>IF(A86="","",IF(D86="已结案","已结案",IF(NOT(ISNUMBER(I86)),"待定复盘日",IF(NOT(ISNUMBER($B$3)),"待定评估日",IF(I86&lt;=$B$3,"应复盘","未到期")))))</x:f>
      </x:c>
      <x:c r="R86" s="19" t="str">
        <x:f>IF(A86="","",IF(COUNTIFS($A$7:$A$306,A86)&lt;&gt;1,"问题编号重复",IF(OR(B86="",C86="",D86="",G86="",S86=""),"待补基础信息",IF(AND(F86&lt;&gt;"",COUNTIFS('方案版本'!$A$7:$A$306,F86,'方案版本'!$B$7:$B$306,A86,'方案版本'!$L$7:$L$306,"已冻结")&lt;&gt;1),"当前方案引用无效",IF(AND(D86="执行中",F86=""),"执行缺方案",IF(AND(D86="已结案",OR(T86="",COUNTIFS('复盘记录'!$B$7:$B$306,A86)=0,COUNTIFS('更新日志'!$B$7:$B$306,A86)=0)),"结案资料待补","基础记录齐备"))))))</x:f>
      </x:c>
      <x:c r="S86" s="3"/>
      <x:c r="T86" s="3"/>
    </x:row>
    <x:row r="87" ht="25" customHeight="1">
      <x:c r="A87" s="3"/>
      <x:c r="B87" s="3"/>
      <x:c r="C87" s="3"/>
      <x:c r="D87" s="3"/>
      <x:c r="E87" s="3"/>
      <x:c r="F87" s="3"/>
      <x:c r="G87" s="3"/>
      <x:c r="H87" s="3"/>
      <x:c r="I87" s="20"/>
      <x:c r="J87" s="3"/>
      <x:c r="K87" s="22"/>
      <x:c r="L87" s="22"/>
      <x:c r="M87" s="24" t="str">
        <x:f>IF(A87="","",IF(COUNTIFS('执行日志'!$B$7:$B$306,A87)=0,"",IF(COUNTIFS('执行日志'!$B$7:$B$306,A87,'执行日志'!$L$7:$L$306,"有效",'执行日志'!$P$7:$P$306,"&lt;&gt;有效输入")&gt;0,"待核对",IF(COUNTIFS('执行日志'!$B$7:$B$306,A87,'执行日志'!$P$7:$P$306,"有效输入")=0,"",SUMIFS('执行日志'!$H$7:$H$306,'执行日志'!$B$7:$B$306,A87,'执行日志'!$P$7:$P$306,"有效输入")))))</x:f>
      </x:c>
      <x:c r="N87" s="24" t="str">
        <x:f>IF(A87="","",IF(COUNTIFS('执行日志'!$B$7:$B$306,A87)=0,"",IF(COUNTIFS('执行日志'!$B$7:$B$306,A87,'执行日志'!$L$7:$L$306,"有效",'执行日志'!$P$7:$P$306,"&lt;&gt;有效输入")&gt;0,"待核对",IF(COUNTIFS('执行日志'!$B$7:$B$306,A87,'执行日志'!$P$7:$P$306,"有效输入")=0,"",SUMIFS('执行日志'!$J$7:$J$306,'执行日志'!$B$7:$B$306,A87,'执行日志'!$P$7:$P$306,"有效输入")))))</x:f>
      </x:c>
      <x:c r="O87" s="24" t="str">
        <x:f>IF(A87="","",IF(NOT(ISNUMBER(K87)),"待定预算",IF(NOT(ISNUMBER(M87)),"暂无有效流水",K87-M87)))</x:f>
      </x:c>
      <x:c r="P87" s="24" t="str">
        <x:f>IF(A87="","",IF(NOT(ISNUMBER(L87)),"待定预算",IF(NOT(ISNUMBER(N87)),"暂无有效流水",L87-N87)))</x:f>
      </x:c>
      <x:c r="Q87" s="19" t="str">
        <x:f>IF(A87="","",IF(D87="已结案","已结案",IF(NOT(ISNUMBER(I87)),"待定复盘日",IF(NOT(ISNUMBER($B$3)),"待定评估日",IF(I87&lt;=$B$3,"应复盘","未到期")))))</x:f>
      </x:c>
      <x:c r="R87" s="19" t="str">
        <x:f>IF(A87="","",IF(COUNTIFS($A$7:$A$306,A87)&lt;&gt;1,"问题编号重复",IF(OR(B87="",C87="",D87="",G87="",S87=""),"待补基础信息",IF(AND(F87&lt;&gt;"",COUNTIFS('方案版本'!$A$7:$A$306,F87,'方案版本'!$B$7:$B$306,A87,'方案版本'!$L$7:$L$306,"已冻结")&lt;&gt;1),"当前方案引用无效",IF(AND(D87="执行中",F87=""),"执行缺方案",IF(AND(D87="已结案",OR(T87="",COUNTIFS('复盘记录'!$B$7:$B$306,A87)=0,COUNTIFS('更新日志'!$B$7:$B$306,A87)=0)),"结案资料待补","基础记录齐备"))))))</x:f>
      </x:c>
      <x:c r="S87" s="3"/>
      <x:c r="T87" s="3"/>
    </x:row>
    <x:row r="88" ht="25" customHeight="1">
      <x:c r="A88" s="3"/>
      <x:c r="B88" s="3"/>
      <x:c r="C88" s="3"/>
      <x:c r="D88" s="3"/>
      <x:c r="E88" s="3"/>
      <x:c r="F88" s="3"/>
      <x:c r="G88" s="3"/>
      <x:c r="H88" s="3"/>
      <x:c r="I88" s="20"/>
      <x:c r="J88" s="3"/>
      <x:c r="K88" s="22"/>
      <x:c r="L88" s="22"/>
      <x:c r="M88" s="24" t="str">
        <x:f>IF(A88="","",IF(COUNTIFS('执行日志'!$B$7:$B$306,A88)=0,"",IF(COUNTIFS('执行日志'!$B$7:$B$306,A88,'执行日志'!$L$7:$L$306,"有效",'执行日志'!$P$7:$P$306,"&lt;&gt;有效输入")&gt;0,"待核对",IF(COUNTIFS('执行日志'!$B$7:$B$306,A88,'执行日志'!$P$7:$P$306,"有效输入")=0,"",SUMIFS('执行日志'!$H$7:$H$306,'执行日志'!$B$7:$B$306,A88,'执行日志'!$P$7:$P$306,"有效输入")))))</x:f>
      </x:c>
      <x:c r="N88" s="24" t="str">
        <x:f>IF(A88="","",IF(COUNTIFS('执行日志'!$B$7:$B$306,A88)=0,"",IF(COUNTIFS('执行日志'!$B$7:$B$306,A88,'执行日志'!$L$7:$L$306,"有效",'执行日志'!$P$7:$P$306,"&lt;&gt;有效输入")&gt;0,"待核对",IF(COUNTIFS('执行日志'!$B$7:$B$306,A88,'执行日志'!$P$7:$P$306,"有效输入")=0,"",SUMIFS('执行日志'!$J$7:$J$306,'执行日志'!$B$7:$B$306,A88,'执行日志'!$P$7:$P$306,"有效输入")))))</x:f>
      </x:c>
      <x:c r="O88" s="24" t="str">
        <x:f>IF(A88="","",IF(NOT(ISNUMBER(K88)),"待定预算",IF(NOT(ISNUMBER(M88)),"暂无有效流水",K88-M88)))</x:f>
      </x:c>
      <x:c r="P88" s="24" t="str">
        <x:f>IF(A88="","",IF(NOT(ISNUMBER(L88)),"待定预算",IF(NOT(ISNUMBER(N88)),"暂无有效流水",L88-N88)))</x:f>
      </x:c>
      <x:c r="Q88" s="19" t="str">
        <x:f>IF(A88="","",IF(D88="已结案","已结案",IF(NOT(ISNUMBER(I88)),"待定复盘日",IF(NOT(ISNUMBER($B$3)),"待定评估日",IF(I88&lt;=$B$3,"应复盘","未到期")))))</x:f>
      </x:c>
      <x:c r="R88" s="19" t="str">
        <x:f>IF(A88="","",IF(COUNTIFS($A$7:$A$306,A88)&lt;&gt;1,"问题编号重复",IF(OR(B88="",C88="",D88="",G88="",S88=""),"待补基础信息",IF(AND(F88&lt;&gt;"",COUNTIFS('方案版本'!$A$7:$A$306,F88,'方案版本'!$B$7:$B$306,A88,'方案版本'!$L$7:$L$306,"已冻结")&lt;&gt;1),"当前方案引用无效",IF(AND(D88="执行中",F88=""),"执行缺方案",IF(AND(D88="已结案",OR(T88="",COUNTIFS('复盘记录'!$B$7:$B$306,A88)=0,COUNTIFS('更新日志'!$B$7:$B$306,A88)=0)),"结案资料待补","基础记录齐备"))))))</x:f>
      </x:c>
      <x:c r="S88" s="3"/>
      <x:c r="T88" s="3"/>
    </x:row>
    <x:row r="89" ht="25" customHeight="1">
      <x:c r="A89" s="3"/>
      <x:c r="B89" s="3"/>
      <x:c r="C89" s="3"/>
      <x:c r="D89" s="3"/>
      <x:c r="E89" s="3"/>
      <x:c r="F89" s="3"/>
      <x:c r="G89" s="3"/>
      <x:c r="H89" s="3"/>
      <x:c r="I89" s="20"/>
      <x:c r="J89" s="3"/>
      <x:c r="K89" s="22"/>
      <x:c r="L89" s="22"/>
      <x:c r="M89" s="24" t="str">
        <x:f>IF(A89="","",IF(COUNTIFS('执行日志'!$B$7:$B$306,A89)=0,"",IF(COUNTIFS('执行日志'!$B$7:$B$306,A89,'执行日志'!$L$7:$L$306,"有效",'执行日志'!$P$7:$P$306,"&lt;&gt;有效输入")&gt;0,"待核对",IF(COUNTIFS('执行日志'!$B$7:$B$306,A89,'执行日志'!$P$7:$P$306,"有效输入")=0,"",SUMIFS('执行日志'!$H$7:$H$306,'执行日志'!$B$7:$B$306,A89,'执行日志'!$P$7:$P$306,"有效输入")))))</x:f>
      </x:c>
      <x:c r="N89" s="24" t="str">
        <x:f>IF(A89="","",IF(COUNTIFS('执行日志'!$B$7:$B$306,A89)=0,"",IF(COUNTIFS('执行日志'!$B$7:$B$306,A89,'执行日志'!$L$7:$L$306,"有效",'执行日志'!$P$7:$P$306,"&lt;&gt;有效输入")&gt;0,"待核对",IF(COUNTIFS('执行日志'!$B$7:$B$306,A89,'执行日志'!$P$7:$P$306,"有效输入")=0,"",SUMIFS('执行日志'!$J$7:$J$306,'执行日志'!$B$7:$B$306,A89,'执行日志'!$P$7:$P$306,"有效输入")))))</x:f>
      </x:c>
      <x:c r="O89" s="24" t="str">
        <x:f>IF(A89="","",IF(NOT(ISNUMBER(K89)),"待定预算",IF(NOT(ISNUMBER(M89)),"暂无有效流水",K89-M89)))</x:f>
      </x:c>
      <x:c r="P89" s="24" t="str">
        <x:f>IF(A89="","",IF(NOT(ISNUMBER(L89)),"待定预算",IF(NOT(ISNUMBER(N89)),"暂无有效流水",L89-N89)))</x:f>
      </x:c>
      <x:c r="Q89" s="19" t="str">
        <x:f>IF(A89="","",IF(D89="已结案","已结案",IF(NOT(ISNUMBER(I89)),"待定复盘日",IF(NOT(ISNUMBER($B$3)),"待定评估日",IF(I89&lt;=$B$3,"应复盘","未到期")))))</x:f>
      </x:c>
      <x:c r="R89" s="19" t="str">
        <x:f>IF(A89="","",IF(COUNTIFS($A$7:$A$306,A89)&lt;&gt;1,"问题编号重复",IF(OR(B89="",C89="",D89="",G89="",S89=""),"待补基础信息",IF(AND(F89&lt;&gt;"",COUNTIFS('方案版本'!$A$7:$A$306,F89,'方案版本'!$B$7:$B$306,A89,'方案版本'!$L$7:$L$306,"已冻结")&lt;&gt;1),"当前方案引用无效",IF(AND(D89="执行中",F89=""),"执行缺方案",IF(AND(D89="已结案",OR(T89="",COUNTIFS('复盘记录'!$B$7:$B$306,A89)=0,COUNTIFS('更新日志'!$B$7:$B$306,A89)=0)),"结案资料待补","基础记录齐备"))))))</x:f>
      </x:c>
      <x:c r="S89" s="3"/>
      <x:c r="T89" s="3"/>
    </x:row>
    <x:row r="90" ht="25" customHeight="1">
      <x:c r="A90" s="3"/>
      <x:c r="B90" s="3"/>
      <x:c r="C90" s="3"/>
      <x:c r="D90" s="3"/>
      <x:c r="E90" s="3"/>
      <x:c r="F90" s="3"/>
      <x:c r="G90" s="3"/>
      <x:c r="H90" s="3"/>
      <x:c r="I90" s="20"/>
      <x:c r="J90" s="3"/>
      <x:c r="K90" s="22"/>
      <x:c r="L90" s="22"/>
      <x:c r="M90" s="24" t="str">
        <x:f>IF(A90="","",IF(COUNTIFS('执行日志'!$B$7:$B$306,A90)=0,"",IF(COUNTIFS('执行日志'!$B$7:$B$306,A90,'执行日志'!$L$7:$L$306,"有效",'执行日志'!$P$7:$P$306,"&lt;&gt;有效输入")&gt;0,"待核对",IF(COUNTIFS('执行日志'!$B$7:$B$306,A90,'执行日志'!$P$7:$P$306,"有效输入")=0,"",SUMIFS('执行日志'!$H$7:$H$306,'执行日志'!$B$7:$B$306,A90,'执行日志'!$P$7:$P$306,"有效输入")))))</x:f>
      </x:c>
      <x:c r="N90" s="24" t="str">
        <x:f>IF(A90="","",IF(COUNTIFS('执行日志'!$B$7:$B$306,A90)=0,"",IF(COUNTIFS('执行日志'!$B$7:$B$306,A90,'执行日志'!$L$7:$L$306,"有效",'执行日志'!$P$7:$P$306,"&lt;&gt;有效输入")&gt;0,"待核对",IF(COUNTIFS('执行日志'!$B$7:$B$306,A90,'执行日志'!$P$7:$P$306,"有效输入")=0,"",SUMIFS('执行日志'!$J$7:$J$306,'执行日志'!$B$7:$B$306,A90,'执行日志'!$P$7:$P$306,"有效输入")))))</x:f>
      </x:c>
      <x:c r="O90" s="24" t="str">
        <x:f>IF(A90="","",IF(NOT(ISNUMBER(K90)),"待定预算",IF(NOT(ISNUMBER(M90)),"暂无有效流水",K90-M90)))</x:f>
      </x:c>
      <x:c r="P90" s="24" t="str">
        <x:f>IF(A90="","",IF(NOT(ISNUMBER(L90)),"待定预算",IF(NOT(ISNUMBER(N90)),"暂无有效流水",L90-N90)))</x:f>
      </x:c>
      <x:c r="Q90" s="19" t="str">
        <x:f>IF(A90="","",IF(D90="已结案","已结案",IF(NOT(ISNUMBER(I90)),"待定复盘日",IF(NOT(ISNUMBER($B$3)),"待定评估日",IF(I90&lt;=$B$3,"应复盘","未到期")))))</x:f>
      </x:c>
      <x:c r="R90" s="19" t="str">
        <x:f>IF(A90="","",IF(COUNTIFS($A$7:$A$306,A90)&lt;&gt;1,"问题编号重复",IF(OR(B90="",C90="",D90="",G90="",S90=""),"待补基础信息",IF(AND(F90&lt;&gt;"",COUNTIFS('方案版本'!$A$7:$A$306,F90,'方案版本'!$B$7:$B$306,A90,'方案版本'!$L$7:$L$306,"已冻结")&lt;&gt;1),"当前方案引用无效",IF(AND(D90="执行中",F90=""),"执行缺方案",IF(AND(D90="已结案",OR(T90="",COUNTIFS('复盘记录'!$B$7:$B$306,A90)=0,COUNTIFS('更新日志'!$B$7:$B$306,A90)=0)),"结案资料待补","基础记录齐备"))))))</x:f>
      </x:c>
      <x:c r="S90" s="3"/>
      <x:c r="T90" s="3"/>
    </x:row>
    <x:row r="91" ht="25" customHeight="1">
      <x:c r="A91" s="3"/>
      <x:c r="B91" s="3"/>
      <x:c r="C91" s="3"/>
      <x:c r="D91" s="3"/>
      <x:c r="E91" s="3"/>
      <x:c r="F91" s="3"/>
      <x:c r="G91" s="3"/>
      <x:c r="H91" s="3"/>
      <x:c r="I91" s="20"/>
      <x:c r="J91" s="3"/>
      <x:c r="K91" s="22"/>
      <x:c r="L91" s="22"/>
      <x:c r="M91" s="24" t="str">
        <x:f>IF(A91="","",IF(COUNTIFS('执行日志'!$B$7:$B$306,A91)=0,"",IF(COUNTIFS('执行日志'!$B$7:$B$306,A91,'执行日志'!$L$7:$L$306,"有效",'执行日志'!$P$7:$P$306,"&lt;&gt;有效输入")&gt;0,"待核对",IF(COUNTIFS('执行日志'!$B$7:$B$306,A91,'执行日志'!$P$7:$P$306,"有效输入")=0,"",SUMIFS('执行日志'!$H$7:$H$306,'执行日志'!$B$7:$B$306,A91,'执行日志'!$P$7:$P$306,"有效输入")))))</x:f>
      </x:c>
      <x:c r="N91" s="24" t="str">
        <x:f>IF(A91="","",IF(COUNTIFS('执行日志'!$B$7:$B$306,A91)=0,"",IF(COUNTIFS('执行日志'!$B$7:$B$306,A91,'执行日志'!$L$7:$L$306,"有效",'执行日志'!$P$7:$P$306,"&lt;&gt;有效输入")&gt;0,"待核对",IF(COUNTIFS('执行日志'!$B$7:$B$306,A91,'执行日志'!$P$7:$P$306,"有效输入")=0,"",SUMIFS('执行日志'!$J$7:$J$306,'执行日志'!$B$7:$B$306,A91,'执行日志'!$P$7:$P$306,"有效输入")))))</x:f>
      </x:c>
      <x:c r="O91" s="24" t="str">
        <x:f>IF(A91="","",IF(NOT(ISNUMBER(K91)),"待定预算",IF(NOT(ISNUMBER(M91)),"暂无有效流水",K91-M91)))</x:f>
      </x:c>
      <x:c r="P91" s="24" t="str">
        <x:f>IF(A91="","",IF(NOT(ISNUMBER(L91)),"待定预算",IF(NOT(ISNUMBER(N91)),"暂无有效流水",L91-N91)))</x:f>
      </x:c>
      <x:c r="Q91" s="19" t="str">
        <x:f>IF(A91="","",IF(D91="已结案","已结案",IF(NOT(ISNUMBER(I91)),"待定复盘日",IF(NOT(ISNUMBER($B$3)),"待定评估日",IF(I91&lt;=$B$3,"应复盘","未到期")))))</x:f>
      </x:c>
      <x:c r="R91" s="19" t="str">
        <x:f>IF(A91="","",IF(COUNTIFS($A$7:$A$306,A91)&lt;&gt;1,"问题编号重复",IF(OR(B91="",C91="",D91="",G91="",S91=""),"待补基础信息",IF(AND(F91&lt;&gt;"",COUNTIFS('方案版本'!$A$7:$A$306,F91,'方案版本'!$B$7:$B$306,A91,'方案版本'!$L$7:$L$306,"已冻结")&lt;&gt;1),"当前方案引用无效",IF(AND(D91="执行中",F91=""),"执行缺方案",IF(AND(D91="已结案",OR(T91="",COUNTIFS('复盘记录'!$B$7:$B$306,A91)=0,COUNTIFS('更新日志'!$B$7:$B$306,A91)=0)),"结案资料待补","基础记录齐备"))))))</x:f>
      </x:c>
      <x:c r="S91" s="3"/>
      <x:c r="T91" s="3"/>
    </x:row>
    <x:row r="92" ht="25" customHeight="1">
      <x:c r="A92" s="3"/>
      <x:c r="B92" s="3"/>
      <x:c r="C92" s="3"/>
      <x:c r="D92" s="3"/>
      <x:c r="E92" s="3"/>
      <x:c r="F92" s="3"/>
      <x:c r="G92" s="3"/>
      <x:c r="H92" s="3"/>
      <x:c r="I92" s="20"/>
      <x:c r="J92" s="3"/>
      <x:c r="K92" s="22"/>
      <x:c r="L92" s="22"/>
      <x:c r="M92" s="24" t="str">
        <x:f>IF(A92="","",IF(COUNTIFS('执行日志'!$B$7:$B$306,A92)=0,"",IF(COUNTIFS('执行日志'!$B$7:$B$306,A92,'执行日志'!$L$7:$L$306,"有效",'执行日志'!$P$7:$P$306,"&lt;&gt;有效输入")&gt;0,"待核对",IF(COUNTIFS('执行日志'!$B$7:$B$306,A92,'执行日志'!$P$7:$P$306,"有效输入")=0,"",SUMIFS('执行日志'!$H$7:$H$306,'执行日志'!$B$7:$B$306,A92,'执行日志'!$P$7:$P$306,"有效输入")))))</x:f>
      </x:c>
      <x:c r="N92" s="24" t="str">
        <x:f>IF(A92="","",IF(COUNTIFS('执行日志'!$B$7:$B$306,A92)=0,"",IF(COUNTIFS('执行日志'!$B$7:$B$306,A92,'执行日志'!$L$7:$L$306,"有效",'执行日志'!$P$7:$P$306,"&lt;&gt;有效输入")&gt;0,"待核对",IF(COUNTIFS('执行日志'!$B$7:$B$306,A92,'执行日志'!$P$7:$P$306,"有效输入")=0,"",SUMIFS('执行日志'!$J$7:$J$306,'执行日志'!$B$7:$B$306,A92,'执行日志'!$P$7:$P$306,"有效输入")))))</x:f>
      </x:c>
      <x:c r="O92" s="24" t="str">
        <x:f>IF(A92="","",IF(NOT(ISNUMBER(K92)),"待定预算",IF(NOT(ISNUMBER(M92)),"暂无有效流水",K92-M92)))</x:f>
      </x:c>
      <x:c r="P92" s="24" t="str">
        <x:f>IF(A92="","",IF(NOT(ISNUMBER(L92)),"待定预算",IF(NOT(ISNUMBER(N92)),"暂无有效流水",L92-N92)))</x:f>
      </x:c>
      <x:c r="Q92" s="19" t="str">
        <x:f>IF(A92="","",IF(D92="已结案","已结案",IF(NOT(ISNUMBER(I92)),"待定复盘日",IF(NOT(ISNUMBER($B$3)),"待定评估日",IF(I92&lt;=$B$3,"应复盘","未到期")))))</x:f>
      </x:c>
      <x:c r="R92" s="19" t="str">
        <x:f>IF(A92="","",IF(COUNTIFS($A$7:$A$306,A92)&lt;&gt;1,"问题编号重复",IF(OR(B92="",C92="",D92="",G92="",S92=""),"待补基础信息",IF(AND(F92&lt;&gt;"",COUNTIFS('方案版本'!$A$7:$A$306,F92,'方案版本'!$B$7:$B$306,A92,'方案版本'!$L$7:$L$306,"已冻结")&lt;&gt;1),"当前方案引用无效",IF(AND(D92="执行中",F92=""),"执行缺方案",IF(AND(D92="已结案",OR(T92="",COUNTIFS('复盘记录'!$B$7:$B$306,A92)=0,COUNTIFS('更新日志'!$B$7:$B$306,A92)=0)),"结案资料待补","基础记录齐备"))))))</x:f>
      </x:c>
      <x:c r="S92" s="3"/>
      <x:c r="T92" s="3"/>
    </x:row>
    <x:row r="93" ht="25" customHeight="1">
      <x:c r="A93" s="3"/>
      <x:c r="B93" s="3"/>
      <x:c r="C93" s="3"/>
      <x:c r="D93" s="3"/>
      <x:c r="E93" s="3"/>
      <x:c r="F93" s="3"/>
      <x:c r="G93" s="3"/>
      <x:c r="H93" s="3"/>
      <x:c r="I93" s="20"/>
      <x:c r="J93" s="3"/>
      <x:c r="K93" s="22"/>
      <x:c r="L93" s="22"/>
      <x:c r="M93" s="24" t="str">
        <x:f>IF(A93="","",IF(COUNTIFS('执行日志'!$B$7:$B$306,A93)=0,"",IF(COUNTIFS('执行日志'!$B$7:$B$306,A93,'执行日志'!$L$7:$L$306,"有效",'执行日志'!$P$7:$P$306,"&lt;&gt;有效输入")&gt;0,"待核对",IF(COUNTIFS('执行日志'!$B$7:$B$306,A93,'执行日志'!$P$7:$P$306,"有效输入")=0,"",SUMIFS('执行日志'!$H$7:$H$306,'执行日志'!$B$7:$B$306,A93,'执行日志'!$P$7:$P$306,"有效输入")))))</x:f>
      </x:c>
      <x:c r="N93" s="24" t="str">
        <x:f>IF(A93="","",IF(COUNTIFS('执行日志'!$B$7:$B$306,A93)=0,"",IF(COUNTIFS('执行日志'!$B$7:$B$306,A93,'执行日志'!$L$7:$L$306,"有效",'执行日志'!$P$7:$P$306,"&lt;&gt;有效输入")&gt;0,"待核对",IF(COUNTIFS('执行日志'!$B$7:$B$306,A93,'执行日志'!$P$7:$P$306,"有效输入")=0,"",SUMIFS('执行日志'!$J$7:$J$306,'执行日志'!$B$7:$B$306,A93,'执行日志'!$P$7:$P$306,"有效输入")))))</x:f>
      </x:c>
      <x:c r="O93" s="24" t="str">
        <x:f>IF(A93="","",IF(NOT(ISNUMBER(K93)),"待定预算",IF(NOT(ISNUMBER(M93)),"暂无有效流水",K93-M93)))</x:f>
      </x:c>
      <x:c r="P93" s="24" t="str">
        <x:f>IF(A93="","",IF(NOT(ISNUMBER(L93)),"待定预算",IF(NOT(ISNUMBER(N93)),"暂无有效流水",L93-N93)))</x:f>
      </x:c>
      <x:c r="Q93" s="19" t="str">
        <x:f>IF(A93="","",IF(D93="已结案","已结案",IF(NOT(ISNUMBER(I93)),"待定复盘日",IF(NOT(ISNUMBER($B$3)),"待定评估日",IF(I93&lt;=$B$3,"应复盘","未到期")))))</x:f>
      </x:c>
      <x:c r="R93" s="19" t="str">
        <x:f>IF(A93="","",IF(COUNTIFS($A$7:$A$306,A93)&lt;&gt;1,"问题编号重复",IF(OR(B93="",C93="",D93="",G93="",S93=""),"待补基础信息",IF(AND(F93&lt;&gt;"",COUNTIFS('方案版本'!$A$7:$A$306,F93,'方案版本'!$B$7:$B$306,A93,'方案版本'!$L$7:$L$306,"已冻结")&lt;&gt;1),"当前方案引用无效",IF(AND(D93="执行中",F93=""),"执行缺方案",IF(AND(D93="已结案",OR(T93="",COUNTIFS('复盘记录'!$B$7:$B$306,A93)=0,COUNTIFS('更新日志'!$B$7:$B$306,A93)=0)),"结案资料待补","基础记录齐备"))))))</x:f>
      </x:c>
      <x:c r="S93" s="3"/>
      <x:c r="T93" s="3"/>
    </x:row>
    <x:row r="94" ht="25" customHeight="1">
      <x:c r="A94" s="3"/>
      <x:c r="B94" s="3"/>
      <x:c r="C94" s="3"/>
      <x:c r="D94" s="3"/>
      <x:c r="E94" s="3"/>
      <x:c r="F94" s="3"/>
      <x:c r="G94" s="3"/>
      <x:c r="H94" s="3"/>
      <x:c r="I94" s="20"/>
      <x:c r="J94" s="3"/>
      <x:c r="K94" s="22"/>
      <x:c r="L94" s="22"/>
      <x:c r="M94" s="24" t="str">
        <x:f>IF(A94="","",IF(COUNTIFS('执行日志'!$B$7:$B$306,A94)=0,"",IF(COUNTIFS('执行日志'!$B$7:$B$306,A94,'执行日志'!$L$7:$L$306,"有效",'执行日志'!$P$7:$P$306,"&lt;&gt;有效输入")&gt;0,"待核对",IF(COUNTIFS('执行日志'!$B$7:$B$306,A94,'执行日志'!$P$7:$P$306,"有效输入")=0,"",SUMIFS('执行日志'!$H$7:$H$306,'执行日志'!$B$7:$B$306,A94,'执行日志'!$P$7:$P$306,"有效输入")))))</x:f>
      </x:c>
      <x:c r="N94" s="24" t="str">
        <x:f>IF(A94="","",IF(COUNTIFS('执行日志'!$B$7:$B$306,A94)=0,"",IF(COUNTIFS('执行日志'!$B$7:$B$306,A94,'执行日志'!$L$7:$L$306,"有效",'执行日志'!$P$7:$P$306,"&lt;&gt;有效输入")&gt;0,"待核对",IF(COUNTIFS('执行日志'!$B$7:$B$306,A94,'执行日志'!$P$7:$P$306,"有效输入")=0,"",SUMIFS('执行日志'!$J$7:$J$306,'执行日志'!$B$7:$B$306,A94,'执行日志'!$P$7:$P$306,"有效输入")))))</x:f>
      </x:c>
      <x:c r="O94" s="24" t="str">
        <x:f>IF(A94="","",IF(NOT(ISNUMBER(K94)),"待定预算",IF(NOT(ISNUMBER(M94)),"暂无有效流水",K94-M94)))</x:f>
      </x:c>
      <x:c r="P94" s="24" t="str">
        <x:f>IF(A94="","",IF(NOT(ISNUMBER(L94)),"待定预算",IF(NOT(ISNUMBER(N94)),"暂无有效流水",L94-N94)))</x:f>
      </x:c>
      <x:c r="Q94" s="19" t="str">
        <x:f>IF(A94="","",IF(D94="已结案","已结案",IF(NOT(ISNUMBER(I94)),"待定复盘日",IF(NOT(ISNUMBER($B$3)),"待定评估日",IF(I94&lt;=$B$3,"应复盘","未到期")))))</x:f>
      </x:c>
      <x:c r="R94" s="19" t="str">
        <x:f>IF(A94="","",IF(COUNTIFS($A$7:$A$306,A94)&lt;&gt;1,"问题编号重复",IF(OR(B94="",C94="",D94="",G94="",S94=""),"待补基础信息",IF(AND(F94&lt;&gt;"",COUNTIFS('方案版本'!$A$7:$A$306,F94,'方案版本'!$B$7:$B$306,A94,'方案版本'!$L$7:$L$306,"已冻结")&lt;&gt;1),"当前方案引用无效",IF(AND(D94="执行中",F94=""),"执行缺方案",IF(AND(D94="已结案",OR(T94="",COUNTIFS('复盘记录'!$B$7:$B$306,A94)=0,COUNTIFS('更新日志'!$B$7:$B$306,A94)=0)),"结案资料待补","基础记录齐备"))))))</x:f>
      </x:c>
      <x:c r="S94" s="3"/>
      <x:c r="T94" s="3"/>
    </x:row>
    <x:row r="95" ht="25" customHeight="1">
      <x:c r="A95" s="3"/>
      <x:c r="B95" s="3"/>
      <x:c r="C95" s="3"/>
      <x:c r="D95" s="3"/>
      <x:c r="E95" s="3"/>
      <x:c r="F95" s="3"/>
      <x:c r="G95" s="3"/>
      <x:c r="H95" s="3"/>
      <x:c r="I95" s="20"/>
      <x:c r="J95" s="3"/>
      <x:c r="K95" s="22"/>
      <x:c r="L95" s="22"/>
      <x:c r="M95" s="24" t="str">
        <x:f>IF(A95="","",IF(COUNTIFS('执行日志'!$B$7:$B$306,A95)=0,"",IF(COUNTIFS('执行日志'!$B$7:$B$306,A95,'执行日志'!$L$7:$L$306,"有效",'执行日志'!$P$7:$P$306,"&lt;&gt;有效输入")&gt;0,"待核对",IF(COUNTIFS('执行日志'!$B$7:$B$306,A95,'执行日志'!$P$7:$P$306,"有效输入")=0,"",SUMIFS('执行日志'!$H$7:$H$306,'执行日志'!$B$7:$B$306,A95,'执行日志'!$P$7:$P$306,"有效输入")))))</x:f>
      </x:c>
      <x:c r="N95" s="24" t="str">
        <x:f>IF(A95="","",IF(COUNTIFS('执行日志'!$B$7:$B$306,A95)=0,"",IF(COUNTIFS('执行日志'!$B$7:$B$306,A95,'执行日志'!$L$7:$L$306,"有效",'执行日志'!$P$7:$P$306,"&lt;&gt;有效输入")&gt;0,"待核对",IF(COUNTIFS('执行日志'!$B$7:$B$306,A95,'执行日志'!$P$7:$P$306,"有效输入")=0,"",SUMIFS('执行日志'!$J$7:$J$306,'执行日志'!$B$7:$B$306,A95,'执行日志'!$P$7:$P$306,"有效输入")))))</x:f>
      </x:c>
      <x:c r="O95" s="24" t="str">
        <x:f>IF(A95="","",IF(NOT(ISNUMBER(K95)),"待定预算",IF(NOT(ISNUMBER(M95)),"暂无有效流水",K95-M95)))</x:f>
      </x:c>
      <x:c r="P95" s="24" t="str">
        <x:f>IF(A95="","",IF(NOT(ISNUMBER(L95)),"待定预算",IF(NOT(ISNUMBER(N95)),"暂无有效流水",L95-N95)))</x:f>
      </x:c>
      <x:c r="Q95" s="19" t="str">
        <x:f>IF(A95="","",IF(D95="已结案","已结案",IF(NOT(ISNUMBER(I95)),"待定复盘日",IF(NOT(ISNUMBER($B$3)),"待定评估日",IF(I95&lt;=$B$3,"应复盘","未到期")))))</x:f>
      </x:c>
      <x:c r="R95" s="19" t="str">
        <x:f>IF(A95="","",IF(COUNTIFS($A$7:$A$306,A95)&lt;&gt;1,"问题编号重复",IF(OR(B95="",C95="",D95="",G95="",S95=""),"待补基础信息",IF(AND(F95&lt;&gt;"",COUNTIFS('方案版本'!$A$7:$A$306,F95,'方案版本'!$B$7:$B$306,A95,'方案版本'!$L$7:$L$306,"已冻结")&lt;&gt;1),"当前方案引用无效",IF(AND(D95="执行中",F95=""),"执行缺方案",IF(AND(D95="已结案",OR(T95="",COUNTIFS('复盘记录'!$B$7:$B$306,A95)=0,COUNTIFS('更新日志'!$B$7:$B$306,A95)=0)),"结案资料待补","基础记录齐备"))))))</x:f>
      </x:c>
      <x:c r="S95" s="3"/>
      <x:c r="T95" s="3"/>
    </x:row>
    <x:row r="96" ht="25" customHeight="1">
      <x:c r="A96" s="3"/>
      <x:c r="B96" s="3"/>
      <x:c r="C96" s="3"/>
      <x:c r="D96" s="3"/>
      <x:c r="E96" s="3"/>
      <x:c r="F96" s="3"/>
      <x:c r="G96" s="3"/>
      <x:c r="H96" s="3"/>
      <x:c r="I96" s="20"/>
      <x:c r="J96" s="3"/>
      <x:c r="K96" s="22"/>
      <x:c r="L96" s="22"/>
      <x:c r="M96" s="24" t="str">
        <x:f>IF(A96="","",IF(COUNTIFS('执行日志'!$B$7:$B$306,A96)=0,"",IF(COUNTIFS('执行日志'!$B$7:$B$306,A96,'执行日志'!$L$7:$L$306,"有效",'执行日志'!$P$7:$P$306,"&lt;&gt;有效输入")&gt;0,"待核对",IF(COUNTIFS('执行日志'!$B$7:$B$306,A96,'执行日志'!$P$7:$P$306,"有效输入")=0,"",SUMIFS('执行日志'!$H$7:$H$306,'执行日志'!$B$7:$B$306,A96,'执行日志'!$P$7:$P$306,"有效输入")))))</x:f>
      </x:c>
      <x:c r="N96" s="24" t="str">
        <x:f>IF(A96="","",IF(COUNTIFS('执行日志'!$B$7:$B$306,A96)=0,"",IF(COUNTIFS('执行日志'!$B$7:$B$306,A96,'执行日志'!$L$7:$L$306,"有效",'执行日志'!$P$7:$P$306,"&lt;&gt;有效输入")&gt;0,"待核对",IF(COUNTIFS('执行日志'!$B$7:$B$306,A96,'执行日志'!$P$7:$P$306,"有效输入")=0,"",SUMIFS('执行日志'!$J$7:$J$306,'执行日志'!$B$7:$B$306,A96,'执行日志'!$P$7:$P$306,"有效输入")))))</x:f>
      </x:c>
      <x:c r="O96" s="24" t="str">
        <x:f>IF(A96="","",IF(NOT(ISNUMBER(K96)),"待定预算",IF(NOT(ISNUMBER(M96)),"暂无有效流水",K96-M96)))</x:f>
      </x:c>
      <x:c r="P96" s="24" t="str">
        <x:f>IF(A96="","",IF(NOT(ISNUMBER(L96)),"待定预算",IF(NOT(ISNUMBER(N96)),"暂无有效流水",L96-N96)))</x:f>
      </x:c>
      <x:c r="Q96" s="19" t="str">
        <x:f>IF(A96="","",IF(D96="已结案","已结案",IF(NOT(ISNUMBER(I96)),"待定复盘日",IF(NOT(ISNUMBER($B$3)),"待定评估日",IF(I96&lt;=$B$3,"应复盘","未到期")))))</x:f>
      </x:c>
      <x:c r="R96" s="19" t="str">
        <x:f>IF(A96="","",IF(COUNTIFS($A$7:$A$306,A96)&lt;&gt;1,"问题编号重复",IF(OR(B96="",C96="",D96="",G96="",S96=""),"待补基础信息",IF(AND(F96&lt;&gt;"",COUNTIFS('方案版本'!$A$7:$A$306,F96,'方案版本'!$B$7:$B$306,A96,'方案版本'!$L$7:$L$306,"已冻结")&lt;&gt;1),"当前方案引用无效",IF(AND(D96="执行中",F96=""),"执行缺方案",IF(AND(D96="已结案",OR(T96="",COUNTIFS('复盘记录'!$B$7:$B$306,A96)=0,COUNTIFS('更新日志'!$B$7:$B$306,A96)=0)),"结案资料待补","基础记录齐备"))))))</x:f>
      </x:c>
      <x:c r="S96" s="3"/>
      <x:c r="T96" s="3"/>
    </x:row>
    <x:row r="97" ht="25" customHeight="1">
      <x:c r="A97" s="3"/>
      <x:c r="B97" s="3"/>
      <x:c r="C97" s="3"/>
      <x:c r="D97" s="3"/>
      <x:c r="E97" s="3"/>
      <x:c r="F97" s="3"/>
      <x:c r="G97" s="3"/>
      <x:c r="H97" s="3"/>
      <x:c r="I97" s="20"/>
      <x:c r="J97" s="3"/>
      <x:c r="K97" s="22"/>
      <x:c r="L97" s="22"/>
      <x:c r="M97" s="24" t="str">
        <x:f>IF(A97="","",IF(COUNTIFS('执行日志'!$B$7:$B$306,A97)=0,"",IF(COUNTIFS('执行日志'!$B$7:$B$306,A97,'执行日志'!$L$7:$L$306,"有效",'执行日志'!$P$7:$P$306,"&lt;&gt;有效输入")&gt;0,"待核对",IF(COUNTIFS('执行日志'!$B$7:$B$306,A97,'执行日志'!$P$7:$P$306,"有效输入")=0,"",SUMIFS('执行日志'!$H$7:$H$306,'执行日志'!$B$7:$B$306,A97,'执行日志'!$P$7:$P$306,"有效输入")))))</x:f>
      </x:c>
      <x:c r="N97" s="24" t="str">
        <x:f>IF(A97="","",IF(COUNTIFS('执行日志'!$B$7:$B$306,A97)=0,"",IF(COUNTIFS('执行日志'!$B$7:$B$306,A97,'执行日志'!$L$7:$L$306,"有效",'执行日志'!$P$7:$P$306,"&lt;&gt;有效输入")&gt;0,"待核对",IF(COUNTIFS('执行日志'!$B$7:$B$306,A97,'执行日志'!$P$7:$P$306,"有效输入")=0,"",SUMIFS('执行日志'!$J$7:$J$306,'执行日志'!$B$7:$B$306,A97,'执行日志'!$P$7:$P$306,"有效输入")))))</x:f>
      </x:c>
      <x:c r="O97" s="24" t="str">
        <x:f>IF(A97="","",IF(NOT(ISNUMBER(K97)),"待定预算",IF(NOT(ISNUMBER(M97)),"暂无有效流水",K97-M97)))</x:f>
      </x:c>
      <x:c r="P97" s="24" t="str">
        <x:f>IF(A97="","",IF(NOT(ISNUMBER(L97)),"待定预算",IF(NOT(ISNUMBER(N97)),"暂无有效流水",L97-N97)))</x:f>
      </x:c>
      <x:c r="Q97" s="19" t="str">
        <x:f>IF(A97="","",IF(D97="已结案","已结案",IF(NOT(ISNUMBER(I97)),"待定复盘日",IF(NOT(ISNUMBER($B$3)),"待定评估日",IF(I97&lt;=$B$3,"应复盘","未到期")))))</x:f>
      </x:c>
      <x:c r="R97" s="19" t="str">
        <x:f>IF(A97="","",IF(COUNTIFS($A$7:$A$306,A97)&lt;&gt;1,"问题编号重复",IF(OR(B97="",C97="",D97="",G97="",S97=""),"待补基础信息",IF(AND(F97&lt;&gt;"",COUNTIFS('方案版本'!$A$7:$A$306,F97,'方案版本'!$B$7:$B$306,A97,'方案版本'!$L$7:$L$306,"已冻结")&lt;&gt;1),"当前方案引用无效",IF(AND(D97="执行中",F97=""),"执行缺方案",IF(AND(D97="已结案",OR(T97="",COUNTIFS('复盘记录'!$B$7:$B$306,A97)=0,COUNTIFS('更新日志'!$B$7:$B$306,A97)=0)),"结案资料待补","基础记录齐备"))))))</x:f>
      </x:c>
      <x:c r="S97" s="3"/>
      <x:c r="T97" s="3"/>
    </x:row>
    <x:row r="98" ht="25" customHeight="1">
      <x:c r="A98" s="3"/>
      <x:c r="B98" s="3"/>
      <x:c r="C98" s="3"/>
      <x:c r="D98" s="3"/>
      <x:c r="E98" s="3"/>
      <x:c r="F98" s="3"/>
      <x:c r="G98" s="3"/>
      <x:c r="H98" s="3"/>
      <x:c r="I98" s="20"/>
      <x:c r="J98" s="3"/>
      <x:c r="K98" s="22"/>
      <x:c r="L98" s="22"/>
      <x:c r="M98" s="24" t="str">
        <x:f>IF(A98="","",IF(COUNTIFS('执行日志'!$B$7:$B$306,A98)=0,"",IF(COUNTIFS('执行日志'!$B$7:$B$306,A98,'执行日志'!$L$7:$L$306,"有效",'执行日志'!$P$7:$P$306,"&lt;&gt;有效输入")&gt;0,"待核对",IF(COUNTIFS('执行日志'!$B$7:$B$306,A98,'执行日志'!$P$7:$P$306,"有效输入")=0,"",SUMIFS('执行日志'!$H$7:$H$306,'执行日志'!$B$7:$B$306,A98,'执行日志'!$P$7:$P$306,"有效输入")))))</x:f>
      </x:c>
      <x:c r="N98" s="24" t="str">
        <x:f>IF(A98="","",IF(COUNTIFS('执行日志'!$B$7:$B$306,A98)=0,"",IF(COUNTIFS('执行日志'!$B$7:$B$306,A98,'执行日志'!$L$7:$L$306,"有效",'执行日志'!$P$7:$P$306,"&lt;&gt;有效输入")&gt;0,"待核对",IF(COUNTIFS('执行日志'!$B$7:$B$306,A98,'执行日志'!$P$7:$P$306,"有效输入")=0,"",SUMIFS('执行日志'!$J$7:$J$306,'执行日志'!$B$7:$B$306,A98,'执行日志'!$P$7:$P$306,"有效输入")))))</x:f>
      </x:c>
      <x:c r="O98" s="24" t="str">
        <x:f>IF(A98="","",IF(NOT(ISNUMBER(K98)),"待定预算",IF(NOT(ISNUMBER(M98)),"暂无有效流水",K98-M98)))</x:f>
      </x:c>
      <x:c r="P98" s="24" t="str">
        <x:f>IF(A98="","",IF(NOT(ISNUMBER(L98)),"待定预算",IF(NOT(ISNUMBER(N98)),"暂无有效流水",L98-N98)))</x:f>
      </x:c>
      <x:c r="Q98" s="19" t="str">
        <x:f>IF(A98="","",IF(D98="已结案","已结案",IF(NOT(ISNUMBER(I98)),"待定复盘日",IF(NOT(ISNUMBER($B$3)),"待定评估日",IF(I98&lt;=$B$3,"应复盘","未到期")))))</x:f>
      </x:c>
      <x:c r="R98" s="19" t="str">
        <x:f>IF(A98="","",IF(COUNTIFS($A$7:$A$306,A98)&lt;&gt;1,"问题编号重复",IF(OR(B98="",C98="",D98="",G98="",S98=""),"待补基础信息",IF(AND(F98&lt;&gt;"",COUNTIFS('方案版本'!$A$7:$A$306,F98,'方案版本'!$B$7:$B$306,A98,'方案版本'!$L$7:$L$306,"已冻结")&lt;&gt;1),"当前方案引用无效",IF(AND(D98="执行中",F98=""),"执行缺方案",IF(AND(D98="已结案",OR(T98="",COUNTIFS('复盘记录'!$B$7:$B$306,A98)=0,COUNTIFS('更新日志'!$B$7:$B$306,A98)=0)),"结案资料待补","基础记录齐备"))))))</x:f>
      </x:c>
      <x:c r="S98" s="3"/>
      <x:c r="T98" s="3"/>
    </x:row>
    <x:row r="99" ht="25" customHeight="1">
      <x:c r="A99" s="3"/>
      <x:c r="B99" s="3"/>
      <x:c r="C99" s="3"/>
      <x:c r="D99" s="3"/>
      <x:c r="E99" s="3"/>
      <x:c r="F99" s="3"/>
      <x:c r="G99" s="3"/>
      <x:c r="H99" s="3"/>
      <x:c r="I99" s="20"/>
      <x:c r="J99" s="3"/>
      <x:c r="K99" s="22"/>
      <x:c r="L99" s="22"/>
      <x:c r="M99" s="24" t="str">
        <x:f>IF(A99="","",IF(COUNTIFS('执行日志'!$B$7:$B$306,A99)=0,"",IF(COUNTIFS('执行日志'!$B$7:$B$306,A99,'执行日志'!$L$7:$L$306,"有效",'执行日志'!$P$7:$P$306,"&lt;&gt;有效输入")&gt;0,"待核对",IF(COUNTIFS('执行日志'!$B$7:$B$306,A99,'执行日志'!$P$7:$P$306,"有效输入")=0,"",SUMIFS('执行日志'!$H$7:$H$306,'执行日志'!$B$7:$B$306,A99,'执行日志'!$P$7:$P$306,"有效输入")))))</x:f>
      </x:c>
      <x:c r="N99" s="24" t="str">
        <x:f>IF(A99="","",IF(COUNTIFS('执行日志'!$B$7:$B$306,A99)=0,"",IF(COUNTIFS('执行日志'!$B$7:$B$306,A99,'执行日志'!$L$7:$L$306,"有效",'执行日志'!$P$7:$P$306,"&lt;&gt;有效输入")&gt;0,"待核对",IF(COUNTIFS('执行日志'!$B$7:$B$306,A99,'执行日志'!$P$7:$P$306,"有效输入")=0,"",SUMIFS('执行日志'!$J$7:$J$306,'执行日志'!$B$7:$B$306,A99,'执行日志'!$P$7:$P$306,"有效输入")))))</x:f>
      </x:c>
      <x:c r="O99" s="24" t="str">
        <x:f>IF(A99="","",IF(NOT(ISNUMBER(K99)),"待定预算",IF(NOT(ISNUMBER(M99)),"暂无有效流水",K99-M99)))</x:f>
      </x:c>
      <x:c r="P99" s="24" t="str">
        <x:f>IF(A99="","",IF(NOT(ISNUMBER(L99)),"待定预算",IF(NOT(ISNUMBER(N99)),"暂无有效流水",L99-N99)))</x:f>
      </x:c>
      <x:c r="Q99" s="19" t="str">
        <x:f>IF(A99="","",IF(D99="已结案","已结案",IF(NOT(ISNUMBER(I99)),"待定复盘日",IF(NOT(ISNUMBER($B$3)),"待定评估日",IF(I99&lt;=$B$3,"应复盘","未到期")))))</x:f>
      </x:c>
      <x:c r="R99" s="19" t="str">
        <x:f>IF(A99="","",IF(COUNTIFS($A$7:$A$306,A99)&lt;&gt;1,"问题编号重复",IF(OR(B99="",C99="",D99="",G99="",S99=""),"待补基础信息",IF(AND(F99&lt;&gt;"",COUNTIFS('方案版本'!$A$7:$A$306,F99,'方案版本'!$B$7:$B$306,A99,'方案版本'!$L$7:$L$306,"已冻结")&lt;&gt;1),"当前方案引用无效",IF(AND(D99="执行中",F99=""),"执行缺方案",IF(AND(D99="已结案",OR(T99="",COUNTIFS('复盘记录'!$B$7:$B$306,A99)=0,COUNTIFS('更新日志'!$B$7:$B$306,A99)=0)),"结案资料待补","基础记录齐备"))))))</x:f>
      </x:c>
      <x:c r="S99" s="3"/>
      <x:c r="T99" s="3"/>
    </x:row>
    <x:row r="100" ht="25" customHeight="1">
      <x:c r="A100" s="3"/>
      <x:c r="B100" s="3"/>
      <x:c r="C100" s="3"/>
      <x:c r="D100" s="3"/>
      <x:c r="E100" s="3"/>
      <x:c r="F100" s="3"/>
      <x:c r="G100" s="3"/>
      <x:c r="H100" s="3"/>
      <x:c r="I100" s="20"/>
      <x:c r="J100" s="3"/>
      <x:c r="K100" s="22"/>
      <x:c r="L100" s="22"/>
      <x:c r="M100" s="24" t="str">
        <x:f>IF(A100="","",IF(COUNTIFS('执行日志'!$B$7:$B$306,A100)=0,"",IF(COUNTIFS('执行日志'!$B$7:$B$306,A100,'执行日志'!$L$7:$L$306,"有效",'执行日志'!$P$7:$P$306,"&lt;&gt;有效输入")&gt;0,"待核对",IF(COUNTIFS('执行日志'!$B$7:$B$306,A100,'执行日志'!$P$7:$P$306,"有效输入")=0,"",SUMIFS('执行日志'!$H$7:$H$306,'执行日志'!$B$7:$B$306,A100,'执行日志'!$P$7:$P$306,"有效输入")))))</x:f>
      </x:c>
      <x:c r="N100" s="24" t="str">
        <x:f>IF(A100="","",IF(COUNTIFS('执行日志'!$B$7:$B$306,A100)=0,"",IF(COUNTIFS('执行日志'!$B$7:$B$306,A100,'执行日志'!$L$7:$L$306,"有效",'执行日志'!$P$7:$P$306,"&lt;&gt;有效输入")&gt;0,"待核对",IF(COUNTIFS('执行日志'!$B$7:$B$306,A100,'执行日志'!$P$7:$P$306,"有效输入")=0,"",SUMIFS('执行日志'!$J$7:$J$306,'执行日志'!$B$7:$B$306,A100,'执行日志'!$P$7:$P$306,"有效输入")))))</x:f>
      </x:c>
      <x:c r="O100" s="24" t="str">
        <x:f>IF(A100="","",IF(NOT(ISNUMBER(K100)),"待定预算",IF(NOT(ISNUMBER(M100)),"暂无有效流水",K100-M100)))</x:f>
      </x:c>
      <x:c r="P100" s="24" t="str">
        <x:f>IF(A100="","",IF(NOT(ISNUMBER(L100)),"待定预算",IF(NOT(ISNUMBER(N100)),"暂无有效流水",L100-N100)))</x:f>
      </x:c>
      <x:c r="Q100" s="19" t="str">
        <x:f>IF(A100="","",IF(D100="已结案","已结案",IF(NOT(ISNUMBER(I100)),"待定复盘日",IF(NOT(ISNUMBER($B$3)),"待定评估日",IF(I100&lt;=$B$3,"应复盘","未到期")))))</x:f>
      </x:c>
      <x:c r="R100" s="19" t="str">
        <x:f>IF(A100="","",IF(COUNTIFS($A$7:$A$306,A100)&lt;&gt;1,"问题编号重复",IF(OR(B100="",C100="",D100="",G100="",S100=""),"待补基础信息",IF(AND(F100&lt;&gt;"",COUNTIFS('方案版本'!$A$7:$A$306,F100,'方案版本'!$B$7:$B$306,A100,'方案版本'!$L$7:$L$306,"已冻结")&lt;&gt;1),"当前方案引用无效",IF(AND(D100="执行中",F100=""),"执行缺方案",IF(AND(D100="已结案",OR(T100="",COUNTIFS('复盘记录'!$B$7:$B$306,A100)=0,COUNTIFS('更新日志'!$B$7:$B$306,A100)=0)),"结案资料待补","基础记录齐备"))))))</x:f>
      </x:c>
      <x:c r="S100" s="3"/>
      <x:c r="T100" s="3"/>
    </x:row>
    <x:row r="101" ht="25" customHeight="1">
      <x:c r="A101" s="3"/>
      <x:c r="B101" s="3"/>
      <x:c r="C101" s="3"/>
      <x:c r="D101" s="3"/>
      <x:c r="E101" s="3"/>
      <x:c r="F101" s="3"/>
      <x:c r="G101" s="3"/>
      <x:c r="H101" s="3"/>
      <x:c r="I101" s="20"/>
      <x:c r="J101" s="3"/>
      <x:c r="K101" s="22"/>
      <x:c r="L101" s="22"/>
      <x:c r="M101" s="24" t="str">
        <x:f>IF(A101="","",IF(COUNTIFS('执行日志'!$B$7:$B$306,A101)=0,"",IF(COUNTIFS('执行日志'!$B$7:$B$306,A101,'执行日志'!$L$7:$L$306,"有效",'执行日志'!$P$7:$P$306,"&lt;&gt;有效输入")&gt;0,"待核对",IF(COUNTIFS('执行日志'!$B$7:$B$306,A101,'执行日志'!$P$7:$P$306,"有效输入")=0,"",SUMIFS('执行日志'!$H$7:$H$306,'执行日志'!$B$7:$B$306,A101,'执行日志'!$P$7:$P$306,"有效输入")))))</x:f>
      </x:c>
      <x:c r="N101" s="24" t="str">
        <x:f>IF(A101="","",IF(COUNTIFS('执行日志'!$B$7:$B$306,A101)=0,"",IF(COUNTIFS('执行日志'!$B$7:$B$306,A101,'执行日志'!$L$7:$L$306,"有效",'执行日志'!$P$7:$P$306,"&lt;&gt;有效输入")&gt;0,"待核对",IF(COUNTIFS('执行日志'!$B$7:$B$306,A101,'执行日志'!$P$7:$P$306,"有效输入")=0,"",SUMIFS('执行日志'!$J$7:$J$306,'执行日志'!$B$7:$B$306,A101,'执行日志'!$P$7:$P$306,"有效输入")))))</x:f>
      </x:c>
      <x:c r="O101" s="24" t="str">
        <x:f>IF(A101="","",IF(NOT(ISNUMBER(K101)),"待定预算",IF(NOT(ISNUMBER(M101)),"暂无有效流水",K101-M101)))</x:f>
      </x:c>
      <x:c r="P101" s="24" t="str">
        <x:f>IF(A101="","",IF(NOT(ISNUMBER(L101)),"待定预算",IF(NOT(ISNUMBER(N101)),"暂无有效流水",L101-N101)))</x:f>
      </x:c>
      <x:c r="Q101" s="19" t="str">
        <x:f>IF(A101="","",IF(D101="已结案","已结案",IF(NOT(ISNUMBER(I101)),"待定复盘日",IF(NOT(ISNUMBER($B$3)),"待定评估日",IF(I101&lt;=$B$3,"应复盘","未到期")))))</x:f>
      </x:c>
      <x:c r="R101" s="19" t="str">
        <x:f>IF(A101="","",IF(COUNTIFS($A$7:$A$306,A101)&lt;&gt;1,"问题编号重复",IF(OR(B101="",C101="",D101="",G101="",S101=""),"待补基础信息",IF(AND(F101&lt;&gt;"",COUNTIFS('方案版本'!$A$7:$A$306,F101,'方案版本'!$B$7:$B$306,A101,'方案版本'!$L$7:$L$306,"已冻结")&lt;&gt;1),"当前方案引用无效",IF(AND(D101="执行中",F101=""),"执行缺方案",IF(AND(D101="已结案",OR(T101="",COUNTIFS('复盘记录'!$B$7:$B$306,A101)=0,COUNTIFS('更新日志'!$B$7:$B$306,A101)=0)),"结案资料待补","基础记录齐备"))))))</x:f>
      </x:c>
      <x:c r="S101" s="3"/>
      <x:c r="T101" s="3"/>
    </x:row>
    <x:row r="102" ht="25" customHeight="1">
      <x:c r="A102" s="3"/>
      <x:c r="B102" s="3"/>
      <x:c r="C102" s="3"/>
      <x:c r="D102" s="3"/>
      <x:c r="E102" s="3"/>
      <x:c r="F102" s="3"/>
      <x:c r="G102" s="3"/>
      <x:c r="H102" s="3"/>
      <x:c r="I102" s="20"/>
      <x:c r="J102" s="3"/>
      <x:c r="K102" s="22"/>
      <x:c r="L102" s="22"/>
      <x:c r="M102" s="24" t="str">
        <x:f>IF(A102="","",IF(COUNTIFS('执行日志'!$B$7:$B$306,A102)=0,"",IF(COUNTIFS('执行日志'!$B$7:$B$306,A102,'执行日志'!$L$7:$L$306,"有效",'执行日志'!$P$7:$P$306,"&lt;&gt;有效输入")&gt;0,"待核对",IF(COUNTIFS('执行日志'!$B$7:$B$306,A102,'执行日志'!$P$7:$P$306,"有效输入")=0,"",SUMIFS('执行日志'!$H$7:$H$306,'执行日志'!$B$7:$B$306,A102,'执行日志'!$P$7:$P$306,"有效输入")))))</x:f>
      </x:c>
      <x:c r="N102" s="24" t="str">
        <x:f>IF(A102="","",IF(COUNTIFS('执行日志'!$B$7:$B$306,A102)=0,"",IF(COUNTIFS('执行日志'!$B$7:$B$306,A102,'执行日志'!$L$7:$L$306,"有效",'执行日志'!$P$7:$P$306,"&lt;&gt;有效输入")&gt;0,"待核对",IF(COUNTIFS('执行日志'!$B$7:$B$306,A102,'执行日志'!$P$7:$P$306,"有效输入")=0,"",SUMIFS('执行日志'!$J$7:$J$306,'执行日志'!$B$7:$B$306,A102,'执行日志'!$P$7:$P$306,"有效输入")))))</x:f>
      </x:c>
      <x:c r="O102" s="24" t="str">
        <x:f>IF(A102="","",IF(NOT(ISNUMBER(K102)),"待定预算",IF(NOT(ISNUMBER(M102)),"暂无有效流水",K102-M102)))</x:f>
      </x:c>
      <x:c r="P102" s="24" t="str">
        <x:f>IF(A102="","",IF(NOT(ISNUMBER(L102)),"待定预算",IF(NOT(ISNUMBER(N102)),"暂无有效流水",L102-N102)))</x:f>
      </x:c>
      <x:c r="Q102" s="19" t="str">
        <x:f>IF(A102="","",IF(D102="已结案","已结案",IF(NOT(ISNUMBER(I102)),"待定复盘日",IF(NOT(ISNUMBER($B$3)),"待定评估日",IF(I102&lt;=$B$3,"应复盘","未到期")))))</x:f>
      </x:c>
      <x:c r="R102" s="19" t="str">
        <x:f>IF(A102="","",IF(COUNTIFS($A$7:$A$306,A102)&lt;&gt;1,"问题编号重复",IF(OR(B102="",C102="",D102="",G102="",S102=""),"待补基础信息",IF(AND(F102&lt;&gt;"",COUNTIFS('方案版本'!$A$7:$A$306,F102,'方案版本'!$B$7:$B$306,A102,'方案版本'!$L$7:$L$306,"已冻结")&lt;&gt;1),"当前方案引用无效",IF(AND(D102="执行中",F102=""),"执行缺方案",IF(AND(D102="已结案",OR(T102="",COUNTIFS('复盘记录'!$B$7:$B$306,A102)=0,COUNTIFS('更新日志'!$B$7:$B$306,A102)=0)),"结案资料待补","基础记录齐备"))))))</x:f>
      </x:c>
      <x:c r="S102" s="3"/>
      <x:c r="T102" s="3"/>
    </x:row>
    <x:row r="103" ht="25" customHeight="1">
      <x:c r="A103" s="3"/>
      <x:c r="B103" s="3"/>
      <x:c r="C103" s="3"/>
      <x:c r="D103" s="3"/>
      <x:c r="E103" s="3"/>
      <x:c r="F103" s="3"/>
      <x:c r="G103" s="3"/>
      <x:c r="H103" s="3"/>
      <x:c r="I103" s="20"/>
      <x:c r="J103" s="3"/>
      <x:c r="K103" s="22"/>
      <x:c r="L103" s="22"/>
      <x:c r="M103" s="24" t="str">
        <x:f>IF(A103="","",IF(COUNTIFS('执行日志'!$B$7:$B$306,A103)=0,"",IF(COUNTIFS('执行日志'!$B$7:$B$306,A103,'执行日志'!$L$7:$L$306,"有效",'执行日志'!$P$7:$P$306,"&lt;&gt;有效输入")&gt;0,"待核对",IF(COUNTIFS('执行日志'!$B$7:$B$306,A103,'执行日志'!$P$7:$P$306,"有效输入")=0,"",SUMIFS('执行日志'!$H$7:$H$306,'执行日志'!$B$7:$B$306,A103,'执行日志'!$P$7:$P$306,"有效输入")))))</x:f>
      </x:c>
      <x:c r="N103" s="24" t="str">
        <x:f>IF(A103="","",IF(COUNTIFS('执行日志'!$B$7:$B$306,A103)=0,"",IF(COUNTIFS('执行日志'!$B$7:$B$306,A103,'执行日志'!$L$7:$L$306,"有效",'执行日志'!$P$7:$P$306,"&lt;&gt;有效输入")&gt;0,"待核对",IF(COUNTIFS('执行日志'!$B$7:$B$306,A103,'执行日志'!$P$7:$P$306,"有效输入")=0,"",SUMIFS('执行日志'!$J$7:$J$306,'执行日志'!$B$7:$B$306,A103,'执行日志'!$P$7:$P$306,"有效输入")))))</x:f>
      </x:c>
      <x:c r="O103" s="24" t="str">
        <x:f>IF(A103="","",IF(NOT(ISNUMBER(K103)),"待定预算",IF(NOT(ISNUMBER(M103)),"暂无有效流水",K103-M103)))</x:f>
      </x:c>
      <x:c r="P103" s="24" t="str">
        <x:f>IF(A103="","",IF(NOT(ISNUMBER(L103)),"待定预算",IF(NOT(ISNUMBER(N103)),"暂无有效流水",L103-N103)))</x:f>
      </x:c>
      <x:c r="Q103" s="19" t="str">
        <x:f>IF(A103="","",IF(D103="已结案","已结案",IF(NOT(ISNUMBER(I103)),"待定复盘日",IF(NOT(ISNUMBER($B$3)),"待定评估日",IF(I103&lt;=$B$3,"应复盘","未到期")))))</x:f>
      </x:c>
      <x:c r="R103" s="19" t="str">
        <x:f>IF(A103="","",IF(COUNTIFS($A$7:$A$306,A103)&lt;&gt;1,"问题编号重复",IF(OR(B103="",C103="",D103="",G103="",S103=""),"待补基础信息",IF(AND(F103&lt;&gt;"",COUNTIFS('方案版本'!$A$7:$A$306,F103,'方案版本'!$B$7:$B$306,A103,'方案版本'!$L$7:$L$306,"已冻结")&lt;&gt;1),"当前方案引用无效",IF(AND(D103="执行中",F103=""),"执行缺方案",IF(AND(D103="已结案",OR(T103="",COUNTIFS('复盘记录'!$B$7:$B$306,A103)=0,COUNTIFS('更新日志'!$B$7:$B$306,A103)=0)),"结案资料待补","基础记录齐备"))))))</x:f>
      </x:c>
      <x:c r="S103" s="3"/>
      <x:c r="T103" s="3"/>
    </x:row>
    <x:row r="104" ht="25" customHeight="1">
      <x:c r="A104" s="3"/>
      <x:c r="B104" s="3"/>
      <x:c r="C104" s="3"/>
      <x:c r="D104" s="3"/>
      <x:c r="E104" s="3"/>
      <x:c r="F104" s="3"/>
      <x:c r="G104" s="3"/>
      <x:c r="H104" s="3"/>
      <x:c r="I104" s="20"/>
      <x:c r="J104" s="3"/>
      <x:c r="K104" s="22"/>
      <x:c r="L104" s="22"/>
      <x:c r="M104" s="24" t="str">
        <x:f>IF(A104="","",IF(COUNTIFS('执行日志'!$B$7:$B$306,A104)=0,"",IF(COUNTIFS('执行日志'!$B$7:$B$306,A104,'执行日志'!$L$7:$L$306,"有效",'执行日志'!$P$7:$P$306,"&lt;&gt;有效输入")&gt;0,"待核对",IF(COUNTIFS('执行日志'!$B$7:$B$306,A104,'执行日志'!$P$7:$P$306,"有效输入")=0,"",SUMIFS('执行日志'!$H$7:$H$306,'执行日志'!$B$7:$B$306,A104,'执行日志'!$P$7:$P$306,"有效输入")))))</x:f>
      </x:c>
      <x:c r="N104" s="24" t="str">
        <x:f>IF(A104="","",IF(COUNTIFS('执行日志'!$B$7:$B$306,A104)=0,"",IF(COUNTIFS('执行日志'!$B$7:$B$306,A104,'执行日志'!$L$7:$L$306,"有效",'执行日志'!$P$7:$P$306,"&lt;&gt;有效输入")&gt;0,"待核对",IF(COUNTIFS('执行日志'!$B$7:$B$306,A104,'执行日志'!$P$7:$P$306,"有效输入")=0,"",SUMIFS('执行日志'!$J$7:$J$306,'执行日志'!$B$7:$B$306,A104,'执行日志'!$P$7:$P$306,"有效输入")))))</x:f>
      </x:c>
      <x:c r="O104" s="24" t="str">
        <x:f>IF(A104="","",IF(NOT(ISNUMBER(K104)),"待定预算",IF(NOT(ISNUMBER(M104)),"暂无有效流水",K104-M104)))</x:f>
      </x:c>
      <x:c r="P104" s="24" t="str">
        <x:f>IF(A104="","",IF(NOT(ISNUMBER(L104)),"待定预算",IF(NOT(ISNUMBER(N104)),"暂无有效流水",L104-N104)))</x:f>
      </x:c>
      <x:c r="Q104" s="19" t="str">
        <x:f>IF(A104="","",IF(D104="已结案","已结案",IF(NOT(ISNUMBER(I104)),"待定复盘日",IF(NOT(ISNUMBER($B$3)),"待定评估日",IF(I104&lt;=$B$3,"应复盘","未到期")))))</x:f>
      </x:c>
      <x:c r="R104" s="19" t="str">
        <x:f>IF(A104="","",IF(COUNTIFS($A$7:$A$306,A104)&lt;&gt;1,"问题编号重复",IF(OR(B104="",C104="",D104="",G104="",S104=""),"待补基础信息",IF(AND(F104&lt;&gt;"",COUNTIFS('方案版本'!$A$7:$A$306,F104,'方案版本'!$B$7:$B$306,A104,'方案版本'!$L$7:$L$306,"已冻结")&lt;&gt;1),"当前方案引用无效",IF(AND(D104="执行中",F104=""),"执行缺方案",IF(AND(D104="已结案",OR(T104="",COUNTIFS('复盘记录'!$B$7:$B$306,A104)=0,COUNTIFS('更新日志'!$B$7:$B$306,A104)=0)),"结案资料待补","基础记录齐备"))))))</x:f>
      </x:c>
      <x:c r="S104" s="3"/>
      <x:c r="T104" s="3"/>
    </x:row>
    <x:row r="105" ht="25" customHeight="1">
      <x:c r="A105" s="3"/>
      <x:c r="B105" s="3"/>
      <x:c r="C105" s="3"/>
      <x:c r="D105" s="3"/>
      <x:c r="E105" s="3"/>
      <x:c r="F105" s="3"/>
      <x:c r="G105" s="3"/>
      <x:c r="H105" s="3"/>
      <x:c r="I105" s="20"/>
      <x:c r="J105" s="3"/>
      <x:c r="K105" s="22"/>
      <x:c r="L105" s="22"/>
      <x:c r="M105" s="24" t="str">
        <x:f>IF(A105="","",IF(COUNTIFS('执行日志'!$B$7:$B$306,A105)=0,"",IF(COUNTIFS('执行日志'!$B$7:$B$306,A105,'执行日志'!$L$7:$L$306,"有效",'执行日志'!$P$7:$P$306,"&lt;&gt;有效输入")&gt;0,"待核对",IF(COUNTIFS('执行日志'!$B$7:$B$306,A105,'执行日志'!$P$7:$P$306,"有效输入")=0,"",SUMIFS('执行日志'!$H$7:$H$306,'执行日志'!$B$7:$B$306,A105,'执行日志'!$P$7:$P$306,"有效输入")))))</x:f>
      </x:c>
      <x:c r="N105" s="24" t="str">
        <x:f>IF(A105="","",IF(COUNTIFS('执行日志'!$B$7:$B$306,A105)=0,"",IF(COUNTIFS('执行日志'!$B$7:$B$306,A105,'执行日志'!$L$7:$L$306,"有效",'执行日志'!$P$7:$P$306,"&lt;&gt;有效输入")&gt;0,"待核对",IF(COUNTIFS('执行日志'!$B$7:$B$306,A105,'执行日志'!$P$7:$P$306,"有效输入")=0,"",SUMIFS('执行日志'!$J$7:$J$306,'执行日志'!$B$7:$B$306,A105,'执行日志'!$P$7:$P$306,"有效输入")))))</x:f>
      </x:c>
      <x:c r="O105" s="24" t="str">
        <x:f>IF(A105="","",IF(NOT(ISNUMBER(K105)),"待定预算",IF(NOT(ISNUMBER(M105)),"暂无有效流水",K105-M105)))</x:f>
      </x:c>
      <x:c r="P105" s="24" t="str">
        <x:f>IF(A105="","",IF(NOT(ISNUMBER(L105)),"待定预算",IF(NOT(ISNUMBER(N105)),"暂无有效流水",L105-N105)))</x:f>
      </x:c>
      <x:c r="Q105" s="19" t="str">
        <x:f>IF(A105="","",IF(D105="已结案","已结案",IF(NOT(ISNUMBER(I105)),"待定复盘日",IF(NOT(ISNUMBER($B$3)),"待定评估日",IF(I105&lt;=$B$3,"应复盘","未到期")))))</x:f>
      </x:c>
      <x:c r="R105" s="19" t="str">
        <x:f>IF(A105="","",IF(COUNTIFS($A$7:$A$306,A105)&lt;&gt;1,"问题编号重复",IF(OR(B105="",C105="",D105="",G105="",S105=""),"待补基础信息",IF(AND(F105&lt;&gt;"",COUNTIFS('方案版本'!$A$7:$A$306,F105,'方案版本'!$B$7:$B$306,A105,'方案版本'!$L$7:$L$306,"已冻结")&lt;&gt;1),"当前方案引用无效",IF(AND(D105="执行中",F105=""),"执行缺方案",IF(AND(D105="已结案",OR(T105="",COUNTIFS('复盘记录'!$B$7:$B$306,A105)=0,COUNTIFS('更新日志'!$B$7:$B$306,A105)=0)),"结案资料待补","基础记录齐备"))))))</x:f>
      </x:c>
      <x:c r="S105" s="3"/>
      <x:c r="T105" s="3"/>
    </x:row>
    <x:row r="106" ht="25" customHeight="1">
      <x:c r="A106" s="3"/>
      <x:c r="B106" s="3"/>
      <x:c r="C106" s="3"/>
      <x:c r="D106" s="3"/>
      <x:c r="E106" s="3"/>
      <x:c r="F106" s="3"/>
      <x:c r="G106" s="3"/>
      <x:c r="H106" s="3"/>
      <x:c r="I106" s="20"/>
      <x:c r="J106" s="3"/>
      <x:c r="K106" s="22"/>
      <x:c r="L106" s="22"/>
      <x:c r="M106" s="24" t="str">
        <x:f>IF(A106="","",IF(COUNTIFS('执行日志'!$B$7:$B$306,A106)=0,"",IF(COUNTIFS('执行日志'!$B$7:$B$306,A106,'执行日志'!$L$7:$L$306,"有效",'执行日志'!$P$7:$P$306,"&lt;&gt;有效输入")&gt;0,"待核对",IF(COUNTIFS('执行日志'!$B$7:$B$306,A106,'执行日志'!$P$7:$P$306,"有效输入")=0,"",SUMIFS('执行日志'!$H$7:$H$306,'执行日志'!$B$7:$B$306,A106,'执行日志'!$P$7:$P$306,"有效输入")))))</x:f>
      </x:c>
      <x:c r="N106" s="24" t="str">
        <x:f>IF(A106="","",IF(COUNTIFS('执行日志'!$B$7:$B$306,A106)=0,"",IF(COUNTIFS('执行日志'!$B$7:$B$306,A106,'执行日志'!$L$7:$L$306,"有效",'执行日志'!$P$7:$P$306,"&lt;&gt;有效输入")&gt;0,"待核对",IF(COUNTIFS('执行日志'!$B$7:$B$306,A106,'执行日志'!$P$7:$P$306,"有效输入")=0,"",SUMIFS('执行日志'!$J$7:$J$306,'执行日志'!$B$7:$B$306,A106,'执行日志'!$P$7:$P$306,"有效输入")))))</x:f>
      </x:c>
      <x:c r="O106" s="24" t="str">
        <x:f>IF(A106="","",IF(NOT(ISNUMBER(K106)),"待定预算",IF(NOT(ISNUMBER(M106)),"暂无有效流水",K106-M106)))</x:f>
      </x:c>
      <x:c r="P106" s="24" t="str">
        <x:f>IF(A106="","",IF(NOT(ISNUMBER(L106)),"待定预算",IF(NOT(ISNUMBER(N106)),"暂无有效流水",L106-N106)))</x:f>
      </x:c>
      <x:c r="Q106" s="19" t="str">
        <x:f>IF(A106="","",IF(D106="已结案","已结案",IF(NOT(ISNUMBER(I106)),"待定复盘日",IF(NOT(ISNUMBER($B$3)),"待定评估日",IF(I106&lt;=$B$3,"应复盘","未到期")))))</x:f>
      </x:c>
      <x:c r="R106" s="19" t="str">
        <x:f>IF(A106="","",IF(COUNTIFS($A$7:$A$306,A106)&lt;&gt;1,"问题编号重复",IF(OR(B106="",C106="",D106="",G106="",S106=""),"待补基础信息",IF(AND(F106&lt;&gt;"",COUNTIFS('方案版本'!$A$7:$A$306,F106,'方案版本'!$B$7:$B$306,A106,'方案版本'!$L$7:$L$306,"已冻结")&lt;&gt;1),"当前方案引用无效",IF(AND(D106="执行中",F106=""),"执行缺方案",IF(AND(D106="已结案",OR(T106="",COUNTIFS('复盘记录'!$B$7:$B$306,A106)=0,COUNTIFS('更新日志'!$B$7:$B$306,A106)=0)),"结案资料待补","基础记录齐备"))))))</x:f>
      </x:c>
      <x:c r="S106" s="3"/>
      <x:c r="T106" s="3"/>
    </x:row>
    <x:row r="107" ht="25" customHeight="1">
      <x:c r="A107" s="3"/>
      <x:c r="B107" s="3"/>
      <x:c r="C107" s="3"/>
      <x:c r="D107" s="3"/>
      <x:c r="E107" s="3"/>
      <x:c r="F107" s="3"/>
      <x:c r="G107" s="3"/>
      <x:c r="H107" s="3"/>
      <x:c r="I107" s="20"/>
      <x:c r="J107" s="3"/>
      <x:c r="K107" s="22"/>
      <x:c r="L107" s="22"/>
      <x:c r="M107" s="24" t="str">
        <x:f>IF(A107="","",IF(COUNTIFS('执行日志'!$B$7:$B$306,A107)=0,"",IF(COUNTIFS('执行日志'!$B$7:$B$306,A107,'执行日志'!$L$7:$L$306,"有效",'执行日志'!$P$7:$P$306,"&lt;&gt;有效输入")&gt;0,"待核对",IF(COUNTIFS('执行日志'!$B$7:$B$306,A107,'执行日志'!$P$7:$P$306,"有效输入")=0,"",SUMIFS('执行日志'!$H$7:$H$306,'执行日志'!$B$7:$B$306,A107,'执行日志'!$P$7:$P$306,"有效输入")))))</x:f>
      </x:c>
      <x:c r="N107" s="24" t="str">
        <x:f>IF(A107="","",IF(COUNTIFS('执行日志'!$B$7:$B$306,A107)=0,"",IF(COUNTIFS('执行日志'!$B$7:$B$306,A107,'执行日志'!$L$7:$L$306,"有效",'执行日志'!$P$7:$P$306,"&lt;&gt;有效输入")&gt;0,"待核对",IF(COUNTIFS('执行日志'!$B$7:$B$306,A107,'执行日志'!$P$7:$P$306,"有效输入")=0,"",SUMIFS('执行日志'!$J$7:$J$306,'执行日志'!$B$7:$B$306,A107,'执行日志'!$P$7:$P$306,"有效输入")))))</x:f>
      </x:c>
      <x:c r="O107" s="24" t="str">
        <x:f>IF(A107="","",IF(NOT(ISNUMBER(K107)),"待定预算",IF(NOT(ISNUMBER(M107)),"暂无有效流水",K107-M107)))</x:f>
      </x:c>
      <x:c r="P107" s="24" t="str">
        <x:f>IF(A107="","",IF(NOT(ISNUMBER(L107)),"待定预算",IF(NOT(ISNUMBER(N107)),"暂无有效流水",L107-N107)))</x:f>
      </x:c>
      <x:c r="Q107" s="19" t="str">
        <x:f>IF(A107="","",IF(D107="已结案","已结案",IF(NOT(ISNUMBER(I107)),"待定复盘日",IF(NOT(ISNUMBER($B$3)),"待定评估日",IF(I107&lt;=$B$3,"应复盘","未到期")))))</x:f>
      </x:c>
      <x:c r="R107" s="19" t="str">
        <x:f>IF(A107="","",IF(COUNTIFS($A$7:$A$306,A107)&lt;&gt;1,"问题编号重复",IF(OR(B107="",C107="",D107="",G107="",S107=""),"待补基础信息",IF(AND(F107&lt;&gt;"",COUNTIFS('方案版本'!$A$7:$A$306,F107,'方案版本'!$B$7:$B$306,A107,'方案版本'!$L$7:$L$306,"已冻结")&lt;&gt;1),"当前方案引用无效",IF(AND(D107="执行中",F107=""),"执行缺方案",IF(AND(D107="已结案",OR(T107="",COUNTIFS('复盘记录'!$B$7:$B$306,A107)=0,COUNTIFS('更新日志'!$B$7:$B$306,A107)=0)),"结案资料待补","基础记录齐备"))))))</x:f>
      </x:c>
      <x:c r="S107" s="3"/>
      <x:c r="T107" s="3"/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  <x:c r="I108" s="20"/>
      <x:c r="J108" s="3"/>
      <x:c r="K108" s="22"/>
      <x:c r="L108" s="22"/>
      <x:c r="M108" s="24" t="str">
        <x:f>IF(A108="","",IF(COUNTIFS('执行日志'!$B$7:$B$306,A108)=0,"",IF(COUNTIFS('执行日志'!$B$7:$B$306,A108,'执行日志'!$L$7:$L$306,"有效",'执行日志'!$P$7:$P$306,"&lt;&gt;有效输入")&gt;0,"待核对",IF(COUNTIFS('执行日志'!$B$7:$B$306,A108,'执行日志'!$P$7:$P$306,"有效输入")=0,"",SUMIFS('执行日志'!$H$7:$H$306,'执行日志'!$B$7:$B$306,A108,'执行日志'!$P$7:$P$306,"有效输入")))))</x:f>
      </x:c>
      <x:c r="N108" s="24" t="str">
        <x:f>IF(A108="","",IF(COUNTIFS('执行日志'!$B$7:$B$306,A108)=0,"",IF(COUNTIFS('执行日志'!$B$7:$B$306,A108,'执行日志'!$L$7:$L$306,"有效",'执行日志'!$P$7:$P$306,"&lt;&gt;有效输入")&gt;0,"待核对",IF(COUNTIFS('执行日志'!$B$7:$B$306,A108,'执行日志'!$P$7:$P$306,"有效输入")=0,"",SUMIFS('执行日志'!$J$7:$J$306,'执行日志'!$B$7:$B$306,A108,'执行日志'!$P$7:$P$306,"有效输入")))))</x:f>
      </x:c>
      <x:c r="O108" s="24" t="str">
        <x:f>IF(A108="","",IF(NOT(ISNUMBER(K108)),"待定预算",IF(NOT(ISNUMBER(M108)),"暂无有效流水",K108-M108)))</x:f>
      </x:c>
      <x:c r="P108" s="24" t="str">
        <x:f>IF(A108="","",IF(NOT(ISNUMBER(L108)),"待定预算",IF(NOT(ISNUMBER(N108)),"暂无有效流水",L108-N108)))</x:f>
      </x:c>
      <x:c r="Q108" s="19" t="str">
        <x:f>IF(A108="","",IF(D108="已结案","已结案",IF(NOT(ISNUMBER(I108)),"待定复盘日",IF(NOT(ISNUMBER($B$3)),"待定评估日",IF(I108&lt;=$B$3,"应复盘","未到期")))))</x:f>
      </x:c>
      <x:c r="R108" s="19" t="str">
        <x:f>IF(A108="","",IF(COUNTIFS($A$7:$A$306,A108)&lt;&gt;1,"问题编号重复",IF(OR(B108="",C108="",D108="",G108="",S108=""),"待补基础信息",IF(AND(F108&lt;&gt;"",COUNTIFS('方案版本'!$A$7:$A$306,F108,'方案版本'!$B$7:$B$306,A108,'方案版本'!$L$7:$L$306,"已冻结")&lt;&gt;1),"当前方案引用无效",IF(AND(D108="执行中",F108=""),"执行缺方案",IF(AND(D108="已结案",OR(T108="",COUNTIFS('复盘记录'!$B$7:$B$306,A108)=0,COUNTIFS('更新日志'!$B$7:$B$306,A108)=0)),"结案资料待补","基础记录齐备"))))))</x:f>
      </x:c>
      <x:c r="S108" s="3"/>
      <x:c r="T108" s="3"/>
    </x:row>
    <x:row r="109" ht="25" customHeight="1">
      <x:c r="A109" s="3"/>
      <x:c r="B109" s="3"/>
      <x:c r="C109" s="3"/>
      <x:c r="D109" s="3"/>
      <x:c r="E109" s="3"/>
      <x:c r="F109" s="3"/>
      <x:c r="G109" s="3"/>
      <x:c r="H109" s="3"/>
      <x:c r="I109" s="20"/>
      <x:c r="J109" s="3"/>
      <x:c r="K109" s="22"/>
      <x:c r="L109" s="22"/>
      <x:c r="M109" s="24" t="str">
        <x:f>IF(A109="","",IF(COUNTIFS('执行日志'!$B$7:$B$306,A109)=0,"",IF(COUNTIFS('执行日志'!$B$7:$B$306,A109,'执行日志'!$L$7:$L$306,"有效",'执行日志'!$P$7:$P$306,"&lt;&gt;有效输入")&gt;0,"待核对",IF(COUNTIFS('执行日志'!$B$7:$B$306,A109,'执行日志'!$P$7:$P$306,"有效输入")=0,"",SUMIFS('执行日志'!$H$7:$H$306,'执行日志'!$B$7:$B$306,A109,'执行日志'!$P$7:$P$306,"有效输入")))))</x:f>
      </x:c>
      <x:c r="N109" s="24" t="str">
        <x:f>IF(A109="","",IF(COUNTIFS('执行日志'!$B$7:$B$306,A109)=0,"",IF(COUNTIFS('执行日志'!$B$7:$B$306,A109,'执行日志'!$L$7:$L$306,"有效",'执行日志'!$P$7:$P$306,"&lt;&gt;有效输入")&gt;0,"待核对",IF(COUNTIFS('执行日志'!$B$7:$B$306,A109,'执行日志'!$P$7:$P$306,"有效输入")=0,"",SUMIFS('执行日志'!$J$7:$J$306,'执行日志'!$B$7:$B$306,A109,'执行日志'!$P$7:$P$306,"有效输入")))))</x:f>
      </x:c>
      <x:c r="O109" s="24" t="str">
        <x:f>IF(A109="","",IF(NOT(ISNUMBER(K109)),"待定预算",IF(NOT(ISNUMBER(M109)),"暂无有效流水",K109-M109)))</x:f>
      </x:c>
      <x:c r="P109" s="24" t="str">
        <x:f>IF(A109="","",IF(NOT(ISNUMBER(L109)),"待定预算",IF(NOT(ISNUMBER(N109)),"暂无有效流水",L109-N109)))</x:f>
      </x:c>
      <x:c r="Q109" s="19" t="str">
        <x:f>IF(A109="","",IF(D109="已结案","已结案",IF(NOT(ISNUMBER(I109)),"待定复盘日",IF(NOT(ISNUMBER($B$3)),"待定评估日",IF(I109&lt;=$B$3,"应复盘","未到期")))))</x:f>
      </x:c>
      <x:c r="R109" s="19" t="str">
        <x:f>IF(A109="","",IF(COUNTIFS($A$7:$A$306,A109)&lt;&gt;1,"问题编号重复",IF(OR(B109="",C109="",D109="",G109="",S109=""),"待补基础信息",IF(AND(F109&lt;&gt;"",COUNTIFS('方案版本'!$A$7:$A$306,F109,'方案版本'!$B$7:$B$306,A109,'方案版本'!$L$7:$L$306,"已冻结")&lt;&gt;1),"当前方案引用无效",IF(AND(D109="执行中",F109=""),"执行缺方案",IF(AND(D109="已结案",OR(T109="",COUNTIFS('复盘记录'!$B$7:$B$306,A109)=0,COUNTIFS('更新日志'!$B$7:$B$306,A109)=0)),"结案资料待补","基础记录齐备"))))))</x:f>
      </x:c>
      <x:c r="S109" s="3"/>
      <x:c r="T109" s="3"/>
    </x:row>
    <x:row r="110" ht="25" customHeight="1">
      <x:c r="A110" s="3"/>
      <x:c r="B110" s="3"/>
      <x:c r="C110" s="3"/>
      <x:c r="D110" s="3"/>
      <x:c r="E110" s="3"/>
      <x:c r="F110" s="3"/>
      <x:c r="G110" s="3"/>
      <x:c r="H110" s="3"/>
      <x:c r="I110" s="20"/>
      <x:c r="J110" s="3"/>
      <x:c r="K110" s="22"/>
      <x:c r="L110" s="22"/>
      <x:c r="M110" s="24" t="str">
        <x:f>IF(A110="","",IF(COUNTIFS('执行日志'!$B$7:$B$306,A110)=0,"",IF(COUNTIFS('执行日志'!$B$7:$B$306,A110,'执行日志'!$L$7:$L$306,"有效",'执行日志'!$P$7:$P$306,"&lt;&gt;有效输入")&gt;0,"待核对",IF(COUNTIFS('执行日志'!$B$7:$B$306,A110,'执行日志'!$P$7:$P$306,"有效输入")=0,"",SUMIFS('执行日志'!$H$7:$H$306,'执行日志'!$B$7:$B$306,A110,'执行日志'!$P$7:$P$306,"有效输入")))))</x:f>
      </x:c>
      <x:c r="N110" s="24" t="str">
        <x:f>IF(A110="","",IF(COUNTIFS('执行日志'!$B$7:$B$306,A110)=0,"",IF(COUNTIFS('执行日志'!$B$7:$B$306,A110,'执行日志'!$L$7:$L$306,"有效",'执行日志'!$P$7:$P$306,"&lt;&gt;有效输入")&gt;0,"待核对",IF(COUNTIFS('执行日志'!$B$7:$B$306,A110,'执行日志'!$P$7:$P$306,"有效输入")=0,"",SUMIFS('执行日志'!$J$7:$J$306,'执行日志'!$B$7:$B$306,A110,'执行日志'!$P$7:$P$306,"有效输入")))))</x:f>
      </x:c>
      <x:c r="O110" s="24" t="str">
        <x:f>IF(A110="","",IF(NOT(ISNUMBER(K110)),"待定预算",IF(NOT(ISNUMBER(M110)),"暂无有效流水",K110-M110)))</x:f>
      </x:c>
      <x:c r="P110" s="24" t="str">
        <x:f>IF(A110="","",IF(NOT(ISNUMBER(L110)),"待定预算",IF(NOT(ISNUMBER(N110)),"暂无有效流水",L110-N110)))</x:f>
      </x:c>
      <x:c r="Q110" s="19" t="str">
        <x:f>IF(A110="","",IF(D110="已结案","已结案",IF(NOT(ISNUMBER(I110)),"待定复盘日",IF(NOT(ISNUMBER($B$3)),"待定评估日",IF(I110&lt;=$B$3,"应复盘","未到期")))))</x:f>
      </x:c>
      <x:c r="R110" s="19" t="str">
        <x:f>IF(A110="","",IF(COUNTIFS($A$7:$A$306,A110)&lt;&gt;1,"问题编号重复",IF(OR(B110="",C110="",D110="",G110="",S110=""),"待补基础信息",IF(AND(F110&lt;&gt;"",COUNTIFS('方案版本'!$A$7:$A$306,F110,'方案版本'!$B$7:$B$306,A110,'方案版本'!$L$7:$L$306,"已冻结")&lt;&gt;1),"当前方案引用无效",IF(AND(D110="执行中",F110=""),"执行缺方案",IF(AND(D110="已结案",OR(T110="",COUNTIFS('复盘记录'!$B$7:$B$306,A110)=0,COUNTIFS('更新日志'!$B$7:$B$306,A110)=0)),"结案资料待补","基础记录齐备"))))))</x:f>
      </x:c>
      <x:c r="S110" s="3"/>
      <x:c r="T110" s="3"/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  <x:c r="I111" s="20"/>
      <x:c r="J111" s="3"/>
      <x:c r="K111" s="22"/>
      <x:c r="L111" s="22"/>
      <x:c r="M111" s="24" t="str">
        <x:f>IF(A111="","",IF(COUNTIFS('执行日志'!$B$7:$B$306,A111)=0,"",IF(COUNTIFS('执行日志'!$B$7:$B$306,A111,'执行日志'!$L$7:$L$306,"有效",'执行日志'!$P$7:$P$306,"&lt;&gt;有效输入")&gt;0,"待核对",IF(COUNTIFS('执行日志'!$B$7:$B$306,A111,'执行日志'!$P$7:$P$306,"有效输入")=0,"",SUMIFS('执行日志'!$H$7:$H$306,'执行日志'!$B$7:$B$306,A111,'执行日志'!$P$7:$P$306,"有效输入")))))</x:f>
      </x:c>
      <x:c r="N111" s="24" t="str">
        <x:f>IF(A111="","",IF(COUNTIFS('执行日志'!$B$7:$B$306,A111)=0,"",IF(COUNTIFS('执行日志'!$B$7:$B$306,A111,'执行日志'!$L$7:$L$306,"有效",'执行日志'!$P$7:$P$306,"&lt;&gt;有效输入")&gt;0,"待核对",IF(COUNTIFS('执行日志'!$B$7:$B$306,A111,'执行日志'!$P$7:$P$306,"有效输入")=0,"",SUMIFS('执行日志'!$J$7:$J$306,'执行日志'!$B$7:$B$306,A111,'执行日志'!$P$7:$P$306,"有效输入")))))</x:f>
      </x:c>
      <x:c r="O111" s="24" t="str">
        <x:f>IF(A111="","",IF(NOT(ISNUMBER(K111)),"待定预算",IF(NOT(ISNUMBER(M111)),"暂无有效流水",K111-M111)))</x:f>
      </x:c>
      <x:c r="P111" s="24" t="str">
        <x:f>IF(A111="","",IF(NOT(ISNUMBER(L111)),"待定预算",IF(NOT(ISNUMBER(N111)),"暂无有效流水",L111-N111)))</x:f>
      </x:c>
      <x:c r="Q111" s="19" t="str">
        <x:f>IF(A111="","",IF(D111="已结案","已结案",IF(NOT(ISNUMBER(I111)),"待定复盘日",IF(NOT(ISNUMBER($B$3)),"待定评估日",IF(I111&lt;=$B$3,"应复盘","未到期")))))</x:f>
      </x:c>
      <x:c r="R111" s="19" t="str">
        <x:f>IF(A111="","",IF(COUNTIFS($A$7:$A$306,A111)&lt;&gt;1,"问题编号重复",IF(OR(B111="",C111="",D111="",G111="",S111=""),"待补基础信息",IF(AND(F111&lt;&gt;"",COUNTIFS('方案版本'!$A$7:$A$306,F111,'方案版本'!$B$7:$B$306,A111,'方案版本'!$L$7:$L$306,"已冻结")&lt;&gt;1),"当前方案引用无效",IF(AND(D111="执行中",F111=""),"执行缺方案",IF(AND(D111="已结案",OR(T111="",COUNTIFS('复盘记录'!$B$7:$B$306,A111)=0,COUNTIFS('更新日志'!$B$7:$B$306,A111)=0)),"结案资料待补","基础记录齐备"))))))</x:f>
      </x:c>
      <x:c r="S111" s="3"/>
      <x:c r="T111" s="3"/>
    </x:row>
    <x:row r="112" ht="25" customHeight="1">
      <x:c r="A112" s="3"/>
      <x:c r="B112" s="3"/>
      <x:c r="C112" s="3"/>
      <x:c r="D112" s="3"/>
      <x:c r="E112" s="3"/>
      <x:c r="F112" s="3"/>
      <x:c r="G112" s="3"/>
      <x:c r="H112" s="3"/>
      <x:c r="I112" s="20"/>
      <x:c r="J112" s="3"/>
      <x:c r="K112" s="22"/>
      <x:c r="L112" s="22"/>
      <x:c r="M112" s="24" t="str">
        <x:f>IF(A112="","",IF(COUNTIFS('执行日志'!$B$7:$B$306,A112)=0,"",IF(COUNTIFS('执行日志'!$B$7:$B$306,A112,'执行日志'!$L$7:$L$306,"有效",'执行日志'!$P$7:$P$306,"&lt;&gt;有效输入")&gt;0,"待核对",IF(COUNTIFS('执行日志'!$B$7:$B$306,A112,'执行日志'!$P$7:$P$306,"有效输入")=0,"",SUMIFS('执行日志'!$H$7:$H$306,'执行日志'!$B$7:$B$306,A112,'执行日志'!$P$7:$P$306,"有效输入")))))</x:f>
      </x:c>
      <x:c r="N112" s="24" t="str">
        <x:f>IF(A112="","",IF(COUNTIFS('执行日志'!$B$7:$B$306,A112)=0,"",IF(COUNTIFS('执行日志'!$B$7:$B$306,A112,'执行日志'!$L$7:$L$306,"有效",'执行日志'!$P$7:$P$306,"&lt;&gt;有效输入")&gt;0,"待核对",IF(COUNTIFS('执行日志'!$B$7:$B$306,A112,'执行日志'!$P$7:$P$306,"有效输入")=0,"",SUMIFS('执行日志'!$J$7:$J$306,'执行日志'!$B$7:$B$306,A112,'执行日志'!$P$7:$P$306,"有效输入")))))</x:f>
      </x:c>
      <x:c r="O112" s="24" t="str">
        <x:f>IF(A112="","",IF(NOT(ISNUMBER(K112)),"待定预算",IF(NOT(ISNUMBER(M112)),"暂无有效流水",K112-M112)))</x:f>
      </x:c>
      <x:c r="P112" s="24" t="str">
        <x:f>IF(A112="","",IF(NOT(ISNUMBER(L112)),"待定预算",IF(NOT(ISNUMBER(N112)),"暂无有效流水",L112-N112)))</x:f>
      </x:c>
      <x:c r="Q112" s="19" t="str">
        <x:f>IF(A112="","",IF(D112="已结案","已结案",IF(NOT(ISNUMBER(I112)),"待定复盘日",IF(NOT(ISNUMBER($B$3)),"待定评估日",IF(I112&lt;=$B$3,"应复盘","未到期")))))</x:f>
      </x:c>
      <x:c r="R112" s="19" t="str">
        <x:f>IF(A112="","",IF(COUNTIFS($A$7:$A$306,A112)&lt;&gt;1,"问题编号重复",IF(OR(B112="",C112="",D112="",G112="",S112=""),"待补基础信息",IF(AND(F112&lt;&gt;"",COUNTIFS('方案版本'!$A$7:$A$306,F112,'方案版本'!$B$7:$B$306,A112,'方案版本'!$L$7:$L$306,"已冻结")&lt;&gt;1),"当前方案引用无效",IF(AND(D112="执行中",F112=""),"执行缺方案",IF(AND(D112="已结案",OR(T112="",COUNTIFS('复盘记录'!$B$7:$B$306,A112)=0,COUNTIFS('更新日志'!$B$7:$B$306,A112)=0)),"结案资料待补","基础记录齐备"))))))</x:f>
      </x:c>
      <x:c r="S112" s="3"/>
      <x:c r="T112" s="3"/>
    </x:row>
    <x:row r="113" ht="25" customHeight="1">
      <x:c r="A113" s="3"/>
      <x:c r="B113" s="3"/>
      <x:c r="C113" s="3"/>
      <x:c r="D113" s="3"/>
      <x:c r="E113" s="3"/>
      <x:c r="F113" s="3"/>
      <x:c r="G113" s="3"/>
      <x:c r="H113" s="3"/>
      <x:c r="I113" s="20"/>
      <x:c r="J113" s="3"/>
      <x:c r="K113" s="22"/>
      <x:c r="L113" s="22"/>
      <x:c r="M113" s="24" t="str">
        <x:f>IF(A113="","",IF(COUNTIFS('执行日志'!$B$7:$B$306,A113)=0,"",IF(COUNTIFS('执行日志'!$B$7:$B$306,A113,'执行日志'!$L$7:$L$306,"有效",'执行日志'!$P$7:$P$306,"&lt;&gt;有效输入")&gt;0,"待核对",IF(COUNTIFS('执行日志'!$B$7:$B$306,A113,'执行日志'!$P$7:$P$306,"有效输入")=0,"",SUMIFS('执行日志'!$H$7:$H$306,'执行日志'!$B$7:$B$306,A113,'执行日志'!$P$7:$P$306,"有效输入")))))</x:f>
      </x:c>
      <x:c r="N113" s="24" t="str">
        <x:f>IF(A113="","",IF(COUNTIFS('执行日志'!$B$7:$B$306,A113)=0,"",IF(COUNTIFS('执行日志'!$B$7:$B$306,A113,'执行日志'!$L$7:$L$306,"有效",'执行日志'!$P$7:$P$306,"&lt;&gt;有效输入")&gt;0,"待核对",IF(COUNTIFS('执行日志'!$B$7:$B$306,A113,'执行日志'!$P$7:$P$306,"有效输入")=0,"",SUMIFS('执行日志'!$J$7:$J$306,'执行日志'!$B$7:$B$306,A113,'执行日志'!$P$7:$P$306,"有效输入")))))</x:f>
      </x:c>
      <x:c r="O113" s="24" t="str">
        <x:f>IF(A113="","",IF(NOT(ISNUMBER(K113)),"待定预算",IF(NOT(ISNUMBER(M113)),"暂无有效流水",K113-M113)))</x:f>
      </x:c>
      <x:c r="P113" s="24" t="str">
        <x:f>IF(A113="","",IF(NOT(ISNUMBER(L113)),"待定预算",IF(NOT(ISNUMBER(N113)),"暂无有效流水",L113-N113)))</x:f>
      </x:c>
      <x:c r="Q113" s="19" t="str">
        <x:f>IF(A113="","",IF(D113="已结案","已结案",IF(NOT(ISNUMBER(I113)),"待定复盘日",IF(NOT(ISNUMBER($B$3)),"待定评估日",IF(I113&lt;=$B$3,"应复盘","未到期")))))</x:f>
      </x:c>
      <x:c r="R113" s="19" t="str">
        <x:f>IF(A113="","",IF(COUNTIFS($A$7:$A$306,A113)&lt;&gt;1,"问题编号重复",IF(OR(B113="",C113="",D113="",G113="",S113=""),"待补基础信息",IF(AND(F113&lt;&gt;"",COUNTIFS('方案版本'!$A$7:$A$306,F113,'方案版本'!$B$7:$B$306,A113,'方案版本'!$L$7:$L$306,"已冻结")&lt;&gt;1),"当前方案引用无效",IF(AND(D113="执行中",F113=""),"执行缺方案",IF(AND(D113="已结案",OR(T113="",COUNTIFS('复盘记录'!$B$7:$B$306,A113)=0,COUNTIFS('更新日志'!$B$7:$B$306,A113)=0)),"结案资料待补","基础记录齐备"))))))</x:f>
      </x:c>
      <x:c r="S113" s="3"/>
      <x:c r="T113" s="3"/>
    </x:row>
    <x:row r="114" ht="25" customHeight="1">
      <x:c r="A114" s="3"/>
      <x:c r="B114" s="3"/>
      <x:c r="C114" s="3"/>
      <x:c r="D114" s="3"/>
      <x:c r="E114" s="3"/>
      <x:c r="F114" s="3"/>
      <x:c r="G114" s="3"/>
      <x:c r="H114" s="3"/>
      <x:c r="I114" s="20"/>
      <x:c r="J114" s="3"/>
      <x:c r="K114" s="22"/>
      <x:c r="L114" s="22"/>
      <x:c r="M114" s="24" t="str">
        <x:f>IF(A114="","",IF(COUNTIFS('执行日志'!$B$7:$B$306,A114)=0,"",IF(COUNTIFS('执行日志'!$B$7:$B$306,A114,'执行日志'!$L$7:$L$306,"有效",'执行日志'!$P$7:$P$306,"&lt;&gt;有效输入")&gt;0,"待核对",IF(COUNTIFS('执行日志'!$B$7:$B$306,A114,'执行日志'!$P$7:$P$306,"有效输入")=0,"",SUMIFS('执行日志'!$H$7:$H$306,'执行日志'!$B$7:$B$306,A114,'执行日志'!$P$7:$P$306,"有效输入")))))</x:f>
      </x:c>
      <x:c r="N114" s="24" t="str">
        <x:f>IF(A114="","",IF(COUNTIFS('执行日志'!$B$7:$B$306,A114)=0,"",IF(COUNTIFS('执行日志'!$B$7:$B$306,A114,'执行日志'!$L$7:$L$306,"有效",'执行日志'!$P$7:$P$306,"&lt;&gt;有效输入")&gt;0,"待核对",IF(COUNTIFS('执行日志'!$B$7:$B$306,A114,'执行日志'!$P$7:$P$306,"有效输入")=0,"",SUMIFS('执行日志'!$J$7:$J$306,'执行日志'!$B$7:$B$306,A114,'执行日志'!$P$7:$P$306,"有效输入")))))</x:f>
      </x:c>
      <x:c r="O114" s="24" t="str">
        <x:f>IF(A114="","",IF(NOT(ISNUMBER(K114)),"待定预算",IF(NOT(ISNUMBER(M114)),"暂无有效流水",K114-M114)))</x:f>
      </x:c>
      <x:c r="P114" s="24" t="str">
        <x:f>IF(A114="","",IF(NOT(ISNUMBER(L114)),"待定预算",IF(NOT(ISNUMBER(N114)),"暂无有效流水",L114-N114)))</x:f>
      </x:c>
      <x:c r="Q114" s="19" t="str">
        <x:f>IF(A114="","",IF(D114="已结案","已结案",IF(NOT(ISNUMBER(I114)),"待定复盘日",IF(NOT(ISNUMBER($B$3)),"待定评估日",IF(I114&lt;=$B$3,"应复盘","未到期")))))</x:f>
      </x:c>
      <x:c r="R114" s="19" t="str">
        <x:f>IF(A114="","",IF(COUNTIFS($A$7:$A$306,A114)&lt;&gt;1,"问题编号重复",IF(OR(B114="",C114="",D114="",G114="",S114=""),"待补基础信息",IF(AND(F114&lt;&gt;"",COUNTIFS('方案版本'!$A$7:$A$306,F114,'方案版本'!$B$7:$B$306,A114,'方案版本'!$L$7:$L$306,"已冻结")&lt;&gt;1),"当前方案引用无效",IF(AND(D114="执行中",F114=""),"执行缺方案",IF(AND(D114="已结案",OR(T114="",COUNTIFS('复盘记录'!$B$7:$B$306,A114)=0,COUNTIFS('更新日志'!$B$7:$B$306,A114)=0)),"结案资料待补","基础记录齐备"))))))</x:f>
      </x:c>
      <x:c r="S114" s="3"/>
      <x:c r="T114" s="3"/>
    </x:row>
    <x:row r="115" ht="25" customHeight="1">
      <x:c r="A115" s="3"/>
      <x:c r="B115" s="3"/>
      <x:c r="C115" s="3"/>
      <x:c r="D115" s="3"/>
      <x:c r="E115" s="3"/>
      <x:c r="F115" s="3"/>
      <x:c r="G115" s="3"/>
      <x:c r="H115" s="3"/>
      <x:c r="I115" s="20"/>
      <x:c r="J115" s="3"/>
      <x:c r="K115" s="22"/>
      <x:c r="L115" s="22"/>
      <x:c r="M115" s="24" t="str">
        <x:f>IF(A115="","",IF(COUNTIFS('执行日志'!$B$7:$B$306,A115)=0,"",IF(COUNTIFS('执行日志'!$B$7:$B$306,A115,'执行日志'!$L$7:$L$306,"有效",'执行日志'!$P$7:$P$306,"&lt;&gt;有效输入")&gt;0,"待核对",IF(COUNTIFS('执行日志'!$B$7:$B$306,A115,'执行日志'!$P$7:$P$306,"有效输入")=0,"",SUMIFS('执行日志'!$H$7:$H$306,'执行日志'!$B$7:$B$306,A115,'执行日志'!$P$7:$P$306,"有效输入")))))</x:f>
      </x:c>
      <x:c r="N115" s="24" t="str">
        <x:f>IF(A115="","",IF(COUNTIFS('执行日志'!$B$7:$B$306,A115)=0,"",IF(COUNTIFS('执行日志'!$B$7:$B$306,A115,'执行日志'!$L$7:$L$306,"有效",'执行日志'!$P$7:$P$306,"&lt;&gt;有效输入")&gt;0,"待核对",IF(COUNTIFS('执行日志'!$B$7:$B$306,A115,'执行日志'!$P$7:$P$306,"有效输入")=0,"",SUMIFS('执行日志'!$J$7:$J$306,'执行日志'!$B$7:$B$306,A115,'执行日志'!$P$7:$P$306,"有效输入")))))</x:f>
      </x:c>
      <x:c r="O115" s="24" t="str">
        <x:f>IF(A115="","",IF(NOT(ISNUMBER(K115)),"待定预算",IF(NOT(ISNUMBER(M115)),"暂无有效流水",K115-M115)))</x:f>
      </x:c>
      <x:c r="P115" s="24" t="str">
        <x:f>IF(A115="","",IF(NOT(ISNUMBER(L115)),"待定预算",IF(NOT(ISNUMBER(N115)),"暂无有效流水",L115-N115)))</x:f>
      </x:c>
      <x:c r="Q115" s="19" t="str">
        <x:f>IF(A115="","",IF(D115="已结案","已结案",IF(NOT(ISNUMBER(I115)),"待定复盘日",IF(NOT(ISNUMBER($B$3)),"待定评估日",IF(I115&lt;=$B$3,"应复盘","未到期")))))</x:f>
      </x:c>
      <x:c r="R115" s="19" t="str">
        <x:f>IF(A115="","",IF(COUNTIFS($A$7:$A$306,A115)&lt;&gt;1,"问题编号重复",IF(OR(B115="",C115="",D115="",G115="",S115=""),"待补基础信息",IF(AND(F115&lt;&gt;"",COUNTIFS('方案版本'!$A$7:$A$306,F115,'方案版本'!$B$7:$B$306,A115,'方案版本'!$L$7:$L$306,"已冻结")&lt;&gt;1),"当前方案引用无效",IF(AND(D115="执行中",F115=""),"执行缺方案",IF(AND(D115="已结案",OR(T115="",COUNTIFS('复盘记录'!$B$7:$B$306,A115)=0,COUNTIFS('更新日志'!$B$7:$B$306,A115)=0)),"结案资料待补","基础记录齐备"))))))</x:f>
      </x:c>
      <x:c r="S115" s="3"/>
      <x:c r="T115" s="3"/>
    </x:row>
    <x:row r="116" ht="25" customHeight="1">
      <x:c r="A116" s="3"/>
      <x:c r="B116" s="3"/>
      <x:c r="C116" s="3"/>
      <x:c r="D116" s="3"/>
      <x:c r="E116" s="3"/>
      <x:c r="F116" s="3"/>
      <x:c r="G116" s="3"/>
      <x:c r="H116" s="3"/>
      <x:c r="I116" s="20"/>
      <x:c r="J116" s="3"/>
      <x:c r="K116" s="22"/>
      <x:c r="L116" s="22"/>
      <x:c r="M116" s="24" t="str">
        <x:f>IF(A116="","",IF(COUNTIFS('执行日志'!$B$7:$B$306,A116)=0,"",IF(COUNTIFS('执行日志'!$B$7:$B$306,A116,'执行日志'!$L$7:$L$306,"有效",'执行日志'!$P$7:$P$306,"&lt;&gt;有效输入")&gt;0,"待核对",IF(COUNTIFS('执行日志'!$B$7:$B$306,A116,'执行日志'!$P$7:$P$306,"有效输入")=0,"",SUMIFS('执行日志'!$H$7:$H$306,'执行日志'!$B$7:$B$306,A116,'执行日志'!$P$7:$P$306,"有效输入")))))</x:f>
      </x:c>
      <x:c r="N116" s="24" t="str">
        <x:f>IF(A116="","",IF(COUNTIFS('执行日志'!$B$7:$B$306,A116)=0,"",IF(COUNTIFS('执行日志'!$B$7:$B$306,A116,'执行日志'!$L$7:$L$306,"有效",'执行日志'!$P$7:$P$306,"&lt;&gt;有效输入")&gt;0,"待核对",IF(COUNTIFS('执行日志'!$B$7:$B$306,A116,'执行日志'!$P$7:$P$306,"有效输入")=0,"",SUMIFS('执行日志'!$J$7:$J$306,'执行日志'!$B$7:$B$306,A116,'执行日志'!$P$7:$P$306,"有效输入")))))</x:f>
      </x:c>
      <x:c r="O116" s="24" t="str">
        <x:f>IF(A116="","",IF(NOT(ISNUMBER(K116)),"待定预算",IF(NOT(ISNUMBER(M116)),"暂无有效流水",K116-M116)))</x:f>
      </x:c>
      <x:c r="P116" s="24" t="str">
        <x:f>IF(A116="","",IF(NOT(ISNUMBER(L116)),"待定预算",IF(NOT(ISNUMBER(N116)),"暂无有效流水",L116-N116)))</x:f>
      </x:c>
      <x:c r="Q116" s="19" t="str">
        <x:f>IF(A116="","",IF(D116="已结案","已结案",IF(NOT(ISNUMBER(I116)),"待定复盘日",IF(NOT(ISNUMBER($B$3)),"待定评估日",IF(I116&lt;=$B$3,"应复盘","未到期")))))</x:f>
      </x:c>
      <x:c r="R116" s="19" t="str">
        <x:f>IF(A116="","",IF(COUNTIFS($A$7:$A$306,A116)&lt;&gt;1,"问题编号重复",IF(OR(B116="",C116="",D116="",G116="",S116=""),"待补基础信息",IF(AND(F116&lt;&gt;"",COUNTIFS('方案版本'!$A$7:$A$306,F116,'方案版本'!$B$7:$B$306,A116,'方案版本'!$L$7:$L$306,"已冻结")&lt;&gt;1),"当前方案引用无效",IF(AND(D116="执行中",F116=""),"执行缺方案",IF(AND(D116="已结案",OR(T116="",COUNTIFS('复盘记录'!$B$7:$B$306,A116)=0,COUNTIFS('更新日志'!$B$7:$B$306,A116)=0)),"结案资料待补","基础记录齐备"))))))</x:f>
      </x:c>
      <x:c r="S116" s="3"/>
      <x:c r="T116" s="3"/>
    </x:row>
    <x:row r="117" ht="25" customHeight="1">
      <x:c r="A117" s="3"/>
      <x:c r="B117" s="3"/>
      <x:c r="C117" s="3"/>
      <x:c r="D117" s="3"/>
      <x:c r="E117" s="3"/>
      <x:c r="F117" s="3"/>
      <x:c r="G117" s="3"/>
      <x:c r="H117" s="3"/>
      <x:c r="I117" s="20"/>
      <x:c r="J117" s="3"/>
      <x:c r="K117" s="22"/>
      <x:c r="L117" s="22"/>
      <x:c r="M117" s="24" t="str">
        <x:f>IF(A117="","",IF(COUNTIFS('执行日志'!$B$7:$B$306,A117)=0,"",IF(COUNTIFS('执行日志'!$B$7:$B$306,A117,'执行日志'!$L$7:$L$306,"有效",'执行日志'!$P$7:$P$306,"&lt;&gt;有效输入")&gt;0,"待核对",IF(COUNTIFS('执行日志'!$B$7:$B$306,A117,'执行日志'!$P$7:$P$306,"有效输入")=0,"",SUMIFS('执行日志'!$H$7:$H$306,'执行日志'!$B$7:$B$306,A117,'执行日志'!$P$7:$P$306,"有效输入")))))</x:f>
      </x:c>
      <x:c r="N117" s="24" t="str">
        <x:f>IF(A117="","",IF(COUNTIFS('执行日志'!$B$7:$B$306,A117)=0,"",IF(COUNTIFS('执行日志'!$B$7:$B$306,A117,'执行日志'!$L$7:$L$306,"有效",'执行日志'!$P$7:$P$306,"&lt;&gt;有效输入")&gt;0,"待核对",IF(COUNTIFS('执行日志'!$B$7:$B$306,A117,'执行日志'!$P$7:$P$306,"有效输入")=0,"",SUMIFS('执行日志'!$J$7:$J$306,'执行日志'!$B$7:$B$306,A117,'执行日志'!$P$7:$P$306,"有效输入")))))</x:f>
      </x:c>
      <x:c r="O117" s="24" t="str">
        <x:f>IF(A117="","",IF(NOT(ISNUMBER(K117)),"待定预算",IF(NOT(ISNUMBER(M117)),"暂无有效流水",K117-M117)))</x:f>
      </x:c>
      <x:c r="P117" s="24" t="str">
        <x:f>IF(A117="","",IF(NOT(ISNUMBER(L117)),"待定预算",IF(NOT(ISNUMBER(N117)),"暂无有效流水",L117-N117)))</x:f>
      </x:c>
      <x:c r="Q117" s="19" t="str">
        <x:f>IF(A117="","",IF(D117="已结案","已结案",IF(NOT(ISNUMBER(I117)),"待定复盘日",IF(NOT(ISNUMBER($B$3)),"待定评估日",IF(I117&lt;=$B$3,"应复盘","未到期")))))</x:f>
      </x:c>
      <x:c r="R117" s="19" t="str">
        <x:f>IF(A117="","",IF(COUNTIFS($A$7:$A$306,A117)&lt;&gt;1,"问题编号重复",IF(OR(B117="",C117="",D117="",G117="",S117=""),"待补基础信息",IF(AND(F117&lt;&gt;"",COUNTIFS('方案版本'!$A$7:$A$306,F117,'方案版本'!$B$7:$B$306,A117,'方案版本'!$L$7:$L$306,"已冻结")&lt;&gt;1),"当前方案引用无效",IF(AND(D117="执行中",F117=""),"执行缺方案",IF(AND(D117="已结案",OR(T117="",COUNTIFS('复盘记录'!$B$7:$B$306,A117)=0,COUNTIFS('更新日志'!$B$7:$B$306,A117)=0)),"结案资料待补","基础记录齐备"))))))</x:f>
      </x:c>
      <x:c r="S117" s="3"/>
      <x:c r="T117" s="3"/>
    </x:row>
    <x:row r="118" ht="25" customHeight="1">
      <x:c r="A118" s="3"/>
      <x:c r="B118" s="3"/>
      <x:c r="C118" s="3"/>
      <x:c r="D118" s="3"/>
      <x:c r="E118" s="3"/>
      <x:c r="F118" s="3"/>
      <x:c r="G118" s="3"/>
      <x:c r="H118" s="3"/>
      <x:c r="I118" s="20"/>
      <x:c r="J118" s="3"/>
      <x:c r="K118" s="22"/>
      <x:c r="L118" s="22"/>
      <x:c r="M118" s="24" t="str">
        <x:f>IF(A118="","",IF(COUNTIFS('执行日志'!$B$7:$B$306,A118)=0,"",IF(COUNTIFS('执行日志'!$B$7:$B$306,A118,'执行日志'!$L$7:$L$306,"有效",'执行日志'!$P$7:$P$306,"&lt;&gt;有效输入")&gt;0,"待核对",IF(COUNTIFS('执行日志'!$B$7:$B$306,A118,'执行日志'!$P$7:$P$306,"有效输入")=0,"",SUMIFS('执行日志'!$H$7:$H$306,'执行日志'!$B$7:$B$306,A118,'执行日志'!$P$7:$P$306,"有效输入")))))</x:f>
      </x:c>
      <x:c r="N118" s="24" t="str">
        <x:f>IF(A118="","",IF(COUNTIFS('执行日志'!$B$7:$B$306,A118)=0,"",IF(COUNTIFS('执行日志'!$B$7:$B$306,A118,'执行日志'!$L$7:$L$306,"有效",'执行日志'!$P$7:$P$306,"&lt;&gt;有效输入")&gt;0,"待核对",IF(COUNTIFS('执行日志'!$B$7:$B$306,A118,'执行日志'!$P$7:$P$306,"有效输入")=0,"",SUMIFS('执行日志'!$J$7:$J$306,'执行日志'!$B$7:$B$306,A118,'执行日志'!$P$7:$P$306,"有效输入")))))</x:f>
      </x:c>
      <x:c r="O118" s="24" t="str">
        <x:f>IF(A118="","",IF(NOT(ISNUMBER(K118)),"待定预算",IF(NOT(ISNUMBER(M118)),"暂无有效流水",K118-M118)))</x:f>
      </x:c>
      <x:c r="P118" s="24" t="str">
        <x:f>IF(A118="","",IF(NOT(ISNUMBER(L118)),"待定预算",IF(NOT(ISNUMBER(N118)),"暂无有效流水",L118-N118)))</x:f>
      </x:c>
      <x:c r="Q118" s="19" t="str">
        <x:f>IF(A118="","",IF(D118="已结案","已结案",IF(NOT(ISNUMBER(I118)),"待定复盘日",IF(NOT(ISNUMBER($B$3)),"待定评估日",IF(I118&lt;=$B$3,"应复盘","未到期")))))</x:f>
      </x:c>
      <x:c r="R118" s="19" t="str">
        <x:f>IF(A118="","",IF(COUNTIFS($A$7:$A$306,A118)&lt;&gt;1,"问题编号重复",IF(OR(B118="",C118="",D118="",G118="",S118=""),"待补基础信息",IF(AND(F118&lt;&gt;"",COUNTIFS('方案版本'!$A$7:$A$306,F118,'方案版本'!$B$7:$B$306,A118,'方案版本'!$L$7:$L$306,"已冻结")&lt;&gt;1),"当前方案引用无效",IF(AND(D118="执行中",F118=""),"执行缺方案",IF(AND(D118="已结案",OR(T118="",COUNTIFS('复盘记录'!$B$7:$B$306,A118)=0,COUNTIFS('更新日志'!$B$7:$B$306,A118)=0)),"结案资料待补","基础记录齐备"))))))</x:f>
      </x:c>
      <x:c r="S118" s="3"/>
      <x:c r="T118" s="3"/>
    </x:row>
    <x:row r="119" ht="25" customHeight="1">
      <x:c r="A119" s="3"/>
      <x:c r="B119" s="3"/>
      <x:c r="C119" s="3"/>
      <x:c r="D119" s="3"/>
      <x:c r="E119" s="3"/>
      <x:c r="F119" s="3"/>
      <x:c r="G119" s="3"/>
      <x:c r="H119" s="3"/>
      <x:c r="I119" s="20"/>
      <x:c r="J119" s="3"/>
      <x:c r="K119" s="22"/>
      <x:c r="L119" s="22"/>
      <x:c r="M119" s="24" t="str">
        <x:f>IF(A119="","",IF(COUNTIFS('执行日志'!$B$7:$B$306,A119)=0,"",IF(COUNTIFS('执行日志'!$B$7:$B$306,A119,'执行日志'!$L$7:$L$306,"有效",'执行日志'!$P$7:$P$306,"&lt;&gt;有效输入")&gt;0,"待核对",IF(COUNTIFS('执行日志'!$B$7:$B$306,A119,'执行日志'!$P$7:$P$306,"有效输入")=0,"",SUMIFS('执行日志'!$H$7:$H$306,'执行日志'!$B$7:$B$306,A119,'执行日志'!$P$7:$P$306,"有效输入")))))</x:f>
      </x:c>
      <x:c r="N119" s="24" t="str">
        <x:f>IF(A119="","",IF(COUNTIFS('执行日志'!$B$7:$B$306,A119)=0,"",IF(COUNTIFS('执行日志'!$B$7:$B$306,A119,'执行日志'!$L$7:$L$306,"有效",'执行日志'!$P$7:$P$306,"&lt;&gt;有效输入")&gt;0,"待核对",IF(COUNTIFS('执行日志'!$B$7:$B$306,A119,'执行日志'!$P$7:$P$306,"有效输入")=0,"",SUMIFS('执行日志'!$J$7:$J$306,'执行日志'!$B$7:$B$306,A119,'执行日志'!$P$7:$P$306,"有效输入")))))</x:f>
      </x:c>
      <x:c r="O119" s="24" t="str">
        <x:f>IF(A119="","",IF(NOT(ISNUMBER(K119)),"待定预算",IF(NOT(ISNUMBER(M119)),"暂无有效流水",K119-M119)))</x:f>
      </x:c>
      <x:c r="P119" s="24" t="str">
        <x:f>IF(A119="","",IF(NOT(ISNUMBER(L119)),"待定预算",IF(NOT(ISNUMBER(N119)),"暂无有效流水",L119-N119)))</x:f>
      </x:c>
      <x:c r="Q119" s="19" t="str">
        <x:f>IF(A119="","",IF(D119="已结案","已结案",IF(NOT(ISNUMBER(I119)),"待定复盘日",IF(NOT(ISNUMBER($B$3)),"待定评估日",IF(I119&lt;=$B$3,"应复盘","未到期")))))</x:f>
      </x:c>
      <x:c r="R119" s="19" t="str">
        <x:f>IF(A119="","",IF(COUNTIFS($A$7:$A$306,A119)&lt;&gt;1,"问题编号重复",IF(OR(B119="",C119="",D119="",G119="",S119=""),"待补基础信息",IF(AND(F119&lt;&gt;"",COUNTIFS('方案版本'!$A$7:$A$306,F119,'方案版本'!$B$7:$B$306,A119,'方案版本'!$L$7:$L$306,"已冻结")&lt;&gt;1),"当前方案引用无效",IF(AND(D119="执行中",F119=""),"执行缺方案",IF(AND(D119="已结案",OR(T119="",COUNTIFS('复盘记录'!$B$7:$B$306,A119)=0,COUNTIFS('更新日志'!$B$7:$B$306,A119)=0)),"结案资料待补","基础记录齐备"))))))</x:f>
      </x:c>
      <x:c r="S119" s="3"/>
      <x:c r="T119" s="3"/>
    </x:row>
    <x:row r="120" ht="25" customHeight="1">
      <x:c r="A120" s="3"/>
      <x:c r="B120" s="3"/>
      <x:c r="C120" s="3"/>
      <x:c r="D120" s="3"/>
      <x:c r="E120" s="3"/>
      <x:c r="F120" s="3"/>
      <x:c r="G120" s="3"/>
      <x:c r="H120" s="3"/>
      <x:c r="I120" s="20"/>
      <x:c r="J120" s="3"/>
      <x:c r="K120" s="22"/>
      <x:c r="L120" s="22"/>
      <x:c r="M120" s="24" t="str">
        <x:f>IF(A120="","",IF(COUNTIFS('执行日志'!$B$7:$B$306,A120)=0,"",IF(COUNTIFS('执行日志'!$B$7:$B$306,A120,'执行日志'!$L$7:$L$306,"有效",'执行日志'!$P$7:$P$306,"&lt;&gt;有效输入")&gt;0,"待核对",IF(COUNTIFS('执行日志'!$B$7:$B$306,A120,'执行日志'!$P$7:$P$306,"有效输入")=0,"",SUMIFS('执行日志'!$H$7:$H$306,'执行日志'!$B$7:$B$306,A120,'执行日志'!$P$7:$P$306,"有效输入")))))</x:f>
      </x:c>
      <x:c r="N120" s="24" t="str">
        <x:f>IF(A120="","",IF(COUNTIFS('执行日志'!$B$7:$B$306,A120)=0,"",IF(COUNTIFS('执行日志'!$B$7:$B$306,A120,'执行日志'!$L$7:$L$306,"有效",'执行日志'!$P$7:$P$306,"&lt;&gt;有效输入")&gt;0,"待核对",IF(COUNTIFS('执行日志'!$B$7:$B$306,A120,'执行日志'!$P$7:$P$306,"有效输入")=0,"",SUMIFS('执行日志'!$J$7:$J$306,'执行日志'!$B$7:$B$306,A120,'执行日志'!$P$7:$P$306,"有效输入")))))</x:f>
      </x:c>
      <x:c r="O120" s="24" t="str">
        <x:f>IF(A120="","",IF(NOT(ISNUMBER(K120)),"待定预算",IF(NOT(ISNUMBER(M120)),"暂无有效流水",K120-M120)))</x:f>
      </x:c>
      <x:c r="P120" s="24" t="str">
        <x:f>IF(A120="","",IF(NOT(ISNUMBER(L120)),"待定预算",IF(NOT(ISNUMBER(N120)),"暂无有效流水",L120-N120)))</x:f>
      </x:c>
      <x:c r="Q120" s="19" t="str">
        <x:f>IF(A120="","",IF(D120="已结案","已结案",IF(NOT(ISNUMBER(I120)),"待定复盘日",IF(NOT(ISNUMBER($B$3)),"待定评估日",IF(I120&lt;=$B$3,"应复盘","未到期")))))</x:f>
      </x:c>
      <x:c r="R120" s="19" t="str">
        <x:f>IF(A120="","",IF(COUNTIFS($A$7:$A$306,A120)&lt;&gt;1,"问题编号重复",IF(OR(B120="",C120="",D120="",G120="",S120=""),"待补基础信息",IF(AND(F120&lt;&gt;"",COUNTIFS('方案版本'!$A$7:$A$306,F120,'方案版本'!$B$7:$B$306,A120,'方案版本'!$L$7:$L$306,"已冻结")&lt;&gt;1),"当前方案引用无效",IF(AND(D120="执行中",F120=""),"执行缺方案",IF(AND(D120="已结案",OR(T120="",COUNTIFS('复盘记录'!$B$7:$B$306,A120)=0,COUNTIFS('更新日志'!$B$7:$B$306,A120)=0)),"结案资料待补","基础记录齐备"))))))</x:f>
      </x:c>
      <x:c r="S120" s="3"/>
      <x:c r="T120" s="3"/>
    </x:row>
    <x:row r="121" ht="25" customHeight="1">
      <x:c r="A121" s="3"/>
      <x:c r="B121" s="3"/>
      <x:c r="C121" s="3"/>
      <x:c r="D121" s="3"/>
      <x:c r="E121" s="3"/>
      <x:c r="F121" s="3"/>
      <x:c r="G121" s="3"/>
      <x:c r="H121" s="3"/>
      <x:c r="I121" s="20"/>
      <x:c r="J121" s="3"/>
      <x:c r="K121" s="22"/>
      <x:c r="L121" s="22"/>
      <x:c r="M121" s="24" t="str">
        <x:f>IF(A121="","",IF(COUNTIFS('执行日志'!$B$7:$B$306,A121)=0,"",IF(COUNTIFS('执行日志'!$B$7:$B$306,A121,'执行日志'!$L$7:$L$306,"有效",'执行日志'!$P$7:$P$306,"&lt;&gt;有效输入")&gt;0,"待核对",IF(COUNTIFS('执行日志'!$B$7:$B$306,A121,'执行日志'!$P$7:$P$306,"有效输入")=0,"",SUMIFS('执行日志'!$H$7:$H$306,'执行日志'!$B$7:$B$306,A121,'执行日志'!$P$7:$P$306,"有效输入")))))</x:f>
      </x:c>
      <x:c r="N121" s="24" t="str">
        <x:f>IF(A121="","",IF(COUNTIFS('执行日志'!$B$7:$B$306,A121)=0,"",IF(COUNTIFS('执行日志'!$B$7:$B$306,A121,'执行日志'!$L$7:$L$306,"有效",'执行日志'!$P$7:$P$306,"&lt;&gt;有效输入")&gt;0,"待核对",IF(COUNTIFS('执行日志'!$B$7:$B$306,A121,'执行日志'!$P$7:$P$306,"有效输入")=0,"",SUMIFS('执行日志'!$J$7:$J$306,'执行日志'!$B$7:$B$306,A121,'执行日志'!$P$7:$P$306,"有效输入")))))</x:f>
      </x:c>
      <x:c r="O121" s="24" t="str">
        <x:f>IF(A121="","",IF(NOT(ISNUMBER(K121)),"待定预算",IF(NOT(ISNUMBER(M121)),"暂无有效流水",K121-M121)))</x:f>
      </x:c>
      <x:c r="P121" s="24" t="str">
        <x:f>IF(A121="","",IF(NOT(ISNUMBER(L121)),"待定预算",IF(NOT(ISNUMBER(N121)),"暂无有效流水",L121-N121)))</x:f>
      </x:c>
      <x:c r="Q121" s="19" t="str">
        <x:f>IF(A121="","",IF(D121="已结案","已结案",IF(NOT(ISNUMBER(I121)),"待定复盘日",IF(NOT(ISNUMBER($B$3)),"待定评估日",IF(I121&lt;=$B$3,"应复盘","未到期")))))</x:f>
      </x:c>
      <x:c r="R121" s="19" t="str">
        <x:f>IF(A121="","",IF(COUNTIFS($A$7:$A$306,A121)&lt;&gt;1,"问题编号重复",IF(OR(B121="",C121="",D121="",G121="",S121=""),"待补基础信息",IF(AND(F121&lt;&gt;"",COUNTIFS('方案版本'!$A$7:$A$306,F121,'方案版本'!$B$7:$B$306,A121,'方案版本'!$L$7:$L$306,"已冻结")&lt;&gt;1),"当前方案引用无效",IF(AND(D121="执行中",F121=""),"执行缺方案",IF(AND(D121="已结案",OR(T121="",COUNTIFS('复盘记录'!$B$7:$B$306,A121)=0,COUNTIFS('更新日志'!$B$7:$B$306,A121)=0)),"结案资料待补","基础记录齐备"))))))</x:f>
      </x:c>
      <x:c r="S121" s="3"/>
      <x:c r="T121" s="3"/>
    </x:row>
    <x:row r="122" ht="25" customHeight="1">
      <x:c r="A122" s="3"/>
      <x:c r="B122" s="3"/>
      <x:c r="C122" s="3"/>
      <x:c r="D122" s="3"/>
      <x:c r="E122" s="3"/>
      <x:c r="F122" s="3"/>
      <x:c r="G122" s="3"/>
      <x:c r="H122" s="3"/>
      <x:c r="I122" s="20"/>
      <x:c r="J122" s="3"/>
      <x:c r="K122" s="22"/>
      <x:c r="L122" s="22"/>
      <x:c r="M122" s="24" t="str">
        <x:f>IF(A122="","",IF(COUNTIFS('执行日志'!$B$7:$B$306,A122)=0,"",IF(COUNTIFS('执行日志'!$B$7:$B$306,A122,'执行日志'!$L$7:$L$306,"有效",'执行日志'!$P$7:$P$306,"&lt;&gt;有效输入")&gt;0,"待核对",IF(COUNTIFS('执行日志'!$B$7:$B$306,A122,'执行日志'!$P$7:$P$306,"有效输入")=0,"",SUMIFS('执行日志'!$H$7:$H$306,'执行日志'!$B$7:$B$306,A122,'执行日志'!$P$7:$P$306,"有效输入")))))</x:f>
      </x:c>
      <x:c r="N122" s="24" t="str">
        <x:f>IF(A122="","",IF(COUNTIFS('执行日志'!$B$7:$B$306,A122)=0,"",IF(COUNTIFS('执行日志'!$B$7:$B$306,A122,'执行日志'!$L$7:$L$306,"有效",'执行日志'!$P$7:$P$306,"&lt;&gt;有效输入")&gt;0,"待核对",IF(COUNTIFS('执行日志'!$B$7:$B$306,A122,'执行日志'!$P$7:$P$306,"有效输入")=0,"",SUMIFS('执行日志'!$J$7:$J$306,'执行日志'!$B$7:$B$306,A122,'执行日志'!$P$7:$P$306,"有效输入")))))</x:f>
      </x:c>
      <x:c r="O122" s="24" t="str">
        <x:f>IF(A122="","",IF(NOT(ISNUMBER(K122)),"待定预算",IF(NOT(ISNUMBER(M122)),"暂无有效流水",K122-M122)))</x:f>
      </x:c>
      <x:c r="P122" s="24" t="str">
        <x:f>IF(A122="","",IF(NOT(ISNUMBER(L122)),"待定预算",IF(NOT(ISNUMBER(N122)),"暂无有效流水",L122-N122)))</x:f>
      </x:c>
      <x:c r="Q122" s="19" t="str">
        <x:f>IF(A122="","",IF(D122="已结案","已结案",IF(NOT(ISNUMBER(I122)),"待定复盘日",IF(NOT(ISNUMBER($B$3)),"待定评估日",IF(I122&lt;=$B$3,"应复盘","未到期")))))</x:f>
      </x:c>
      <x:c r="R122" s="19" t="str">
        <x:f>IF(A122="","",IF(COUNTIFS($A$7:$A$306,A122)&lt;&gt;1,"问题编号重复",IF(OR(B122="",C122="",D122="",G122="",S122=""),"待补基础信息",IF(AND(F122&lt;&gt;"",COUNTIFS('方案版本'!$A$7:$A$306,F122,'方案版本'!$B$7:$B$306,A122,'方案版本'!$L$7:$L$306,"已冻结")&lt;&gt;1),"当前方案引用无效",IF(AND(D122="执行中",F122=""),"执行缺方案",IF(AND(D122="已结案",OR(T122="",COUNTIFS('复盘记录'!$B$7:$B$306,A122)=0,COUNTIFS('更新日志'!$B$7:$B$306,A122)=0)),"结案资料待补","基础记录齐备"))))))</x:f>
      </x:c>
      <x:c r="S122" s="3"/>
      <x:c r="T122" s="3"/>
    </x:row>
    <x:row r="123" ht="25" customHeight="1">
      <x:c r="A123" s="3"/>
      <x:c r="B123" s="3"/>
      <x:c r="C123" s="3"/>
      <x:c r="D123" s="3"/>
      <x:c r="E123" s="3"/>
      <x:c r="F123" s="3"/>
      <x:c r="G123" s="3"/>
      <x:c r="H123" s="3"/>
      <x:c r="I123" s="20"/>
      <x:c r="J123" s="3"/>
      <x:c r="K123" s="22"/>
      <x:c r="L123" s="22"/>
      <x:c r="M123" s="24" t="str">
        <x:f>IF(A123="","",IF(COUNTIFS('执行日志'!$B$7:$B$306,A123)=0,"",IF(COUNTIFS('执行日志'!$B$7:$B$306,A123,'执行日志'!$L$7:$L$306,"有效",'执行日志'!$P$7:$P$306,"&lt;&gt;有效输入")&gt;0,"待核对",IF(COUNTIFS('执行日志'!$B$7:$B$306,A123,'执行日志'!$P$7:$P$306,"有效输入")=0,"",SUMIFS('执行日志'!$H$7:$H$306,'执行日志'!$B$7:$B$306,A123,'执行日志'!$P$7:$P$306,"有效输入")))))</x:f>
      </x:c>
      <x:c r="N123" s="24" t="str">
        <x:f>IF(A123="","",IF(COUNTIFS('执行日志'!$B$7:$B$306,A123)=0,"",IF(COUNTIFS('执行日志'!$B$7:$B$306,A123,'执行日志'!$L$7:$L$306,"有效",'执行日志'!$P$7:$P$306,"&lt;&gt;有效输入")&gt;0,"待核对",IF(COUNTIFS('执行日志'!$B$7:$B$306,A123,'执行日志'!$P$7:$P$306,"有效输入")=0,"",SUMIFS('执行日志'!$J$7:$J$306,'执行日志'!$B$7:$B$306,A123,'执行日志'!$P$7:$P$306,"有效输入")))))</x:f>
      </x:c>
      <x:c r="O123" s="24" t="str">
        <x:f>IF(A123="","",IF(NOT(ISNUMBER(K123)),"待定预算",IF(NOT(ISNUMBER(M123)),"暂无有效流水",K123-M123)))</x:f>
      </x:c>
      <x:c r="P123" s="24" t="str">
        <x:f>IF(A123="","",IF(NOT(ISNUMBER(L123)),"待定预算",IF(NOT(ISNUMBER(N123)),"暂无有效流水",L123-N123)))</x:f>
      </x:c>
      <x:c r="Q123" s="19" t="str">
        <x:f>IF(A123="","",IF(D123="已结案","已结案",IF(NOT(ISNUMBER(I123)),"待定复盘日",IF(NOT(ISNUMBER($B$3)),"待定评估日",IF(I123&lt;=$B$3,"应复盘","未到期")))))</x:f>
      </x:c>
      <x:c r="R123" s="19" t="str">
        <x:f>IF(A123="","",IF(COUNTIFS($A$7:$A$306,A123)&lt;&gt;1,"问题编号重复",IF(OR(B123="",C123="",D123="",G123="",S123=""),"待补基础信息",IF(AND(F123&lt;&gt;"",COUNTIFS('方案版本'!$A$7:$A$306,F123,'方案版本'!$B$7:$B$306,A123,'方案版本'!$L$7:$L$306,"已冻结")&lt;&gt;1),"当前方案引用无效",IF(AND(D123="执行中",F123=""),"执行缺方案",IF(AND(D123="已结案",OR(T123="",COUNTIFS('复盘记录'!$B$7:$B$306,A123)=0,COUNTIFS('更新日志'!$B$7:$B$306,A123)=0)),"结案资料待补","基础记录齐备"))))))</x:f>
      </x:c>
      <x:c r="S123" s="3"/>
      <x:c r="T123" s="3"/>
    </x:row>
    <x:row r="124" ht="25" customHeight="1">
      <x:c r="A124" s="3"/>
      <x:c r="B124" s="3"/>
      <x:c r="C124" s="3"/>
      <x:c r="D124" s="3"/>
      <x:c r="E124" s="3"/>
      <x:c r="F124" s="3"/>
      <x:c r="G124" s="3"/>
      <x:c r="H124" s="3"/>
      <x:c r="I124" s="20"/>
      <x:c r="J124" s="3"/>
      <x:c r="K124" s="22"/>
      <x:c r="L124" s="22"/>
      <x:c r="M124" s="24" t="str">
        <x:f>IF(A124="","",IF(COUNTIFS('执行日志'!$B$7:$B$306,A124)=0,"",IF(COUNTIFS('执行日志'!$B$7:$B$306,A124,'执行日志'!$L$7:$L$306,"有效",'执行日志'!$P$7:$P$306,"&lt;&gt;有效输入")&gt;0,"待核对",IF(COUNTIFS('执行日志'!$B$7:$B$306,A124,'执行日志'!$P$7:$P$306,"有效输入")=0,"",SUMIFS('执行日志'!$H$7:$H$306,'执行日志'!$B$7:$B$306,A124,'执行日志'!$P$7:$P$306,"有效输入")))))</x:f>
      </x:c>
      <x:c r="N124" s="24" t="str">
        <x:f>IF(A124="","",IF(COUNTIFS('执行日志'!$B$7:$B$306,A124)=0,"",IF(COUNTIFS('执行日志'!$B$7:$B$306,A124,'执行日志'!$L$7:$L$306,"有效",'执行日志'!$P$7:$P$306,"&lt;&gt;有效输入")&gt;0,"待核对",IF(COUNTIFS('执行日志'!$B$7:$B$306,A124,'执行日志'!$P$7:$P$306,"有效输入")=0,"",SUMIFS('执行日志'!$J$7:$J$306,'执行日志'!$B$7:$B$306,A124,'执行日志'!$P$7:$P$306,"有效输入")))))</x:f>
      </x:c>
      <x:c r="O124" s="24" t="str">
        <x:f>IF(A124="","",IF(NOT(ISNUMBER(K124)),"待定预算",IF(NOT(ISNUMBER(M124)),"暂无有效流水",K124-M124)))</x:f>
      </x:c>
      <x:c r="P124" s="24" t="str">
        <x:f>IF(A124="","",IF(NOT(ISNUMBER(L124)),"待定预算",IF(NOT(ISNUMBER(N124)),"暂无有效流水",L124-N124)))</x:f>
      </x:c>
      <x:c r="Q124" s="19" t="str">
        <x:f>IF(A124="","",IF(D124="已结案","已结案",IF(NOT(ISNUMBER(I124)),"待定复盘日",IF(NOT(ISNUMBER($B$3)),"待定评估日",IF(I124&lt;=$B$3,"应复盘","未到期")))))</x:f>
      </x:c>
      <x:c r="R124" s="19" t="str">
        <x:f>IF(A124="","",IF(COUNTIFS($A$7:$A$306,A124)&lt;&gt;1,"问题编号重复",IF(OR(B124="",C124="",D124="",G124="",S124=""),"待补基础信息",IF(AND(F124&lt;&gt;"",COUNTIFS('方案版本'!$A$7:$A$306,F124,'方案版本'!$B$7:$B$306,A124,'方案版本'!$L$7:$L$306,"已冻结")&lt;&gt;1),"当前方案引用无效",IF(AND(D124="执行中",F124=""),"执行缺方案",IF(AND(D124="已结案",OR(T124="",COUNTIFS('复盘记录'!$B$7:$B$306,A124)=0,COUNTIFS('更新日志'!$B$7:$B$306,A124)=0)),"结案资料待补","基础记录齐备"))))))</x:f>
      </x:c>
      <x:c r="S124" s="3"/>
      <x:c r="T124" s="3"/>
    </x:row>
    <x:row r="125" ht="25" customHeight="1">
      <x:c r="A125" s="3"/>
      <x:c r="B125" s="3"/>
      <x:c r="C125" s="3"/>
      <x:c r="D125" s="3"/>
      <x:c r="E125" s="3"/>
      <x:c r="F125" s="3"/>
      <x:c r="G125" s="3"/>
      <x:c r="H125" s="3"/>
      <x:c r="I125" s="20"/>
      <x:c r="J125" s="3"/>
      <x:c r="K125" s="22"/>
      <x:c r="L125" s="22"/>
      <x:c r="M125" s="24" t="str">
        <x:f>IF(A125="","",IF(COUNTIFS('执行日志'!$B$7:$B$306,A125)=0,"",IF(COUNTIFS('执行日志'!$B$7:$B$306,A125,'执行日志'!$L$7:$L$306,"有效",'执行日志'!$P$7:$P$306,"&lt;&gt;有效输入")&gt;0,"待核对",IF(COUNTIFS('执行日志'!$B$7:$B$306,A125,'执行日志'!$P$7:$P$306,"有效输入")=0,"",SUMIFS('执行日志'!$H$7:$H$306,'执行日志'!$B$7:$B$306,A125,'执行日志'!$P$7:$P$306,"有效输入")))))</x:f>
      </x:c>
      <x:c r="N125" s="24" t="str">
        <x:f>IF(A125="","",IF(COUNTIFS('执行日志'!$B$7:$B$306,A125)=0,"",IF(COUNTIFS('执行日志'!$B$7:$B$306,A125,'执行日志'!$L$7:$L$306,"有效",'执行日志'!$P$7:$P$306,"&lt;&gt;有效输入")&gt;0,"待核对",IF(COUNTIFS('执行日志'!$B$7:$B$306,A125,'执行日志'!$P$7:$P$306,"有效输入")=0,"",SUMIFS('执行日志'!$J$7:$J$306,'执行日志'!$B$7:$B$306,A125,'执行日志'!$P$7:$P$306,"有效输入")))))</x:f>
      </x:c>
      <x:c r="O125" s="24" t="str">
        <x:f>IF(A125="","",IF(NOT(ISNUMBER(K125)),"待定预算",IF(NOT(ISNUMBER(M125)),"暂无有效流水",K125-M125)))</x:f>
      </x:c>
      <x:c r="P125" s="24" t="str">
        <x:f>IF(A125="","",IF(NOT(ISNUMBER(L125)),"待定预算",IF(NOT(ISNUMBER(N125)),"暂无有效流水",L125-N125)))</x:f>
      </x:c>
      <x:c r="Q125" s="19" t="str">
        <x:f>IF(A125="","",IF(D125="已结案","已结案",IF(NOT(ISNUMBER(I125)),"待定复盘日",IF(NOT(ISNUMBER($B$3)),"待定评估日",IF(I125&lt;=$B$3,"应复盘","未到期")))))</x:f>
      </x:c>
      <x:c r="R125" s="19" t="str">
        <x:f>IF(A125="","",IF(COUNTIFS($A$7:$A$306,A125)&lt;&gt;1,"问题编号重复",IF(OR(B125="",C125="",D125="",G125="",S125=""),"待补基础信息",IF(AND(F125&lt;&gt;"",COUNTIFS('方案版本'!$A$7:$A$306,F125,'方案版本'!$B$7:$B$306,A125,'方案版本'!$L$7:$L$306,"已冻结")&lt;&gt;1),"当前方案引用无效",IF(AND(D125="执行中",F125=""),"执行缺方案",IF(AND(D125="已结案",OR(T125="",COUNTIFS('复盘记录'!$B$7:$B$306,A125)=0,COUNTIFS('更新日志'!$B$7:$B$306,A125)=0)),"结案资料待补","基础记录齐备"))))))</x:f>
      </x:c>
      <x:c r="S125" s="3"/>
      <x:c r="T125" s="3"/>
    </x:row>
    <x:row r="126" ht="25" customHeight="1">
      <x:c r="A126" s="3"/>
      <x:c r="B126" s="3"/>
      <x:c r="C126" s="3"/>
      <x:c r="D126" s="3"/>
      <x:c r="E126" s="3"/>
      <x:c r="F126" s="3"/>
      <x:c r="G126" s="3"/>
      <x:c r="H126" s="3"/>
      <x:c r="I126" s="20"/>
      <x:c r="J126" s="3"/>
      <x:c r="K126" s="22"/>
      <x:c r="L126" s="22"/>
      <x:c r="M126" s="24" t="str">
        <x:f>IF(A126="","",IF(COUNTIFS('执行日志'!$B$7:$B$306,A126)=0,"",IF(COUNTIFS('执行日志'!$B$7:$B$306,A126,'执行日志'!$L$7:$L$306,"有效",'执行日志'!$P$7:$P$306,"&lt;&gt;有效输入")&gt;0,"待核对",IF(COUNTIFS('执行日志'!$B$7:$B$306,A126,'执行日志'!$P$7:$P$306,"有效输入")=0,"",SUMIFS('执行日志'!$H$7:$H$306,'执行日志'!$B$7:$B$306,A126,'执行日志'!$P$7:$P$306,"有效输入")))))</x:f>
      </x:c>
      <x:c r="N126" s="24" t="str">
        <x:f>IF(A126="","",IF(COUNTIFS('执行日志'!$B$7:$B$306,A126)=0,"",IF(COUNTIFS('执行日志'!$B$7:$B$306,A126,'执行日志'!$L$7:$L$306,"有效",'执行日志'!$P$7:$P$306,"&lt;&gt;有效输入")&gt;0,"待核对",IF(COUNTIFS('执行日志'!$B$7:$B$306,A126,'执行日志'!$P$7:$P$306,"有效输入")=0,"",SUMIFS('执行日志'!$J$7:$J$306,'执行日志'!$B$7:$B$306,A126,'执行日志'!$P$7:$P$306,"有效输入")))))</x:f>
      </x:c>
      <x:c r="O126" s="24" t="str">
        <x:f>IF(A126="","",IF(NOT(ISNUMBER(K126)),"待定预算",IF(NOT(ISNUMBER(M126)),"暂无有效流水",K126-M126)))</x:f>
      </x:c>
      <x:c r="P126" s="24" t="str">
        <x:f>IF(A126="","",IF(NOT(ISNUMBER(L126)),"待定预算",IF(NOT(ISNUMBER(N126)),"暂无有效流水",L126-N126)))</x:f>
      </x:c>
      <x:c r="Q126" s="19" t="str">
        <x:f>IF(A126="","",IF(D126="已结案","已结案",IF(NOT(ISNUMBER(I126)),"待定复盘日",IF(NOT(ISNUMBER($B$3)),"待定评估日",IF(I126&lt;=$B$3,"应复盘","未到期")))))</x:f>
      </x:c>
      <x:c r="R126" s="19" t="str">
        <x:f>IF(A126="","",IF(COUNTIFS($A$7:$A$306,A126)&lt;&gt;1,"问题编号重复",IF(OR(B126="",C126="",D126="",G126="",S126=""),"待补基础信息",IF(AND(F126&lt;&gt;"",COUNTIFS('方案版本'!$A$7:$A$306,F126,'方案版本'!$B$7:$B$306,A126,'方案版本'!$L$7:$L$306,"已冻结")&lt;&gt;1),"当前方案引用无效",IF(AND(D126="执行中",F126=""),"执行缺方案",IF(AND(D126="已结案",OR(T126="",COUNTIFS('复盘记录'!$B$7:$B$306,A126)=0,COUNTIFS('更新日志'!$B$7:$B$306,A126)=0)),"结案资料待补","基础记录齐备"))))))</x:f>
      </x:c>
      <x:c r="S126" s="3"/>
      <x:c r="T126" s="3"/>
    </x:row>
    <x:row r="127" ht="25" customHeight="1">
      <x:c r="A127" s="3"/>
      <x:c r="B127" s="3"/>
      <x:c r="C127" s="3"/>
      <x:c r="D127" s="3"/>
      <x:c r="E127" s="3"/>
      <x:c r="F127" s="3"/>
      <x:c r="G127" s="3"/>
      <x:c r="H127" s="3"/>
      <x:c r="I127" s="20"/>
      <x:c r="J127" s="3"/>
      <x:c r="K127" s="22"/>
      <x:c r="L127" s="22"/>
      <x:c r="M127" s="24" t="str">
        <x:f>IF(A127="","",IF(COUNTIFS('执行日志'!$B$7:$B$306,A127)=0,"",IF(COUNTIFS('执行日志'!$B$7:$B$306,A127,'执行日志'!$L$7:$L$306,"有效",'执行日志'!$P$7:$P$306,"&lt;&gt;有效输入")&gt;0,"待核对",IF(COUNTIFS('执行日志'!$B$7:$B$306,A127,'执行日志'!$P$7:$P$306,"有效输入")=0,"",SUMIFS('执行日志'!$H$7:$H$306,'执行日志'!$B$7:$B$306,A127,'执行日志'!$P$7:$P$306,"有效输入")))))</x:f>
      </x:c>
      <x:c r="N127" s="24" t="str">
        <x:f>IF(A127="","",IF(COUNTIFS('执行日志'!$B$7:$B$306,A127)=0,"",IF(COUNTIFS('执行日志'!$B$7:$B$306,A127,'执行日志'!$L$7:$L$306,"有效",'执行日志'!$P$7:$P$306,"&lt;&gt;有效输入")&gt;0,"待核对",IF(COUNTIFS('执行日志'!$B$7:$B$306,A127,'执行日志'!$P$7:$P$306,"有效输入")=0,"",SUMIFS('执行日志'!$J$7:$J$306,'执行日志'!$B$7:$B$306,A127,'执行日志'!$P$7:$P$306,"有效输入")))))</x:f>
      </x:c>
      <x:c r="O127" s="24" t="str">
        <x:f>IF(A127="","",IF(NOT(ISNUMBER(K127)),"待定预算",IF(NOT(ISNUMBER(M127)),"暂无有效流水",K127-M127)))</x:f>
      </x:c>
      <x:c r="P127" s="24" t="str">
        <x:f>IF(A127="","",IF(NOT(ISNUMBER(L127)),"待定预算",IF(NOT(ISNUMBER(N127)),"暂无有效流水",L127-N127)))</x:f>
      </x:c>
      <x:c r="Q127" s="19" t="str">
        <x:f>IF(A127="","",IF(D127="已结案","已结案",IF(NOT(ISNUMBER(I127)),"待定复盘日",IF(NOT(ISNUMBER($B$3)),"待定评估日",IF(I127&lt;=$B$3,"应复盘","未到期")))))</x:f>
      </x:c>
      <x:c r="R127" s="19" t="str">
        <x:f>IF(A127="","",IF(COUNTIFS($A$7:$A$306,A127)&lt;&gt;1,"问题编号重复",IF(OR(B127="",C127="",D127="",G127="",S127=""),"待补基础信息",IF(AND(F127&lt;&gt;"",COUNTIFS('方案版本'!$A$7:$A$306,F127,'方案版本'!$B$7:$B$306,A127,'方案版本'!$L$7:$L$306,"已冻结")&lt;&gt;1),"当前方案引用无效",IF(AND(D127="执行中",F127=""),"执行缺方案",IF(AND(D127="已结案",OR(T127="",COUNTIFS('复盘记录'!$B$7:$B$306,A127)=0,COUNTIFS('更新日志'!$B$7:$B$306,A127)=0)),"结案资料待补","基础记录齐备"))))))</x:f>
      </x:c>
      <x:c r="S127" s="3"/>
      <x:c r="T127" s="3"/>
    </x:row>
    <x:row r="128" ht="25" customHeight="1">
      <x:c r="A128" s="3"/>
      <x:c r="B128" s="3"/>
      <x:c r="C128" s="3"/>
      <x:c r="D128" s="3"/>
      <x:c r="E128" s="3"/>
      <x:c r="F128" s="3"/>
      <x:c r="G128" s="3"/>
      <x:c r="H128" s="3"/>
      <x:c r="I128" s="20"/>
      <x:c r="J128" s="3"/>
      <x:c r="K128" s="22"/>
      <x:c r="L128" s="22"/>
      <x:c r="M128" s="24" t="str">
        <x:f>IF(A128="","",IF(COUNTIFS('执行日志'!$B$7:$B$306,A128)=0,"",IF(COUNTIFS('执行日志'!$B$7:$B$306,A128,'执行日志'!$L$7:$L$306,"有效",'执行日志'!$P$7:$P$306,"&lt;&gt;有效输入")&gt;0,"待核对",IF(COUNTIFS('执行日志'!$B$7:$B$306,A128,'执行日志'!$P$7:$P$306,"有效输入")=0,"",SUMIFS('执行日志'!$H$7:$H$306,'执行日志'!$B$7:$B$306,A128,'执行日志'!$P$7:$P$306,"有效输入")))))</x:f>
      </x:c>
      <x:c r="N128" s="24" t="str">
        <x:f>IF(A128="","",IF(COUNTIFS('执行日志'!$B$7:$B$306,A128)=0,"",IF(COUNTIFS('执行日志'!$B$7:$B$306,A128,'执行日志'!$L$7:$L$306,"有效",'执行日志'!$P$7:$P$306,"&lt;&gt;有效输入")&gt;0,"待核对",IF(COUNTIFS('执行日志'!$B$7:$B$306,A128,'执行日志'!$P$7:$P$306,"有效输入")=0,"",SUMIFS('执行日志'!$J$7:$J$306,'执行日志'!$B$7:$B$306,A128,'执行日志'!$P$7:$P$306,"有效输入")))))</x:f>
      </x:c>
      <x:c r="O128" s="24" t="str">
        <x:f>IF(A128="","",IF(NOT(ISNUMBER(K128)),"待定预算",IF(NOT(ISNUMBER(M128)),"暂无有效流水",K128-M128)))</x:f>
      </x:c>
      <x:c r="P128" s="24" t="str">
        <x:f>IF(A128="","",IF(NOT(ISNUMBER(L128)),"待定预算",IF(NOT(ISNUMBER(N128)),"暂无有效流水",L128-N128)))</x:f>
      </x:c>
      <x:c r="Q128" s="19" t="str">
        <x:f>IF(A128="","",IF(D128="已结案","已结案",IF(NOT(ISNUMBER(I128)),"待定复盘日",IF(NOT(ISNUMBER($B$3)),"待定评估日",IF(I128&lt;=$B$3,"应复盘","未到期")))))</x:f>
      </x:c>
      <x:c r="R128" s="19" t="str">
        <x:f>IF(A128="","",IF(COUNTIFS($A$7:$A$306,A128)&lt;&gt;1,"问题编号重复",IF(OR(B128="",C128="",D128="",G128="",S128=""),"待补基础信息",IF(AND(F128&lt;&gt;"",COUNTIFS('方案版本'!$A$7:$A$306,F128,'方案版本'!$B$7:$B$306,A128,'方案版本'!$L$7:$L$306,"已冻结")&lt;&gt;1),"当前方案引用无效",IF(AND(D128="执行中",F128=""),"执行缺方案",IF(AND(D128="已结案",OR(T128="",COUNTIFS('复盘记录'!$B$7:$B$306,A128)=0,COUNTIFS('更新日志'!$B$7:$B$306,A128)=0)),"结案资料待补","基础记录齐备"))))))</x:f>
      </x:c>
      <x:c r="S128" s="3"/>
      <x:c r="T128" s="3"/>
    </x:row>
    <x:row r="129" ht="25" customHeight="1">
      <x:c r="A129" s="3"/>
      <x:c r="B129" s="3"/>
      <x:c r="C129" s="3"/>
      <x:c r="D129" s="3"/>
      <x:c r="E129" s="3"/>
      <x:c r="F129" s="3"/>
      <x:c r="G129" s="3"/>
      <x:c r="H129" s="3"/>
      <x:c r="I129" s="20"/>
      <x:c r="J129" s="3"/>
      <x:c r="K129" s="22"/>
      <x:c r="L129" s="22"/>
      <x:c r="M129" s="24" t="str">
        <x:f>IF(A129="","",IF(COUNTIFS('执行日志'!$B$7:$B$306,A129)=0,"",IF(COUNTIFS('执行日志'!$B$7:$B$306,A129,'执行日志'!$L$7:$L$306,"有效",'执行日志'!$P$7:$P$306,"&lt;&gt;有效输入")&gt;0,"待核对",IF(COUNTIFS('执行日志'!$B$7:$B$306,A129,'执行日志'!$P$7:$P$306,"有效输入")=0,"",SUMIFS('执行日志'!$H$7:$H$306,'执行日志'!$B$7:$B$306,A129,'执行日志'!$P$7:$P$306,"有效输入")))))</x:f>
      </x:c>
      <x:c r="N129" s="24" t="str">
        <x:f>IF(A129="","",IF(COUNTIFS('执行日志'!$B$7:$B$306,A129)=0,"",IF(COUNTIFS('执行日志'!$B$7:$B$306,A129,'执行日志'!$L$7:$L$306,"有效",'执行日志'!$P$7:$P$306,"&lt;&gt;有效输入")&gt;0,"待核对",IF(COUNTIFS('执行日志'!$B$7:$B$306,A129,'执行日志'!$P$7:$P$306,"有效输入")=0,"",SUMIFS('执行日志'!$J$7:$J$306,'执行日志'!$B$7:$B$306,A129,'执行日志'!$P$7:$P$306,"有效输入")))))</x:f>
      </x:c>
      <x:c r="O129" s="24" t="str">
        <x:f>IF(A129="","",IF(NOT(ISNUMBER(K129)),"待定预算",IF(NOT(ISNUMBER(M129)),"暂无有效流水",K129-M129)))</x:f>
      </x:c>
      <x:c r="P129" s="24" t="str">
        <x:f>IF(A129="","",IF(NOT(ISNUMBER(L129)),"待定预算",IF(NOT(ISNUMBER(N129)),"暂无有效流水",L129-N129)))</x:f>
      </x:c>
      <x:c r="Q129" s="19" t="str">
        <x:f>IF(A129="","",IF(D129="已结案","已结案",IF(NOT(ISNUMBER(I129)),"待定复盘日",IF(NOT(ISNUMBER($B$3)),"待定评估日",IF(I129&lt;=$B$3,"应复盘","未到期")))))</x:f>
      </x:c>
      <x:c r="R129" s="19" t="str">
        <x:f>IF(A129="","",IF(COUNTIFS($A$7:$A$306,A129)&lt;&gt;1,"问题编号重复",IF(OR(B129="",C129="",D129="",G129="",S129=""),"待补基础信息",IF(AND(F129&lt;&gt;"",COUNTIFS('方案版本'!$A$7:$A$306,F129,'方案版本'!$B$7:$B$306,A129,'方案版本'!$L$7:$L$306,"已冻结")&lt;&gt;1),"当前方案引用无效",IF(AND(D129="执行中",F129=""),"执行缺方案",IF(AND(D129="已结案",OR(T129="",COUNTIFS('复盘记录'!$B$7:$B$306,A129)=0,COUNTIFS('更新日志'!$B$7:$B$306,A129)=0)),"结案资料待补","基础记录齐备"))))))</x:f>
      </x:c>
      <x:c r="S129" s="3"/>
      <x:c r="T129" s="3"/>
    </x:row>
    <x:row r="130" ht="25" customHeight="1">
      <x:c r="A130" s="3"/>
      <x:c r="B130" s="3"/>
      <x:c r="C130" s="3"/>
      <x:c r="D130" s="3"/>
      <x:c r="E130" s="3"/>
      <x:c r="F130" s="3"/>
      <x:c r="G130" s="3"/>
      <x:c r="H130" s="3"/>
      <x:c r="I130" s="20"/>
      <x:c r="J130" s="3"/>
      <x:c r="K130" s="22"/>
      <x:c r="L130" s="22"/>
      <x:c r="M130" s="24" t="str">
        <x:f>IF(A130="","",IF(COUNTIFS('执行日志'!$B$7:$B$306,A130)=0,"",IF(COUNTIFS('执行日志'!$B$7:$B$306,A130,'执行日志'!$L$7:$L$306,"有效",'执行日志'!$P$7:$P$306,"&lt;&gt;有效输入")&gt;0,"待核对",IF(COUNTIFS('执行日志'!$B$7:$B$306,A130,'执行日志'!$P$7:$P$306,"有效输入")=0,"",SUMIFS('执行日志'!$H$7:$H$306,'执行日志'!$B$7:$B$306,A130,'执行日志'!$P$7:$P$306,"有效输入")))))</x:f>
      </x:c>
      <x:c r="N130" s="24" t="str">
        <x:f>IF(A130="","",IF(COUNTIFS('执行日志'!$B$7:$B$306,A130)=0,"",IF(COUNTIFS('执行日志'!$B$7:$B$306,A130,'执行日志'!$L$7:$L$306,"有效",'执行日志'!$P$7:$P$306,"&lt;&gt;有效输入")&gt;0,"待核对",IF(COUNTIFS('执行日志'!$B$7:$B$306,A130,'执行日志'!$P$7:$P$306,"有效输入")=0,"",SUMIFS('执行日志'!$J$7:$J$306,'执行日志'!$B$7:$B$306,A130,'执行日志'!$P$7:$P$306,"有效输入")))))</x:f>
      </x:c>
      <x:c r="O130" s="24" t="str">
        <x:f>IF(A130="","",IF(NOT(ISNUMBER(K130)),"待定预算",IF(NOT(ISNUMBER(M130)),"暂无有效流水",K130-M130)))</x:f>
      </x:c>
      <x:c r="P130" s="24" t="str">
        <x:f>IF(A130="","",IF(NOT(ISNUMBER(L130)),"待定预算",IF(NOT(ISNUMBER(N130)),"暂无有效流水",L130-N130)))</x:f>
      </x:c>
      <x:c r="Q130" s="19" t="str">
        <x:f>IF(A130="","",IF(D130="已结案","已结案",IF(NOT(ISNUMBER(I130)),"待定复盘日",IF(NOT(ISNUMBER($B$3)),"待定评估日",IF(I130&lt;=$B$3,"应复盘","未到期")))))</x:f>
      </x:c>
      <x:c r="R130" s="19" t="str">
        <x:f>IF(A130="","",IF(COUNTIFS($A$7:$A$306,A130)&lt;&gt;1,"问题编号重复",IF(OR(B130="",C130="",D130="",G130="",S130=""),"待补基础信息",IF(AND(F130&lt;&gt;"",COUNTIFS('方案版本'!$A$7:$A$306,F130,'方案版本'!$B$7:$B$306,A130,'方案版本'!$L$7:$L$306,"已冻结")&lt;&gt;1),"当前方案引用无效",IF(AND(D130="执行中",F130=""),"执行缺方案",IF(AND(D130="已结案",OR(T130="",COUNTIFS('复盘记录'!$B$7:$B$306,A130)=0,COUNTIFS('更新日志'!$B$7:$B$306,A130)=0)),"结案资料待补","基础记录齐备"))))))</x:f>
      </x:c>
      <x:c r="S130" s="3"/>
      <x:c r="T130" s="3"/>
    </x:row>
    <x:row r="131" ht="25" customHeight="1">
      <x:c r="A131" s="3"/>
      <x:c r="B131" s="3"/>
      <x:c r="C131" s="3"/>
      <x:c r="D131" s="3"/>
      <x:c r="E131" s="3"/>
      <x:c r="F131" s="3"/>
      <x:c r="G131" s="3"/>
      <x:c r="H131" s="3"/>
      <x:c r="I131" s="20"/>
      <x:c r="J131" s="3"/>
      <x:c r="K131" s="22"/>
      <x:c r="L131" s="22"/>
      <x:c r="M131" s="24" t="str">
        <x:f>IF(A131="","",IF(COUNTIFS('执行日志'!$B$7:$B$306,A131)=0,"",IF(COUNTIFS('执行日志'!$B$7:$B$306,A131,'执行日志'!$L$7:$L$306,"有效",'执行日志'!$P$7:$P$306,"&lt;&gt;有效输入")&gt;0,"待核对",IF(COUNTIFS('执行日志'!$B$7:$B$306,A131,'执行日志'!$P$7:$P$306,"有效输入")=0,"",SUMIFS('执行日志'!$H$7:$H$306,'执行日志'!$B$7:$B$306,A131,'执行日志'!$P$7:$P$306,"有效输入")))))</x:f>
      </x:c>
      <x:c r="N131" s="24" t="str">
        <x:f>IF(A131="","",IF(COUNTIFS('执行日志'!$B$7:$B$306,A131)=0,"",IF(COUNTIFS('执行日志'!$B$7:$B$306,A131,'执行日志'!$L$7:$L$306,"有效",'执行日志'!$P$7:$P$306,"&lt;&gt;有效输入")&gt;0,"待核对",IF(COUNTIFS('执行日志'!$B$7:$B$306,A131,'执行日志'!$P$7:$P$306,"有效输入")=0,"",SUMIFS('执行日志'!$J$7:$J$306,'执行日志'!$B$7:$B$306,A131,'执行日志'!$P$7:$P$306,"有效输入")))))</x:f>
      </x:c>
      <x:c r="O131" s="24" t="str">
        <x:f>IF(A131="","",IF(NOT(ISNUMBER(K131)),"待定预算",IF(NOT(ISNUMBER(M131)),"暂无有效流水",K131-M131)))</x:f>
      </x:c>
      <x:c r="P131" s="24" t="str">
        <x:f>IF(A131="","",IF(NOT(ISNUMBER(L131)),"待定预算",IF(NOT(ISNUMBER(N131)),"暂无有效流水",L131-N131)))</x:f>
      </x:c>
      <x:c r="Q131" s="19" t="str">
        <x:f>IF(A131="","",IF(D131="已结案","已结案",IF(NOT(ISNUMBER(I131)),"待定复盘日",IF(NOT(ISNUMBER($B$3)),"待定评估日",IF(I131&lt;=$B$3,"应复盘","未到期")))))</x:f>
      </x:c>
      <x:c r="R131" s="19" t="str">
        <x:f>IF(A131="","",IF(COUNTIFS($A$7:$A$306,A131)&lt;&gt;1,"问题编号重复",IF(OR(B131="",C131="",D131="",G131="",S131=""),"待补基础信息",IF(AND(F131&lt;&gt;"",COUNTIFS('方案版本'!$A$7:$A$306,F131,'方案版本'!$B$7:$B$306,A131,'方案版本'!$L$7:$L$306,"已冻结")&lt;&gt;1),"当前方案引用无效",IF(AND(D131="执行中",F131=""),"执行缺方案",IF(AND(D131="已结案",OR(T131="",COUNTIFS('复盘记录'!$B$7:$B$306,A131)=0,COUNTIFS('更新日志'!$B$7:$B$306,A131)=0)),"结案资料待补","基础记录齐备"))))))</x:f>
      </x:c>
      <x:c r="S131" s="3"/>
      <x:c r="T131" s="3"/>
    </x:row>
    <x:row r="132" ht="25" customHeight="1">
      <x:c r="A132" s="3"/>
      <x:c r="B132" s="3"/>
      <x:c r="C132" s="3"/>
      <x:c r="D132" s="3"/>
      <x:c r="E132" s="3"/>
      <x:c r="F132" s="3"/>
      <x:c r="G132" s="3"/>
      <x:c r="H132" s="3"/>
      <x:c r="I132" s="20"/>
      <x:c r="J132" s="3"/>
      <x:c r="K132" s="22"/>
      <x:c r="L132" s="22"/>
      <x:c r="M132" s="24" t="str">
        <x:f>IF(A132="","",IF(COUNTIFS('执行日志'!$B$7:$B$306,A132)=0,"",IF(COUNTIFS('执行日志'!$B$7:$B$306,A132,'执行日志'!$L$7:$L$306,"有效",'执行日志'!$P$7:$P$306,"&lt;&gt;有效输入")&gt;0,"待核对",IF(COUNTIFS('执行日志'!$B$7:$B$306,A132,'执行日志'!$P$7:$P$306,"有效输入")=0,"",SUMIFS('执行日志'!$H$7:$H$306,'执行日志'!$B$7:$B$306,A132,'执行日志'!$P$7:$P$306,"有效输入")))))</x:f>
      </x:c>
      <x:c r="N132" s="24" t="str">
        <x:f>IF(A132="","",IF(COUNTIFS('执行日志'!$B$7:$B$306,A132)=0,"",IF(COUNTIFS('执行日志'!$B$7:$B$306,A132,'执行日志'!$L$7:$L$306,"有效",'执行日志'!$P$7:$P$306,"&lt;&gt;有效输入")&gt;0,"待核对",IF(COUNTIFS('执行日志'!$B$7:$B$306,A132,'执行日志'!$P$7:$P$306,"有效输入")=0,"",SUMIFS('执行日志'!$J$7:$J$306,'执行日志'!$B$7:$B$306,A132,'执行日志'!$P$7:$P$306,"有效输入")))))</x:f>
      </x:c>
      <x:c r="O132" s="24" t="str">
        <x:f>IF(A132="","",IF(NOT(ISNUMBER(K132)),"待定预算",IF(NOT(ISNUMBER(M132)),"暂无有效流水",K132-M132)))</x:f>
      </x:c>
      <x:c r="P132" s="24" t="str">
        <x:f>IF(A132="","",IF(NOT(ISNUMBER(L132)),"待定预算",IF(NOT(ISNUMBER(N132)),"暂无有效流水",L132-N132)))</x:f>
      </x:c>
      <x:c r="Q132" s="19" t="str">
        <x:f>IF(A132="","",IF(D132="已结案","已结案",IF(NOT(ISNUMBER(I132)),"待定复盘日",IF(NOT(ISNUMBER($B$3)),"待定评估日",IF(I132&lt;=$B$3,"应复盘","未到期")))))</x:f>
      </x:c>
      <x:c r="R132" s="19" t="str">
        <x:f>IF(A132="","",IF(COUNTIFS($A$7:$A$306,A132)&lt;&gt;1,"问题编号重复",IF(OR(B132="",C132="",D132="",G132="",S132=""),"待补基础信息",IF(AND(F132&lt;&gt;"",COUNTIFS('方案版本'!$A$7:$A$306,F132,'方案版本'!$B$7:$B$306,A132,'方案版本'!$L$7:$L$306,"已冻结")&lt;&gt;1),"当前方案引用无效",IF(AND(D132="执行中",F132=""),"执行缺方案",IF(AND(D132="已结案",OR(T132="",COUNTIFS('复盘记录'!$B$7:$B$306,A132)=0,COUNTIFS('更新日志'!$B$7:$B$306,A132)=0)),"结案资料待补","基础记录齐备"))))))</x:f>
      </x:c>
      <x:c r="S132" s="3"/>
      <x:c r="T132" s="3"/>
    </x:row>
    <x:row r="133" ht="25" customHeight="1">
      <x:c r="A133" s="3"/>
      <x:c r="B133" s="3"/>
      <x:c r="C133" s="3"/>
      <x:c r="D133" s="3"/>
      <x:c r="E133" s="3"/>
      <x:c r="F133" s="3"/>
      <x:c r="G133" s="3"/>
      <x:c r="H133" s="3"/>
      <x:c r="I133" s="20"/>
      <x:c r="J133" s="3"/>
      <x:c r="K133" s="22"/>
      <x:c r="L133" s="22"/>
      <x:c r="M133" s="24" t="str">
        <x:f>IF(A133="","",IF(COUNTIFS('执行日志'!$B$7:$B$306,A133)=0,"",IF(COUNTIFS('执行日志'!$B$7:$B$306,A133,'执行日志'!$L$7:$L$306,"有效",'执行日志'!$P$7:$P$306,"&lt;&gt;有效输入")&gt;0,"待核对",IF(COUNTIFS('执行日志'!$B$7:$B$306,A133,'执行日志'!$P$7:$P$306,"有效输入")=0,"",SUMIFS('执行日志'!$H$7:$H$306,'执行日志'!$B$7:$B$306,A133,'执行日志'!$P$7:$P$306,"有效输入")))))</x:f>
      </x:c>
      <x:c r="N133" s="24" t="str">
        <x:f>IF(A133="","",IF(COUNTIFS('执行日志'!$B$7:$B$306,A133)=0,"",IF(COUNTIFS('执行日志'!$B$7:$B$306,A133,'执行日志'!$L$7:$L$306,"有效",'执行日志'!$P$7:$P$306,"&lt;&gt;有效输入")&gt;0,"待核对",IF(COUNTIFS('执行日志'!$B$7:$B$306,A133,'执行日志'!$P$7:$P$306,"有效输入")=0,"",SUMIFS('执行日志'!$J$7:$J$306,'执行日志'!$B$7:$B$306,A133,'执行日志'!$P$7:$P$306,"有效输入")))))</x:f>
      </x:c>
      <x:c r="O133" s="24" t="str">
        <x:f>IF(A133="","",IF(NOT(ISNUMBER(K133)),"待定预算",IF(NOT(ISNUMBER(M133)),"暂无有效流水",K133-M133)))</x:f>
      </x:c>
      <x:c r="P133" s="24" t="str">
        <x:f>IF(A133="","",IF(NOT(ISNUMBER(L133)),"待定预算",IF(NOT(ISNUMBER(N133)),"暂无有效流水",L133-N133)))</x:f>
      </x:c>
      <x:c r="Q133" s="19" t="str">
        <x:f>IF(A133="","",IF(D133="已结案","已结案",IF(NOT(ISNUMBER(I133)),"待定复盘日",IF(NOT(ISNUMBER($B$3)),"待定评估日",IF(I133&lt;=$B$3,"应复盘","未到期")))))</x:f>
      </x:c>
      <x:c r="R133" s="19" t="str">
        <x:f>IF(A133="","",IF(COUNTIFS($A$7:$A$306,A133)&lt;&gt;1,"问题编号重复",IF(OR(B133="",C133="",D133="",G133="",S133=""),"待补基础信息",IF(AND(F133&lt;&gt;"",COUNTIFS('方案版本'!$A$7:$A$306,F133,'方案版本'!$B$7:$B$306,A133,'方案版本'!$L$7:$L$306,"已冻结")&lt;&gt;1),"当前方案引用无效",IF(AND(D133="执行中",F133=""),"执行缺方案",IF(AND(D133="已结案",OR(T133="",COUNTIFS('复盘记录'!$B$7:$B$306,A133)=0,COUNTIFS('更新日志'!$B$7:$B$306,A133)=0)),"结案资料待补","基础记录齐备"))))))</x:f>
      </x:c>
      <x:c r="S133" s="3"/>
      <x:c r="T133" s="3"/>
    </x:row>
    <x:row r="134" ht="25" customHeight="1">
      <x:c r="A134" s="3"/>
      <x:c r="B134" s="3"/>
      <x:c r="C134" s="3"/>
      <x:c r="D134" s="3"/>
      <x:c r="E134" s="3"/>
      <x:c r="F134" s="3"/>
      <x:c r="G134" s="3"/>
      <x:c r="H134" s="3"/>
      <x:c r="I134" s="20"/>
      <x:c r="J134" s="3"/>
      <x:c r="K134" s="22"/>
      <x:c r="L134" s="22"/>
      <x:c r="M134" s="24" t="str">
        <x:f>IF(A134="","",IF(COUNTIFS('执行日志'!$B$7:$B$306,A134)=0,"",IF(COUNTIFS('执行日志'!$B$7:$B$306,A134,'执行日志'!$L$7:$L$306,"有效",'执行日志'!$P$7:$P$306,"&lt;&gt;有效输入")&gt;0,"待核对",IF(COUNTIFS('执行日志'!$B$7:$B$306,A134,'执行日志'!$P$7:$P$306,"有效输入")=0,"",SUMIFS('执行日志'!$H$7:$H$306,'执行日志'!$B$7:$B$306,A134,'执行日志'!$P$7:$P$306,"有效输入")))))</x:f>
      </x:c>
      <x:c r="N134" s="24" t="str">
        <x:f>IF(A134="","",IF(COUNTIFS('执行日志'!$B$7:$B$306,A134)=0,"",IF(COUNTIFS('执行日志'!$B$7:$B$306,A134,'执行日志'!$L$7:$L$306,"有效",'执行日志'!$P$7:$P$306,"&lt;&gt;有效输入")&gt;0,"待核对",IF(COUNTIFS('执行日志'!$B$7:$B$306,A134,'执行日志'!$P$7:$P$306,"有效输入")=0,"",SUMIFS('执行日志'!$J$7:$J$306,'执行日志'!$B$7:$B$306,A134,'执行日志'!$P$7:$P$306,"有效输入")))))</x:f>
      </x:c>
      <x:c r="O134" s="24" t="str">
        <x:f>IF(A134="","",IF(NOT(ISNUMBER(K134)),"待定预算",IF(NOT(ISNUMBER(M134)),"暂无有效流水",K134-M134)))</x:f>
      </x:c>
      <x:c r="P134" s="24" t="str">
        <x:f>IF(A134="","",IF(NOT(ISNUMBER(L134)),"待定预算",IF(NOT(ISNUMBER(N134)),"暂无有效流水",L134-N134)))</x:f>
      </x:c>
      <x:c r="Q134" s="19" t="str">
        <x:f>IF(A134="","",IF(D134="已结案","已结案",IF(NOT(ISNUMBER(I134)),"待定复盘日",IF(NOT(ISNUMBER($B$3)),"待定评估日",IF(I134&lt;=$B$3,"应复盘","未到期")))))</x:f>
      </x:c>
      <x:c r="R134" s="19" t="str">
        <x:f>IF(A134="","",IF(COUNTIFS($A$7:$A$306,A134)&lt;&gt;1,"问题编号重复",IF(OR(B134="",C134="",D134="",G134="",S134=""),"待补基础信息",IF(AND(F134&lt;&gt;"",COUNTIFS('方案版本'!$A$7:$A$306,F134,'方案版本'!$B$7:$B$306,A134,'方案版本'!$L$7:$L$306,"已冻结")&lt;&gt;1),"当前方案引用无效",IF(AND(D134="执行中",F134=""),"执行缺方案",IF(AND(D134="已结案",OR(T134="",COUNTIFS('复盘记录'!$B$7:$B$306,A134)=0,COUNTIFS('更新日志'!$B$7:$B$306,A134)=0)),"结案资料待补","基础记录齐备"))))))</x:f>
      </x:c>
      <x:c r="S134" s="3"/>
      <x:c r="T134" s="3"/>
    </x:row>
    <x:row r="135" ht="25" customHeight="1">
      <x:c r="A135" s="3"/>
      <x:c r="B135" s="3"/>
      <x:c r="C135" s="3"/>
      <x:c r="D135" s="3"/>
      <x:c r="E135" s="3"/>
      <x:c r="F135" s="3"/>
      <x:c r="G135" s="3"/>
      <x:c r="H135" s="3"/>
      <x:c r="I135" s="20"/>
      <x:c r="J135" s="3"/>
      <x:c r="K135" s="22"/>
      <x:c r="L135" s="22"/>
      <x:c r="M135" s="24" t="str">
        <x:f>IF(A135="","",IF(COUNTIFS('执行日志'!$B$7:$B$306,A135)=0,"",IF(COUNTIFS('执行日志'!$B$7:$B$306,A135,'执行日志'!$L$7:$L$306,"有效",'执行日志'!$P$7:$P$306,"&lt;&gt;有效输入")&gt;0,"待核对",IF(COUNTIFS('执行日志'!$B$7:$B$306,A135,'执行日志'!$P$7:$P$306,"有效输入")=0,"",SUMIFS('执行日志'!$H$7:$H$306,'执行日志'!$B$7:$B$306,A135,'执行日志'!$P$7:$P$306,"有效输入")))))</x:f>
      </x:c>
      <x:c r="N135" s="24" t="str">
        <x:f>IF(A135="","",IF(COUNTIFS('执行日志'!$B$7:$B$306,A135)=0,"",IF(COUNTIFS('执行日志'!$B$7:$B$306,A135,'执行日志'!$L$7:$L$306,"有效",'执行日志'!$P$7:$P$306,"&lt;&gt;有效输入")&gt;0,"待核对",IF(COUNTIFS('执行日志'!$B$7:$B$306,A135,'执行日志'!$P$7:$P$306,"有效输入")=0,"",SUMIFS('执行日志'!$J$7:$J$306,'执行日志'!$B$7:$B$306,A135,'执行日志'!$P$7:$P$306,"有效输入")))))</x:f>
      </x:c>
      <x:c r="O135" s="24" t="str">
        <x:f>IF(A135="","",IF(NOT(ISNUMBER(K135)),"待定预算",IF(NOT(ISNUMBER(M135)),"暂无有效流水",K135-M135)))</x:f>
      </x:c>
      <x:c r="P135" s="24" t="str">
        <x:f>IF(A135="","",IF(NOT(ISNUMBER(L135)),"待定预算",IF(NOT(ISNUMBER(N135)),"暂无有效流水",L135-N135)))</x:f>
      </x:c>
      <x:c r="Q135" s="19" t="str">
        <x:f>IF(A135="","",IF(D135="已结案","已结案",IF(NOT(ISNUMBER(I135)),"待定复盘日",IF(NOT(ISNUMBER($B$3)),"待定评估日",IF(I135&lt;=$B$3,"应复盘","未到期")))))</x:f>
      </x:c>
      <x:c r="R135" s="19" t="str">
        <x:f>IF(A135="","",IF(COUNTIFS($A$7:$A$306,A135)&lt;&gt;1,"问题编号重复",IF(OR(B135="",C135="",D135="",G135="",S135=""),"待补基础信息",IF(AND(F135&lt;&gt;"",COUNTIFS('方案版本'!$A$7:$A$306,F135,'方案版本'!$B$7:$B$306,A135,'方案版本'!$L$7:$L$306,"已冻结")&lt;&gt;1),"当前方案引用无效",IF(AND(D135="执行中",F135=""),"执行缺方案",IF(AND(D135="已结案",OR(T135="",COUNTIFS('复盘记录'!$B$7:$B$306,A135)=0,COUNTIFS('更新日志'!$B$7:$B$306,A135)=0)),"结案资料待补","基础记录齐备"))))))</x:f>
      </x:c>
      <x:c r="S135" s="3"/>
      <x:c r="T135" s="3"/>
    </x:row>
    <x:row r="136" ht="25" customHeight="1">
      <x:c r="A136" s="3"/>
      <x:c r="B136" s="3"/>
      <x:c r="C136" s="3"/>
      <x:c r="D136" s="3"/>
      <x:c r="E136" s="3"/>
      <x:c r="F136" s="3"/>
      <x:c r="G136" s="3"/>
      <x:c r="H136" s="3"/>
      <x:c r="I136" s="20"/>
      <x:c r="J136" s="3"/>
      <x:c r="K136" s="22"/>
      <x:c r="L136" s="22"/>
      <x:c r="M136" s="24" t="str">
        <x:f>IF(A136="","",IF(COUNTIFS('执行日志'!$B$7:$B$306,A136)=0,"",IF(COUNTIFS('执行日志'!$B$7:$B$306,A136,'执行日志'!$L$7:$L$306,"有效",'执行日志'!$P$7:$P$306,"&lt;&gt;有效输入")&gt;0,"待核对",IF(COUNTIFS('执行日志'!$B$7:$B$306,A136,'执行日志'!$P$7:$P$306,"有效输入")=0,"",SUMIFS('执行日志'!$H$7:$H$306,'执行日志'!$B$7:$B$306,A136,'执行日志'!$P$7:$P$306,"有效输入")))))</x:f>
      </x:c>
      <x:c r="N136" s="24" t="str">
        <x:f>IF(A136="","",IF(COUNTIFS('执行日志'!$B$7:$B$306,A136)=0,"",IF(COUNTIFS('执行日志'!$B$7:$B$306,A136,'执行日志'!$L$7:$L$306,"有效",'执行日志'!$P$7:$P$306,"&lt;&gt;有效输入")&gt;0,"待核对",IF(COUNTIFS('执行日志'!$B$7:$B$306,A136,'执行日志'!$P$7:$P$306,"有效输入")=0,"",SUMIFS('执行日志'!$J$7:$J$306,'执行日志'!$B$7:$B$306,A136,'执行日志'!$P$7:$P$306,"有效输入")))))</x:f>
      </x:c>
      <x:c r="O136" s="24" t="str">
        <x:f>IF(A136="","",IF(NOT(ISNUMBER(K136)),"待定预算",IF(NOT(ISNUMBER(M136)),"暂无有效流水",K136-M136)))</x:f>
      </x:c>
      <x:c r="P136" s="24" t="str">
        <x:f>IF(A136="","",IF(NOT(ISNUMBER(L136)),"待定预算",IF(NOT(ISNUMBER(N136)),"暂无有效流水",L136-N136)))</x:f>
      </x:c>
      <x:c r="Q136" s="19" t="str">
        <x:f>IF(A136="","",IF(D136="已结案","已结案",IF(NOT(ISNUMBER(I136)),"待定复盘日",IF(NOT(ISNUMBER($B$3)),"待定评估日",IF(I136&lt;=$B$3,"应复盘","未到期")))))</x:f>
      </x:c>
      <x:c r="R136" s="19" t="str">
        <x:f>IF(A136="","",IF(COUNTIFS($A$7:$A$306,A136)&lt;&gt;1,"问题编号重复",IF(OR(B136="",C136="",D136="",G136="",S136=""),"待补基础信息",IF(AND(F136&lt;&gt;"",COUNTIFS('方案版本'!$A$7:$A$306,F136,'方案版本'!$B$7:$B$306,A136,'方案版本'!$L$7:$L$306,"已冻结")&lt;&gt;1),"当前方案引用无效",IF(AND(D136="执行中",F136=""),"执行缺方案",IF(AND(D136="已结案",OR(T136="",COUNTIFS('复盘记录'!$B$7:$B$306,A136)=0,COUNTIFS('更新日志'!$B$7:$B$306,A136)=0)),"结案资料待补","基础记录齐备"))))))</x:f>
      </x:c>
      <x:c r="S136" s="3"/>
      <x:c r="T136" s="3"/>
    </x:row>
    <x:row r="137" ht="25" customHeight="1">
      <x:c r="A137" s="3"/>
      <x:c r="B137" s="3"/>
      <x:c r="C137" s="3"/>
      <x:c r="D137" s="3"/>
      <x:c r="E137" s="3"/>
      <x:c r="F137" s="3"/>
      <x:c r="G137" s="3"/>
      <x:c r="H137" s="3"/>
      <x:c r="I137" s="20"/>
      <x:c r="J137" s="3"/>
      <x:c r="K137" s="22"/>
      <x:c r="L137" s="22"/>
      <x:c r="M137" s="24" t="str">
        <x:f>IF(A137="","",IF(COUNTIFS('执行日志'!$B$7:$B$306,A137)=0,"",IF(COUNTIFS('执行日志'!$B$7:$B$306,A137,'执行日志'!$L$7:$L$306,"有效",'执行日志'!$P$7:$P$306,"&lt;&gt;有效输入")&gt;0,"待核对",IF(COUNTIFS('执行日志'!$B$7:$B$306,A137,'执行日志'!$P$7:$P$306,"有效输入")=0,"",SUMIFS('执行日志'!$H$7:$H$306,'执行日志'!$B$7:$B$306,A137,'执行日志'!$P$7:$P$306,"有效输入")))))</x:f>
      </x:c>
      <x:c r="N137" s="24" t="str">
        <x:f>IF(A137="","",IF(COUNTIFS('执行日志'!$B$7:$B$306,A137)=0,"",IF(COUNTIFS('执行日志'!$B$7:$B$306,A137,'执行日志'!$L$7:$L$306,"有效",'执行日志'!$P$7:$P$306,"&lt;&gt;有效输入")&gt;0,"待核对",IF(COUNTIFS('执行日志'!$B$7:$B$306,A137,'执行日志'!$P$7:$P$306,"有效输入")=0,"",SUMIFS('执行日志'!$J$7:$J$306,'执行日志'!$B$7:$B$306,A137,'执行日志'!$P$7:$P$306,"有效输入")))))</x:f>
      </x:c>
      <x:c r="O137" s="24" t="str">
        <x:f>IF(A137="","",IF(NOT(ISNUMBER(K137)),"待定预算",IF(NOT(ISNUMBER(M137)),"暂无有效流水",K137-M137)))</x:f>
      </x:c>
      <x:c r="P137" s="24" t="str">
        <x:f>IF(A137="","",IF(NOT(ISNUMBER(L137)),"待定预算",IF(NOT(ISNUMBER(N137)),"暂无有效流水",L137-N137)))</x:f>
      </x:c>
      <x:c r="Q137" s="19" t="str">
        <x:f>IF(A137="","",IF(D137="已结案","已结案",IF(NOT(ISNUMBER(I137)),"待定复盘日",IF(NOT(ISNUMBER($B$3)),"待定评估日",IF(I137&lt;=$B$3,"应复盘","未到期")))))</x:f>
      </x:c>
      <x:c r="R137" s="19" t="str">
        <x:f>IF(A137="","",IF(COUNTIFS($A$7:$A$306,A137)&lt;&gt;1,"问题编号重复",IF(OR(B137="",C137="",D137="",G137="",S137=""),"待补基础信息",IF(AND(F137&lt;&gt;"",COUNTIFS('方案版本'!$A$7:$A$306,F137,'方案版本'!$B$7:$B$306,A137,'方案版本'!$L$7:$L$306,"已冻结")&lt;&gt;1),"当前方案引用无效",IF(AND(D137="执行中",F137=""),"执行缺方案",IF(AND(D137="已结案",OR(T137="",COUNTIFS('复盘记录'!$B$7:$B$306,A137)=0,COUNTIFS('更新日志'!$B$7:$B$306,A137)=0)),"结案资料待补","基础记录齐备"))))))</x:f>
      </x:c>
      <x:c r="S137" s="3"/>
      <x:c r="T137" s="3"/>
    </x:row>
    <x:row r="138" ht="25" customHeight="1">
      <x:c r="A138" s="3"/>
      <x:c r="B138" s="3"/>
      <x:c r="C138" s="3"/>
      <x:c r="D138" s="3"/>
      <x:c r="E138" s="3"/>
      <x:c r="F138" s="3"/>
      <x:c r="G138" s="3"/>
      <x:c r="H138" s="3"/>
      <x:c r="I138" s="20"/>
      <x:c r="J138" s="3"/>
      <x:c r="K138" s="22"/>
      <x:c r="L138" s="22"/>
      <x:c r="M138" s="24" t="str">
        <x:f>IF(A138="","",IF(COUNTIFS('执行日志'!$B$7:$B$306,A138)=0,"",IF(COUNTIFS('执行日志'!$B$7:$B$306,A138,'执行日志'!$L$7:$L$306,"有效",'执行日志'!$P$7:$P$306,"&lt;&gt;有效输入")&gt;0,"待核对",IF(COUNTIFS('执行日志'!$B$7:$B$306,A138,'执行日志'!$P$7:$P$306,"有效输入")=0,"",SUMIFS('执行日志'!$H$7:$H$306,'执行日志'!$B$7:$B$306,A138,'执行日志'!$P$7:$P$306,"有效输入")))))</x:f>
      </x:c>
      <x:c r="N138" s="24" t="str">
        <x:f>IF(A138="","",IF(COUNTIFS('执行日志'!$B$7:$B$306,A138)=0,"",IF(COUNTIFS('执行日志'!$B$7:$B$306,A138,'执行日志'!$L$7:$L$306,"有效",'执行日志'!$P$7:$P$306,"&lt;&gt;有效输入")&gt;0,"待核对",IF(COUNTIFS('执行日志'!$B$7:$B$306,A138,'执行日志'!$P$7:$P$306,"有效输入")=0,"",SUMIFS('执行日志'!$J$7:$J$306,'执行日志'!$B$7:$B$306,A138,'执行日志'!$P$7:$P$306,"有效输入")))))</x:f>
      </x:c>
      <x:c r="O138" s="24" t="str">
        <x:f>IF(A138="","",IF(NOT(ISNUMBER(K138)),"待定预算",IF(NOT(ISNUMBER(M138)),"暂无有效流水",K138-M138)))</x:f>
      </x:c>
      <x:c r="P138" s="24" t="str">
        <x:f>IF(A138="","",IF(NOT(ISNUMBER(L138)),"待定预算",IF(NOT(ISNUMBER(N138)),"暂无有效流水",L138-N138)))</x:f>
      </x:c>
      <x:c r="Q138" s="19" t="str">
        <x:f>IF(A138="","",IF(D138="已结案","已结案",IF(NOT(ISNUMBER(I138)),"待定复盘日",IF(NOT(ISNUMBER($B$3)),"待定评估日",IF(I138&lt;=$B$3,"应复盘","未到期")))))</x:f>
      </x:c>
      <x:c r="R138" s="19" t="str">
        <x:f>IF(A138="","",IF(COUNTIFS($A$7:$A$306,A138)&lt;&gt;1,"问题编号重复",IF(OR(B138="",C138="",D138="",G138="",S138=""),"待补基础信息",IF(AND(F138&lt;&gt;"",COUNTIFS('方案版本'!$A$7:$A$306,F138,'方案版本'!$B$7:$B$306,A138,'方案版本'!$L$7:$L$306,"已冻结")&lt;&gt;1),"当前方案引用无效",IF(AND(D138="执行中",F138=""),"执行缺方案",IF(AND(D138="已结案",OR(T138="",COUNTIFS('复盘记录'!$B$7:$B$306,A138)=0,COUNTIFS('更新日志'!$B$7:$B$306,A138)=0)),"结案资料待补","基础记录齐备"))))))</x:f>
      </x:c>
      <x:c r="S138" s="3"/>
      <x:c r="T138" s="3"/>
    </x:row>
    <x:row r="139" ht="25" customHeight="1">
      <x:c r="A139" s="3"/>
      <x:c r="B139" s="3"/>
      <x:c r="C139" s="3"/>
      <x:c r="D139" s="3"/>
      <x:c r="E139" s="3"/>
      <x:c r="F139" s="3"/>
      <x:c r="G139" s="3"/>
      <x:c r="H139" s="3"/>
      <x:c r="I139" s="20"/>
      <x:c r="J139" s="3"/>
      <x:c r="K139" s="22"/>
      <x:c r="L139" s="22"/>
      <x:c r="M139" s="24" t="str">
        <x:f>IF(A139="","",IF(COUNTIFS('执行日志'!$B$7:$B$306,A139)=0,"",IF(COUNTIFS('执行日志'!$B$7:$B$306,A139,'执行日志'!$L$7:$L$306,"有效",'执行日志'!$P$7:$P$306,"&lt;&gt;有效输入")&gt;0,"待核对",IF(COUNTIFS('执行日志'!$B$7:$B$306,A139,'执行日志'!$P$7:$P$306,"有效输入")=0,"",SUMIFS('执行日志'!$H$7:$H$306,'执行日志'!$B$7:$B$306,A139,'执行日志'!$P$7:$P$306,"有效输入")))))</x:f>
      </x:c>
      <x:c r="N139" s="24" t="str">
        <x:f>IF(A139="","",IF(COUNTIFS('执行日志'!$B$7:$B$306,A139)=0,"",IF(COUNTIFS('执行日志'!$B$7:$B$306,A139,'执行日志'!$L$7:$L$306,"有效",'执行日志'!$P$7:$P$306,"&lt;&gt;有效输入")&gt;0,"待核对",IF(COUNTIFS('执行日志'!$B$7:$B$306,A139,'执行日志'!$P$7:$P$306,"有效输入")=0,"",SUMIFS('执行日志'!$J$7:$J$306,'执行日志'!$B$7:$B$306,A139,'执行日志'!$P$7:$P$306,"有效输入")))))</x:f>
      </x:c>
      <x:c r="O139" s="24" t="str">
        <x:f>IF(A139="","",IF(NOT(ISNUMBER(K139)),"待定预算",IF(NOT(ISNUMBER(M139)),"暂无有效流水",K139-M139)))</x:f>
      </x:c>
      <x:c r="P139" s="24" t="str">
        <x:f>IF(A139="","",IF(NOT(ISNUMBER(L139)),"待定预算",IF(NOT(ISNUMBER(N139)),"暂无有效流水",L139-N139)))</x:f>
      </x:c>
      <x:c r="Q139" s="19" t="str">
        <x:f>IF(A139="","",IF(D139="已结案","已结案",IF(NOT(ISNUMBER(I139)),"待定复盘日",IF(NOT(ISNUMBER($B$3)),"待定评估日",IF(I139&lt;=$B$3,"应复盘","未到期")))))</x:f>
      </x:c>
      <x:c r="R139" s="19" t="str">
        <x:f>IF(A139="","",IF(COUNTIFS($A$7:$A$306,A139)&lt;&gt;1,"问题编号重复",IF(OR(B139="",C139="",D139="",G139="",S139=""),"待补基础信息",IF(AND(F139&lt;&gt;"",COUNTIFS('方案版本'!$A$7:$A$306,F139,'方案版本'!$B$7:$B$306,A139,'方案版本'!$L$7:$L$306,"已冻结")&lt;&gt;1),"当前方案引用无效",IF(AND(D139="执行中",F139=""),"执行缺方案",IF(AND(D139="已结案",OR(T139="",COUNTIFS('复盘记录'!$B$7:$B$306,A139)=0,COUNTIFS('更新日志'!$B$7:$B$306,A139)=0)),"结案资料待补","基础记录齐备"))))))</x:f>
      </x:c>
      <x:c r="S139" s="3"/>
      <x:c r="T139" s="3"/>
    </x:row>
    <x:row r="140" ht="25" customHeight="1">
      <x:c r="A140" s="3"/>
      <x:c r="B140" s="3"/>
      <x:c r="C140" s="3"/>
      <x:c r="D140" s="3"/>
      <x:c r="E140" s="3"/>
      <x:c r="F140" s="3"/>
      <x:c r="G140" s="3"/>
      <x:c r="H140" s="3"/>
      <x:c r="I140" s="20"/>
      <x:c r="J140" s="3"/>
      <x:c r="K140" s="22"/>
      <x:c r="L140" s="22"/>
      <x:c r="M140" s="24" t="str">
        <x:f>IF(A140="","",IF(COUNTIFS('执行日志'!$B$7:$B$306,A140)=0,"",IF(COUNTIFS('执行日志'!$B$7:$B$306,A140,'执行日志'!$L$7:$L$306,"有效",'执行日志'!$P$7:$P$306,"&lt;&gt;有效输入")&gt;0,"待核对",IF(COUNTIFS('执行日志'!$B$7:$B$306,A140,'执行日志'!$P$7:$P$306,"有效输入")=0,"",SUMIFS('执行日志'!$H$7:$H$306,'执行日志'!$B$7:$B$306,A140,'执行日志'!$P$7:$P$306,"有效输入")))))</x:f>
      </x:c>
      <x:c r="N140" s="24" t="str">
        <x:f>IF(A140="","",IF(COUNTIFS('执行日志'!$B$7:$B$306,A140)=0,"",IF(COUNTIFS('执行日志'!$B$7:$B$306,A140,'执行日志'!$L$7:$L$306,"有效",'执行日志'!$P$7:$P$306,"&lt;&gt;有效输入")&gt;0,"待核对",IF(COUNTIFS('执行日志'!$B$7:$B$306,A140,'执行日志'!$P$7:$P$306,"有效输入")=0,"",SUMIFS('执行日志'!$J$7:$J$306,'执行日志'!$B$7:$B$306,A140,'执行日志'!$P$7:$P$306,"有效输入")))))</x:f>
      </x:c>
      <x:c r="O140" s="24" t="str">
        <x:f>IF(A140="","",IF(NOT(ISNUMBER(K140)),"待定预算",IF(NOT(ISNUMBER(M140)),"暂无有效流水",K140-M140)))</x:f>
      </x:c>
      <x:c r="P140" s="24" t="str">
        <x:f>IF(A140="","",IF(NOT(ISNUMBER(L140)),"待定预算",IF(NOT(ISNUMBER(N140)),"暂无有效流水",L140-N140)))</x:f>
      </x:c>
      <x:c r="Q140" s="19" t="str">
        <x:f>IF(A140="","",IF(D140="已结案","已结案",IF(NOT(ISNUMBER(I140)),"待定复盘日",IF(NOT(ISNUMBER($B$3)),"待定评估日",IF(I140&lt;=$B$3,"应复盘","未到期")))))</x:f>
      </x:c>
      <x:c r="R140" s="19" t="str">
        <x:f>IF(A140="","",IF(COUNTIFS($A$7:$A$306,A140)&lt;&gt;1,"问题编号重复",IF(OR(B140="",C140="",D140="",G140="",S140=""),"待补基础信息",IF(AND(F140&lt;&gt;"",COUNTIFS('方案版本'!$A$7:$A$306,F140,'方案版本'!$B$7:$B$306,A140,'方案版本'!$L$7:$L$306,"已冻结")&lt;&gt;1),"当前方案引用无效",IF(AND(D140="执行中",F140=""),"执行缺方案",IF(AND(D140="已结案",OR(T140="",COUNTIFS('复盘记录'!$B$7:$B$306,A140)=0,COUNTIFS('更新日志'!$B$7:$B$306,A140)=0)),"结案资料待补","基础记录齐备"))))))</x:f>
      </x:c>
      <x:c r="S140" s="3"/>
      <x:c r="T140" s="3"/>
    </x:row>
    <x:row r="141" ht="25" customHeight="1">
      <x:c r="A141" s="3"/>
      <x:c r="B141" s="3"/>
      <x:c r="C141" s="3"/>
      <x:c r="D141" s="3"/>
      <x:c r="E141" s="3"/>
      <x:c r="F141" s="3"/>
      <x:c r="G141" s="3"/>
      <x:c r="H141" s="3"/>
      <x:c r="I141" s="20"/>
      <x:c r="J141" s="3"/>
      <x:c r="K141" s="22"/>
      <x:c r="L141" s="22"/>
      <x:c r="M141" s="24" t="str">
        <x:f>IF(A141="","",IF(COUNTIFS('执行日志'!$B$7:$B$306,A141)=0,"",IF(COUNTIFS('执行日志'!$B$7:$B$306,A141,'执行日志'!$L$7:$L$306,"有效",'执行日志'!$P$7:$P$306,"&lt;&gt;有效输入")&gt;0,"待核对",IF(COUNTIFS('执行日志'!$B$7:$B$306,A141,'执行日志'!$P$7:$P$306,"有效输入")=0,"",SUMIFS('执行日志'!$H$7:$H$306,'执行日志'!$B$7:$B$306,A141,'执行日志'!$P$7:$P$306,"有效输入")))))</x:f>
      </x:c>
      <x:c r="N141" s="24" t="str">
        <x:f>IF(A141="","",IF(COUNTIFS('执行日志'!$B$7:$B$306,A141)=0,"",IF(COUNTIFS('执行日志'!$B$7:$B$306,A141,'执行日志'!$L$7:$L$306,"有效",'执行日志'!$P$7:$P$306,"&lt;&gt;有效输入")&gt;0,"待核对",IF(COUNTIFS('执行日志'!$B$7:$B$306,A141,'执行日志'!$P$7:$P$306,"有效输入")=0,"",SUMIFS('执行日志'!$J$7:$J$306,'执行日志'!$B$7:$B$306,A141,'执行日志'!$P$7:$P$306,"有效输入")))))</x:f>
      </x:c>
      <x:c r="O141" s="24" t="str">
        <x:f>IF(A141="","",IF(NOT(ISNUMBER(K141)),"待定预算",IF(NOT(ISNUMBER(M141)),"暂无有效流水",K141-M141)))</x:f>
      </x:c>
      <x:c r="P141" s="24" t="str">
        <x:f>IF(A141="","",IF(NOT(ISNUMBER(L141)),"待定预算",IF(NOT(ISNUMBER(N141)),"暂无有效流水",L141-N141)))</x:f>
      </x:c>
      <x:c r="Q141" s="19" t="str">
        <x:f>IF(A141="","",IF(D141="已结案","已结案",IF(NOT(ISNUMBER(I141)),"待定复盘日",IF(NOT(ISNUMBER($B$3)),"待定评估日",IF(I141&lt;=$B$3,"应复盘","未到期")))))</x:f>
      </x:c>
      <x:c r="R141" s="19" t="str">
        <x:f>IF(A141="","",IF(COUNTIFS($A$7:$A$306,A141)&lt;&gt;1,"问题编号重复",IF(OR(B141="",C141="",D141="",G141="",S141=""),"待补基础信息",IF(AND(F141&lt;&gt;"",COUNTIFS('方案版本'!$A$7:$A$306,F141,'方案版本'!$B$7:$B$306,A141,'方案版本'!$L$7:$L$306,"已冻结")&lt;&gt;1),"当前方案引用无效",IF(AND(D141="执行中",F141=""),"执行缺方案",IF(AND(D141="已结案",OR(T141="",COUNTIFS('复盘记录'!$B$7:$B$306,A141)=0,COUNTIFS('更新日志'!$B$7:$B$306,A141)=0)),"结案资料待补","基础记录齐备"))))))</x:f>
      </x:c>
      <x:c r="S141" s="3"/>
      <x:c r="T141" s="3"/>
    </x:row>
    <x:row r="142" ht="25" customHeight="1">
      <x:c r="A142" s="3"/>
      <x:c r="B142" s="3"/>
      <x:c r="C142" s="3"/>
      <x:c r="D142" s="3"/>
      <x:c r="E142" s="3"/>
      <x:c r="F142" s="3"/>
      <x:c r="G142" s="3"/>
      <x:c r="H142" s="3"/>
      <x:c r="I142" s="20"/>
      <x:c r="J142" s="3"/>
      <x:c r="K142" s="22"/>
      <x:c r="L142" s="22"/>
      <x:c r="M142" s="24" t="str">
        <x:f>IF(A142="","",IF(COUNTIFS('执行日志'!$B$7:$B$306,A142)=0,"",IF(COUNTIFS('执行日志'!$B$7:$B$306,A142,'执行日志'!$L$7:$L$306,"有效",'执行日志'!$P$7:$P$306,"&lt;&gt;有效输入")&gt;0,"待核对",IF(COUNTIFS('执行日志'!$B$7:$B$306,A142,'执行日志'!$P$7:$P$306,"有效输入")=0,"",SUMIFS('执行日志'!$H$7:$H$306,'执行日志'!$B$7:$B$306,A142,'执行日志'!$P$7:$P$306,"有效输入")))))</x:f>
      </x:c>
      <x:c r="N142" s="24" t="str">
        <x:f>IF(A142="","",IF(COUNTIFS('执行日志'!$B$7:$B$306,A142)=0,"",IF(COUNTIFS('执行日志'!$B$7:$B$306,A142,'执行日志'!$L$7:$L$306,"有效",'执行日志'!$P$7:$P$306,"&lt;&gt;有效输入")&gt;0,"待核对",IF(COUNTIFS('执行日志'!$B$7:$B$306,A142,'执行日志'!$P$7:$P$306,"有效输入")=0,"",SUMIFS('执行日志'!$J$7:$J$306,'执行日志'!$B$7:$B$306,A142,'执行日志'!$P$7:$P$306,"有效输入")))))</x:f>
      </x:c>
      <x:c r="O142" s="24" t="str">
        <x:f>IF(A142="","",IF(NOT(ISNUMBER(K142)),"待定预算",IF(NOT(ISNUMBER(M142)),"暂无有效流水",K142-M142)))</x:f>
      </x:c>
      <x:c r="P142" s="24" t="str">
        <x:f>IF(A142="","",IF(NOT(ISNUMBER(L142)),"待定预算",IF(NOT(ISNUMBER(N142)),"暂无有效流水",L142-N142)))</x:f>
      </x:c>
      <x:c r="Q142" s="19" t="str">
        <x:f>IF(A142="","",IF(D142="已结案","已结案",IF(NOT(ISNUMBER(I142)),"待定复盘日",IF(NOT(ISNUMBER($B$3)),"待定评估日",IF(I142&lt;=$B$3,"应复盘","未到期")))))</x:f>
      </x:c>
      <x:c r="R142" s="19" t="str">
        <x:f>IF(A142="","",IF(COUNTIFS($A$7:$A$306,A142)&lt;&gt;1,"问题编号重复",IF(OR(B142="",C142="",D142="",G142="",S142=""),"待补基础信息",IF(AND(F142&lt;&gt;"",COUNTIFS('方案版本'!$A$7:$A$306,F142,'方案版本'!$B$7:$B$306,A142,'方案版本'!$L$7:$L$306,"已冻结")&lt;&gt;1),"当前方案引用无效",IF(AND(D142="执行中",F142=""),"执行缺方案",IF(AND(D142="已结案",OR(T142="",COUNTIFS('复盘记录'!$B$7:$B$306,A142)=0,COUNTIFS('更新日志'!$B$7:$B$306,A142)=0)),"结案资料待补","基础记录齐备"))))))</x:f>
      </x:c>
      <x:c r="S142" s="3"/>
      <x:c r="T142" s="3"/>
    </x:row>
    <x:row r="143" ht="25" customHeight="1">
      <x:c r="A143" s="3"/>
      <x:c r="B143" s="3"/>
      <x:c r="C143" s="3"/>
      <x:c r="D143" s="3"/>
      <x:c r="E143" s="3"/>
      <x:c r="F143" s="3"/>
      <x:c r="G143" s="3"/>
      <x:c r="H143" s="3"/>
      <x:c r="I143" s="20"/>
      <x:c r="J143" s="3"/>
      <x:c r="K143" s="22"/>
      <x:c r="L143" s="22"/>
      <x:c r="M143" s="24" t="str">
        <x:f>IF(A143="","",IF(COUNTIFS('执行日志'!$B$7:$B$306,A143)=0,"",IF(COUNTIFS('执行日志'!$B$7:$B$306,A143,'执行日志'!$L$7:$L$306,"有效",'执行日志'!$P$7:$P$306,"&lt;&gt;有效输入")&gt;0,"待核对",IF(COUNTIFS('执行日志'!$B$7:$B$306,A143,'执行日志'!$P$7:$P$306,"有效输入")=0,"",SUMIFS('执行日志'!$H$7:$H$306,'执行日志'!$B$7:$B$306,A143,'执行日志'!$P$7:$P$306,"有效输入")))))</x:f>
      </x:c>
      <x:c r="N143" s="24" t="str">
        <x:f>IF(A143="","",IF(COUNTIFS('执行日志'!$B$7:$B$306,A143)=0,"",IF(COUNTIFS('执行日志'!$B$7:$B$306,A143,'执行日志'!$L$7:$L$306,"有效",'执行日志'!$P$7:$P$306,"&lt;&gt;有效输入")&gt;0,"待核对",IF(COUNTIFS('执行日志'!$B$7:$B$306,A143,'执行日志'!$P$7:$P$306,"有效输入")=0,"",SUMIFS('执行日志'!$J$7:$J$306,'执行日志'!$B$7:$B$306,A143,'执行日志'!$P$7:$P$306,"有效输入")))))</x:f>
      </x:c>
      <x:c r="O143" s="24" t="str">
        <x:f>IF(A143="","",IF(NOT(ISNUMBER(K143)),"待定预算",IF(NOT(ISNUMBER(M143)),"暂无有效流水",K143-M143)))</x:f>
      </x:c>
      <x:c r="P143" s="24" t="str">
        <x:f>IF(A143="","",IF(NOT(ISNUMBER(L143)),"待定预算",IF(NOT(ISNUMBER(N143)),"暂无有效流水",L143-N143)))</x:f>
      </x:c>
      <x:c r="Q143" s="19" t="str">
        <x:f>IF(A143="","",IF(D143="已结案","已结案",IF(NOT(ISNUMBER(I143)),"待定复盘日",IF(NOT(ISNUMBER($B$3)),"待定评估日",IF(I143&lt;=$B$3,"应复盘","未到期")))))</x:f>
      </x:c>
      <x:c r="R143" s="19" t="str">
        <x:f>IF(A143="","",IF(COUNTIFS($A$7:$A$306,A143)&lt;&gt;1,"问题编号重复",IF(OR(B143="",C143="",D143="",G143="",S143=""),"待补基础信息",IF(AND(F143&lt;&gt;"",COUNTIFS('方案版本'!$A$7:$A$306,F143,'方案版本'!$B$7:$B$306,A143,'方案版本'!$L$7:$L$306,"已冻结")&lt;&gt;1),"当前方案引用无效",IF(AND(D143="执行中",F143=""),"执行缺方案",IF(AND(D143="已结案",OR(T143="",COUNTIFS('复盘记录'!$B$7:$B$306,A143)=0,COUNTIFS('更新日志'!$B$7:$B$306,A143)=0)),"结案资料待补","基础记录齐备"))))))</x:f>
      </x:c>
      <x:c r="S143" s="3"/>
      <x:c r="T143" s="3"/>
    </x:row>
    <x:row r="144" ht="25" customHeight="1">
      <x:c r="A144" s="3"/>
      <x:c r="B144" s="3"/>
      <x:c r="C144" s="3"/>
      <x:c r="D144" s="3"/>
      <x:c r="E144" s="3"/>
      <x:c r="F144" s="3"/>
      <x:c r="G144" s="3"/>
      <x:c r="H144" s="3"/>
      <x:c r="I144" s="20"/>
      <x:c r="J144" s="3"/>
      <x:c r="K144" s="22"/>
      <x:c r="L144" s="22"/>
      <x:c r="M144" s="24" t="str">
        <x:f>IF(A144="","",IF(COUNTIFS('执行日志'!$B$7:$B$306,A144)=0,"",IF(COUNTIFS('执行日志'!$B$7:$B$306,A144,'执行日志'!$L$7:$L$306,"有效",'执行日志'!$P$7:$P$306,"&lt;&gt;有效输入")&gt;0,"待核对",IF(COUNTIFS('执行日志'!$B$7:$B$306,A144,'执行日志'!$P$7:$P$306,"有效输入")=0,"",SUMIFS('执行日志'!$H$7:$H$306,'执行日志'!$B$7:$B$306,A144,'执行日志'!$P$7:$P$306,"有效输入")))))</x:f>
      </x:c>
      <x:c r="N144" s="24" t="str">
        <x:f>IF(A144="","",IF(COUNTIFS('执行日志'!$B$7:$B$306,A144)=0,"",IF(COUNTIFS('执行日志'!$B$7:$B$306,A144,'执行日志'!$L$7:$L$306,"有效",'执行日志'!$P$7:$P$306,"&lt;&gt;有效输入")&gt;0,"待核对",IF(COUNTIFS('执行日志'!$B$7:$B$306,A144,'执行日志'!$P$7:$P$306,"有效输入")=0,"",SUMIFS('执行日志'!$J$7:$J$306,'执行日志'!$B$7:$B$306,A144,'执行日志'!$P$7:$P$306,"有效输入")))))</x:f>
      </x:c>
      <x:c r="O144" s="24" t="str">
        <x:f>IF(A144="","",IF(NOT(ISNUMBER(K144)),"待定预算",IF(NOT(ISNUMBER(M144)),"暂无有效流水",K144-M144)))</x:f>
      </x:c>
      <x:c r="P144" s="24" t="str">
        <x:f>IF(A144="","",IF(NOT(ISNUMBER(L144)),"待定预算",IF(NOT(ISNUMBER(N144)),"暂无有效流水",L144-N144)))</x:f>
      </x:c>
      <x:c r="Q144" s="19" t="str">
        <x:f>IF(A144="","",IF(D144="已结案","已结案",IF(NOT(ISNUMBER(I144)),"待定复盘日",IF(NOT(ISNUMBER($B$3)),"待定评估日",IF(I144&lt;=$B$3,"应复盘","未到期")))))</x:f>
      </x:c>
      <x:c r="R144" s="19" t="str">
        <x:f>IF(A144="","",IF(COUNTIFS($A$7:$A$306,A144)&lt;&gt;1,"问题编号重复",IF(OR(B144="",C144="",D144="",G144="",S144=""),"待补基础信息",IF(AND(F144&lt;&gt;"",COUNTIFS('方案版本'!$A$7:$A$306,F144,'方案版本'!$B$7:$B$306,A144,'方案版本'!$L$7:$L$306,"已冻结")&lt;&gt;1),"当前方案引用无效",IF(AND(D144="执行中",F144=""),"执行缺方案",IF(AND(D144="已结案",OR(T144="",COUNTIFS('复盘记录'!$B$7:$B$306,A144)=0,COUNTIFS('更新日志'!$B$7:$B$306,A144)=0)),"结案资料待补","基础记录齐备"))))))</x:f>
      </x:c>
      <x:c r="S144" s="3"/>
      <x:c r="T144" s="3"/>
    </x:row>
    <x:row r="145" ht="25" customHeight="1">
      <x:c r="A145" s="3"/>
      <x:c r="B145" s="3"/>
      <x:c r="C145" s="3"/>
      <x:c r="D145" s="3"/>
      <x:c r="E145" s="3"/>
      <x:c r="F145" s="3"/>
      <x:c r="G145" s="3"/>
      <x:c r="H145" s="3"/>
      <x:c r="I145" s="20"/>
      <x:c r="J145" s="3"/>
      <x:c r="K145" s="22"/>
      <x:c r="L145" s="22"/>
      <x:c r="M145" s="24" t="str">
        <x:f>IF(A145="","",IF(COUNTIFS('执行日志'!$B$7:$B$306,A145)=0,"",IF(COUNTIFS('执行日志'!$B$7:$B$306,A145,'执行日志'!$L$7:$L$306,"有效",'执行日志'!$P$7:$P$306,"&lt;&gt;有效输入")&gt;0,"待核对",IF(COUNTIFS('执行日志'!$B$7:$B$306,A145,'执行日志'!$P$7:$P$306,"有效输入")=0,"",SUMIFS('执行日志'!$H$7:$H$306,'执行日志'!$B$7:$B$306,A145,'执行日志'!$P$7:$P$306,"有效输入")))))</x:f>
      </x:c>
      <x:c r="N145" s="24" t="str">
        <x:f>IF(A145="","",IF(COUNTIFS('执行日志'!$B$7:$B$306,A145)=0,"",IF(COUNTIFS('执行日志'!$B$7:$B$306,A145,'执行日志'!$L$7:$L$306,"有效",'执行日志'!$P$7:$P$306,"&lt;&gt;有效输入")&gt;0,"待核对",IF(COUNTIFS('执行日志'!$B$7:$B$306,A145,'执行日志'!$P$7:$P$306,"有效输入")=0,"",SUMIFS('执行日志'!$J$7:$J$306,'执行日志'!$B$7:$B$306,A145,'执行日志'!$P$7:$P$306,"有效输入")))))</x:f>
      </x:c>
      <x:c r="O145" s="24" t="str">
        <x:f>IF(A145="","",IF(NOT(ISNUMBER(K145)),"待定预算",IF(NOT(ISNUMBER(M145)),"暂无有效流水",K145-M145)))</x:f>
      </x:c>
      <x:c r="P145" s="24" t="str">
        <x:f>IF(A145="","",IF(NOT(ISNUMBER(L145)),"待定预算",IF(NOT(ISNUMBER(N145)),"暂无有效流水",L145-N145)))</x:f>
      </x:c>
      <x:c r="Q145" s="19" t="str">
        <x:f>IF(A145="","",IF(D145="已结案","已结案",IF(NOT(ISNUMBER(I145)),"待定复盘日",IF(NOT(ISNUMBER($B$3)),"待定评估日",IF(I145&lt;=$B$3,"应复盘","未到期")))))</x:f>
      </x:c>
      <x:c r="R145" s="19" t="str">
        <x:f>IF(A145="","",IF(COUNTIFS($A$7:$A$306,A145)&lt;&gt;1,"问题编号重复",IF(OR(B145="",C145="",D145="",G145="",S145=""),"待补基础信息",IF(AND(F145&lt;&gt;"",COUNTIFS('方案版本'!$A$7:$A$306,F145,'方案版本'!$B$7:$B$306,A145,'方案版本'!$L$7:$L$306,"已冻结")&lt;&gt;1),"当前方案引用无效",IF(AND(D145="执行中",F145=""),"执行缺方案",IF(AND(D145="已结案",OR(T145="",COUNTIFS('复盘记录'!$B$7:$B$306,A145)=0,COUNTIFS('更新日志'!$B$7:$B$306,A145)=0)),"结案资料待补","基础记录齐备"))))))</x:f>
      </x:c>
      <x:c r="S145" s="3"/>
      <x:c r="T145" s="3"/>
    </x:row>
    <x:row r="146" ht="25" customHeight="1">
      <x:c r="A146" s="3"/>
      <x:c r="B146" s="3"/>
      <x:c r="C146" s="3"/>
      <x:c r="D146" s="3"/>
      <x:c r="E146" s="3"/>
      <x:c r="F146" s="3"/>
      <x:c r="G146" s="3"/>
      <x:c r="H146" s="3"/>
      <x:c r="I146" s="20"/>
      <x:c r="J146" s="3"/>
      <x:c r="K146" s="22"/>
      <x:c r="L146" s="22"/>
      <x:c r="M146" s="24" t="str">
        <x:f>IF(A146="","",IF(COUNTIFS('执行日志'!$B$7:$B$306,A146)=0,"",IF(COUNTIFS('执行日志'!$B$7:$B$306,A146,'执行日志'!$L$7:$L$306,"有效",'执行日志'!$P$7:$P$306,"&lt;&gt;有效输入")&gt;0,"待核对",IF(COUNTIFS('执行日志'!$B$7:$B$306,A146,'执行日志'!$P$7:$P$306,"有效输入")=0,"",SUMIFS('执行日志'!$H$7:$H$306,'执行日志'!$B$7:$B$306,A146,'执行日志'!$P$7:$P$306,"有效输入")))))</x:f>
      </x:c>
      <x:c r="N146" s="24" t="str">
        <x:f>IF(A146="","",IF(COUNTIFS('执行日志'!$B$7:$B$306,A146)=0,"",IF(COUNTIFS('执行日志'!$B$7:$B$306,A146,'执行日志'!$L$7:$L$306,"有效",'执行日志'!$P$7:$P$306,"&lt;&gt;有效输入")&gt;0,"待核对",IF(COUNTIFS('执行日志'!$B$7:$B$306,A146,'执行日志'!$P$7:$P$306,"有效输入")=0,"",SUMIFS('执行日志'!$J$7:$J$306,'执行日志'!$B$7:$B$306,A146,'执行日志'!$P$7:$P$306,"有效输入")))))</x:f>
      </x:c>
      <x:c r="O146" s="24" t="str">
        <x:f>IF(A146="","",IF(NOT(ISNUMBER(K146)),"待定预算",IF(NOT(ISNUMBER(M146)),"暂无有效流水",K146-M146)))</x:f>
      </x:c>
      <x:c r="P146" s="24" t="str">
        <x:f>IF(A146="","",IF(NOT(ISNUMBER(L146)),"待定预算",IF(NOT(ISNUMBER(N146)),"暂无有效流水",L146-N146)))</x:f>
      </x:c>
      <x:c r="Q146" s="19" t="str">
        <x:f>IF(A146="","",IF(D146="已结案","已结案",IF(NOT(ISNUMBER(I146)),"待定复盘日",IF(NOT(ISNUMBER($B$3)),"待定评估日",IF(I146&lt;=$B$3,"应复盘","未到期")))))</x:f>
      </x:c>
      <x:c r="R146" s="19" t="str">
        <x:f>IF(A146="","",IF(COUNTIFS($A$7:$A$306,A146)&lt;&gt;1,"问题编号重复",IF(OR(B146="",C146="",D146="",G146="",S146=""),"待补基础信息",IF(AND(F146&lt;&gt;"",COUNTIFS('方案版本'!$A$7:$A$306,F146,'方案版本'!$B$7:$B$306,A146,'方案版本'!$L$7:$L$306,"已冻结")&lt;&gt;1),"当前方案引用无效",IF(AND(D146="执行中",F146=""),"执行缺方案",IF(AND(D146="已结案",OR(T146="",COUNTIFS('复盘记录'!$B$7:$B$306,A146)=0,COUNTIFS('更新日志'!$B$7:$B$306,A146)=0)),"结案资料待补","基础记录齐备"))))))</x:f>
      </x:c>
      <x:c r="S146" s="3"/>
      <x:c r="T146" s="3"/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20"/>
      <x:c r="J147" s="3"/>
      <x:c r="K147" s="22"/>
      <x:c r="L147" s="22"/>
      <x:c r="M147" s="24" t="str">
        <x:f>IF(A147="","",IF(COUNTIFS('执行日志'!$B$7:$B$306,A147)=0,"",IF(COUNTIFS('执行日志'!$B$7:$B$306,A147,'执行日志'!$L$7:$L$306,"有效",'执行日志'!$P$7:$P$306,"&lt;&gt;有效输入")&gt;0,"待核对",IF(COUNTIFS('执行日志'!$B$7:$B$306,A147,'执行日志'!$P$7:$P$306,"有效输入")=0,"",SUMIFS('执行日志'!$H$7:$H$306,'执行日志'!$B$7:$B$306,A147,'执行日志'!$P$7:$P$306,"有效输入")))))</x:f>
      </x:c>
      <x:c r="N147" s="24" t="str">
        <x:f>IF(A147="","",IF(COUNTIFS('执行日志'!$B$7:$B$306,A147)=0,"",IF(COUNTIFS('执行日志'!$B$7:$B$306,A147,'执行日志'!$L$7:$L$306,"有效",'执行日志'!$P$7:$P$306,"&lt;&gt;有效输入")&gt;0,"待核对",IF(COUNTIFS('执行日志'!$B$7:$B$306,A147,'执行日志'!$P$7:$P$306,"有效输入")=0,"",SUMIFS('执行日志'!$J$7:$J$306,'执行日志'!$B$7:$B$306,A147,'执行日志'!$P$7:$P$306,"有效输入")))))</x:f>
      </x:c>
      <x:c r="O147" s="24" t="str">
        <x:f>IF(A147="","",IF(NOT(ISNUMBER(K147)),"待定预算",IF(NOT(ISNUMBER(M147)),"暂无有效流水",K147-M147)))</x:f>
      </x:c>
      <x:c r="P147" s="24" t="str">
        <x:f>IF(A147="","",IF(NOT(ISNUMBER(L147)),"待定预算",IF(NOT(ISNUMBER(N147)),"暂无有效流水",L147-N147)))</x:f>
      </x:c>
      <x:c r="Q147" s="19" t="str">
        <x:f>IF(A147="","",IF(D147="已结案","已结案",IF(NOT(ISNUMBER(I147)),"待定复盘日",IF(NOT(ISNUMBER($B$3)),"待定评估日",IF(I147&lt;=$B$3,"应复盘","未到期")))))</x:f>
      </x:c>
      <x:c r="R147" s="19" t="str">
        <x:f>IF(A147="","",IF(COUNTIFS($A$7:$A$306,A147)&lt;&gt;1,"问题编号重复",IF(OR(B147="",C147="",D147="",G147="",S147=""),"待补基础信息",IF(AND(F147&lt;&gt;"",COUNTIFS('方案版本'!$A$7:$A$306,F147,'方案版本'!$B$7:$B$306,A147,'方案版本'!$L$7:$L$306,"已冻结")&lt;&gt;1),"当前方案引用无效",IF(AND(D147="执行中",F147=""),"执行缺方案",IF(AND(D147="已结案",OR(T147="",COUNTIFS('复盘记录'!$B$7:$B$306,A147)=0,COUNTIFS('更新日志'!$B$7:$B$306,A147)=0)),"结案资料待补","基础记录齐备"))))))</x:f>
      </x:c>
      <x:c r="S147" s="3"/>
      <x:c r="T147" s="3"/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20"/>
      <x:c r="J148" s="3"/>
      <x:c r="K148" s="22"/>
      <x:c r="L148" s="22"/>
      <x:c r="M148" s="24" t="str">
        <x:f>IF(A148="","",IF(COUNTIFS('执行日志'!$B$7:$B$306,A148)=0,"",IF(COUNTIFS('执行日志'!$B$7:$B$306,A148,'执行日志'!$L$7:$L$306,"有效",'执行日志'!$P$7:$P$306,"&lt;&gt;有效输入")&gt;0,"待核对",IF(COUNTIFS('执行日志'!$B$7:$B$306,A148,'执行日志'!$P$7:$P$306,"有效输入")=0,"",SUMIFS('执行日志'!$H$7:$H$306,'执行日志'!$B$7:$B$306,A148,'执行日志'!$P$7:$P$306,"有效输入")))))</x:f>
      </x:c>
      <x:c r="N148" s="24" t="str">
        <x:f>IF(A148="","",IF(COUNTIFS('执行日志'!$B$7:$B$306,A148)=0,"",IF(COUNTIFS('执行日志'!$B$7:$B$306,A148,'执行日志'!$L$7:$L$306,"有效",'执行日志'!$P$7:$P$306,"&lt;&gt;有效输入")&gt;0,"待核对",IF(COUNTIFS('执行日志'!$B$7:$B$306,A148,'执行日志'!$P$7:$P$306,"有效输入")=0,"",SUMIFS('执行日志'!$J$7:$J$306,'执行日志'!$B$7:$B$306,A148,'执行日志'!$P$7:$P$306,"有效输入")))))</x:f>
      </x:c>
      <x:c r="O148" s="24" t="str">
        <x:f>IF(A148="","",IF(NOT(ISNUMBER(K148)),"待定预算",IF(NOT(ISNUMBER(M148)),"暂无有效流水",K148-M148)))</x:f>
      </x:c>
      <x:c r="P148" s="24" t="str">
        <x:f>IF(A148="","",IF(NOT(ISNUMBER(L148)),"待定预算",IF(NOT(ISNUMBER(N148)),"暂无有效流水",L148-N148)))</x:f>
      </x:c>
      <x:c r="Q148" s="19" t="str">
        <x:f>IF(A148="","",IF(D148="已结案","已结案",IF(NOT(ISNUMBER(I148)),"待定复盘日",IF(NOT(ISNUMBER($B$3)),"待定评估日",IF(I148&lt;=$B$3,"应复盘","未到期")))))</x:f>
      </x:c>
      <x:c r="R148" s="19" t="str">
        <x:f>IF(A148="","",IF(COUNTIFS($A$7:$A$306,A148)&lt;&gt;1,"问题编号重复",IF(OR(B148="",C148="",D148="",G148="",S148=""),"待补基础信息",IF(AND(F148&lt;&gt;"",COUNTIFS('方案版本'!$A$7:$A$306,F148,'方案版本'!$B$7:$B$306,A148,'方案版本'!$L$7:$L$306,"已冻结")&lt;&gt;1),"当前方案引用无效",IF(AND(D148="执行中",F148=""),"执行缺方案",IF(AND(D148="已结案",OR(T148="",COUNTIFS('复盘记录'!$B$7:$B$306,A148)=0,COUNTIFS('更新日志'!$B$7:$B$306,A148)=0)),"结案资料待补","基础记录齐备"))))))</x:f>
      </x:c>
      <x:c r="S148" s="3"/>
      <x:c r="T148" s="3"/>
    </x:row>
    <x:row r="149" ht="25" customHeight="1">
      <x:c r="A149" s="3"/>
      <x:c r="B149" s="3"/>
      <x:c r="C149" s="3"/>
      <x:c r="D149" s="3"/>
      <x:c r="E149" s="3"/>
      <x:c r="F149" s="3"/>
      <x:c r="G149" s="3"/>
      <x:c r="H149" s="3"/>
      <x:c r="I149" s="20"/>
      <x:c r="J149" s="3"/>
      <x:c r="K149" s="22"/>
      <x:c r="L149" s="22"/>
      <x:c r="M149" s="24" t="str">
        <x:f>IF(A149="","",IF(COUNTIFS('执行日志'!$B$7:$B$306,A149)=0,"",IF(COUNTIFS('执行日志'!$B$7:$B$306,A149,'执行日志'!$L$7:$L$306,"有效",'执行日志'!$P$7:$P$306,"&lt;&gt;有效输入")&gt;0,"待核对",IF(COUNTIFS('执行日志'!$B$7:$B$306,A149,'执行日志'!$P$7:$P$306,"有效输入")=0,"",SUMIFS('执行日志'!$H$7:$H$306,'执行日志'!$B$7:$B$306,A149,'执行日志'!$P$7:$P$306,"有效输入")))))</x:f>
      </x:c>
      <x:c r="N149" s="24" t="str">
        <x:f>IF(A149="","",IF(COUNTIFS('执行日志'!$B$7:$B$306,A149)=0,"",IF(COUNTIFS('执行日志'!$B$7:$B$306,A149,'执行日志'!$L$7:$L$306,"有效",'执行日志'!$P$7:$P$306,"&lt;&gt;有效输入")&gt;0,"待核对",IF(COUNTIFS('执行日志'!$B$7:$B$306,A149,'执行日志'!$P$7:$P$306,"有效输入")=0,"",SUMIFS('执行日志'!$J$7:$J$306,'执行日志'!$B$7:$B$306,A149,'执行日志'!$P$7:$P$306,"有效输入")))))</x:f>
      </x:c>
      <x:c r="O149" s="24" t="str">
        <x:f>IF(A149="","",IF(NOT(ISNUMBER(K149)),"待定预算",IF(NOT(ISNUMBER(M149)),"暂无有效流水",K149-M149)))</x:f>
      </x:c>
      <x:c r="P149" s="24" t="str">
        <x:f>IF(A149="","",IF(NOT(ISNUMBER(L149)),"待定预算",IF(NOT(ISNUMBER(N149)),"暂无有效流水",L149-N149)))</x:f>
      </x:c>
      <x:c r="Q149" s="19" t="str">
        <x:f>IF(A149="","",IF(D149="已结案","已结案",IF(NOT(ISNUMBER(I149)),"待定复盘日",IF(NOT(ISNUMBER($B$3)),"待定评估日",IF(I149&lt;=$B$3,"应复盘","未到期")))))</x:f>
      </x:c>
      <x:c r="R149" s="19" t="str">
        <x:f>IF(A149="","",IF(COUNTIFS($A$7:$A$306,A149)&lt;&gt;1,"问题编号重复",IF(OR(B149="",C149="",D149="",G149="",S149=""),"待补基础信息",IF(AND(F149&lt;&gt;"",COUNTIFS('方案版本'!$A$7:$A$306,F149,'方案版本'!$B$7:$B$306,A149,'方案版本'!$L$7:$L$306,"已冻结")&lt;&gt;1),"当前方案引用无效",IF(AND(D149="执行中",F149=""),"执行缺方案",IF(AND(D149="已结案",OR(T149="",COUNTIFS('复盘记录'!$B$7:$B$306,A149)=0,COUNTIFS('更新日志'!$B$7:$B$306,A149)=0)),"结案资料待补","基础记录齐备"))))))</x:f>
      </x:c>
      <x:c r="S149" s="3"/>
      <x:c r="T149" s="3"/>
    </x:row>
    <x:row r="150" ht="25" customHeight="1">
      <x:c r="A150" s="3"/>
      <x:c r="B150" s="3"/>
      <x:c r="C150" s="3"/>
      <x:c r="D150" s="3"/>
      <x:c r="E150" s="3"/>
      <x:c r="F150" s="3"/>
      <x:c r="G150" s="3"/>
      <x:c r="H150" s="3"/>
      <x:c r="I150" s="20"/>
      <x:c r="J150" s="3"/>
      <x:c r="K150" s="22"/>
      <x:c r="L150" s="22"/>
      <x:c r="M150" s="24" t="str">
        <x:f>IF(A150="","",IF(COUNTIFS('执行日志'!$B$7:$B$306,A150)=0,"",IF(COUNTIFS('执行日志'!$B$7:$B$306,A150,'执行日志'!$L$7:$L$306,"有效",'执行日志'!$P$7:$P$306,"&lt;&gt;有效输入")&gt;0,"待核对",IF(COUNTIFS('执行日志'!$B$7:$B$306,A150,'执行日志'!$P$7:$P$306,"有效输入")=0,"",SUMIFS('执行日志'!$H$7:$H$306,'执行日志'!$B$7:$B$306,A150,'执行日志'!$P$7:$P$306,"有效输入")))))</x:f>
      </x:c>
      <x:c r="N150" s="24" t="str">
        <x:f>IF(A150="","",IF(COUNTIFS('执行日志'!$B$7:$B$306,A150)=0,"",IF(COUNTIFS('执行日志'!$B$7:$B$306,A150,'执行日志'!$L$7:$L$306,"有效",'执行日志'!$P$7:$P$306,"&lt;&gt;有效输入")&gt;0,"待核对",IF(COUNTIFS('执行日志'!$B$7:$B$306,A150,'执行日志'!$P$7:$P$306,"有效输入")=0,"",SUMIFS('执行日志'!$J$7:$J$306,'执行日志'!$B$7:$B$306,A150,'执行日志'!$P$7:$P$306,"有效输入")))))</x:f>
      </x:c>
      <x:c r="O150" s="24" t="str">
        <x:f>IF(A150="","",IF(NOT(ISNUMBER(K150)),"待定预算",IF(NOT(ISNUMBER(M150)),"暂无有效流水",K150-M150)))</x:f>
      </x:c>
      <x:c r="P150" s="24" t="str">
        <x:f>IF(A150="","",IF(NOT(ISNUMBER(L150)),"待定预算",IF(NOT(ISNUMBER(N150)),"暂无有效流水",L150-N150)))</x:f>
      </x:c>
      <x:c r="Q150" s="19" t="str">
        <x:f>IF(A150="","",IF(D150="已结案","已结案",IF(NOT(ISNUMBER(I150)),"待定复盘日",IF(NOT(ISNUMBER($B$3)),"待定评估日",IF(I150&lt;=$B$3,"应复盘","未到期")))))</x:f>
      </x:c>
      <x:c r="R150" s="19" t="str">
        <x:f>IF(A150="","",IF(COUNTIFS($A$7:$A$306,A150)&lt;&gt;1,"问题编号重复",IF(OR(B150="",C150="",D150="",G150="",S150=""),"待补基础信息",IF(AND(F150&lt;&gt;"",COUNTIFS('方案版本'!$A$7:$A$306,F150,'方案版本'!$B$7:$B$306,A150,'方案版本'!$L$7:$L$306,"已冻结")&lt;&gt;1),"当前方案引用无效",IF(AND(D150="执行中",F150=""),"执行缺方案",IF(AND(D150="已结案",OR(T150="",COUNTIFS('复盘记录'!$B$7:$B$306,A150)=0,COUNTIFS('更新日志'!$B$7:$B$306,A150)=0)),"结案资料待补","基础记录齐备"))))))</x:f>
      </x:c>
      <x:c r="S150" s="3"/>
      <x:c r="T150" s="3"/>
    </x:row>
    <x:row r="151" ht="25" customHeight="1">
      <x:c r="A151" s="3"/>
      <x:c r="B151" s="3"/>
      <x:c r="C151" s="3"/>
      <x:c r="D151" s="3"/>
      <x:c r="E151" s="3"/>
      <x:c r="F151" s="3"/>
      <x:c r="G151" s="3"/>
      <x:c r="H151" s="3"/>
      <x:c r="I151" s="20"/>
      <x:c r="J151" s="3"/>
      <x:c r="K151" s="22"/>
      <x:c r="L151" s="22"/>
      <x:c r="M151" s="24" t="str">
        <x:f>IF(A151="","",IF(COUNTIFS('执行日志'!$B$7:$B$306,A151)=0,"",IF(COUNTIFS('执行日志'!$B$7:$B$306,A151,'执行日志'!$L$7:$L$306,"有效",'执行日志'!$P$7:$P$306,"&lt;&gt;有效输入")&gt;0,"待核对",IF(COUNTIFS('执行日志'!$B$7:$B$306,A151,'执行日志'!$P$7:$P$306,"有效输入")=0,"",SUMIFS('执行日志'!$H$7:$H$306,'执行日志'!$B$7:$B$306,A151,'执行日志'!$P$7:$P$306,"有效输入")))))</x:f>
      </x:c>
      <x:c r="N151" s="24" t="str">
        <x:f>IF(A151="","",IF(COUNTIFS('执行日志'!$B$7:$B$306,A151)=0,"",IF(COUNTIFS('执行日志'!$B$7:$B$306,A151,'执行日志'!$L$7:$L$306,"有效",'执行日志'!$P$7:$P$306,"&lt;&gt;有效输入")&gt;0,"待核对",IF(COUNTIFS('执行日志'!$B$7:$B$306,A151,'执行日志'!$P$7:$P$306,"有效输入")=0,"",SUMIFS('执行日志'!$J$7:$J$306,'执行日志'!$B$7:$B$306,A151,'执行日志'!$P$7:$P$306,"有效输入")))))</x:f>
      </x:c>
      <x:c r="O151" s="24" t="str">
        <x:f>IF(A151="","",IF(NOT(ISNUMBER(K151)),"待定预算",IF(NOT(ISNUMBER(M151)),"暂无有效流水",K151-M151)))</x:f>
      </x:c>
      <x:c r="P151" s="24" t="str">
        <x:f>IF(A151="","",IF(NOT(ISNUMBER(L151)),"待定预算",IF(NOT(ISNUMBER(N151)),"暂无有效流水",L151-N151)))</x:f>
      </x:c>
      <x:c r="Q151" s="19" t="str">
        <x:f>IF(A151="","",IF(D151="已结案","已结案",IF(NOT(ISNUMBER(I151)),"待定复盘日",IF(NOT(ISNUMBER($B$3)),"待定评估日",IF(I151&lt;=$B$3,"应复盘","未到期")))))</x:f>
      </x:c>
      <x:c r="R151" s="19" t="str">
        <x:f>IF(A151="","",IF(COUNTIFS($A$7:$A$306,A151)&lt;&gt;1,"问题编号重复",IF(OR(B151="",C151="",D151="",G151="",S151=""),"待补基础信息",IF(AND(F151&lt;&gt;"",COUNTIFS('方案版本'!$A$7:$A$306,F151,'方案版本'!$B$7:$B$306,A151,'方案版本'!$L$7:$L$306,"已冻结")&lt;&gt;1),"当前方案引用无效",IF(AND(D151="执行中",F151=""),"执行缺方案",IF(AND(D151="已结案",OR(T151="",COUNTIFS('复盘记录'!$B$7:$B$306,A151)=0,COUNTIFS('更新日志'!$B$7:$B$306,A151)=0)),"结案资料待补","基础记录齐备"))))))</x:f>
      </x:c>
      <x:c r="S151" s="3"/>
      <x:c r="T151" s="3"/>
    </x:row>
    <x:row r="152" ht="25" customHeight="1">
      <x:c r="A152" s="3"/>
      <x:c r="B152" s="3"/>
      <x:c r="C152" s="3"/>
      <x:c r="D152" s="3"/>
      <x:c r="E152" s="3"/>
      <x:c r="F152" s="3"/>
      <x:c r="G152" s="3"/>
      <x:c r="H152" s="3"/>
      <x:c r="I152" s="20"/>
      <x:c r="J152" s="3"/>
      <x:c r="K152" s="22"/>
      <x:c r="L152" s="22"/>
      <x:c r="M152" s="24" t="str">
        <x:f>IF(A152="","",IF(COUNTIFS('执行日志'!$B$7:$B$306,A152)=0,"",IF(COUNTIFS('执行日志'!$B$7:$B$306,A152,'执行日志'!$L$7:$L$306,"有效",'执行日志'!$P$7:$P$306,"&lt;&gt;有效输入")&gt;0,"待核对",IF(COUNTIFS('执行日志'!$B$7:$B$306,A152,'执行日志'!$P$7:$P$306,"有效输入")=0,"",SUMIFS('执行日志'!$H$7:$H$306,'执行日志'!$B$7:$B$306,A152,'执行日志'!$P$7:$P$306,"有效输入")))))</x:f>
      </x:c>
      <x:c r="N152" s="24" t="str">
        <x:f>IF(A152="","",IF(COUNTIFS('执行日志'!$B$7:$B$306,A152)=0,"",IF(COUNTIFS('执行日志'!$B$7:$B$306,A152,'执行日志'!$L$7:$L$306,"有效",'执行日志'!$P$7:$P$306,"&lt;&gt;有效输入")&gt;0,"待核对",IF(COUNTIFS('执行日志'!$B$7:$B$306,A152,'执行日志'!$P$7:$P$306,"有效输入")=0,"",SUMIFS('执行日志'!$J$7:$J$306,'执行日志'!$B$7:$B$306,A152,'执行日志'!$P$7:$P$306,"有效输入")))))</x:f>
      </x:c>
      <x:c r="O152" s="24" t="str">
        <x:f>IF(A152="","",IF(NOT(ISNUMBER(K152)),"待定预算",IF(NOT(ISNUMBER(M152)),"暂无有效流水",K152-M152)))</x:f>
      </x:c>
      <x:c r="P152" s="24" t="str">
        <x:f>IF(A152="","",IF(NOT(ISNUMBER(L152)),"待定预算",IF(NOT(ISNUMBER(N152)),"暂无有效流水",L152-N152)))</x:f>
      </x:c>
      <x:c r="Q152" s="19" t="str">
        <x:f>IF(A152="","",IF(D152="已结案","已结案",IF(NOT(ISNUMBER(I152)),"待定复盘日",IF(NOT(ISNUMBER($B$3)),"待定评估日",IF(I152&lt;=$B$3,"应复盘","未到期")))))</x:f>
      </x:c>
      <x:c r="R152" s="19" t="str">
        <x:f>IF(A152="","",IF(COUNTIFS($A$7:$A$306,A152)&lt;&gt;1,"问题编号重复",IF(OR(B152="",C152="",D152="",G152="",S152=""),"待补基础信息",IF(AND(F152&lt;&gt;"",COUNTIFS('方案版本'!$A$7:$A$306,F152,'方案版本'!$B$7:$B$306,A152,'方案版本'!$L$7:$L$306,"已冻结")&lt;&gt;1),"当前方案引用无效",IF(AND(D152="执行中",F152=""),"执行缺方案",IF(AND(D152="已结案",OR(T152="",COUNTIFS('复盘记录'!$B$7:$B$306,A152)=0,COUNTIFS('更新日志'!$B$7:$B$306,A152)=0)),"结案资料待补","基础记录齐备"))))))</x:f>
      </x:c>
      <x:c r="S152" s="3"/>
      <x:c r="T152" s="3"/>
    </x:row>
    <x:row r="153" ht="25" customHeight="1">
      <x:c r="A153" s="3"/>
      <x:c r="B153" s="3"/>
      <x:c r="C153" s="3"/>
      <x:c r="D153" s="3"/>
      <x:c r="E153" s="3"/>
      <x:c r="F153" s="3"/>
      <x:c r="G153" s="3"/>
      <x:c r="H153" s="3"/>
      <x:c r="I153" s="20"/>
      <x:c r="J153" s="3"/>
      <x:c r="K153" s="22"/>
      <x:c r="L153" s="22"/>
      <x:c r="M153" s="24" t="str">
        <x:f>IF(A153="","",IF(COUNTIFS('执行日志'!$B$7:$B$306,A153)=0,"",IF(COUNTIFS('执行日志'!$B$7:$B$306,A153,'执行日志'!$L$7:$L$306,"有效",'执行日志'!$P$7:$P$306,"&lt;&gt;有效输入")&gt;0,"待核对",IF(COUNTIFS('执行日志'!$B$7:$B$306,A153,'执行日志'!$P$7:$P$306,"有效输入")=0,"",SUMIFS('执行日志'!$H$7:$H$306,'执行日志'!$B$7:$B$306,A153,'执行日志'!$P$7:$P$306,"有效输入")))))</x:f>
      </x:c>
      <x:c r="N153" s="24" t="str">
        <x:f>IF(A153="","",IF(COUNTIFS('执行日志'!$B$7:$B$306,A153)=0,"",IF(COUNTIFS('执行日志'!$B$7:$B$306,A153,'执行日志'!$L$7:$L$306,"有效",'执行日志'!$P$7:$P$306,"&lt;&gt;有效输入")&gt;0,"待核对",IF(COUNTIFS('执行日志'!$B$7:$B$306,A153,'执行日志'!$P$7:$P$306,"有效输入")=0,"",SUMIFS('执行日志'!$J$7:$J$306,'执行日志'!$B$7:$B$306,A153,'执行日志'!$P$7:$P$306,"有效输入")))))</x:f>
      </x:c>
      <x:c r="O153" s="24" t="str">
        <x:f>IF(A153="","",IF(NOT(ISNUMBER(K153)),"待定预算",IF(NOT(ISNUMBER(M153)),"暂无有效流水",K153-M153)))</x:f>
      </x:c>
      <x:c r="P153" s="24" t="str">
        <x:f>IF(A153="","",IF(NOT(ISNUMBER(L153)),"待定预算",IF(NOT(ISNUMBER(N153)),"暂无有效流水",L153-N153)))</x:f>
      </x:c>
      <x:c r="Q153" s="19" t="str">
        <x:f>IF(A153="","",IF(D153="已结案","已结案",IF(NOT(ISNUMBER(I153)),"待定复盘日",IF(NOT(ISNUMBER($B$3)),"待定评估日",IF(I153&lt;=$B$3,"应复盘","未到期")))))</x:f>
      </x:c>
      <x:c r="R153" s="19" t="str">
        <x:f>IF(A153="","",IF(COUNTIFS($A$7:$A$306,A153)&lt;&gt;1,"问题编号重复",IF(OR(B153="",C153="",D153="",G153="",S153=""),"待补基础信息",IF(AND(F153&lt;&gt;"",COUNTIFS('方案版本'!$A$7:$A$306,F153,'方案版本'!$B$7:$B$306,A153,'方案版本'!$L$7:$L$306,"已冻结")&lt;&gt;1),"当前方案引用无效",IF(AND(D153="执行中",F153=""),"执行缺方案",IF(AND(D153="已结案",OR(T153="",COUNTIFS('复盘记录'!$B$7:$B$306,A153)=0,COUNTIFS('更新日志'!$B$7:$B$306,A153)=0)),"结案资料待补","基础记录齐备"))))))</x:f>
      </x:c>
      <x:c r="S153" s="3"/>
      <x:c r="T153" s="3"/>
    </x:row>
    <x:row r="154" ht="25" customHeight="1">
      <x:c r="A154" s="3"/>
      <x:c r="B154" s="3"/>
      <x:c r="C154" s="3"/>
      <x:c r="D154" s="3"/>
      <x:c r="E154" s="3"/>
      <x:c r="F154" s="3"/>
      <x:c r="G154" s="3"/>
      <x:c r="H154" s="3"/>
      <x:c r="I154" s="20"/>
      <x:c r="J154" s="3"/>
      <x:c r="K154" s="22"/>
      <x:c r="L154" s="22"/>
      <x:c r="M154" s="24" t="str">
        <x:f>IF(A154="","",IF(COUNTIFS('执行日志'!$B$7:$B$306,A154)=0,"",IF(COUNTIFS('执行日志'!$B$7:$B$306,A154,'执行日志'!$L$7:$L$306,"有效",'执行日志'!$P$7:$P$306,"&lt;&gt;有效输入")&gt;0,"待核对",IF(COUNTIFS('执行日志'!$B$7:$B$306,A154,'执行日志'!$P$7:$P$306,"有效输入")=0,"",SUMIFS('执行日志'!$H$7:$H$306,'执行日志'!$B$7:$B$306,A154,'执行日志'!$P$7:$P$306,"有效输入")))))</x:f>
      </x:c>
      <x:c r="N154" s="24" t="str">
        <x:f>IF(A154="","",IF(COUNTIFS('执行日志'!$B$7:$B$306,A154)=0,"",IF(COUNTIFS('执行日志'!$B$7:$B$306,A154,'执行日志'!$L$7:$L$306,"有效",'执行日志'!$P$7:$P$306,"&lt;&gt;有效输入")&gt;0,"待核对",IF(COUNTIFS('执行日志'!$B$7:$B$306,A154,'执行日志'!$P$7:$P$306,"有效输入")=0,"",SUMIFS('执行日志'!$J$7:$J$306,'执行日志'!$B$7:$B$306,A154,'执行日志'!$P$7:$P$306,"有效输入")))))</x:f>
      </x:c>
      <x:c r="O154" s="24" t="str">
        <x:f>IF(A154="","",IF(NOT(ISNUMBER(K154)),"待定预算",IF(NOT(ISNUMBER(M154)),"暂无有效流水",K154-M154)))</x:f>
      </x:c>
      <x:c r="P154" s="24" t="str">
        <x:f>IF(A154="","",IF(NOT(ISNUMBER(L154)),"待定预算",IF(NOT(ISNUMBER(N154)),"暂无有效流水",L154-N154)))</x:f>
      </x:c>
      <x:c r="Q154" s="19" t="str">
        <x:f>IF(A154="","",IF(D154="已结案","已结案",IF(NOT(ISNUMBER(I154)),"待定复盘日",IF(NOT(ISNUMBER($B$3)),"待定评估日",IF(I154&lt;=$B$3,"应复盘","未到期")))))</x:f>
      </x:c>
      <x:c r="R154" s="19" t="str">
        <x:f>IF(A154="","",IF(COUNTIFS($A$7:$A$306,A154)&lt;&gt;1,"问题编号重复",IF(OR(B154="",C154="",D154="",G154="",S154=""),"待补基础信息",IF(AND(F154&lt;&gt;"",COUNTIFS('方案版本'!$A$7:$A$306,F154,'方案版本'!$B$7:$B$306,A154,'方案版本'!$L$7:$L$306,"已冻结")&lt;&gt;1),"当前方案引用无效",IF(AND(D154="执行中",F154=""),"执行缺方案",IF(AND(D154="已结案",OR(T154="",COUNTIFS('复盘记录'!$B$7:$B$306,A154)=0,COUNTIFS('更新日志'!$B$7:$B$306,A154)=0)),"结案资料待补","基础记录齐备"))))))</x:f>
      </x:c>
      <x:c r="S154" s="3"/>
      <x:c r="T154" s="3"/>
    </x:row>
    <x:row r="155" ht="25" customHeight="1">
      <x:c r="A155" s="3"/>
      <x:c r="B155" s="3"/>
      <x:c r="C155" s="3"/>
      <x:c r="D155" s="3"/>
      <x:c r="E155" s="3"/>
      <x:c r="F155" s="3"/>
      <x:c r="G155" s="3"/>
      <x:c r="H155" s="3"/>
      <x:c r="I155" s="20"/>
      <x:c r="J155" s="3"/>
      <x:c r="K155" s="22"/>
      <x:c r="L155" s="22"/>
      <x:c r="M155" s="24" t="str">
        <x:f>IF(A155="","",IF(COUNTIFS('执行日志'!$B$7:$B$306,A155)=0,"",IF(COUNTIFS('执行日志'!$B$7:$B$306,A155,'执行日志'!$L$7:$L$306,"有效",'执行日志'!$P$7:$P$306,"&lt;&gt;有效输入")&gt;0,"待核对",IF(COUNTIFS('执行日志'!$B$7:$B$306,A155,'执行日志'!$P$7:$P$306,"有效输入")=0,"",SUMIFS('执行日志'!$H$7:$H$306,'执行日志'!$B$7:$B$306,A155,'执行日志'!$P$7:$P$306,"有效输入")))))</x:f>
      </x:c>
      <x:c r="N155" s="24" t="str">
        <x:f>IF(A155="","",IF(COUNTIFS('执行日志'!$B$7:$B$306,A155)=0,"",IF(COUNTIFS('执行日志'!$B$7:$B$306,A155,'执行日志'!$L$7:$L$306,"有效",'执行日志'!$P$7:$P$306,"&lt;&gt;有效输入")&gt;0,"待核对",IF(COUNTIFS('执行日志'!$B$7:$B$306,A155,'执行日志'!$P$7:$P$306,"有效输入")=0,"",SUMIFS('执行日志'!$J$7:$J$306,'执行日志'!$B$7:$B$306,A155,'执行日志'!$P$7:$P$306,"有效输入")))))</x:f>
      </x:c>
      <x:c r="O155" s="24" t="str">
        <x:f>IF(A155="","",IF(NOT(ISNUMBER(K155)),"待定预算",IF(NOT(ISNUMBER(M155)),"暂无有效流水",K155-M155)))</x:f>
      </x:c>
      <x:c r="P155" s="24" t="str">
        <x:f>IF(A155="","",IF(NOT(ISNUMBER(L155)),"待定预算",IF(NOT(ISNUMBER(N155)),"暂无有效流水",L155-N155)))</x:f>
      </x:c>
      <x:c r="Q155" s="19" t="str">
        <x:f>IF(A155="","",IF(D155="已结案","已结案",IF(NOT(ISNUMBER(I155)),"待定复盘日",IF(NOT(ISNUMBER($B$3)),"待定评估日",IF(I155&lt;=$B$3,"应复盘","未到期")))))</x:f>
      </x:c>
      <x:c r="R155" s="19" t="str">
        <x:f>IF(A155="","",IF(COUNTIFS($A$7:$A$306,A155)&lt;&gt;1,"问题编号重复",IF(OR(B155="",C155="",D155="",G155="",S155=""),"待补基础信息",IF(AND(F155&lt;&gt;"",COUNTIFS('方案版本'!$A$7:$A$306,F155,'方案版本'!$B$7:$B$306,A155,'方案版本'!$L$7:$L$306,"已冻结")&lt;&gt;1),"当前方案引用无效",IF(AND(D155="执行中",F155=""),"执行缺方案",IF(AND(D155="已结案",OR(T155="",COUNTIFS('复盘记录'!$B$7:$B$306,A155)=0,COUNTIFS('更新日志'!$B$7:$B$306,A155)=0)),"结案资料待补","基础记录齐备"))))))</x:f>
      </x:c>
      <x:c r="S155" s="3"/>
      <x:c r="T155" s="3"/>
    </x:row>
    <x:row r="156" ht="25" customHeight="1">
      <x:c r="A156" s="3"/>
      <x:c r="B156" s="3"/>
      <x:c r="C156" s="3"/>
      <x:c r="D156" s="3"/>
      <x:c r="E156" s="3"/>
      <x:c r="F156" s="3"/>
      <x:c r="G156" s="3"/>
      <x:c r="H156" s="3"/>
      <x:c r="I156" s="20"/>
      <x:c r="J156" s="3"/>
      <x:c r="K156" s="22"/>
      <x:c r="L156" s="22"/>
      <x:c r="M156" s="24" t="str">
        <x:f>IF(A156="","",IF(COUNTIFS('执行日志'!$B$7:$B$306,A156)=0,"",IF(COUNTIFS('执行日志'!$B$7:$B$306,A156,'执行日志'!$L$7:$L$306,"有效",'执行日志'!$P$7:$P$306,"&lt;&gt;有效输入")&gt;0,"待核对",IF(COUNTIFS('执行日志'!$B$7:$B$306,A156,'执行日志'!$P$7:$P$306,"有效输入")=0,"",SUMIFS('执行日志'!$H$7:$H$306,'执行日志'!$B$7:$B$306,A156,'执行日志'!$P$7:$P$306,"有效输入")))))</x:f>
      </x:c>
      <x:c r="N156" s="24" t="str">
        <x:f>IF(A156="","",IF(COUNTIFS('执行日志'!$B$7:$B$306,A156)=0,"",IF(COUNTIFS('执行日志'!$B$7:$B$306,A156,'执行日志'!$L$7:$L$306,"有效",'执行日志'!$P$7:$P$306,"&lt;&gt;有效输入")&gt;0,"待核对",IF(COUNTIFS('执行日志'!$B$7:$B$306,A156,'执行日志'!$P$7:$P$306,"有效输入")=0,"",SUMIFS('执行日志'!$J$7:$J$306,'执行日志'!$B$7:$B$306,A156,'执行日志'!$P$7:$P$306,"有效输入")))))</x:f>
      </x:c>
      <x:c r="O156" s="24" t="str">
        <x:f>IF(A156="","",IF(NOT(ISNUMBER(K156)),"待定预算",IF(NOT(ISNUMBER(M156)),"暂无有效流水",K156-M156)))</x:f>
      </x:c>
      <x:c r="P156" s="24" t="str">
        <x:f>IF(A156="","",IF(NOT(ISNUMBER(L156)),"待定预算",IF(NOT(ISNUMBER(N156)),"暂无有效流水",L156-N156)))</x:f>
      </x:c>
      <x:c r="Q156" s="19" t="str">
        <x:f>IF(A156="","",IF(D156="已结案","已结案",IF(NOT(ISNUMBER(I156)),"待定复盘日",IF(NOT(ISNUMBER($B$3)),"待定评估日",IF(I156&lt;=$B$3,"应复盘","未到期")))))</x:f>
      </x:c>
      <x:c r="R156" s="19" t="str">
        <x:f>IF(A156="","",IF(COUNTIFS($A$7:$A$306,A156)&lt;&gt;1,"问题编号重复",IF(OR(B156="",C156="",D156="",G156="",S156=""),"待补基础信息",IF(AND(F156&lt;&gt;"",COUNTIFS('方案版本'!$A$7:$A$306,F156,'方案版本'!$B$7:$B$306,A156,'方案版本'!$L$7:$L$306,"已冻结")&lt;&gt;1),"当前方案引用无效",IF(AND(D156="执行中",F156=""),"执行缺方案",IF(AND(D156="已结案",OR(T156="",COUNTIFS('复盘记录'!$B$7:$B$306,A156)=0,COUNTIFS('更新日志'!$B$7:$B$306,A156)=0)),"结案资料待补","基础记录齐备"))))))</x:f>
      </x:c>
      <x:c r="S156" s="3"/>
      <x:c r="T156" s="3"/>
    </x:row>
    <x:row r="157" ht="25" customHeight="1">
      <x:c r="A157" s="3"/>
      <x:c r="B157" s="3"/>
      <x:c r="C157" s="3"/>
      <x:c r="D157" s="3"/>
      <x:c r="E157" s="3"/>
      <x:c r="F157" s="3"/>
      <x:c r="G157" s="3"/>
      <x:c r="H157" s="3"/>
      <x:c r="I157" s="20"/>
      <x:c r="J157" s="3"/>
      <x:c r="K157" s="22"/>
      <x:c r="L157" s="22"/>
      <x:c r="M157" s="24" t="str">
        <x:f>IF(A157="","",IF(COUNTIFS('执行日志'!$B$7:$B$306,A157)=0,"",IF(COUNTIFS('执行日志'!$B$7:$B$306,A157,'执行日志'!$L$7:$L$306,"有效",'执行日志'!$P$7:$P$306,"&lt;&gt;有效输入")&gt;0,"待核对",IF(COUNTIFS('执行日志'!$B$7:$B$306,A157,'执行日志'!$P$7:$P$306,"有效输入")=0,"",SUMIFS('执行日志'!$H$7:$H$306,'执行日志'!$B$7:$B$306,A157,'执行日志'!$P$7:$P$306,"有效输入")))))</x:f>
      </x:c>
      <x:c r="N157" s="24" t="str">
        <x:f>IF(A157="","",IF(COUNTIFS('执行日志'!$B$7:$B$306,A157)=0,"",IF(COUNTIFS('执行日志'!$B$7:$B$306,A157,'执行日志'!$L$7:$L$306,"有效",'执行日志'!$P$7:$P$306,"&lt;&gt;有效输入")&gt;0,"待核对",IF(COUNTIFS('执行日志'!$B$7:$B$306,A157,'执行日志'!$P$7:$P$306,"有效输入")=0,"",SUMIFS('执行日志'!$J$7:$J$306,'执行日志'!$B$7:$B$306,A157,'执行日志'!$P$7:$P$306,"有效输入")))))</x:f>
      </x:c>
      <x:c r="O157" s="24" t="str">
        <x:f>IF(A157="","",IF(NOT(ISNUMBER(K157)),"待定预算",IF(NOT(ISNUMBER(M157)),"暂无有效流水",K157-M157)))</x:f>
      </x:c>
      <x:c r="P157" s="24" t="str">
        <x:f>IF(A157="","",IF(NOT(ISNUMBER(L157)),"待定预算",IF(NOT(ISNUMBER(N157)),"暂无有效流水",L157-N157)))</x:f>
      </x:c>
      <x:c r="Q157" s="19" t="str">
        <x:f>IF(A157="","",IF(D157="已结案","已结案",IF(NOT(ISNUMBER(I157)),"待定复盘日",IF(NOT(ISNUMBER($B$3)),"待定评估日",IF(I157&lt;=$B$3,"应复盘","未到期")))))</x:f>
      </x:c>
      <x:c r="R157" s="19" t="str">
        <x:f>IF(A157="","",IF(COUNTIFS($A$7:$A$306,A157)&lt;&gt;1,"问题编号重复",IF(OR(B157="",C157="",D157="",G157="",S157=""),"待补基础信息",IF(AND(F157&lt;&gt;"",COUNTIFS('方案版本'!$A$7:$A$306,F157,'方案版本'!$B$7:$B$306,A157,'方案版本'!$L$7:$L$306,"已冻结")&lt;&gt;1),"当前方案引用无效",IF(AND(D157="执行中",F157=""),"执行缺方案",IF(AND(D157="已结案",OR(T157="",COUNTIFS('复盘记录'!$B$7:$B$306,A157)=0,COUNTIFS('更新日志'!$B$7:$B$306,A157)=0)),"结案资料待补","基础记录齐备"))))))</x:f>
      </x:c>
      <x:c r="S157" s="3"/>
      <x:c r="T157" s="3"/>
    </x:row>
    <x:row r="158" ht="25" customHeight="1">
      <x:c r="A158" s="3"/>
      <x:c r="B158" s="3"/>
      <x:c r="C158" s="3"/>
      <x:c r="D158" s="3"/>
      <x:c r="E158" s="3"/>
      <x:c r="F158" s="3"/>
      <x:c r="G158" s="3"/>
      <x:c r="H158" s="3"/>
      <x:c r="I158" s="20"/>
      <x:c r="J158" s="3"/>
      <x:c r="K158" s="22"/>
      <x:c r="L158" s="22"/>
      <x:c r="M158" s="24" t="str">
        <x:f>IF(A158="","",IF(COUNTIFS('执行日志'!$B$7:$B$306,A158)=0,"",IF(COUNTIFS('执行日志'!$B$7:$B$306,A158,'执行日志'!$L$7:$L$306,"有效",'执行日志'!$P$7:$P$306,"&lt;&gt;有效输入")&gt;0,"待核对",IF(COUNTIFS('执行日志'!$B$7:$B$306,A158,'执行日志'!$P$7:$P$306,"有效输入")=0,"",SUMIFS('执行日志'!$H$7:$H$306,'执行日志'!$B$7:$B$306,A158,'执行日志'!$P$7:$P$306,"有效输入")))))</x:f>
      </x:c>
      <x:c r="N158" s="24" t="str">
        <x:f>IF(A158="","",IF(COUNTIFS('执行日志'!$B$7:$B$306,A158)=0,"",IF(COUNTIFS('执行日志'!$B$7:$B$306,A158,'执行日志'!$L$7:$L$306,"有效",'执行日志'!$P$7:$P$306,"&lt;&gt;有效输入")&gt;0,"待核对",IF(COUNTIFS('执行日志'!$B$7:$B$306,A158,'执行日志'!$P$7:$P$306,"有效输入")=0,"",SUMIFS('执行日志'!$J$7:$J$306,'执行日志'!$B$7:$B$306,A158,'执行日志'!$P$7:$P$306,"有效输入")))))</x:f>
      </x:c>
      <x:c r="O158" s="24" t="str">
        <x:f>IF(A158="","",IF(NOT(ISNUMBER(K158)),"待定预算",IF(NOT(ISNUMBER(M158)),"暂无有效流水",K158-M158)))</x:f>
      </x:c>
      <x:c r="P158" s="24" t="str">
        <x:f>IF(A158="","",IF(NOT(ISNUMBER(L158)),"待定预算",IF(NOT(ISNUMBER(N158)),"暂无有效流水",L158-N158)))</x:f>
      </x:c>
      <x:c r="Q158" s="19" t="str">
        <x:f>IF(A158="","",IF(D158="已结案","已结案",IF(NOT(ISNUMBER(I158)),"待定复盘日",IF(NOT(ISNUMBER($B$3)),"待定评估日",IF(I158&lt;=$B$3,"应复盘","未到期")))))</x:f>
      </x:c>
      <x:c r="R158" s="19" t="str">
        <x:f>IF(A158="","",IF(COUNTIFS($A$7:$A$306,A158)&lt;&gt;1,"问题编号重复",IF(OR(B158="",C158="",D158="",G158="",S158=""),"待补基础信息",IF(AND(F158&lt;&gt;"",COUNTIFS('方案版本'!$A$7:$A$306,F158,'方案版本'!$B$7:$B$306,A158,'方案版本'!$L$7:$L$306,"已冻结")&lt;&gt;1),"当前方案引用无效",IF(AND(D158="执行中",F158=""),"执行缺方案",IF(AND(D158="已结案",OR(T158="",COUNTIFS('复盘记录'!$B$7:$B$306,A158)=0,COUNTIFS('更新日志'!$B$7:$B$306,A158)=0)),"结案资料待补","基础记录齐备"))))))</x:f>
      </x:c>
      <x:c r="S158" s="3"/>
      <x:c r="T158" s="3"/>
    </x:row>
    <x:row r="159" ht="25" customHeight="1">
      <x:c r="A159" s="3"/>
      <x:c r="B159" s="3"/>
      <x:c r="C159" s="3"/>
      <x:c r="D159" s="3"/>
      <x:c r="E159" s="3"/>
      <x:c r="F159" s="3"/>
      <x:c r="G159" s="3"/>
      <x:c r="H159" s="3"/>
      <x:c r="I159" s="20"/>
      <x:c r="J159" s="3"/>
      <x:c r="K159" s="22"/>
      <x:c r="L159" s="22"/>
      <x:c r="M159" s="24" t="str">
        <x:f>IF(A159="","",IF(COUNTIFS('执行日志'!$B$7:$B$306,A159)=0,"",IF(COUNTIFS('执行日志'!$B$7:$B$306,A159,'执行日志'!$L$7:$L$306,"有效",'执行日志'!$P$7:$P$306,"&lt;&gt;有效输入")&gt;0,"待核对",IF(COUNTIFS('执行日志'!$B$7:$B$306,A159,'执行日志'!$P$7:$P$306,"有效输入")=0,"",SUMIFS('执行日志'!$H$7:$H$306,'执行日志'!$B$7:$B$306,A159,'执行日志'!$P$7:$P$306,"有效输入")))))</x:f>
      </x:c>
      <x:c r="N159" s="24" t="str">
        <x:f>IF(A159="","",IF(COUNTIFS('执行日志'!$B$7:$B$306,A159)=0,"",IF(COUNTIFS('执行日志'!$B$7:$B$306,A159,'执行日志'!$L$7:$L$306,"有效",'执行日志'!$P$7:$P$306,"&lt;&gt;有效输入")&gt;0,"待核对",IF(COUNTIFS('执行日志'!$B$7:$B$306,A159,'执行日志'!$P$7:$P$306,"有效输入")=0,"",SUMIFS('执行日志'!$J$7:$J$306,'执行日志'!$B$7:$B$306,A159,'执行日志'!$P$7:$P$306,"有效输入")))))</x:f>
      </x:c>
      <x:c r="O159" s="24" t="str">
        <x:f>IF(A159="","",IF(NOT(ISNUMBER(K159)),"待定预算",IF(NOT(ISNUMBER(M159)),"暂无有效流水",K159-M159)))</x:f>
      </x:c>
      <x:c r="P159" s="24" t="str">
        <x:f>IF(A159="","",IF(NOT(ISNUMBER(L159)),"待定预算",IF(NOT(ISNUMBER(N159)),"暂无有效流水",L159-N159)))</x:f>
      </x:c>
      <x:c r="Q159" s="19" t="str">
        <x:f>IF(A159="","",IF(D159="已结案","已结案",IF(NOT(ISNUMBER(I159)),"待定复盘日",IF(NOT(ISNUMBER($B$3)),"待定评估日",IF(I159&lt;=$B$3,"应复盘","未到期")))))</x:f>
      </x:c>
      <x:c r="R159" s="19" t="str">
        <x:f>IF(A159="","",IF(COUNTIFS($A$7:$A$306,A159)&lt;&gt;1,"问题编号重复",IF(OR(B159="",C159="",D159="",G159="",S159=""),"待补基础信息",IF(AND(F159&lt;&gt;"",COUNTIFS('方案版本'!$A$7:$A$306,F159,'方案版本'!$B$7:$B$306,A159,'方案版本'!$L$7:$L$306,"已冻结")&lt;&gt;1),"当前方案引用无效",IF(AND(D159="执行中",F159=""),"执行缺方案",IF(AND(D159="已结案",OR(T159="",COUNTIFS('复盘记录'!$B$7:$B$306,A159)=0,COUNTIFS('更新日志'!$B$7:$B$306,A159)=0)),"结案资料待补","基础记录齐备"))))))</x:f>
      </x:c>
      <x:c r="S159" s="3"/>
      <x:c r="T159" s="3"/>
    </x:row>
    <x:row r="160" ht="25" customHeight="1">
      <x:c r="A160" s="3"/>
      <x:c r="B160" s="3"/>
      <x:c r="C160" s="3"/>
      <x:c r="D160" s="3"/>
      <x:c r="E160" s="3"/>
      <x:c r="F160" s="3"/>
      <x:c r="G160" s="3"/>
      <x:c r="H160" s="3"/>
      <x:c r="I160" s="20"/>
      <x:c r="J160" s="3"/>
      <x:c r="K160" s="22"/>
      <x:c r="L160" s="22"/>
      <x:c r="M160" s="24" t="str">
        <x:f>IF(A160="","",IF(COUNTIFS('执行日志'!$B$7:$B$306,A160)=0,"",IF(COUNTIFS('执行日志'!$B$7:$B$306,A160,'执行日志'!$L$7:$L$306,"有效",'执行日志'!$P$7:$P$306,"&lt;&gt;有效输入")&gt;0,"待核对",IF(COUNTIFS('执行日志'!$B$7:$B$306,A160,'执行日志'!$P$7:$P$306,"有效输入")=0,"",SUMIFS('执行日志'!$H$7:$H$306,'执行日志'!$B$7:$B$306,A160,'执行日志'!$P$7:$P$306,"有效输入")))))</x:f>
      </x:c>
      <x:c r="N160" s="24" t="str">
        <x:f>IF(A160="","",IF(COUNTIFS('执行日志'!$B$7:$B$306,A160)=0,"",IF(COUNTIFS('执行日志'!$B$7:$B$306,A160,'执行日志'!$L$7:$L$306,"有效",'执行日志'!$P$7:$P$306,"&lt;&gt;有效输入")&gt;0,"待核对",IF(COUNTIFS('执行日志'!$B$7:$B$306,A160,'执行日志'!$P$7:$P$306,"有效输入")=0,"",SUMIFS('执行日志'!$J$7:$J$306,'执行日志'!$B$7:$B$306,A160,'执行日志'!$P$7:$P$306,"有效输入")))))</x:f>
      </x:c>
      <x:c r="O160" s="24" t="str">
        <x:f>IF(A160="","",IF(NOT(ISNUMBER(K160)),"待定预算",IF(NOT(ISNUMBER(M160)),"暂无有效流水",K160-M160)))</x:f>
      </x:c>
      <x:c r="P160" s="24" t="str">
        <x:f>IF(A160="","",IF(NOT(ISNUMBER(L160)),"待定预算",IF(NOT(ISNUMBER(N160)),"暂无有效流水",L160-N160)))</x:f>
      </x:c>
      <x:c r="Q160" s="19" t="str">
        <x:f>IF(A160="","",IF(D160="已结案","已结案",IF(NOT(ISNUMBER(I160)),"待定复盘日",IF(NOT(ISNUMBER($B$3)),"待定评估日",IF(I160&lt;=$B$3,"应复盘","未到期")))))</x:f>
      </x:c>
      <x:c r="R160" s="19" t="str">
        <x:f>IF(A160="","",IF(COUNTIFS($A$7:$A$306,A160)&lt;&gt;1,"问题编号重复",IF(OR(B160="",C160="",D160="",G160="",S160=""),"待补基础信息",IF(AND(F160&lt;&gt;"",COUNTIFS('方案版本'!$A$7:$A$306,F160,'方案版本'!$B$7:$B$306,A160,'方案版本'!$L$7:$L$306,"已冻结")&lt;&gt;1),"当前方案引用无效",IF(AND(D160="执行中",F160=""),"执行缺方案",IF(AND(D160="已结案",OR(T160="",COUNTIFS('复盘记录'!$B$7:$B$306,A160)=0,COUNTIFS('更新日志'!$B$7:$B$306,A160)=0)),"结案资料待补","基础记录齐备"))))))</x:f>
      </x:c>
      <x:c r="S160" s="3"/>
      <x:c r="T160" s="3"/>
    </x:row>
    <x:row r="161" ht="25" customHeight="1">
      <x:c r="A161" s="3"/>
      <x:c r="B161" s="3"/>
      <x:c r="C161" s="3"/>
      <x:c r="D161" s="3"/>
      <x:c r="E161" s="3"/>
      <x:c r="F161" s="3"/>
      <x:c r="G161" s="3"/>
      <x:c r="H161" s="3"/>
      <x:c r="I161" s="20"/>
      <x:c r="J161" s="3"/>
      <x:c r="K161" s="22"/>
      <x:c r="L161" s="22"/>
      <x:c r="M161" s="24" t="str">
        <x:f>IF(A161="","",IF(COUNTIFS('执行日志'!$B$7:$B$306,A161)=0,"",IF(COUNTIFS('执行日志'!$B$7:$B$306,A161,'执行日志'!$L$7:$L$306,"有效",'执行日志'!$P$7:$P$306,"&lt;&gt;有效输入")&gt;0,"待核对",IF(COUNTIFS('执行日志'!$B$7:$B$306,A161,'执行日志'!$P$7:$P$306,"有效输入")=0,"",SUMIFS('执行日志'!$H$7:$H$306,'执行日志'!$B$7:$B$306,A161,'执行日志'!$P$7:$P$306,"有效输入")))))</x:f>
      </x:c>
      <x:c r="N161" s="24" t="str">
        <x:f>IF(A161="","",IF(COUNTIFS('执行日志'!$B$7:$B$306,A161)=0,"",IF(COUNTIFS('执行日志'!$B$7:$B$306,A161,'执行日志'!$L$7:$L$306,"有效",'执行日志'!$P$7:$P$306,"&lt;&gt;有效输入")&gt;0,"待核对",IF(COUNTIFS('执行日志'!$B$7:$B$306,A161,'执行日志'!$P$7:$P$306,"有效输入")=0,"",SUMIFS('执行日志'!$J$7:$J$306,'执行日志'!$B$7:$B$306,A161,'执行日志'!$P$7:$P$306,"有效输入")))))</x:f>
      </x:c>
      <x:c r="O161" s="24" t="str">
        <x:f>IF(A161="","",IF(NOT(ISNUMBER(K161)),"待定预算",IF(NOT(ISNUMBER(M161)),"暂无有效流水",K161-M161)))</x:f>
      </x:c>
      <x:c r="P161" s="24" t="str">
        <x:f>IF(A161="","",IF(NOT(ISNUMBER(L161)),"待定预算",IF(NOT(ISNUMBER(N161)),"暂无有效流水",L161-N161)))</x:f>
      </x:c>
      <x:c r="Q161" s="19" t="str">
        <x:f>IF(A161="","",IF(D161="已结案","已结案",IF(NOT(ISNUMBER(I161)),"待定复盘日",IF(NOT(ISNUMBER($B$3)),"待定评估日",IF(I161&lt;=$B$3,"应复盘","未到期")))))</x:f>
      </x:c>
      <x:c r="R161" s="19" t="str">
        <x:f>IF(A161="","",IF(COUNTIFS($A$7:$A$306,A161)&lt;&gt;1,"问题编号重复",IF(OR(B161="",C161="",D161="",G161="",S161=""),"待补基础信息",IF(AND(F161&lt;&gt;"",COUNTIFS('方案版本'!$A$7:$A$306,F161,'方案版本'!$B$7:$B$306,A161,'方案版本'!$L$7:$L$306,"已冻结")&lt;&gt;1),"当前方案引用无效",IF(AND(D161="执行中",F161=""),"执行缺方案",IF(AND(D161="已结案",OR(T161="",COUNTIFS('复盘记录'!$B$7:$B$306,A161)=0,COUNTIFS('更新日志'!$B$7:$B$306,A161)=0)),"结案资料待补","基础记录齐备"))))))</x:f>
      </x:c>
      <x:c r="S161" s="3"/>
      <x:c r="T161" s="3"/>
    </x:row>
    <x:row r="162" ht="25" customHeight="1">
      <x:c r="A162" s="3"/>
      <x:c r="B162" s="3"/>
      <x:c r="C162" s="3"/>
      <x:c r="D162" s="3"/>
      <x:c r="E162" s="3"/>
      <x:c r="F162" s="3"/>
      <x:c r="G162" s="3"/>
      <x:c r="H162" s="3"/>
      <x:c r="I162" s="20"/>
      <x:c r="J162" s="3"/>
      <x:c r="K162" s="22"/>
      <x:c r="L162" s="22"/>
      <x:c r="M162" s="24" t="str">
        <x:f>IF(A162="","",IF(COUNTIFS('执行日志'!$B$7:$B$306,A162)=0,"",IF(COUNTIFS('执行日志'!$B$7:$B$306,A162,'执行日志'!$L$7:$L$306,"有效",'执行日志'!$P$7:$P$306,"&lt;&gt;有效输入")&gt;0,"待核对",IF(COUNTIFS('执行日志'!$B$7:$B$306,A162,'执行日志'!$P$7:$P$306,"有效输入")=0,"",SUMIFS('执行日志'!$H$7:$H$306,'执行日志'!$B$7:$B$306,A162,'执行日志'!$P$7:$P$306,"有效输入")))))</x:f>
      </x:c>
      <x:c r="N162" s="24" t="str">
        <x:f>IF(A162="","",IF(COUNTIFS('执行日志'!$B$7:$B$306,A162)=0,"",IF(COUNTIFS('执行日志'!$B$7:$B$306,A162,'执行日志'!$L$7:$L$306,"有效",'执行日志'!$P$7:$P$306,"&lt;&gt;有效输入")&gt;0,"待核对",IF(COUNTIFS('执行日志'!$B$7:$B$306,A162,'执行日志'!$P$7:$P$306,"有效输入")=0,"",SUMIFS('执行日志'!$J$7:$J$306,'执行日志'!$B$7:$B$306,A162,'执行日志'!$P$7:$P$306,"有效输入")))))</x:f>
      </x:c>
      <x:c r="O162" s="24" t="str">
        <x:f>IF(A162="","",IF(NOT(ISNUMBER(K162)),"待定预算",IF(NOT(ISNUMBER(M162)),"暂无有效流水",K162-M162)))</x:f>
      </x:c>
      <x:c r="P162" s="24" t="str">
        <x:f>IF(A162="","",IF(NOT(ISNUMBER(L162)),"待定预算",IF(NOT(ISNUMBER(N162)),"暂无有效流水",L162-N162)))</x:f>
      </x:c>
      <x:c r="Q162" s="19" t="str">
        <x:f>IF(A162="","",IF(D162="已结案","已结案",IF(NOT(ISNUMBER(I162)),"待定复盘日",IF(NOT(ISNUMBER($B$3)),"待定评估日",IF(I162&lt;=$B$3,"应复盘","未到期")))))</x:f>
      </x:c>
      <x:c r="R162" s="19" t="str">
        <x:f>IF(A162="","",IF(COUNTIFS($A$7:$A$306,A162)&lt;&gt;1,"问题编号重复",IF(OR(B162="",C162="",D162="",G162="",S162=""),"待补基础信息",IF(AND(F162&lt;&gt;"",COUNTIFS('方案版本'!$A$7:$A$306,F162,'方案版本'!$B$7:$B$306,A162,'方案版本'!$L$7:$L$306,"已冻结")&lt;&gt;1),"当前方案引用无效",IF(AND(D162="执行中",F162=""),"执行缺方案",IF(AND(D162="已结案",OR(T162="",COUNTIFS('复盘记录'!$B$7:$B$306,A162)=0,COUNTIFS('更新日志'!$B$7:$B$306,A162)=0)),"结案资料待补","基础记录齐备"))))))</x:f>
      </x:c>
      <x:c r="S162" s="3"/>
      <x:c r="T162" s="3"/>
    </x:row>
    <x:row r="163" ht="25" customHeight="1">
      <x:c r="A163" s="3"/>
      <x:c r="B163" s="3"/>
      <x:c r="C163" s="3"/>
      <x:c r="D163" s="3"/>
      <x:c r="E163" s="3"/>
      <x:c r="F163" s="3"/>
      <x:c r="G163" s="3"/>
      <x:c r="H163" s="3"/>
      <x:c r="I163" s="20"/>
      <x:c r="J163" s="3"/>
      <x:c r="K163" s="22"/>
      <x:c r="L163" s="22"/>
      <x:c r="M163" s="24" t="str">
        <x:f>IF(A163="","",IF(COUNTIFS('执行日志'!$B$7:$B$306,A163)=0,"",IF(COUNTIFS('执行日志'!$B$7:$B$306,A163,'执行日志'!$L$7:$L$306,"有效",'执行日志'!$P$7:$P$306,"&lt;&gt;有效输入")&gt;0,"待核对",IF(COUNTIFS('执行日志'!$B$7:$B$306,A163,'执行日志'!$P$7:$P$306,"有效输入")=0,"",SUMIFS('执行日志'!$H$7:$H$306,'执行日志'!$B$7:$B$306,A163,'执行日志'!$P$7:$P$306,"有效输入")))))</x:f>
      </x:c>
      <x:c r="N163" s="24" t="str">
        <x:f>IF(A163="","",IF(COUNTIFS('执行日志'!$B$7:$B$306,A163)=0,"",IF(COUNTIFS('执行日志'!$B$7:$B$306,A163,'执行日志'!$L$7:$L$306,"有效",'执行日志'!$P$7:$P$306,"&lt;&gt;有效输入")&gt;0,"待核对",IF(COUNTIFS('执行日志'!$B$7:$B$306,A163,'执行日志'!$P$7:$P$306,"有效输入")=0,"",SUMIFS('执行日志'!$J$7:$J$306,'执行日志'!$B$7:$B$306,A163,'执行日志'!$P$7:$P$306,"有效输入")))))</x:f>
      </x:c>
      <x:c r="O163" s="24" t="str">
        <x:f>IF(A163="","",IF(NOT(ISNUMBER(K163)),"待定预算",IF(NOT(ISNUMBER(M163)),"暂无有效流水",K163-M163)))</x:f>
      </x:c>
      <x:c r="P163" s="24" t="str">
        <x:f>IF(A163="","",IF(NOT(ISNUMBER(L163)),"待定预算",IF(NOT(ISNUMBER(N163)),"暂无有效流水",L163-N163)))</x:f>
      </x:c>
      <x:c r="Q163" s="19" t="str">
        <x:f>IF(A163="","",IF(D163="已结案","已结案",IF(NOT(ISNUMBER(I163)),"待定复盘日",IF(NOT(ISNUMBER($B$3)),"待定评估日",IF(I163&lt;=$B$3,"应复盘","未到期")))))</x:f>
      </x:c>
      <x:c r="R163" s="19" t="str">
        <x:f>IF(A163="","",IF(COUNTIFS($A$7:$A$306,A163)&lt;&gt;1,"问题编号重复",IF(OR(B163="",C163="",D163="",G163="",S163=""),"待补基础信息",IF(AND(F163&lt;&gt;"",COUNTIFS('方案版本'!$A$7:$A$306,F163,'方案版本'!$B$7:$B$306,A163,'方案版本'!$L$7:$L$306,"已冻结")&lt;&gt;1),"当前方案引用无效",IF(AND(D163="执行中",F163=""),"执行缺方案",IF(AND(D163="已结案",OR(T163="",COUNTIFS('复盘记录'!$B$7:$B$306,A163)=0,COUNTIFS('更新日志'!$B$7:$B$306,A163)=0)),"结案资料待补","基础记录齐备"))))))</x:f>
      </x:c>
      <x:c r="S163" s="3"/>
      <x:c r="T163" s="3"/>
    </x:row>
    <x:row r="164" ht="25" customHeight="1">
      <x:c r="A164" s="3"/>
      <x:c r="B164" s="3"/>
      <x:c r="C164" s="3"/>
      <x:c r="D164" s="3"/>
      <x:c r="E164" s="3"/>
      <x:c r="F164" s="3"/>
      <x:c r="G164" s="3"/>
      <x:c r="H164" s="3"/>
      <x:c r="I164" s="20"/>
      <x:c r="J164" s="3"/>
      <x:c r="K164" s="22"/>
      <x:c r="L164" s="22"/>
      <x:c r="M164" s="24" t="str">
        <x:f>IF(A164="","",IF(COUNTIFS('执行日志'!$B$7:$B$306,A164)=0,"",IF(COUNTIFS('执行日志'!$B$7:$B$306,A164,'执行日志'!$L$7:$L$306,"有效",'执行日志'!$P$7:$P$306,"&lt;&gt;有效输入")&gt;0,"待核对",IF(COUNTIFS('执行日志'!$B$7:$B$306,A164,'执行日志'!$P$7:$P$306,"有效输入")=0,"",SUMIFS('执行日志'!$H$7:$H$306,'执行日志'!$B$7:$B$306,A164,'执行日志'!$P$7:$P$306,"有效输入")))))</x:f>
      </x:c>
      <x:c r="N164" s="24" t="str">
        <x:f>IF(A164="","",IF(COUNTIFS('执行日志'!$B$7:$B$306,A164)=0,"",IF(COUNTIFS('执行日志'!$B$7:$B$306,A164,'执行日志'!$L$7:$L$306,"有效",'执行日志'!$P$7:$P$306,"&lt;&gt;有效输入")&gt;0,"待核对",IF(COUNTIFS('执行日志'!$B$7:$B$306,A164,'执行日志'!$P$7:$P$306,"有效输入")=0,"",SUMIFS('执行日志'!$J$7:$J$306,'执行日志'!$B$7:$B$306,A164,'执行日志'!$P$7:$P$306,"有效输入")))))</x:f>
      </x:c>
      <x:c r="O164" s="24" t="str">
        <x:f>IF(A164="","",IF(NOT(ISNUMBER(K164)),"待定预算",IF(NOT(ISNUMBER(M164)),"暂无有效流水",K164-M164)))</x:f>
      </x:c>
      <x:c r="P164" s="24" t="str">
        <x:f>IF(A164="","",IF(NOT(ISNUMBER(L164)),"待定预算",IF(NOT(ISNUMBER(N164)),"暂无有效流水",L164-N164)))</x:f>
      </x:c>
      <x:c r="Q164" s="19" t="str">
        <x:f>IF(A164="","",IF(D164="已结案","已结案",IF(NOT(ISNUMBER(I164)),"待定复盘日",IF(NOT(ISNUMBER($B$3)),"待定评估日",IF(I164&lt;=$B$3,"应复盘","未到期")))))</x:f>
      </x:c>
      <x:c r="R164" s="19" t="str">
        <x:f>IF(A164="","",IF(COUNTIFS($A$7:$A$306,A164)&lt;&gt;1,"问题编号重复",IF(OR(B164="",C164="",D164="",G164="",S164=""),"待补基础信息",IF(AND(F164&lt;&gt;"",COUNTIFS('方案版本'!$A$7:$A$306,F164,'方案版本'!$B$7:$B$306,A164,'方案版本'!$L$7:$L$306,"已冻结")&lt;&gt;1),"当前方案引用无效",IF(AND(D164="执行中",F164=""),"执行缺方案",IF(AND(D164="已结案",OR(T164="",COUNTIFS('复盘记录'!$B$7:$B$306,A164)=0,COUNTIFS('更新日志'!$B$7:$B$306,A164)=0)),"结案资料待补","基础记录齐备"))))))</x:f>
      </x:c>
      <x:c r="S164" s="3"/>
      <x:c r="T164" s="3"/>
    </x:row>
    <x:row r="165" ht="25" customHeight="1">
      <x:c r="A165" s="3"/>
      <x:c r="B165" s="3"/>
      <x:c r="C165" s="3"/>
      <x:c r="D165" s="3"/>
      <x:c r="E165" s="3"/>
      <x:c r="F165" s="3"/>
      <x:c r="G165" s="3"/>
      <x:c r="H165" s="3"/>
      <x:c r="I165" s="20"/>
      <x:c r="J165" s="3"/>
      <x:c r="K165" s="22"/>
      <x:c r="L165" s="22"/>
      <x:c r="M165" s="24" t="str">
        <x:f>IF(A165="","",IF(COUNTIFS('执行日志'!$B$7:$B$306,A165)=0,"",IF(COUNTIFS('执行日志'!$B$7:$B$306,A165,'执行日志'!$L$7:$L$306,"有效",'执行日志'!$P$7:$P$306,"&lt;&gt;有效输入")&gt;0,"待核对",IF(COUNTIFS('执行日志'!$B$7:$B$306,A165,'执行日志'!$P$7:$P$306,"有效输入")=0,"",SUMIFS('执行日志'!$H$7:$H$306,'执行日志'!$B$7:$B$306,A165,'执行日志'!$P$7:$P$306,"有效输入")))))</x:f>
      </x:c>
      <x:c r="N165" s="24" t="str">
        <x:f>IF(A165="","",IF(COUNTIFS('执行日志'!$B$7:$B$306,A165)=0,"",IF(COUNTIFS('执行日志'!$B$7:$B$306,A165,'执行日志'!$L$7:$L$306,"有效",'执行日志'!$P$7:$P$306,"&lt;&gt;有效输入")&gt;0,"待核对",IF(COUNTIFS('执行日志'!$B$7:$B$306,A165,'执行日志'!$P$7:$P$306,"有效输入")=0,"",SUMIFS('执行日志'!$J$7:$J$306,'执行日志'!$B$7:$B$306,A165,'执行日志'!$P$7:$P$306,"有效输入")))))</x:f>
      </x:c>
      <x:c r="O165" s="24" t="str">
        <x:f>IF(A165="","",IF(NOT(ISNUMBER(K165)),"待定预算",IF(NOT(ISNUMBER(M165)),"暂无有效流水",K165-M165)))</x:f>
      </x:c>
      <x:c r="P165" s="24" t="str">
        <x:f>IF(A165="","",IF(NOT(ISNUMBER(L165)),"待定预算",IF(NOT(ISNUMBER(N165)),"暂无有效流水",L165-N165)))</x:f>
      </x:c>
      <x:c r="Q165" s="19" t="str">
        <x:f>IF(A165="","",IF(D165="已结案","已结案",IF(NOT(ISNUMBER(I165)),"待定复盘日",IF(NOT(ISNUMBER($B$3)),"待定评估日",IF(I165&lt;=$B$3,"应复盘","未到期")))))</x:f>
      </x:c>
      <x:c r="R165" s="19" t="str">
        <x:f>IF(A165="","",IF(COUNTIFS($A$7:$A$306,A165)&lt;&gt;1,"问题编号重复",IF(OR(B165="",C165="",D165="",G165="",S165=""),"待补基础信息",IF(AND(F165&lt;&gt;"",COUNTIFS('方案版本'!$A$7:$A$306,F165,'方案版本'!$B$7:$B$306,A165,'方案版本'!$L$7:$L$306,"已冻结")&lt;&gt;1),"当前方案引用无效",IF(AND(D165="执行中",F165=""),"执行缺方案",IF(AND(D165="已结案",OR(T165="",COUNTIFS('复盘记录'!$B$7:$B$306,A165)=0,COUNTIFS('更新日志'!$B$7:$B$306,A165)=0)),"结案资料待补","基础记录齐备"))))))</x:f>
      </x:c>
      <x:c r="S165" s="3"/>
      <x:c r="T165" s="3"/>
    </x:row>
    <x:row r="166" ht="25" customHeight="1">
      <x:c r="A166" s="3"/>
      <x:c r="B166" s="3"/>
      <x:c r="C166" s="3"/>
      <x:c r="D166" s="3"/>
      <x:c r="E166" s="3"/>
      <x:c r="F166" s="3"/>
      <x:c r="G166" s="3"/>
      <x:c r="H166" s="3"/>
      <x:c r="I166" s="20"/>
      <x:c r="J166" s="3"/>
      <x:c r="K166" s="22"/>
      <x:c r="L166" s="22"/>
      <x:c r="M166" s="24" t="str">
        <x:f>IF(A166="","",IF(COUNTIFS('执行日志'!$B$7:$B$306,A166)=0,"",IF(COUNTIFS('执行日志'!$B$7:$B$306,A166,'执行日志'!$L$7:$L$306,"有效",'执行日志'!$P$7:$P$306,"&lt;&gt;有效输入")&gt;0,"待核对",IF(COUNTIFS('执行日志'!$B$7:$B$306,A166,'执行日志'!$P$7:$P$306,"有效输入")=0,"",SUMIFS('执行日志'!$H$7:$H$306,'执行日志'!$B$7:$B$306,A166,'执行日志'!$P$7:$P$306,"有效输入")))))</x:f>
      </x:c>
      <x:c r="N166" s="24" t="str">
        <x:f>IF(A166="","",IF(COUNTIFS('执行日志'!$B$7:$B$306,A166)=0,"",IF(COUNTIFS('执行日志'!$B$7:$B$306,A166,'执行日志'!$L$7:$L$306,"有效",'执行日志'!$P$7:$P$306,"&lt;&gt;有效输入")&gt;0,"待核对",IF(COUNTIFS('执行日志'!$B$7:$B$306,A166,'执行日志'!$P$7:$P$306,"有效输入")=0,"",SUMIFS('执行日志'!$J$7:$J$306,'执行日志'!$B$7:$B$306,A166,'执行日志'!$P$7:$P$306,"有效输入")))))</x:f>
      </x:c>
      <x:c r="O166" s="24" t="str">
        <x:f>IF(A166="","",IF(NOT(ISNUMBER(K166)),"待定预算",IF(NOT(ISNUMBER(M166)),"暂无有效流水",K166-M166)))</x:f>
      </x:c>
      <x:c r="P166" s="24" t="str">
        <x:f>IF(A166="","",IF(NOT(ISNUMBER(L166)),"待定预算",IF(NOT(ISNUMBER(N166)),"暂无有效流水",L166-N166)))</x:f>
      </x:c>
      <x:c r="Q166" s="19" t="str">
        <x:f>IF(A166="","",IF(D166="已结案","已结案",IF(NOT(ISNUMBER(I166)),"待定复盘日",IF(NOT(ISNUMBER($B$3)),"待定评估日",IF(I166&lt;=$B$3,"应复盘","未到期")))))</x:f>
      </x:c>
      <x:c r="R166" s="19" t="str">
        <x:f>IF(A166="","",IF(COUNTIFS($A$7:$A$306,A166)&lt;&gt;1,"问题编号重复",IF(OR(B166="",C166="",D166="",G166="",S166=""),"待补基础信息",IF(AND(F166&lt;&gt;"",COUNTIFS('方案版本'!$A$7:$A$306,F166,'方案版本'!$B$7:$B$306,A166,'方案版本'!$L$7:$L$306,"已冻结")&lt;&gt;1),"当前方案引用无效",IF(AND(D166="执行中",F166=""),"执行缺方案",IF(AND(D166="已结案",OR(T166="",COUNTIFS('复盘记录'!$B$7:$B$306,A166)=0,COUNTIFS('更新日志'!$B$7:$B$306,A166)=0)),"结案资料待补","基础记录齐备"))))))</x:f>
      </x:c>
      <x:c r="S166" s="3"/>
      <x:c r="T166" s="3"/>
    </x:row>
    <x:row r="167" ht="25" customHeight="1">
      <x:c r="A167" s="3"/>
      <x:c r="B167" s="3"/>
      <x:c r="C167" s="3"/>
      <x:c r="D167" s="3"/>
      <x:c r="E167" s="3"/>
      <x:c r="F167" s="3"/>
      <x:c r="G167" s="3"/>
      <x:c r="H167" s="3"/>
      <x:c r="I167" s="20"/>
      <x:c r="J167" s="3"/>
      <x:c r="K167" s="22"/>
      <x:c r="L167" s="22"/>
      <x:c r="M167" s="24" t="str">
        <x:f>IF(A167="","",IF(COUNTIFS('执行日志'!$B$7:$B$306,A167)=0,"",IF(COUNTIFS('执行日志'!$B$7:$B$306,A167,'执行日志'!$L$7:$L$306,"有效",'执行日志'!$P$7:$P$306,"&lt;&gt;有效输入")&gt;0,"待核对",IF(COUNTIFS('执行日志'!$B$7:$B$306,A167,'执行日志'!$P$7:$P$306,"有效输入")=0,"",SUMIFS('执行日志'!$H$7:$H$306,'执行日志'!$B$7:$B$306,A167,'执行日志'!$P$7:$P$306,"有效输入")))))</x:f>
      </x:c>
      <x:c r="N167" s="24" t="str">
        <x:f>IF(A167="","",IF(COUNTIFS('执行日志'!$B$7:$B$306,A167)=0,"",IF(COUNTIFS('执行日志'!$B$7:$B$306,A167,'执行日志'!$L$7:$L$306,"有效",'执行日志'!$P$7:$P$306,"&lt;&gt;有效输入")&gt;0,"待核对",IF(COUNTIFS('执行日志'!$B$7:$B$306,A167,'执行日志'!$P$7:$P$306,"有效输入")=0,"",SUMIFS('执行日志'!$J$7:$J$306,'执行日志'!$B$7:$B$306,A167,'执行日志'!$P$7:$P$306,"有效输入")))))</x:f>
      </x:c>
      <x:c r="O167" s="24" t="str">
        <x:f>IF(A167="","",IF(NOT(ISNUMBER(K167)),"待定预算",IF(NOT(ISNUMBER(M167)),"暂无有效流水",K167-M167)))</x:f>
      </x:c>
      <x:c r="P167" s="24" t="str">
        <x:f>IF(A167="","",IF(NOT(ISNUMBER(L167)),"待定预算",IF(NOT(ISNUMBER(N167)),"暂无有效流水",L167-N167)))</x:f>
      </x:c>
      <x:c r="Q167" s="19" t="str">
        <x:f>IF(A167="","",IF(D167="已结案","已结案",IF(NOT(ISNUMBER(I167)),"待定复盘日",IF(NOT(ISNUMBER($B$3)),"待定评估日",IF(I167&lt;=$B$3,"应复盘","未到期")))))</x:f>
      </x:c>
      <x:c r="R167" s="19" t="str">
        <x:f>IF(A167="","",IF(COUNTIFS($A$7:$A$306,A167)&lt;&gt;1,"问题编号重复",IF(OR(B167="",C167="",D167="",G167="",S167=""),"待补基础信息",IF(AND(F167&lt;&gt;"",COUNTIFS('方案版本'!$A$7:$A$306,F167,'方案版本'!$B$7:$B$306,A167,'方案版本'!$L$7:$L$306,"已冻结")&lt;&gt;1),"当前方案引用无效",IF(AND(D167="执行中",F167=""),"执行缺方案",IF(AND(D167="已结案",OR(T167="",COUNTIFS('复盘记录'!$B$7:$B$306,A167)=0,COUNTIFS('更新日志'!$B$7:$B$306,A167)=0)),"结案资料待补","基础记录齐备"))))))</x:f>
      </x:c>
      <x:c r="S167" s="3"/>
      <x:c r="T167" s="3"/>
    </x:row>
    <x:row r="168" ht="25" customHeight="1">
      <x:c r="A168" s="3"/>
      <x:c r="B168" s="3"/>
      <x:c r="C168" s="3"/>
      <x:c r="D168" s="3"/>
      <x:c r="E168" s="3"/>
      <x:c r="F168" s="3"/>
      <x:c r="G168" s="3"/>
      <x:c r="H168" s="3"/>
      <x:c r="I168" s="20"/>
      <x:c r="J168" s="3"/>
      <x:c r="K168" s="22"/>
      <x:c r="L168" s="22"/>
      <x:c r="M168" s="24" t="str">
        <x:f>IF(A168="","",IF(COUNTIFS('执行日志'!$B$7:$B$306,A168)=0,"",IF(COUNTIFS('执行日志'!$B$7:$B$306,A168,'执行日志'!$L$7:$L$306,"有效",'执行日志'!$P$7:$P$306,"&lt;&gt;有效输入")&gt;0,"待核对",IF(COUNTIFS('执行日志'!$B$7:$B$306,A168,'执行日志'!$P$7:$P$306,"有效输入")=0,"",SUMIFS('执行日志'!$H$7:$H$306,'执行日志'!$B$7:$B$306,A168,'执行日志'!$P$7:$P$306,"有效输入")))))</x:f>
      </x:c>
      <x:c r="N168" s="24" t="str">
        <x:f>IF(A168="","",IF(COUNTIFS('执行日志'!$B$7:$B$306,A168)=0,"",IF(COUNTIFS('执行日志'!$B$7:$B$306,A168,'执行日志'!$L$7:$L$306,"有效",'执行日志'!$P$7:$P$306,"&lt;&gt;有效输入")&gt;0,"待核对",IF(COUNTIFS('执行日志'!$B$7:$B$306,A168,'执行日志'!$P$7:$P$306,"有效输入")=0,"",SUMIFS('执行日志'!$J$7:$J$306,'执行日志'!$B$7:$B$306,A168,'执行日志'!$P$7:$P$306,"有效输入")))))</x:f>
      </x:c>
      <x:c r="O168" s="24" t="str">
        <x:f>IF(A168="","",IF(NOT(ISNUMBER(K168)),"待定预算",IF(NOT(ISNUMBER(M168)),"暂无有效流水",K168-M168)))</x:f>
      </x:c>
      <x:c r="P168" s="24" t="str">
        <x:f>IF(A168="","",IF(NOT(ISNUMBER(L168)),"待定预算",IF(NOT(ISNUMBER(N168)),"暂无有效流水",L168-N168)))</x:f>
      </x:c>
      <x:c r="Q168" s="19" t="str">
        <x:f>IF(A168="","",IF(D168="已结案","已结案",IF(NOT(ISNUMBER(I168)),"待定复盘日",IF(NOT(ISNUMBER($B$3)),"待定评估日",IF(I168&lt;=$B$3,"应复盘","未到期")))))</x:f>
      </x:c>
      <x:c r="R168" s="19" t="str">
        <x:f>IF(A168="","",IF(COUNTIFS($A$7:$A$306,A168)&lt;&gt;1,"问题编号重复",IF(OR(B168="",C168="",D168="",G168="",S168=""),"待补基础信息",IF(AND(F168&lt;&gt;"",COUNTIFS('方案版本'!$A$7:$A$306,F168,'方案版本'!$B$7:$B$306,A168,'方案版本'!$L$7:$L$306,"已冻结")&lt;&gt;1),"当前方案引用无效",IF(AND(D168="执行中",F168=""),"执行缺方案",IF(AND(D168="已结案",OR(T168="",COUNTIFS('复盘记录'!$B$7:$B$306,A168)=0,COUNTIFS('更新日志'!$B$7:$B$306,A168)=0)),"结案资料待补","基础记录齐备"))))))</x:f>
      </x:c>
      <x:c r="S168" s="3"/>
      <x:c r="T168" s="3"/>
    </x:row>
    <x:row r="169" ht="25" customHeight="1">
      <x:c r="A169" s="3"/>
      <x:c r="B169" s="3"/>
      <x:c r="C169" s="3"/>
      <x:c r="D169" s="3"/>
      <x:c r="E169" s="3"/>
      <x:c r="F169" s="3"/>
      <x:c r="G169" s="3"/>
      <x:c r="H169" s="3"/>
      <x:c r="I169" s="20"/>
      <x:c r="J169" s="3"/>
      <x:c r="K169" s="22"/>
      <x:c r="L169" s="22"/>
      <x:c r="M169" s="24" t="str">
        <x:f>IF(A169="","",IF(COUNTIFS('执行日志'!$B$7:$B$306,A169)=0,"",IF(COUNTIFS('执行日志'!$B$7:$B$306,A169,'执行日志'!$L$7:$L$306,"有效",'执行日志'!$P$7:$P$306,"&lt;&gt;有效输入")&gt;0,"待核对",IF(COUNTIFS('执行日志'!$B$7:$B$306,A169,'执行日志'!$P$7:$P$306,"有效输入")=0,"",SUMIFS('执行日志'!$H$7:$H$306,'执行日志'!$B$7:$B$306,A169,'执行日志'!$P$7:$P$306,"有效输入")))))</x:f>
      </x:c>
      <x:c r="N169" s="24" t="str">
        <x:f>IF(A169="","",IF(COUNTIFS('执行日志'!$B$7:$B$306,A169)=0,"",IF(COUNTIFS('执行日志'!$B$7:$B$306,A169,'执行日志'!$L$7:$L$306,"有效",'执行日志'!$P$7:$P$306,"&lt;&gt;有效输入")&gt;0,"待核对",IF(COUNTIFS('执行日志'!$B$7:$B$306,A169,'执行日志'!$P$7:$P$306,"有效输入")=0,"",SUMIFS('执行日志'!$J$7:$J$306,'执行日志'!$B$7:$B$306,A169,'执行日志'!$P$7:$P$306,"有效输入")))))</x:f>
      </x:c>
      <x:c r="O169" s="24" t="str">
        <x:f>IF(A169="","",IF(NOT(ISNUMBER(K169)),"待定预算",IF(NOT(ISNUMBER(M169)),"暂无有效流水",K169-M169)))</x:f>
      </x:c>
      <x:c r="P169" s="24" t="str">
        <x:f>IF(A169="","",IF(NOT(ISNUMBER(L169)),"待定预算",IF(NOT(ISNUMBER(N169)),"暂无有效流水",L169-N169)))</x:f>
      </x:c>
      <x:c r="Q169" s="19" t="str">
        <x:f>IF(A169="","",IF(D169="已结案","已结案",IF(NOT(ISNUMBER(I169)),"待定复盘日",IF(NOT(ISNUMBER($B$3)),"待定评估日",IF(I169&lt;=$B$3,"应复盘","未到期")))))</x:f>
      </x:c>
      <x:c r="R169" s="19" t="str">
        <x:f>IF(A169="","",IF(COUNTIFS($A$7:$A$306,A169)&lt;&gt;1,"问题编号重复",IF(OR(B169="",C169="",D169="",G169="",S169=""),"待补基础信息",IF(AND(F169&lt;&gt;"",COUNTIFS('方案版本'!$A$7:$A$306,F169,'方案版本'!$B$7:$B$306,A169,'方案版本'!$L$7:$L$306,"已冻结")&lt;&gt;1),"当前方案引用无效",IF(AND(D169="执行中",F169=""),"执行缺方案",IF(AND(D169="已结案",OR(T169="",COUNTIFS('复盘记录'!$B$7:$B$306,A169)=0,COUNTIFS('更新日志'!$B$7:$B$306,A169)=0)),"结案资料待补","基础记录齐备"))))))</x:f>
      </x:c>
      <x:c r="S169" s="3"/>
      <x:c r="T169" s="3"/>
    </x:row>
    <x:row r="170" ht="25" customHeight="1">
      <x:c r="A170" s="3"/>
      <x:c r="B170" s="3"/>
      <x:c r="C170" s="3"/>
      <x:c r="D170" s="3"/>
      <x:c r="E170" s="3"/>
      <x:c r="F170" s="3"/>
      <x:c r="G170" s="3"/>
      <x:c r="H170" s="3"/>
      <x:c r="I170" s="20"/>
      <x:c r="J170" s="3"/>
      <x:c r="K170" s="22"/>
      <x:c r="L170" s="22"/>
      <x:c r="M170" s="24" t="str">
        <x:f>IF(A170="","",IF(COUNTIFS('执行日志'!$B$7:$B$306,A170)=0,"",IF(COUNTIFS('执行日志'!$B$7:$B$306,A170,'执行日志'!$L$7:$L$306,"有效",'执行日志'!$P$7:$P$306,"&lt;&gt;有效输入")&gt;0,"待核对",IF(COUNTIFS('执行日志'!$B$7:$B$306,A170,'执行日志'!$P$7:$P$306,"有效输入")=0,"",SUMIFS('执行日志'!$H$7:$H$306,'执行日志'!$B$7:$B$306,A170,'执行日志'!$P$7:$P$306,"有效输入")))))</x:f>
      </x:c>
      <x:c r="N170" s="24" t="str">
        <x:f>IF(A170="","",IF(COUNTIFS('执行日志'!$B$7:$B$306,A170)=0,"",IF(COUNTIFS('执行日志'!$B$7:$B$306,A170,'执行日志'!$L$7:$L$306,"有效",'执行日志'!$P$7:$P$306,"&lt;&gt;有效输入")&gt;0,"待核对",IF(COUNTIFS('执行日志'!$B$7:$B$306,A170,'执行日志'!$P$7:$P$306,"有效输入")=0,"",SUMIFS('执行日志'!$J$7:$J$306,'执行日志'!$B$7:$B$306,A170,'执行日志'!$P$7:$P$306,"有效输入")))))</x:f>
      </x:c>
      <x:c r="O170" s="24" t="str">
        <x:f>IF(A170="","",IF(NOT(ISNUMBER(K170)),"待定预算",IF(NOT(ISNUMBER(M170)),"暂无有效流水",K170-M170)))</x:f>
      </x:c>
      <x:c r="P170" s="24" t="str">
        <x:f>IF(A170="","",IF(NOT(ISNUMBER(L170)),"待定预算",IF(NOT(ISNUMBER(N170)),"暂无有效流水",L170-N170)))</x:f>
      </x:c>
      <x:c r="Q170" s="19" t="str">
        <x:f>IF(A170="","",IF(D170="已结案","已结案",IF(NOT(ISNUMBER(I170)),"待定复盘日",IF(NOT(ISNUMBER($B$3)),"待定评估日",IF(I170&lt;=$B$3,"应复盘","未到期")))))</x:f>
      </x:c>
      <x:c r="R170" s="19" t="str">
        <x:f>IF(A170="","",IF(COUNTIFS($A$7:$A$306,A170)&lt;&gt;1,"问题编号重复",IF(OR(B170="",C170="",D170="",G170="",S170=""),"待补基础信息",IF(AND(F170&lt;&gt;"",COUNTIFS('方案版本'!$A$7:$A$306,F170,'方案版本'!$B$7:$B$306,A170,'方案版本'!$L$7:$L$306,"已冻结")&lt;&gt;1),"当前方案引用无效",IF(AND(D170="执行中",F170=""),"执行缺方案",IF(AND(D170="已结案",OR(T170="",COUNTIFS('复盘记录'!$B$7:$B$306,A170)=0,COUNTIFS('更新日志'!$B$7:$B$306,A170)=0)),"结案资料待补","基础记录齐备"))))))</x:f>
      </x:c>
      <x:c r="S170" s="3"/>
      <x:c r="T170" s="3"/>
    </x:row>
    <x:row r="171" ht="25" customHeight="1">
      <x:c r="A171" s="3"/>
      <x:c r="B171" s="3"/>
      <x:c r="C171" s="3"/>
      <x:c r="D171" s="3"/>
      <x:c r="E171" s="3"/>
      <x:c r="F171" s="3"/>
      <x:c r="G171" s="3"/>
      <x:c r="H171" s="3"/>
      <x:c r="I171" s="20"/>
      <x:c r="J171" s="3"/>
      <x:c r="K171" s="22"/>
      <x:c r="L171" s="22"/>
      <x:c r="M171" s="24" t="str">
        <x:f>IF(A171="","",IF(COUNTIFS('执行日志'!$B$7:$B$306,A171)=0,"",IF(COUNTIFS('执行日志'!$B$7:$B$306,A171,'执行日志'!$L$7:$L$306,"有效",'执行日志'!$P$7:$P$306,"&lt;&gt;有效输入")&gt;0,"待核对",IF(COUNTIFS('执行日志'!$B$7:$B$306,A171,'执行日志'!$P$7:$P$306,"有效输入")=0,"",SUMIFS('执行日志'!$H$7:$H$306,'执行日志'!$B$7:$B$306,A171,'执行日志'!$P$7:$P$306,"有效输入")))))</x:f>
      </x:c>
      <x:c r="N171" s="24" t="str">
        <x:f>IF(A171="","",IF(COUNTIFS('执行日志'!$B$7:$B$306,A171)=0,"",IF(COUNTIFS('执行日志'!$B$7:$B$306,A171,'执行日志'!$L$7:$L$306,"有效",'执行日志'!$P$7:$P$306,"&lt;&gt;有效输入")&gt;0,"待核对",IF(COUNTIFS('执行日志'!$B$7:$B$306,A171,'执行日志'!$P$7:$P$306,"有效输入")=0,"",SUMIFS('执行日志'!$J$7:$J$306,'执行日志'!$B$7:$B$306,A171,'执行日志'!$P$7:$P$306,"有效输入")))))</x:f>
      </x:c>
      <x:c r="O171" s="24" t="str">
        <x:f>IF(A171="","",IF(NOT(ISNUMBER(K171)),"待定预算",IF(NOT(ISNUMBER(M171)),"暂无有效流水",K171-M171)))</x:f>
      </x:c>
      <x:c r="P171" s="24" t="str">
        <x:f>IF(A171="","",IF(NOT(ISNUMBER(L171)),"待定预算",IF(NOT(ISNUMBER(N171)),"暂无有效流水",L171-N171)))</x:f>
      </x:c>
      <x:c r="Q171" s="19" t="str">
        <x:f>IF(A171="","",IF(D171="已结案","已结案",IF(NOT(ISNUMBER(I171)),"待定复盘日",IF(NOT(ISNUMBER($B$3)),"待定评估日",IF(I171&lt;=$B$3,"应复盘","未到期")))))</x:f>
      </x:c>
      <x:c r="R171" s="19" t="str">
        <x:f>IF(A171="","",IF(COUNTIFS($A$7:$A$306,A171)&lt;&gt;1,"问题编号重复",IF(OR(B171="",C171="",D171="",G171="",S171=""),"待补基础信息",IF(AND(F171&lt;&gt;"",COUNTIFS('方案版本'!$A$7:$A$306,F171,'方案版本'!$B$7:$B$306,A171,'方案版本'!$L$7:$L$306,"已冻结")&lt;&gt;1),"当前方案引用无效",IF(AND(D171="执行中",F171=""),"执行缺方案",IF(AND(D171="已结案",OR(T171="",COUNTIFS('复盘记录'!$B$7:$B$306,A171)=0,COUNTIFS('更新日志'!$B$7:$B$306,A171)=0)),"结案资料待补","基础记录齐备"))))))</x:f>
      </x:c>
      <x:c r="S171" s="3"/>
      <x:c r="T171" s="3"/>
    </x:row>
    <x:row r="172" ht="25" customHeight="1">
      <x:c r="A172" s="3"/>
      <x:c r="B172" s="3"/>
      <x:c r="C172" s="3"/>
      <x:c r="D172" s="3"/>
      <x:c r="E172" s="3"/>
      <x:c r="F172" s="3"/>
      <x:c r="G172" s="3"/>
      <x:c r="H172" s="3"/>
      <x:c r="I172" s="20"/>
      <x:c r="J172" s="3"/>
      <x:c r="K172" s="22"/>
      <x:c r="L172" s="22"/>
      <x:c r="M172" s="24" t="str">
        <x:f>IF(A172="","",IF(COUNTIFS('执行日志'!$B$7:$B$306,A172)=0,"",IF(COUNTIFS('执行日志'!$B$7:$B$306,A172,'执行日志'!$L$7:$L$306,"有效",'执行日志'!$P$7:$P$306,"&lt;&gt;有效输入")&gt;0,"待核对",IF(COUNTIFS('执行日志'!$B$7:$B$306,A172,'执行日志'!$P$7:$P$306,"有效输入")=0,"",SUMIFS('执行日志'!$H$7:$H$306,'执行日志'!$B$7:$B$306,A172,'执行日志'!$P$7:$P$306,"有效输入")))))</x:f>
      </x:c>
      <x:c r="N172" s="24" t="str">
        <x:f>IF(A172="","",IF(COUNTIFS('执行日志'!$B$7:$B$306,A172)=0,"",IF(COUNTIFS('执行日志'!$B$7:$B$306,A172,'执行日志'!$L$7:$L$306,"有效",'执行日志'!$P$7:$P$306,"&lt;&gt;有效输入")&gt;0,"待核对",IF(COUNTIFS('执行日志'!$B$7:$B$306,A172,'执行日志'!$P$7:$P$306,"有效输入")=0,"",SUMIFS('执行日志'!$J$7:$J$306,'执行日志'!$B$7:$B$306,A172,'执行日志'!$P$7:$P$306,"有效输入")))))</x:f>
      </x:c>
      <x:c r="O172" s="24" t="str">
        <x:f>IF(A172="","",IF(NOT(ISNUMBER(K172)),"待定预算",IF(NOT(ISNUMBER(M172)),"暂无有效流水",K172-M172)))</x:f>
      </x:c>
      <x:c r="P172" s="24" t="str">
        <x:f>IF(A172="","",IF(NOT(ISNUMBER(L172)),"待定预算",IF(NOT(ISNUMBER(N172)),"暂无有效流水",L172-N172)))</x:f>
      </x:c>
      <x:c r="Q172" s="19" t="str">
        <x:f>IF(A172="","",IF(D172="已结案","已结案",IF(NOT(ISNUMBER(I172)),"待定复盘日",IF(NOT(ISNUMBER($B$3)),"待定评估日",IF(I172&lt;=$B$3,"应复盘","未到期")))))</x:f>
      </x:c>
      <x:c r="R172" s="19" t="str">
        <x:f>IF(A172="","",IF(COUNTIFS($A$7:$A$306,A172)&lt;&gt;1,"问题编号重复",IF(OR(B172="",C172="",D172="",G172="",S172=""),"待补基础信息",IF(AND(F172&lt;&gt;"",COUNTIFS('方案版本'!$A$7:$A$306,F172,'方案版本'!$B$7:$B$306,A172,'方案版本'!$L$7:$L$306,"已冻结")&lt;&gt;1),"当前方案引用无效",IF(AND(D172="执行中",F172=""),"执行缺方案",IF(AND(D172="已结案",OR(T172="",COUNTIFS('复盘记录'!$B$7:$B$306,A172)=0,COUNTIFS('更新日志'!$B$7:$B$306,A172)=0)),"结案资料待补","基础记录齐备"))))))</x:f>
      </x:c>
      <x:c r="S172" s="3"/>
      <x:c r="T172" s="3"/>
    </x:row>
    <x:row r="173" ht="25" customHeight="1">
      <x:c r="A173" s="3"/>
      <x:c r="B173" s="3"/>
      <x:c r="C173" s="3"/>
      <x:c r="D173" s="3"/>
      <x:c r="E173" s="3"/>
      <x:c r="F173" s="3"/>
      <x:c r="G173" s="3"/>
      <x:c r="H173" s="3"/>
      <x:c r="I173" s="20"/>
      <x:c r="J173" s="3"/>
      <x:c r="K173" s="22"/>
      <x:c r="L173" s="22"/>
      <x:c r="M173" s="24" t="str">
        <x:f>IF(A173="","",IF(COUNTIFS('执行日志'!$B$7:$B$306,A173)=0,"",IF(COUNTIFS('执行日志'!$B$7:$B$306,A173,'执行日志'!$L$7:$L$306,"有效",'执行日志'!$P$7:$P$306,"&lt;&gt;有效输入")&gt;0,"待核对",IF(COUNTIFS('执行日志'!$B$7:$B$306,A173,'执行日志'!$P$7:$P$306,"有效输入")=0,"",SUMIFS('执行日志'!$H$7:$H$306,'执行日志'!$B$7:$B$306,A173,'执行日志'!$P$7:$P$306,"有效输入")))))</x:f>
      </x:c>
      <x:c r="N173" s="24" t="str">
        <x:f>IF(A173="","",IF(COUNTIFS('执行日志'!$B$7:$B$306,A173)=0,"",IF(COUNTIFS('执行日志'!$B$7:$B$306,A173,'执行日志'!$L$7:$L$306,"有效",'执行日志'!$P$7:$P$306,"&lt;&gt;有效输入")&gt;0,"待核对",IF(COUNTIFS('执行日志'!$B$7:$B$306,A173,'执行日志'!$P$7:$P$306,"有效输入")=0,"",SUMIFS('执行日志'!$J$7:$J$306,'执行日志'!$B$7:$B$306,A173,'执行日志'!$P$7:$P$306,"有效输入")))))</x:f>
      </x:c>
      <x:c r="O173" s="24" t="str">
        <x:f>IF(A173="","",IF(NOT(ISNUMBER(K173)),"待定预算",IF(NOT(ISNUMBER(M173)),"暂无有效流水",K173-M173)))</x:f>
      </x:c>
      <x:c r="P173" s="24" t="str">
        <x:f>IF(A173="","",IF(NOT(ISNUMBER(L173)),"待定预算",IF(NOT(ISNUMBER(N173)),"暂无有效流水",L173-N173)))</x:f>
      </x:c>
      <x:c r="Q173" s="19" t="str">
        <x:f>IF(A173="","",IF(D173="已结案","已结案",IF(NOT(ISNUMBER(I173)),"待定复盘日",IF(NOT(ISNUMBER($B$3)),"待定评估日",IF(I173&lt;=$B$3,"应复盘","未到期")))))</x:f>
      </x:c>
      <x:c r="R173" s="19" t="str">
        <x:f>IF(A173="","",IF(COUNTIFS($A$7:$A$306,A173)&lt;&gt;1,"问题编号重复",IF(OR(B173="",C173="",D173="",G173="",S173=""),"待补基础信息",IF(AND(F173&lt;&gt;"",COUNTIFS('方案版本'!$A$7:$A$306,F173,'方案版本'!$B$7:$B$306,A173,'方案版本'!$L$7:$L$306,"已冻结")&lt;&gt;1),"当前方案引用无效",IF(AND(D173="执行中",F173=""),"执行缺方案",IF(AND(D173="已结案",OR(T173="",COUNTIFS('复盘记录'!$B$7:$B$306,A173)=0,COUNTIFS('更新日志'!$B$7:$B$306,A173)=0)),"结案资料待补","基础记录齐备"))))))</x:f>
      </x:c>
      <x:c r="S173" s="3"/>
      <x:c r="T173" s="3"/>
    </x:row>
    <x:row r="174" ht="25" customHeight="1">
      <x:c r="A174" s="3"/>
      <x:c r="B174" s="3"/>
      <x:c r="C174" s="3"/>
      <x:c r="D174" s="3"/>
      <x:c r="E174" s="3"/>
      <x:c r="F174" s="3"/>
      <x:c r="G174" s="3"/>
      <x:c r="H174" s="3"/>
      <x:c r="I174" s="20"/>
      <x:c r="J174" s="3"/>
      <x:c r="K174" s="22"/>
      <x:c r="L174" s="22"/>
      <x:c r="M174" s="24" t="str">
        <x:f>IF(A174="","",IF(COUNTIFS('执行日志'!$B$7:$B$306,A174)=0,"",IF(COUNTIFS('执行日志'!$B$7:$B$306,A174,'执行日志'!$L$7:$L$306,"有效",'执行日志'!$P$7:$P$306,"&lt;&gt;有效输入")&gt;0,"待核对",IF(COUNTIFS('执行日志'!$B$7:$B$306,A174,'执行日志'!$P$7:$P$306,"有效输入")=0,"",SUMIFS('执行日志'!$H$7:$H$306,'执行日志'!$B$7:$B$306,A174,'执行日志'!$P$7:$P$306,"有效输入")))))</x:f>
      </x:c>
      <x:c r="N174" s="24" t="str">
        <x:f>IF(A174="","",IF(COUNTIFS('执行日志'!$B$7:$B$306,A174)=0,"",IF(COUNTIFS('执行日志'!$B$7:$B$306,A174,'执行日志'!$L$7:$L$306,"有效",'执行日志'!$P$7:$P$306,"&lt;&gt;有效输入")&gt;0,"待核对",IF(COUNTIFS('执行日志'!$B$7:$B$306,A174,'执行日志'!$P$7:$P$306,"有效输入")=0,"",SUMIFS('执行日志'!$J$7:$J$306,'执行日志'!$B$7:$B$306,A174,'执行日志'!$P$7:$P$306,"有效输入")))))</x:f>
      </x:c>
      <x:c r="O174" s="24" t="str">
        <x:f>IF(A174="","",IF(NOT(ISNUMBER(K174)),"待定预算",IF(NOT(ISNUMBER(M174)),"暂无有效流水",K174-M174)))</x:f>
      </x:c>
      <x:c r="P174" s="24" t="str">
        <x:f>IF(A174="","",IF(NOT(ISNUMBER(L174)),"待定预算",IF(NOT(ISNUMBER(N174)),"暂无有效流水",L174-N174)))</x:f>
      </x:c>
      <x:c r="Q174" s="19" t="str">
        <x:f>IF(A174="","",IF(D174="已结案","已结案",IF(NOT(ISNUMBER(I174)),"待定复盘日",IF(NOT(ISNUMBER($B$3)),"待定评估日",IF(I174&lt;=$B$3,"应复盘","未到期")))))</x:f>
      </x:c>
      <x:c r="R174" s="19" t="str">
        <x:f>IF(A174="","",IF(COUNTIFS($A$7:$A$306,A174)&lt;&gt;1,"问题编号重复",IF(OR(B174="",C174="",D174="",G174="",S174=""),"待补基础信息",IF(AND(F174&lt;&gt;"",COUNTIFS('方案版本'!$A$7:$A$306,F174,'方案版本'!$B$7:$B$306,A174,'方案版本'!$L$7:$L$306,"已冻结")&lt;&gt;1),"当前方案引用无效",IF(AND(D174="执行中",F174=""),"执行缺方案",IF(AND(D174="已结案",OR(T174="",COUNTIFS('复盘记录'!$B$7:$B$306,A174)=0,COUNTIFS('更新日志'!$B$7:$B$306,A174)=0)),"结案资料待补","基础记录齐备"))))))</x:f>
      </x:c>
      <x:c r="S174" s="3"/>
      <x:c r="T174" s="3"/>
    </x:row>
    <x:row r="175" ht="25" customHeight="1">
      <x:c r="A175" s="3"/>
      <x:c r="B175" s="3"/>
      <x:c r="C175" s="3"/>
      <x:c r="D175" s="3"/>
      <x:c r="E175" s="3"/>
      <x:c r="F175" s="3"/>
      <x:c r="G175" s="3"/>
      <x:c r="H175" s="3"/>
      <x:c r="I175" s="20"/>
      <x:c r="J175" s="3"/>
      <x:c r="K175" s="22"/>
      <x:c r="L175" s="22"/>
      <x:c r="M175" s="24" t="str">
        <x:f>IF(A175="","",IF(COUNTIFS('执行日志'!$B$7:$B$306,A175)=0,"",IF(COUNTIFS('执行日志'!$B$7:$B$306,A175,'执行日志'!$L$7:$L$306,"有效",'执行日志'!$P$7:$P$306,"&lt;&gt;有效输入")&gt;0,"待核对",IF(COUNTIFS('执行日志'!$B$7:$B$306,A175,'执行日志'!$P$7:$P$306,"有效输入")=0,"",SUMIFS('执行日志'!$H$7:$H$306,'执行日志'!$B$7:$B$306,A175,'执行日志'!$P$7:$P$306,"有效输入")))))</x:f>
      </x:c>
      <x:c r="N175" s="24" t="str">
        <x:f>IF(A175="","",IF(COUNTIFS('执行日志'!$B$7:$B$306,A175)=0,"",IF(COUNTIFS('执行日志'!$B$7:$B$306,A175,'执行日志'!$L$7:$L$306,"有效",'执行日志'!$P$7:$P$306,"&lt;&gt;有效输入")&gt;0,"待核对",IF(COUNTIFS('执行日志'!$B$7:$B$306,A175,'执行日志'!$P$7:$P$306,"有效输入")=0,"",SUMIFS('执行日志'!$J$7:$J$306,'执行日志'!$B$7:$B$306,A175,'执行日志'!$P$7:$P$306,"有效输入")))))</x:f>
      </x:c>
      <x:c r="O175" s="24" t="str">
        <x:f>IF(A175="","",IF(NOT(ISNUMBER(K175)),"待定预算",IF(NOT(ISNUMBER(M175)),"暂无有效流水",K175-M175)))</x:f>
      </x:c>
      <x:c r="P175" s="24" t="str">
        <x:f>IF(A175="","",IF(NOT(ISNUMBER(L175)),"待定预算",IF(NOT(ISNUMBER(N175)),"暂无有效流水",L175-N175)))</x:f>
      </x:c>
      <x:c r="Q175" s="19" t="str">
        <x:f>IF(A175="","",IF(D175="已结案","已结案",IF(NOT(ISNUMBER(I175)),"待定复盘日",IF(NOT(ISNUMBER($B$3)),"待定评估日",IF(I175&lt;=$B$3,"应复盘","未到期")))))</x:f>
      </x:c>
      <x:c r="R175" s="19" t="str">
        <x:f>IF(A175="","",IF(COUNTIFS($A$7:$A$306,A175)&lt;&gt;1,"问题编号重复",IF(OR(B175="",C175="",D175="",G175="",S175=""),"待补基础信息",IF(AND(F175&lt;&gt;"",COUNTIFS('方案版本'!$A$7:$A$306,F175,'方案版本'!$B$7:$B$306,A175,'方案版本'!$L$7:$L$306,"已冻结")&lt;&gt;1),"当前方案引用无效",IF(AND(D175="执行中",F175=""),"执行缺方案",IF(AND(D175="已结案",OR(T175="",COUNTIFS('复盘记录'!$B$7:$B$306,A175)=0,COUNTIFS('更新日志'!$B$7:$B$306,A175)=0)),"结案资料待补","基础记录齐备"))))))</x:f>
      </x:c>
      <x:c r="S175" s="3"/>
      <x:c r="T175" s="3"/>
    </x:row>
    <x:row r="176" ht="25" customHeight="1">
      <x:c r="A176" s="3"/>
      <x:c r="B176" s="3"/>
      <x:c r="C176" s="3"/>
      <x:c r="D176" s="3"/>
      <x:c r="E176" s="3"/>
      <x:c r="F176" s="3"/>
      <x:c r="G176" s="3"/>
      <x:c r="H176" s="3"/>
      <x:c r="I176" s="20"/>
      <x:c r="J176" s="3"/>
      <x:c r="K176" s="22"/>
      <x:c r="L176" s="22"/>
      <x:c r="M176" s="24" t="str">
        <x:f>IF(A176="","",IF(COUNTIFS('执行日志'!$B$7:$B$306,A176)=0,"",IF(COUNTIFS('执行日志'!$B$7:$B$306,A176,'执行日志'!$L$7:$L$306,"有效",'执行日志'!$P$7:$P$306,"&lt;&gt;有效输入")&gt;0,"待核对",IF(COUNTIFS('执行日志'!$B$7:$B$306,A176,'执行日志'!$P$7:$P$306,"有效输入")=0,"",SUMIFS('执行日志'!$H$7:$H$306,'执行日志'!$B$7:$B$306,A176,'执行日志'!$P$7:$P$306,"有效输入")))))</x:f>
      </x:c>
      <x:c r="N176" s="24" t="str">
        <x:f>IF(A176="","",IF(COUNTIFS('执行日志'!$B$7:$B$306,A176)=0,"",IF(COUNTIFS('执行日志'!$B$7:$B$306,A176,'执行日志'!$L$7:$L$306,"有效",'执行日志'!$P$7:$P$306,"&lt;&gt;有效输入")&gt;0,"待核对",IF(COUNTIFS('执行日志'!$B$7:$B$306,A176,'执行日志'!$P$7:$P$306,"有效输入")=0,"",SUMIFS('执行日志'!$J$7:$J$306,'执行日志'!$B$7:$B$306,A176,'执行日志'!$P$7:$P$306,"有效输入")))))</x:f>
      </x:c>
      <x:c r="O176" s="24" t="str">
        <x:f>IF(A176="","",IF(NOT(ISNUMBER(K176)),"待定预算",IF(NOT(ISNUMBER(M176)),"暂无有效流水",K176-M176)))</x:f>
      </x:c>
      <x:c r="P176" s="24" t="str">
        <x:f>IF(A176="","",IF(NOT(ISNUMBER(L176)),"待定预算",IF(NOT(ISNUMBER(N176)),"暂无有效流水",L176-N176)))</x:f>
      </x:c>
      <x:c r="Q176" s="19" t="str">
        <x:f>IF(A176="","",IF(D176="已结案","已结案",IF(NOT(ISNUMBER(I176)),"待定复盘日",IF(NOT(ISNUMBER($B$3)),"待定评估日",IF(I176&lt;=$B$3,"应复盘","未到期")))))</x:f>
      </x:c>
      <x:c r="R176" s="19" t="str">
        <x:f>IF(A176="","",IF(COUNTIFS($A$7:$A$306,A176)&lt;&gt;1,"问题编号重复",IF(OR(B176="",C176="",D176="",G176="",S176=""),"待补基础信息",IF(AND(F176&lt;&gt;"",COUNTIFS('方案版本'!$A$7:$A$306,F176,'方案版本'!$B$7:$B$306,A176,'方案版本'!$L$7:$L$306,"已冻结")&lt;&gt;1),"当前方案引用无效",IF(AND(D176="执行中",F176=""),"执行缺方案",IF(AND(D176="已结案",OR(T176="",COUNTIFS('复盘记录'!$B$7:$B$306,A176)=0,COUNTIFS('更新日志'!$B$7:$B$306,A176)=0)),"结案资料待补","基础记录齐备"))))))</x:f>
      </x:c>
      <x:c r="S176" s="3"/>
      <x:c r="T176" s="3"/>
    </x:row>
    <x:row r="177" ht="25" customHeight="1">
      <x:c r="A177" s="3"/>
      <x:c r="B177" s="3"/>
      <x:c r="C177" s="3"/>
      <x:c r="D177" s="3"/>
      <x:c r="E177" s="3"/>
      <x:c r="F177" s="3"/>
      <x:c r="G177" s="3"/>
      <x:c r="H177" s="3"/>
      <x:c r="I177" s="20"/>
      <x:c r="J177" s="3"/>
      <x:c r="K177" s="22"/>
      <x:c r="L177" s="22"/>
      <x:c r="M177" s="24" t="str">
        <x:f>IF(A177="","",IF(COUNTIFS('执行日志'!$B$7:$B$306,A177)=0,"",IF(COUNTIFS('执行日志'!$B$7:$B$306,A177,'执行日志'!$L$7:$L$306,"有效",'执行日志'!$P$7:$P$306,"&lt;&gt;有效输入")&gt;0,"待核对",IF(COUNTIFS('执行日志'!$B$7:$B$306,A177,'执行日志'!$P$7:$P$306,"有效输入")=0,"",SUMIFS('执行日志'!$H$7:$H$306,'执行日志'!$B$7:$B$306,A177,'执行日志'!$P$7:$P$306,"有效输入")))))</x:f>
      </x:c>
      <x:c r="N177" s="24" t="str">
        <x:f>IF(A177="","",IF(COUNTIFS('执行日志'!$B$7:$B$306,A177)=0,"",IF(COUNTIFS('执行日志'!$B$7:$B$306,A177,'执行日志'!$L$7:$L$306,"有效",'执行日志'!$P$7:$P$306,"&lt;&gt;有效输入")&gt;0,"待核对",IF(COUNTIFS('执行日志'!$B$7:$B$306,A177,'执行日志'!$P$7:$P$306,"有效输入")=0,"",SUMIFS('执行日志'!$J$7:$J$306,'执行日志'!$B$7:$B$306,A177,'执行日志'!$P$7:$P$306,"有效输入")))))</x:f>
      </x:c>
      <x:c r="O177" s="24" t="str">
        <x:f>IF(A177="","",IF(NOT(ISNUMBER(K177)),"待定预算",IF(NOT(ISNUMBER(M177)),"暂无有效流水",K177-M177)))</x:f>
      </x:c>
      <x:c r="P177" s="24" t="str">
        <x:f>IF(A177="","",IF(NOT(ISNUMBER(L177)),"待定预算",IF(NOT(ISNUMBER(N177)),"暂无有效流水",L177-N177)))</x:f>
      </x:c>
      <x:c r="Q177" s="19" t="str">
        <x:f>IF(A177="","",IF(D177="已结案","已结案",IF(NOT(ISNUMBER(I177)),"待定复盘日",IF(NOT(ISNUMBER($B$3)),"待定评估日",IF(I177&lt;=$B$3,"应复盘","未到期")))))</x:f>
      </x:c>
      <x:c r="R177" s="19" t="str">
        <x:f>IF(A177="","",IF(COUNTIFS($A$7:$A$306,A177)&lt;&gt;1,"问题编号重复",IF(OR(B177="",C177="",D177="",G177="",S177=""),"待补基础信息",IF(AND(F177&lt;&gt;"",COUNTIFS('方案版本'!$A$7:$A$306,F177,'方案版本'!$B$7:$B$306,A177,'方案版本'!$L$7:$L$306,"已冻结")&lt;&gt;1),"当前方案引用无效",IF(AND(D177="执行中",F177=""),"执行缺方案",IF(AND(D177="已结案",OR(T177="",COUNTIFS('复盘记录'!$B$7:$B$306,A177)=0,COUNTIFS('更新日志'!$B$7:$B$306,A177)=0)),"结案资料待补","基础记录齐备"))))))</x:f>
      </x:c>
      <x:c r="S177" s="3"/>
      <x:c r="T177" s="3"/>
    </x:row>
    <x:row r="178" ht="25" customHeight="1">
      <x:c r="A178" s="3"/>
      <x:c r="B178" s="3"/>
      <x:c r="C178" s="3"/>
      <x:c r="D178" s="3"/>
      <x:c r="E178" s="3"/>
      <x:c r="F178" s="3"/>
      <x:c r="G178" s="3"/>
      <x:c r="H178" s="3"/>
      <x:c r="I178" s="20"/>
      <x:c r="J178" s="3"/>
      <x:c r="K178" s="22"/>
      <x:c r="L178" s="22"/>
      <x:c r="M178" s="24" t="str">
        <x:f>IF(A178="","",IF(COUNTIFS('执行日志'!$B$7:$B$306,A178)=0,"",IF(COUNTIFS('执行日志'!$B$7:$B$306,A178,'执行日志'!$L$7:$L$306,"有效",'执行日志'!$P$7:$P$306,"&lt;&gt;有效输入")&gt;0,"待核对",IF(COUNTIFS('执行日志'!$B$7:$B$306,A178,'执行日志'!$P$7:$P$306,"有效输入")=0,"",SUMIFS('执行日志'!$H$7:$H$306,'执行日志'!$B$7:$B$306,A178,'执行日志'!$P$7:$P$306,"有效输入")))))</x:f>
      </x:c>
      <x:c r="N178" s="24" t="str">
        <x:f>IF(A178="","",IF(COUNTIFS('执行日志'!$B$7:$B$306,A178)=0,"",IF(COUNTIFS('执行日志'!$B$7:$B$306,A178,'执行日志'!$L$7:$L$306,"有效",'执行日志'!$P$7:$P$306,"&lt;&gt;有效输入")&gt;0,"待核对",IF(COUNTIFS('执行日志'!$B$7:$B$306,A178,'执行日志'!$P$7:$P$306,"有效输入")=0,"",SUMIFS('执行日志'!$J$7:$J$306,'执行日志'!$B$7:$B$306,A178,'执行日志'!$P$7:$P$306,"有效输入")))))</x:f>
      </x:c>
      <x:c r="O178" s="24" t="str">
        <x:f>IF(A178="","",IF(NOT(ISNUMBER(K178)),"待定预算",IF(NOT(ISNUMBER(M178)),"暂无有效流水",K178-M178)))</x:f>
      </x:c>
      <x:c r="P178" s="24" t="str">
        <x:f>IF(A178="","",IF(NOT(ISNUMBER(L178)),"待定预算",IF(NOT(ISNUMBER(N178)),"暂无有效流水",L178-N178)))</x:f>
      </x:c>
      <x:c r="Q178" s="19" t="str">
        <x:f>IF(A178="","",IF(D178="已结案","已结案",IF(NOT(ISNUMBER(I178)),"待定复盘日",IF(NOT(ISNUMBER($B$3)),"待定评估日",IF(I178&lt;=$B$3,"应复盘","未到期")))))</x:f>
      </x:c>
      <x:c r="R178" s="19" t="str">
        <x:f>IF(A178="","",IF(COUNTIFS($A$7:$A$306,A178)&lt;&gt;1,"问题编号重复",IF(OR(B178="",C178="",D178="",G178="",S178=""),"待补基础信息",IF(AND(F178&lt;&gt;"",COUNTIFS('方案版本'!$A$7:$A$306,F178,'方案版本'!$B$7:$B$306,A178,'方案版本'!$L$7:$L$306,"已冻结")&lt;&gt;1),"当前方案引用无效",IF(AND(D178="执行中",F178=""),"执行缺方案",IF(AND(D178="已结案",OR(T178="",COUNTIFS('复盘记录'!$B$7:$B$306,A178)=0,COUNTIFS('更新日志'!$B$7:$B$306,A178)=0)),"结案资料待补","基础记录齐备"))))))</x:f>
      </x:c>
      <x:c r="S178" s="3"/>
      <x:c r="T178" s="3"/>
    </x:row>
    <x:row r="179" ht="25" customHeight="1">
      <x:c r="A179" s="3"/>
      <x:c r="B179" s="3"/>
      <x:c r="C179" s="3"/>
      <x:c r="D179" s="3"/>
      <x:c r="E179" s="3"/>
      <x:c r="F179" s="3"/>
      <x:c r="G179" s="3"/>
      <x:c r="H179" s="3"/>
      <x:c r="I179" s="20"/>
      <x:c r="J179" s="3"/>
      <x:c r="K179" s="22"/>
      <x:c r="L179" s="22"/>
      <x:c r="M179" s="24" t="str">
        <x:f>IF(A179="","",IF(COUNTIFS('执行日志'!$B$7:$B$306,A179)=0,"",IF(COUNTIFS('执行日志'!$B$7:$B$306,A179,'执行日志'!$L$7:$L$306,"有效",'执行日志'!$P$7:$P$306,"&lt;&gt;有效输入")&gt;0,"待核对",IF(COUNTIFS('执行日志'!$B$7:$B$306,A179,'执行日志'!$P$7:$P$306,"有效输入")=0,"",SUMIFS('执行日志'!$H$7:$H$306,'执行日志'!$B$7:$B$306,A179,'执行日志'!$P$7:$P$306,"有效输入")))))</x:f>
      </x:c>
      <x:c r="N179" s="24" t="str">
        <x:f>IF(A179="","",IF(COUNTIFS('执行日志'!$B$7:$B$306,A179)=0,"",IF(COUNTIFS('执行日志'!$B$7:$B$306,A179,'执行日志'!$L$7:$L$306,"有效",'执行日志'!$P$7:$P$306,"&lt;&gt;有效输入")&gt;0,"待核对",IF(COUNTIFS('执行日志'!$B$7:$B$306,A179,'执行日志'!$P$7:$P$306,"有效输入")=0,"",SUMIFS('执行日志'!$J$7:$J$306,'执行日志'!$B$7:$B$306,A179,'执行日志'!$P$7:$P$306,"有效输入")))))</x:f>
      </x:c>
      <x:c r="O179" s="24" t="str">
        <x:f>IF(A179="","",IF(NOT(ISNUMBER(K179)),"待定预算",IF(NOT(ISNUMBER(M179)),"暂无有效流水",K179-M179)))</x:f>
      </x:c>
      <x:c r="P179" s="24" t="str">
        <x:f>IF(A179="","",IF(NOT(ISNUMBER(L179)),"待定预算",IF(NOT(ISNUMBER(N179)),"暂无有效流水",L179-N179)))</x:f>
      </x:c>
      <x:c r="Q179" s="19" t="str">
        <x:f>IF(A179="","",IF(D179="已结案","已结案",IF(NOT(ISNUMBER(I179)),"待定复盘日",IF(NOT(ISNUMBER($B$3)),"待定评估日",IF(I179&lt;=$B$3,"应复盘","未到期")))))</x:f>
      </x:c>
      <x:c r="R179" s="19" t="str">
        <x:f>IF(A179="","",IF(COUNTIFS($A$7:$A$306,A179)&lt;&gt;1,"问题编号重复",IF(OR(B179="",C179="",D179="",G179="",S179=""),"待补基础信息",IF(AND(F179&lt;&gt;"",COUNTIFS('方案版本'!$A$7:$A$306,F179,'方案版本'!$B$7:$B$306,A179,'方案版本'!$L$7:$L$306,"已冻结")&lt;&gt;1),"当前方案引用无效",IF(AND(D179="执行中",F179=""),"执行缺方案",IF(AND(D179="已结案",OR(T179="",COUNTIFS('复盘记录'!$B$7:$B$306,A179)=0,COUNTIFS('更新日志'!$B$7:$B$306,A179)=0)),"结案资料待补","基础记录齐备"))))))</x:f>
      </x:c>
      <x:c r="S179" s="3"/>
      <x:c r="T179" s="3"/>
    </x:row>
    <x:row r="180" ht="25" customHeight="1">
      <x:c r="A180" s="3"/>
      <x:c r="B180" s="3"/>
      <x:c r="C180" s="3"/>
      <x:c r="D180" s="3"/>
      <x:c r="E180" s="3"/>
      <x:c r="F180" s="3"/>
      <x:c r="G180" s="3"/>
      <x:c r="H180" s="3"/>
      <x:c r="I180" s="20"/>
      <x:c r="J180" s="3"/>
      <x:c r="K180" s="22"/>
      <x:c r="L180" s="22"/>
      <x:c r="M180" s="24" t="str">
        <x:f>IF(A180="","",IF(COUNTIFS('执行日志'!$B$7:$B$306,A180)=0,"",IF(COUNTIFS('执行日志'!$B$7:$B$306,A180,'执行日志'!$L$7:$L$306,"有效",'执行日志'!$P$7:$P$306,"&lt;&gt;有效输入")&gt;0,"待核对",IF(COUNTIFS('执行日志'!$B$7:$B$306,A180,'执行日志'!$P$7:$P$306,"有效输入")=0,"",SUMIFS('执行日志'!$H$7:$H$306,'执行日志'!$B$7:$B$306,A180,'执行日志'!$P$7:$P$306,"有效输入")))))</x:f>
      </x:c>
      <x:c r="N180" s="24" t="str">
        <x:f>IF(A180="","",IF(COUNTIFS('执行日志'!$B$7:$B$306,A180)=0,"",IF(COUNTIFS('执行日志'!$B$7:$B$306,A180,'执行日志'!$L$7:$L$306,"有效",'执行日志'!$P$7:$P$306,"&lt;&gt;有效输入")&gt;0,"待核对",IF(COUNTIFS('执行日志'!$B$7:$B$306,A180,'执行日志'!$P$7:$P$306,"有效输入")=0,"",SUMIFS('执行日志'!$J$7:$J$306,'执行日志'!$B$7:$B$306,A180,'执行日志'!$P$7:$P$306,"有效输入")))))</x:f>
      </x:c>
      <x:c r="O180" s="24" t="str">
        <x:f>IF(A180="","",IF(NOT(ISNUMBER(K180)),"待定预算",IF(NOT(ISNUMBER(M180)),"暂无有效流水",K180-M180)))</x:f>
      </x:c>
      <x:c r="P180" s="24" t="str">
        <x:f>IF(A180="","",IF(NOT(ISNUMBER(L180)),"待定预算",IF(NOT(ISNUMBER(N180)),"暂无有效流水",L180-N180)))</x:f>
      </x:c>
      <x:c r="Q180" s="19" t="str">
        <x:f>IF(A180="","",IF(D180="已结案","已结案",IF(NOT(ISNUMBER(I180)),"待定复盘日",IF(NOT(ISNUMBER($B$3)),"待定评估日",IF(I180&lt;=$B$3,"应复盘","未到期")))))</x:f>
      </x:c>
      <x:c r="R180" s="19" t="str">
        <x:f>IF(A180="","",IF(COUNTIFS($A$7:$A$306,A180)&lt;&gt;1,"问题编号重复",IF(OR(B180="",C180="",D180="",G180="",S180=""),"待补基础信息",IF(AND(F180&lt;&gt;"",COUNTIFS('方案版本'!$A$7:$A$306,F180,'方案版本'!$B$7:$B$306,A180,'方案版本'!$L$7:$L$306,"已冻结")&lt;&gt;1),"当前方案引用无效",IF(AND(D180="执行中",F180=""),"执行缺方案",IF(AND(D180="已结案",OR(T180="",COUNTIFS('复盘记录'!$B$7:$B$306,A180)=0,COUNTIFS('更新日志'!$B$7:$B$306,A180)=0)),"结案资料待补","基础记录齐备"))))))</x:f>
      </x:c>
      <x:c r="S180" s="3"/>
      <x:c r="T180" s="3"/>
    </x:row>
    <x:row r="181" ht="25" customHeight="1">
      <x:c r="A181" s="3"/>
      <x:c r="B181" s="3"/>
      <x:c r="C181" s="3"/>
      <x:c r="D181" s="3"/>
      <x:c r="E181" s="3"/>
      <x:c r="F181" s="3"/>
      <x:c r="G181" s="3"/>
      <x:c r="H181" s="3"/>
      <x:c r="I181" s="20"/>
      <x:c r="J181" s="3"/>
      <x:c r="K181" s="22"/>
      <x:c r="L181" s="22"/>
      <x:c r="M181" s="24" t="str">
        <x:f>IF(A181="","",IF(COUNTIFS('执行日志'!$B$7:$B$306,A181)=0,"",IF(COUNTIFS('执行日志'!$B$7:$B$306,A181,'执行日志'!$L$7:$L$306,"有效",'执行日志'!$P$7:$P$306,"&lt;&gt;有效输入")&gt;0,"待核对",IF(COUNTIFS('执行日志'!$B$7:$B$306,A181,'执行日志'!$P$7:$P$306,"有效输入")=0,"",SUMIFS('执行日志'!$H$7:$H$306,'执行日志'!$B$7:$B$306,A181,'执行日志'!$P$7:$P$306,"有效输入")))))</x:f>
      </x:c>
      <x:c r="N181" s="24" t="str">
        <x:f>IF(A181="","",IF(COUNTIFS('执行日志'!$B$7:$B$306,A181)=0,"",IF(COUNTIFS('执行日志'!$B$7:$B$306,A181,'执行日志'!$L$7:$L$306,"有效",'执行日志'!$P$7:$P$306,"&lt;&gt;有效输入")&gt;0,"待核对",IF(COUNTIFS('执行日志'!$B$7:$B$306,A181,'执行日志'!$P$7:$P$306,"有效输入")=0,"",SUMIFS('执行日志'!$J$7:$J$306,'执行日志'!$B$7:$B$306,A181,'执行日志'!$P$7:$P$306,"有效输入")))))</x:f>
      </x:c>
      <x:c r="O181" s="24" t="str">
        <x:f>IF(A181="","",IF(NOT(ISNUMBER(K181)),"待定预算",IF(NOT(ISNUMBER(M181)),"暂无有效流水",K181-M181)))</x:f>
      </x:c>
      <x:c r="P181" s="24" t="str">
        <x:f>IF(A181="","",IF(NOT(ISNUMBER(L181)),"待定预算",IF(NOT(ISNUMBER(N181)),"暂无有效流水",L181-N181)))</x:f>
      </x:c>
      <x:c r="Q181" s="19" t="str">
        <x:f>IF(A181="","",IF(D181="已结案","已结案",IF(NOT(ISNUMBER(I181)),"待定复盘日",IF(NOT(ISNUMBER($B$3)),"待定评估日",IF(I181&lt;=$B$3,"应复盘","未到期")))))</x:f>
      </x:c>
      <x:c r="R181" s="19" t="str">
        <x:f>IF(A181="","",IF(COUNTIFS($A$7:$A$306,A181)&lt;&gt;1,"问题编号重复",IF(OR(B181="",C181="",D181="",G181="",S181=""),"待补基础信息",IF(AND(F181&lt;&gt;"",COUNTIFS('方案版本'!$A$7:$A$306,F181,'方案版本'!$B$7:$B$306,A181,'方案版本'!$L$7:$L$306,"已冻结")&lt;&gt;1),"当前方案引用无效",IF(AND(D181="执行中",F181=""),"执行缺方案",IF(AND(D181="已结案",OR(T181="",COUNTIFS('复盘记录'!$B$7:$B$306,A181)=0,COUNTIFS('更新日志'!$B$7:$B$306,A181)=0)),"结案资料待补","基础记录齐备"))))))</x:f>
      </x:c>
      <x:c r="S181" s="3"/>
      <x:c r="T181" s="3"/>
    </x:row>
    <x:row r="182" ht="25" customHeight="1">
      <x:c r="A182" s="3"/>
      <x:c r="B182" s="3"/>
      <x:c r="C182" s="3"/>
      <x:c r="D182" s="3"/>
      <x:c r="E182" s="3"/>
      <x:c r="F182" s="3"/>
      <x:c r="G182" s="3"/>
      <x:c r="H182" s="3"/>
      <x:c r="I182" s="20"/>
      <x:c r="J182" s="3"/>
      <x:c r="K182" s="22"/>
      <x:c r="L182" s="22"/>
      <x:c r="M182" s="24" t="str">
        <x:f>IF(A182="","",IF(COUNTIFS('执行日志'!$B$7:$B$306,A182)=0,"",IF(COUNTIFS('执行日志'!$B$7:$B$306,A182,'执行日志'!$L$7:$L$306,"有效",'执行日志'!$P$7:$P$306,"&lt;&gt;有效输入")&gt;0,"待核对",IF(COUNTIFS('执行日志'!$B$7:$B$306,A182,'执行日志'!$P$7:$P$306,"有效输入")=0,"",SUMIFS('执行日志'!$H$7:$H$306,'执行日志'!$B$7:$B$306,A182,'执行日志'!$P$7:$P$306,"有效输入")))))</x:f>
      </x:c>
      <x:c r="N182" s="24" t="str">
        <x:f>IF(A182="","",IF(COUNTIFS('执行日志'!$B$7:$B$306,A182)=0,"",IF(COUNTIFS('执行日志'!$B$7:$B$306,A182,'执行日志'!$L$7:$L$306,"有效",'执行日志'!$P$7:$P$306,"&lt;&gt;有效输入")&gt;0,"待核对",IF(COUNTIFS('执行日志'!$B$7:$B$306,A182,'执行日志'!$P$7:$P$306,"有效输入")=0,"",SUMIFS('执行日志'!$J$7:$J$306,'执行日志'!$B$7:$B$306,A182,'执行日志'!$P$7:$P$306,"有效输入")))))</x:f>
      </x:c>
      <x:c r="O182" s="24" t="str">
        <x:f>IF(A182="","",IF(NOT(ISNUMBER(K182)),"待定预算",IF(NOT(ISNUMBER(M182)),"暂无有效流水",K182-M182)))</x:f>
      </x:c>
      <x:c r="P182" s="24" t="str">
        <x:f>IF(A182="","",IF(NOT(ISNUMBER(L182)),"待定预算",IF(NOT(ISNUMBER(N182)),"暂无有效流水",L182-N182)))</x:f>
      </x:c>
      <x:c r="Q182" s="19" t="str">
        <x:f>IF(A182="","",IF(D182="已结案","已结案",IF(NOT(ISNUMBER(I182)),"待定复盘日",IF(NOT(ISNUMBER($B$3)),"待定评估日",IF(I182&lt;=$B$3,"应复盘","未到期")))))</x:f>
      </x:c>
      <x:c r="R182" s="19" t="str">
        <x:f>IF(A182="","",IF(COUNTIFS($A$7:$A$306,A182)&lt;&gt;1,"问题编号重复",IF(OR(B182="",C182="",D182="",G182="",S182=""),"待补基础信息",IF(AND(F182&lt;&gt;"",COUNTIFS('方案版本'!$A$7:$A$306,F182,'方案版本'!$B$7:$B$306,A182,'方案版本'!$L$7:$L$306,"已冻结")&lt;&gt;1),"当前方案引用无效",IF(AND(D182="执行中",F182=""),"执行缺方案",IF(AND(D182="已结案",OR(T182="",COUNTIFS('复盘记录'!$B$7:$B$306,A182)=0,COUNTIFS('更新日志'!$B$7:$B$306,A182)=0)),"结案资料待补","基础记录齐备"))))))</x:f>
      </x:c>
      <x:c r="S182" s="3"/>
      <x:c r="T182" s="3"/>
    </x:row>
    <x:row r="183" ht="25" customHeight="1">
      <x:c r="A183" s="3"/>
      <x:c r="B183" s="3"/>
      <x:c r="C183" s="3"/>
      <x:c r="D183" s="3"/>
      <x:c r="E183" s="3"/>
      <x:c r="F183" s="3"/>
      <x:c r="G183" s="3"/>
      <x:c r="H183" s="3"/>
      <x:c r="I183" s="20"/>
      <x:c r="J183" s="3"/>
      <x:c r="K183" s="22"/>
      <x:c r="L183" s="22"/>
      <x:c r="M183" s="24" t="str">
        <x:f>IF(A183="","",IF(COUNTIFS('执行日志'!$B$7:$B$306,A183)=0,"",IF(COUNTIFS('执行日志'!$B$7:$B$306,A183,'执行日志'!$L$7:$L$306,"有效",'执行日志'!$P$7:$P$306,"&lt;&gt;有效输入")&gt;0,"待核对",IF(COUNTIFS('执行日志'!$B$7:$B$306,A183,'执行日志'!$P$7:$P$306,"有效输入")=0,"",SUMIFS('执行日志'!$H$7:$H$306,'执行日志'!$B$7:$B$306,A183,'执行日志'!$P$7:$P$306,"有效输入")))))</x:f>
      </x:c>
      <x:c r="N183" s="24" t="str">
        <x:f>IF(A183="","",IF(COUNTIFS('执行日志'!$B$7:$B$306,A183)=0,"",IF(COUNTIFS('执行日志'!$B$7:$B$306,A183,'执行日志'!$L$7:$L$306,"有效",'执行日志'!$P$7:$P$306,"&lt;&gt;有效输入")&gt;0,"待核对",IF(COUNTIFS('执行日志'!$B$7:$B$306,A183,'执行日志'!$P$7:$P$306,"有效输入")=0,"",SUMIFS('执行日志'!$J$7:$J$306,'执行日志'!$B$7:$B$306,A183,'执行日志'!$P$7:$P$306,"有效输入")))))</x:f>
      </x:c>
      <x:c r="O183" s="24" t="str">
        <x:f>IF(A183="","",IF(NOT(ISNUMBER(K183)),"待定预算",IF(NOT(ISNUMBER(M183)),"暂无有效流水",K183-M183)))</x:f>
      </x:c>
      <x:c r="P183" s="24" t="str">
        <x:f>IF(A183="","",IF(NOT(ISNUMBER(L183)),"待定预算",IF(NOT(ISNUMBER(N183)),"暂无有效流水",L183-N183)))</x:f>
      </x:c>
      <x:c r="Q183" s="19" t="str">
        <x:f>IF(A183="","",IF(D183="已结案","已结案",IF(NOT(ISNUMBER(I183)),"待定复盘日",IF(NOT(ISNUMBER($B$3)),"待定评估日",IF(I183&lt;=$B$3,"应复盘","未到期")))))</x:f>
      </x:c>
      <x:c r="R183" s="19" t="str">
        <x:f>IF(A183="","",IF(COUNTIFS($A$7:$A$306,A183)&lt;&gt;1,"问题编号重复",IF(OR(B183="",C183="",D183="",G183="",S183=""),"待补基础信息",IF(AND(F183&lt;&gt;"",COUNTIFS('方案版本'!$A$7:$A$306,F183,'方案版本'!$B$7:$B$306,A183,'方案版本'!$L$7:$L$306,"已冻结")&lt;&gt;1),"当前方案引用无效",IF(AND(D183="执行中",F183=""),"执行缺方案",IF(AND(D183="已结案",OR(T183="",COUNTIFS('复盘记录'!$B$7:$B$306,A183)=0,COUNTIFS('更新日志'!$B$7:$B$306,A183)=0)),"结案资料待补","基础记录齐备"))))))</x:f>
      </x:c>
      <x:c r="S183" s="3"/>
      <x:c r="T183" s="3"/>
    </x:row>
    <x:row r="184" ht="25" customHeight="1">
      <x:c r="A184" s="3"/>
      <x:c r="B184" s="3"/>
      <x:c r="C184" s="3"/>
      <x:c r="D184" s="3"/>
      <x:c r="E184" s="3"/>
      <x:c r="F184" s="3"/>
      <x:c r="G184" s="3"/>
      <x:c r="H184" s="3"/>
      <x:c r="I184" s="20"/>
      <x:c r="J184" s="3"/>
      <x:c r="K184" s="22"/>
      <x:c r="L184" s="22"/>
      <x:c r="M184" s="24" t="str">
        <x:f>IF(A184="","",IF(COUNTIFS('执行日志'!$B$7:$B$306,A184)=0,"",IF(COUNTIFS('执行日志'!$B$7:$B$306,A184,'执行日志'!$L$7:$L$306,"有效",'执行日志'!$P$7:$P$306,"&lt;&gt;有效输入")&gt;0,"待核对",IF(COUNTIFS('执行日志'!$B$7:$B$306,A184,'执行日志'!$P$7:$P$306,"有效输入")=0,"",SUMIFS('执行日志'!$H$7:$H$306,'执行日志'!$B$7:$B$306,A184,'执行日志'!$P$7:$P$306,"有效输入")))))</x:f>
      </x:c>
      <x:c r="N184" s="24" t="str">
        <x:f>IF(A184="","",IF(COUNTIFS('执行日志'!$B$7:$B$306,A184)=0,"",IF(COUNTIFS('执行日志'!$B$7:$B$306,A184,'执行日志'!$L$7:$L$306,"有效",'执行日志'!$P$7:$P$306,"&lt;&gt;有效输入")&gt;0,"待核对",IF(COUNTIFS('执行日志'!$B$7:$B$306,A184,'执行日志'!$P$7:$P$306,"有效输入")=0,"",SUMIFS('执行日志'!$J$7:$J$306,'执行日志'!$B$7:$B$306,A184,'执行日志'!$P$7:$P$306,"有效输入")))))</x:f>
      </x:c>
      <x:c r="O184" s="24" t="str">
        <x:f>IF(A184="","",IF(NOT(ISNUMBER(K184)),"待定预算",IF(NOT(ISNUMBER(M184)),"暂无有效流水",K184-M184)))</x:f>
      </x:c>
      <x:c r="P184" s="24" t="str">
        <x:f>IF(A184="","",IF(NOT(ISNUMBER(L184)),"待定预算",IF(NOT(ISNUMBER(N184)),"暂无有效流水",L184-N184)))</x:f>
      </x:c>
      <x:c r="Q184" s="19" t="str">
        <x:f>IF(A184="","",IF(D184="已结案","已结案",IF(NOT(ISNUMBER(I184)),"待定复盘日",IF(NOT(ISNUMBER($B$3)),"待定评估日",IF(I184&lt;=$B$3,"应复盘","未到期")))))</x:f>
      </x:c>
      <x:c r="R184" s="19" t="str">
        <x:f>IF(A184="","",IF(COUNTIFS($A$7:$A$306,A184)&lt;&gt;1,"问题编号重复",IF(OR(B184="",C184="",D184="",G184="",S184=""),"待补基础信息",IF(AND(F184&lt;&gt;"",COUNTIFS('方案版本'!$A$7:$A$306,F184,'方案版本'!$B$7:$B$306,A184,'方案版本'!$L$7:$L$306,"已冻结")&lt;&gt;1),"当前方案引用无效",IF(AND(D184="执行中",F184=""),"执行缺方案",IF(AND(D184="已结案",OR(T184="",COUNTIFS('复盘记录'!$B$7:$B$306,A184)=0,COUNTIFS('更新日志'!$B$7:$B$306,A184)=0)),"结案资料待补","基础记录齐备"))))))</x:f>
      </x:c>
      <x:c r="S184" s="3"/>
      <x:c r="T184" s="3"/>
    </x:row>
    <x:row r="185" ht="25" customHeight="1">
      <x:c r="A185" s="3"/>
      <x:c r="B185" s="3"/>
      <x:c r="C185" s="3"/>
      <x:c r="D185" s="3"/>
      <x:c r="E185" s="3"/>
      <x:c r="F185" s="3"/>
      <x:c r="G185" s="3"/>
      <x:c r="H185" s="3"/>
      <x:c r="I185" s="20"/>
      <x:c r="J185" s="3"/>
      <x:c r="K185" s="22"/>
      <x:c r="L185" s="22"/>
      <x:c r="M185" s="24" t="str">
        <x:f>IF(A185="","",IF(COUNTIFS('执行日志'!$B$7:$B$306,A185)=0,"",IF(COUNTIFS('执行日志'!$B$7:$B$306,A185,'执行日志'!$L$7:$L$306,"有效",'执行日志'!$P$7:$P$306,"&lt;&gt;有效输入")&gt;0,"待核对",IF(COUNTIFS('执行日志'!$B$7:$B$306,A185,'执行日志'!$P$7:$P$306,"有效输入")=0,"",SUMIFS('执行日志'!$H$7:$H$306,'执行日志'!$B$7:$B$306,A185,'执行日志'!$P$7:$P$306,"有效输入")))))</x:f>
      </x:c>
      <x:c r="N185" s="24" t="str">
        <x:f>IF(A185="","",IF(COUNTIFS('执行日志'!$B$7:$B$306,A185)=0,"",IF(COUNTIFS('执行日志'!$B$7:$B$306,A185,'执行日志'!$L$7:$L$306,"有效",'执行日志'!$P$7:$P$306,"&lt;&gt;有效输入")&gt;0,"待核对",IF(COUNTIFS('执行日志'!$B$7:$B$306,A185,'执行日志'!$P$7:$P$306,"有效输入")=0,"",SUMIFS('执行日志'!$J$7:$J$306,'执行日志'!$B$7:$B$306,A185,'执行日志'!$P$7:$P$306,"有效输入")))))</x:f>
      </x:c>
      <x:c r="O185" s="24" t="str">
        <x:f>IF(A185="","",IF(NOT(ISNUMBER(K185)),"待定预算",IF(NOT(ISNUMBER(M185)),"暂无有效流水",K185-M185)))</x:f>
      </x:c>
      <x:c r="P185" s="24" t="str">
        <x:f>IF(A185="","",IF(NOT(ISNUMBER(L185)),"待定预算",IF(NOT(ISNUMBER(N185)),"暂无有效流水",L185-N185)))</x:f>
      </x:c>
      <x:c r="Q185" s="19" t="str">
        <x:f>IF(A185="","",IF(D185="已结案","已结案",IF(NOT(ISNUMBER(I185)),"待定复盘日",IF(NOT(ISNUMBER($B$3)),"待定评估日",IF(I185&lt;=$B$3,"应复盘","未到期")))))</x:f>
      </x:c>
      <x:c r="R185" s="19" t="str">
        <x:f>IF(A185="","",IF(COUNTIFS($A$7:$A$306,A185)&lt;&gt;1,"问题编号重复",IF(OR(B185="",C185="",D185="",G185="",S185=""),"待补基础信息",IF(AND(F185&lt;&gt;"",COUNTIFS('方案版本'!$A$7:$A$306,F185,'方案版本'!$B$7:$B$306,A185,'方案版本'!$L$7:$L$306,"已冻结")&lt;&gt;1),"当前方案引用无效",IF(AND(D185="执行中",F185=""),"执行缺方案",IF(AND(D185="已结案",OR(T185="",COUNTIFS('复盘记录'!$B$7:$B$306,A185)=0,COUNTIFS('更新日志'!$B$7:$B$306,A185)=0)),"结案资料待补","基础记录齐备"))))))</x:f>
      </x:c>
      <x:c r="S185" s="3"/>
      <x:c r="T185" s="3"/>
    </x:row>
    <x:row r="186" ht="25" customHeight="1">
      <x:c r="A186" s="3"/>
      <x:c r="B186" s="3"/>
      <x:c r="C186" s="3"/>
      <x:c r="D186" s="3"/>
      <x:c r="E186" s="3"/>
      <x:c r="F186" s="3"/>
      <x:c r="G186" s="3"/>
      <x:c r="H186" s="3"/>
      <x:c r="I186" s="20"/>
      <x:c r="J186" s="3"/>
      <x:c r="K186" s="22"/>
      <x:c r="L186" s="22"/>
      <x:c r="M186" s="24" t="str">
        <x:f>IF(A186="","",IF(COUNTIFS('执行日志'!$B$7:$B$306,A186)=0,"",IF(COUNTIFS('执行日志'!$B$7:$B$306,A186,'执行日志'!$L$7:$L$306,"有效",'执行日志'!$P$7:$P$306,"&lt;&gt;有效输入")&gt;0,"待核对",IF(COUNTIFS('执行日志'!$B$7:$B$306,A186,'执行日志'!$P$7:$P$306,"有效输入")=0,"",SUMIFS('执行日志'!$H$7:$H$306,'执行日志'!$B$7:$B$306,A186,'执行日志'!$P$7:$P$306,"有效输入")))))</x:f>
      </x:c>
      <x:c r="N186" s="24" t="str">
        <x:f>IF(A186="","",IF(COUNTIFS('执行日志'!$B$7:$B$306,A186)=0,"",IF(COUNTIFS('执行日志'!$B$7:$B$306,A186,'执行日志'!$L$7:$L$306,"有效",'执行日志'!$P$7:$P$306,"&lt;&gt;有效输入")&gt;0,"待核对",IF(COUNTIFS('执行日志'!$B$7:$B$306,A186,'执行日志'!$P$7:$P$306,"有效输入")=0,"",SUMIFS('执行日志'!$J$7:$J$306,'执行日志'!$B$7:$B$306,A186,'执行日志'!$P$7:$P$306,"有效输入")))))</x:f>
      </x:c>
      <x:c r="O186" s="24" t="str">
        <x:f>IF(A186="","",IF(NOT(ISNUMBER(K186)),"待定预算",IF(NOT(ISNUMBER(M186)),"暂无有效流水",K186-M186)))</x:f>
      </x:c>
      <x:c r="P186" s="24" t="str">
        <x:f>IF(A186="","",IF(NOT(ISNUMBER(L186)),"待定预算",IF(NOT(ISNUMBER(N186)),"暂无有效流水",L186-N186)))</x:f>
      </x:c>
      <x:c r="Q186" s="19" t="str">
        <x:f>IF(A186="","",IF(D186="已结案","已结案",IF(NOT(ISNUMBER(I186)),"待定复盘日",IF(NOT(ISNUMBER($B$3)),"待定评估日",IF(I186&lt;=$B$3,"应复盘","未到期")))))</x:f>
      </x:c>
      <x:c r="R186" s="19" t="str">
        <x:f>IF(A186="","",IF(COUNTIFS($A$7:$A$306,A186)&lt;&gt;1,"问题编号重复",IF(OR(B186="",C186="",D186="",G186="",S186=""),"待补基础信息",IF(AND(F186&lt;&gt;"",COUNTIFS('方案版本'!$A$7:$A$306,F186,'方案版本'!$B$7:$B$306,A186,'方案版本'!$L$7:$L$306,"已冻结")&lt;&gt;1),"当前方案引用无效",IF(AND(D186="执行中",F186=""),"执行缺方案",IF(AND(D186="已结案",OR(T186="",COUNTIFS('复盘记录'!$B$7:$B$306,A186)=0,COUNTIFS('更新日志'!$B$7:$B$306,A186)=0)),"结案资料待补","基础记录齐备"))))))</x:f>
      </x:c>
      <x:c r="S186" s="3"/>
      <x:c r="T186" s="3"/>
    </x:row>
    <x:row r="187" ht="25" customHeight="1">
      <x:c r="A187" s="3"/>
      <x:c r="B187" s="3"/>
      <x:c r="C187" s="3"/>
      <x:c r="D187" s="3"/>
      <x:c r="E187" s="3"/>
      <x:c r="F187" s="3"/>
      <x:c r="G187" s="3"/>
      <x:c r="H187" s="3"/>
      <x:c r="I187" s="20"/>
      <x:c r="J187" s="3"/>
      <x:c r="K187" s="22"/>
      <x:c r="L187" s="22"/>
      <x:c r="M187" s="24" t="str">
        <x:f>IF(A187="","",IF(COUNTIFS('执行日志'!$B$7:$B$306,A187)=0,"",IF(COUNTIFS('执行日志'!$B$7:$B$306,A187,'执行日志'!$L$7:$L$306,"有效",'执行日志'!$P$7:$P$306,"&lt;&gt;有效输入")&gt;0,"待核对",IF(COUNTIFS('执行日志'!$B$7:$B$306,A187,'执行日志'!$P$7:$P$306,"有效输入")=0,"",SUMIFS('执行日志'!$H$7:$H$306,'执行日志'!$B$7:$B$306,A187,'执行日志'!$P$7:$P$306,"有效输入")))))</x:f>
      </x:c>
      <x:c r="N187" s="24" t="str">
        <x:f>IF(A187="","",IF(COUNTIFS('执行日志'!$B$7:$B$306,A187)=0,"",IF(COUNTIFS('执行日志'!$B$7:$B$306,A187,'执行日志'!$L$7:$L$306,"有效",'执行日志'!$P$7:$P$306,"&lt;&gt;有效输入")&gt;0,"待核对",IF(COUNTIFS('执行日志'!$B$7:$B$306,A187,'执行日志'!$P$7:$P$306,"有效输入")=0,"",SUMIFS('执行日志'!$J$7:$J$306,'执行日志'!$B$7:$B$306,A187,'执行日志'!$P$7:$P$306,"有效输入")))))</x:f>
      </x:c>
      <x:c r="O187" s="24" t="str">
        <x:f>IF(A187="","",IF(NOT(ISNUMBER(K187)),"待定预算",IF(NOT(ISNUMBER(M187)),"暂无有效流水",K187-M187)))</x:f>
      </x:c>
      <x:c r="P187" s="24" t="str">
        <x:f>IF(A187="","",IF(NOT(ISNUMBER(L187)),"待定预算",IF(NOT(ISNUMBER(N187)),"暂无有效流水",L187-N187)))</x:f>
      </x:c>
      <x:c r="Q187" s="19" t="str">
        <x:f>IF(A187="","",IF(D187="已结案","已结案",IF(NOT(ISNUMBER(I187)),"待定复盘日",IF(NOT(ISNUMBER($B$3)),"待定评估日",IF(I187&lt;=$B$3,"应复盘","未到期")))))</x:f>
      </x:c>
      <x:c r="R187" s="19" t="str">
        <x:f>IF(A187="","",IF(COUNTIFS($A$7:$A$306,A187)&lt;&gt;1,"问题编号重复",IF(OR(B187="",C187="",D187="",G187="",S187=""),"待补基础信息",IF(AND(F187&lt;&gt;"",COUNTIFS('方案版本'!$A$7:$A$306,F187,'方案版本'!$B$7:$B$306,A187,'方案版本'!$L$7:$L$306,"已冻结")&lt;&gt;1),"当前方案引用无效",IF(AND(D187="执行中",F187=""),"执行缺方案",IF(AND(D187="已结案",OR(T187="",COUNTIFS('复盘记录'!$B$7:$B$306,A187)=0,COUNTIFS('更新日志'!$B$7:$B$306,A187)=0)),"结案资料待补","基础记录齐备"))))))</x:f>
      </x:c>
      <x:c r="S187" s="3"/>
      <x:c r="T187" s="3"/>
    </x:row>
    <x:row r="188" ht="25" customHeight="1">
      <x:c r="A188" s="3"/>
      <x:c r="B188" s="3"/>
      <x:c r="C188" s="3"/>
      <x:c r="D188" s="3"/>
      <x:c r="E188" s="3"/>
      <x:c r="F188" s="3"/>
      <x:c r="G188" s="3"/>
      <x:c r="H188" s="3"/>
      <x:c r="I188" s="20"/>
      <x:c r="J188" s="3"/>
      <x:c r="K188" s="22"/>
      <x:c r="L188" s="22"/>
      <x:c r="M188" s="24" t="str">
        <x:f>IF(A188="","",IF(COUNTIFS('执行日志'!$B$7:$B$306,A188)=0,"",IF(COUNTIFS('执行日志'!$B$7:$B$306,A188,'执行日志'!$L$7:$L$306,"有效",'执行日志'!$P$7:$P$306,"&lt;&gt;有效输入")&gt;0,"待核对",IF(COUNTIFS('执行日志'!$B$7:$B$306,A188,'执行日志'!$P$7:$P$306,"有效输入")=0,"",SUMIFS('执行日志'!$H$7:$H$306,'执行日志'!$B$7:$B$306,A188,'执行日志'!$P$7:$P$306,"有效输入")))))</x:f>
      </x:c>
      <x:c r="N188" s="24" t="str">
        <x:f>IF(A188="","",IF(COUNTIFS('执行日志'!$B$7:$B$306,A188)=0,"",IF(COUNTIFS('执行日志'!$B$7:$B$306,A188,'执行日志'!$L$7:$L$306,"有效",'执行日志'!$P$7:$P$306,"&lt;&gt;有效输入")&gt;0,"待核对",IF(COUNTIFS('执行日志'!$B$7:$B$306,A188,'执行日志'!$P$7:$P$306,"有效输入")=0,"",SUMIFS('执行日志'!$J$7:$J$306,'执行日志'!$B$7:$B$306,A188,'执行日志'!$P$7:$P$306,"有效输入")))))</x:f>
      </x:c>
      <x:c r="O188" s="24" t="str">
        <x:f>IF(A188="","",IF(NOT(ISNUMBER(K188)),"待定预算",IF(NOT(ISNUMBER(M188)),"暂无有效流水",K188-M188)))</x:f>
      </x:c>
      <x:c r="P188" s="24" t="str">
        <x:f>IF(A188="","",IF(NOT(ISNUMBER(L188)),"待定预算",IF(NOT(ISNUMBER(N188)),"暂无有效流水",L188-N188)))</x:f>
      </x:c>
      <x:c r="Q188" s="19" t="str">
        <x:f>IF(A188="","",IF(D188="已结案","已结案",IF(NOT(ISNUMBER(I188)),"待定复盘日",IF(NOT(ISNUMBER($B$3)),"待定评估日",IF(I188&lt;=$B$3,"应复盘","未到期")))))</x:f>
      </x:c>
      <x:c r="R188" s="19" t="str">
        <x:f>IF(A188="","",IF(COUNTIFS($A$7:$A$306,A188)&lt;&gt;1,"问题编号重复",IF(OR(B188="",C188="",D188="",G188="",S188=""),"待补基础信息",IF(AND(F188&lt;&gt;"",COUNTIFS('方案版本'!$A$7:$A$306,F188,'方案版本'!$B$7:$B$306,A188,'方案版本'!$L$7:$L$306,"已冻结")&lt;&gt;1),"当前方案引用无效",IF(AND(D188="执行中",F188=""),"执行缺方案",IF(AND(D188="已结案",OR(T188="",COUNTIFS('复盘记录'!$B$7:$B$306,A188)=0,COUNTIFS('更新日志'!$B$7:$B$306,A188)=0)),"结案资料待补","基础记录齐备"))))))</x:f>
      </x:c>
      <x:c r="S188" s="3"/>
      <x:c r="T188" s="3"/>
    </x:row>
    <x:row r="189" ht="25" customHeight="1">
      <x:c r="A189" s="3"/>
      <x:c r="B189" s="3"/>
      <x:c r="C189" s="3"/>
      <x:c r="D189" s="3"/>
      <x:c r="E189" s="3"/>
      <x:c r="F189" s="3"/>
      <x:c r="G189" s="3"/>
      <x:c r="H189" s="3"/>
      <x:c r="I189" s="20"/>
      <x:c r="J189" s="3"/>
      <x:c r="K189" s="22"/>
      <x:c r="L189" s="22"/>
      <x:c r="M189" s="24" t="str">
        <x:f>IF(A189="","",IF(COUNTIFS('执行日志'!$B$7:$B$306,A189)=0,"",IF(COUNTIFS('执行日志'!$B$7:$B$306,A189,'执行日志'!$L$7:$L$306,"有效",'执行日志'!$P$7:$P$306,"&lt;&gt;有效输入")&gt;0,"待核对",IF(COUNTIFS('执行日志'!$B$7:$B$306,A189,'执行日志'!$P$7:$P$306,"有效输入")=0,"",SUMIFS('执行日志'!$H$7:$H$306,'执行日志'!$B$7:$B$306,A189,'执行日志'!$P$7:$P$306,"有效输入")))))</x:f>
      </x:c>
      <x:c r="N189" s="24" t="str">
        <x:f>IF(A189="","",IF(COUNTIFS('执行日志'!$B$7:$B$306,A189)=0,"",IF(COUNTIFS('执行日志'!$B$7:$B$306,A189,'执行日志'!$L$7:$L$306,"有效",'执行日志'!$P$7:$P$306,"&lt;&gt;有效输入")&gt;0,"待核对",IF(COUNTIFS('执行日志'!$B$7:$B$306,A189,'执行日志'!$P$7:$P$306,"有效输入")=0,"",SUMIFS('执行日志'!$J$7:$J$306,'执行日志'!$B$7:$B$306,A189,'执行日志'!$P$7:$P$306,"有效输入")))))</x:f>
      </x:c>
      <x:c r="O189" s="24" t="str">
        <x:f>IF(A189="","",IF(NOT(ISNUMBER(K189)),"待定预算",IF(NOT(ISNUMBER(M189)),"暂无有效流水",K189-M189)))</x:f>
      </x:c>
      <x:c r="P189" s="24" t="str">
        <x:f>IF(A189="","",IF(NOT(ISNUMBER(L189)),"待定预算",IF(NOT(ISNUMBER(N189)),"暂无有效流水",L189-N189)))</x:f>
      </x:c>
      <x:c r="Q189" s="19" t="str">
        <x:f>IF(A189="","",IF(D189="已结案","已结案",IF(NOT(ISNUMBER(I189)),"待定复盘日",IF(NOT(ISNUMBER($B$3)),"待定评估日",IF(I189&lt;=$B$3,"应复盘","未到期")))))</x:f>
      </x:c>
      <x:c r="R189" s="19" t="str">
        <x:f>IF(A189="","",IF(COUNTIFS($A$7:$A$306,A189)&lt;&gt;1,"问题编号重复",IF(OR(B189="",C189="",D189="",G189="",S189=""),"待补基础信息",IF(AND(F189&lt;&gt;"",COUNTIFS('方案版本'!$A$7:$A$306,F189,'方案版本'!$B$7:$B$306,A189,'方案版本'!$L$7:$L$306,"已冻结")&lt;&gt;1),"当前方案引用无效",IF(AND(D189="执行中",F189=""),"执行缺方案",IF(AND(D189="已结案",OR(T189="",COUNTIFS('复盘记录'!$B$7:$B$306,A189)=0,COUNTIFS('更新日志'!$B$7:$B$306,A189)=0)),"结案资料待补","基础记录齐备"))))))</x:f>
      </x:c>
      <x:c r="S189" s="3"/>
      <x:c r="T189" s="3"/>
    </x:row>
    <x:row r="190" ht="25" customHeight="1">
      <x:c r="A190" s="3"/>
      <x:c r="B190" s="3"/>
      <x:c r="C190" s="3"/>
      <x:c r="D190" s="3"/>
      <x:c r="E190" s="3"/>
      <x:c r="F190" s="3"/>
      <x:c r="G190" s="3"/>
      <x:c r="H190" s="3"/>
      <x:c r="I190" s="20"/>
      <x:c r="J190" s="3"/>
      <x:c r="K190" s="22"/>
      <x:c r="L190" s="22"/>
      <x:c r="M190" s="24" t="str">
        <x:f>IF(A190="","",IF(COUNTIFS('执行日志'!$B$7:$B$306,A190)=0,"",IF(COUNTIFS('执行日志'!$B$7:$B$306,A190,'执行日志'!$L$7:$L$306,"有效",'执行日志'!$P$7:$P$306,"&lt;&gt;有效输入")&gt;0,"待核对",IF(COUNTIFS('执行日志'!$B$7:$B$306,A190,'执行日志'!$P$7:$P$306,"有效输入")=0,"",SUMIFS('执行日志'!$H$7:$H$306,'执行日志'!$B$7:$B$306,A190,'执行日志'!$P$7:$P$306,"有效输入")))))</x:f>
      </x:c>
      <x:c r="N190" s="24" t="str">
        <x:f>IF(A190="","",IF(COUNTIFS('执行日志'!$B$7:$B$306,A190)=0,"",IF(COUNTIFS('执行日志'!$B$7:$B$306,A190,'执行日志'!$L$7:$L$306,"有效",'执行日志'!$P$7:$P$306,"&lt;&gt;有效输入")&gt;0,"待核对",IF(COUNTIFS('执行日志'!$B$7:$B$306,A190,'执行日志'!$P$7:$P$306,"有效输入")=0,"",SUMIFS('执行日志'!$J$7:$J$306,'执行日志'!$B$7:$B$306,A190,'执行日志'!$P$7:$P$306,"有效输入")))))</x:f>
      </x:c>
      <x:c r="O190" s="24" t="str">
        <x:f>IF(A190="","",IF(NOT(ISNUMBER(K190)),"待定预算",IF(NOT(ISNUMBER(M190)),"暂无有效流水",K190-M190)))</x:f>
      </x:c>
      <x:c r="P190" s="24" t="str">
        <x:f>IF(A190="","",IF(NOT(ISNUMBER(L190)),"待定预算",IF(NOT(ISNUMBER(N190)),"暂无有效流水",L190-N190)))</x:f>
      </x:c>
      <x:c r="Q190" s="19" t="str">
        <x:f>IF(A190="","",IF(D190="已结案","已结案",IF(NOT(ISNUMBER(I190)),"待定复盘日",IF(NOT(ISNUMBER($B$3)),"待定评估日",IF(I190&lt;=$B$3,"应复盘","未到期")))))</x:f>
      </x:c>
      <x:c r="R190" s="19" t="str">
        <x:f>IF(A190="","",IF(COUNTIFS($A$7:$A$306,A190)&lt;&gt;1,"问题编号重复",IF(OR(B190="",C190="",D190="",G190="",S190=""),"待补基础信息",IF(AND(F190&lt;&gt;"",COUNTIFS('方案版本'!$A$7:$A$306,F190,'方案版本'!$B$7:$B$306,A190,'方案版本'!$L$7:$L$306,"已冻结")&lt;&gt;1),"当前方案引用无效",IF(AND(D190="执行中",F190=""),"执行缺方案",IF(AND(D190="已结案",OR(T190="",COUNTIFS('复盘记录'!$B$7:$B$306,A190)=0,COUNTIFS('更新日志'!$B$7:$B$306,A190)=0)),"结案资料待补","基础记录齐备"))))))</x:f>
      </x:c>
      <x:c r="S190" s="3"/>
      <x:c r="T190" s="3"/>
    </x:row>
    <x:row r="191" ht="25" customHeight="1">
      <x:c r="A191" s="3"/>
      <x:c r="B191" s="3"/>
      <x:c r="C191" s="3"/>
      <x:c r="D191" s="3"/>
      <x:c r="E191" s="3"/>
      <x:c r="F191" s="3"/>
      <x:c r="G191" s="3"/>
      <x:c r="H191" s="3"/>
      <x:c r="I191" s="20"/>
      <x:c r="J191" s="3"/>
      <x:c r="K191" s="22"/>
      <x:c r="L191" s="22"/>
      <x:c r="M191" s="24" t="str">
        <x:f>IF(A191="","",IF(COUNTIFS('执行日志'!$B$7:$B$306,A191)=0,"",IF(COUNTIFS('执行日志'!$B$7:$B$306,A191,'执行日志'!$L$7:$L$306,"有效",'执行日志'!$P$7:$P$306,"&lt;&gt;有效输入")&gt;0,"待核对",IF(COUNTIFS('执行日志'!$B$7:$B$306,A191,'执行日志'!$P$7:$P$306,"有效输入")=0,"",SUMIFS('执行日志'!$H$7:$H$306,'执行日志'!$B$7:$B$306,A191,'执行日志'!$P$7:$P$306,"有效输入")))))</x:f>
      </x:c>
      <x:c r="N191" s="24" t="str">
        <x:f>IF(A191="","",IF(COUNTIFS('执行日志'!$B$7:$B$306,A191)=0,"",IF(COUNTIFS('执行日志'!$B$7:$B$306,A191,'执行日志'!$L$7:$L$306,"有效",'执行日志'!$P$7:$P$306,"&lt;&gt;有效输入")&gt;0,"待核对",IF(COUNTIFS('执行日志'!$B$7:$B$306,A191,'执行日志'!$P$7:$P$306,"有效输入")=0,"",SUMIFS('执行日志'!$J$7:$J$306,'执行日志'!$B$7:$B$306,A191,'执行日志'!$P$7:$P$306,"有效输入")))))</x:f>
      </x:c>
      <x:c r="O191" s="24" t="str">
        <x:f>IF(A191="","",IF(NOT(ISNUMBER(K191)),"待定预算",IF(NOT(ISNUMBER(M191)),"暂无有效流水",K191-M191)))</x:f>
      </x:c>
      <x:c r="P191" s="24" t="str">
        <x:f>IF(A191="","",IF(NOT(ISNUMBER(L191)),"待定预算",IF(NOT(ISNUMBER(N191)),"暂无有效流水",L191-N191)))</x:f>
      </x:c>
      <x:c r="Q191" s="19" t="str">
        <x:f>IF(A191="","",IF(D191="已结案","已结案",IF(NOT(ISNUMBER(I191)),"待定复盘日",IF(NOT(ISNUMBER($B$3)),"待定评估日",IF(I191&lt;=$B$3,"应复盘","未到期")))))</x:f>
      </x:c>
      <x:c r="R191" s="19" t="str">
        <x:f>IF(A191="","",IF(COUNTIFS($A$7:$A$306,A191)&lt;&gt;1,"问题编号重复",IF(OR(B191="",C191="",D191="",G191="",S191=""),"待补基础信息",IF(AND(F191&lt;&gt;"",COUNTIFS('方案版本'!$A$7:$A$306,F191,'方案版本'!$B$7:$B$306,A191,'方案版本'!$L$7:$L$306,"已冻结")&lt;&gt;1),"当前方案引用无效",IF(AND(D191="执行中",F191=""),"执行缺方案",IF(AND(D191="已结案",OR(T191="",COUNTIFS('复盘记录'!$B$7:$B$306,A191)=0,COUNTIFS('更新日志'!$B$7:$B$306,A191)=0)),"结案资料待补","基础记录齐备"))))))</x:f>
      </x:c>
      <x:c r="S191" s="3"/>
      <x:c r="T191" s="3"/>
    </x:row>
    <x:row r="192" ht="25" customHeight="1">
      <x:c r="A192" s="3"/>
      <x:c r="B192" s="3"/>
      <x:c r="C192" s="3"/>
      <x:c r="D192" s="3"/>
      <x:c r="E192" s="3"/>
      <x:c r="F192" s="3"/>
      <x:c r="G192" s="3"/>
      <x:c r="H192" s="3"/>
      <x:c r="I192" s="20"/>
      <x:c r="J192" s="3"/>
      <x:c r="K192" s="22"/>
      <x:c r="L192" s="22"/>
      <x:c r="M192" s="24" t="str">
        <x:f>IF(A192="","",IF(COUNTIFS('执行日志'!$B$7:$B$306,A192)=0,"",IF(COUNTIFS('执行日志'!$B$7:$B$306,A192,'执行日志'!$L$7:$L$306,"有效",'执行日志'!$P$7:$P$306,"&lt;&gt;有效输入")&gt;0,"待核对",IF(COUNTIFS('执行日志'!$B$7:$B$306,A192,'执行日志'!$P$7:$P$306,"有效输入")=0,"",SUMIFS('执行日志'!$H$7:$H$306,'执行日志'!$B$7:$B$306,A192,'执行日志'!$P$7:$P$306,"有效输入")))))</x:f>
      </x:c>
      <x:c r="N192" s="24" t="str">
        <x:f>IF(A192="","",IF(COUNTIFS('执行日志'!$B$7:$B$306,A192)=0,"",IF(COUNTIFS('执行日志'!$B$7:$B$306,A192,'执行日志'!$L$7:$L$306,"有效",'执行日志'!$P$7:$P$306,"&lt;&gt;有效输入")&gt;0,"待核对",IF(COUNTIFS('执行日志'!$B$7:$B$306,A192,'执行日志'!$P$7:$P$306,"有效输入")=0,"",SUMIFS('执行日志'!$J$7:$J$306,'执行日志'!$B$7:$B$306,A192,'执行日志'!$P$7:$P$306,"有效输入")))))</x:f>
      </x:c>
      <x:c r="O192" s="24" t="str">
        <x:f>IF(A192="","",IF(NOT(ISNUMBER(K192)),"待定预算",IF(NOT(ISNUMBER(M192)),"暂无有效流水",K192-M192)))</x:f>
      </x:c>
      <x:c r="P192" s="24" t="str">
        <x:f>IF(A192="","",IF(NOT(ISNUMBER(L192)),"待定预算",IF(NOT(ISNUMBER(N192)),"暂无有效流水",L192-N192)))</x:f>
      </x:c>
      <x:c r="Q192" s="19" t="str">
        <x:f>IF(A192="","",IF(D192="已结案","已结案",IF(NOT(ISNUMBER(I192)),"待定复盘日",IF(NOT(ISNUMBER($B$3)),"待定评估日",IF(I192&lt;=$B$3,"应复盘","未到期")))))</x:f>
      </x:c>
      <x:c r="R192" s="19" t="str">
        <x:f>IF(A192="","",IF(COUNTIFS($A$7:$A$306,A192)&lt;&gt;1,"问题编号重复",IF(OR(B192="",C192="",D192="",G192="",S192=""),"待补基础信息",IF(AND(F192&lt;&gt;"",COUNTIFS('方案版本'!$A$7:$A$306,F192,'方案版本'!$B$7:$B$306,A192,'方案版本'!$L$7:$L$306,"已冻结")&lt;&gt;1),"当前方案引用无效",IF(AND(D192="执行中",F192=""),"执行缺方案",IF(AND(D192="已结案",OR(T192="",COUNTIFS('复盘记录'!$B$7:$B$306,A192)=0,COUNTIFS('更新日志'!$B$7:$B$306,A192)=0)),"结案资料待补","基础记录齐备"))))))</x:f>
      </x:c>
      <x:c r="S192" s="3"/>
      <x:c r="T192" s="3"/>
    </x:row>
    <x:row r="193" ht="25" customHeight="1">
      <x:c r="A193" s="3"/>
      <x:c r="B193" s="3"/>
      <x:c r="C193" s="3"/>
      <x:c r="D193" s="3"/>
      <x:c r="E193" s="3"/>
      <x:c r="F193" s="3"/>
      <x:c r="G193" s="3"/>
      <x:c r="H193" s="3"/>
      <x:c r="I193" s="20"/>
      <x:c r="J193" s="3"/>
      <x:c r="K193" s="22"/>
      <x:c r="L193" s="22"/>
      <x:c r="M193" s="24" t="str">
        <x:f>IF(A193="","",IF(COUNTIFS('执行日志'!$B$7:$B$306,A193)=0,"",IF(COUNTIFS('执行日志'!$B$7:$B$306,A193,'执行日志'!$L$7:$L$306,"有效",'执行日志'!$P$7:$P$306,"&lt;&gt;有效输入")&gt;0,"待核对",IF(COUNTIFS('执行日志'!$B$7:$B$306,A193,'执行日志'!$P$7:$P$306,"有效输入")=0,"",SUMIFS('执行日志'!$H$7:$H$306,'执行日志'!$B$7:$B$306,A193,'执行日志'!$P$7:$P$306,"有效输入")))))</x:f>
      </x:c>
      <x:c r="N193" s="24" t="str">
        <x:f>IF(A193="","",IF(COUNTIFS('执行日志'!$B$7:$B$306,A193)=0,"",IF(COUNTIFS('执行日志'!$B$7:$B$306,A193,'执行日志'!$L$7:$L$306,"有效",'执行日志'!$P$7:$P$306,"&lt;&gt;有效输入")&gt;0,"待核对",IF(COUNTIFS('执行日志'!$B$7:$B$306,A193,'执行日志'!$P$7:$P$306,"有效输入")=0,"",SUMIFS('执行日志'!$J$7:$J$306,'执行日志'!$B$7:$B$306,A193,'执行日志'!$P$7:$P$306,"有效输入")))))</x:f>
      </x:c>
      <x:c r="O193" s="24" t="str">
        <x:f>IF(A193="","",IF(NOT(ISNUMBER(K193)),"待定预算",IF(NOT(ISNUMBER(M193)),"暂无有效流水",K193-M193)))</x:f>
      </x:c>
      <x:c r="P193" s="24" t="str">
        <x:f>IF(A193="","",IF(NOT(ISNUMBER(L193)),"待定预算",IF(NOT(ISNUMBER(N193)),"暂无有效流水",L193-N193)))</x:f>
      </x:c>
      <x:c r="Q193" s="19" t="str">
        <x:f>IF(A193="","",IF(D193="已结案","已结案",IF(NOT(ISNUMBER(I193)),"待定复盘日",IF(NOT(ISNUMBER($B$3)),"待定评估日",IF(I193&lt;=$B$3,"应复盘","未到期")))))</x:f>
      </x:c>
      <x:c r="R193" s="19" t="str">
        <x:f>IF(A193="","",IF(COUNTIFS($A$7:$A$306,A193)&lt;&gt;1,"问题编号重复",IF(OR(B193="",C193="",D193="",G193="",S193=""),"待补基础信息",IF(AND(F193&lt;&gt;"",COUNTIFS('方案版本'!$A$7:$A$306,F193,'方案版本'!$B$7:$B$306,A193,'方案版本'!$L$7:$L$306,"已冻结")&lt;&gt;1),"当前方案引用无效",IF(AND(D193="执行中",F193=""),"执行缺方案",IF(AND(D193="已结案",OR(T193="",COUNTIFS('复盘记录'!$B$7:$B$306,A193)=0,COUNTIFS('更新日志'!$B$7:$B$306,A193)=0)),"结案资料待补","基础记录齐备"))))))</x:f>
      </x:c>
      <x:c r="S193" s="3"/>
      <x:c r="T193" s="3"/>
    </x:row>
    <x:row r="194" ht="25" customHeight="1">
      <x:c r="A194" s="3"/>
      <x:c r="B194" s="3"/>
      <x:c r="C194" s="3"/>
      <x:c r="D194" s="3"/>
      <x:c r="E194" s="3"/>
      <x:c r="F194" s="3"/>
      <x:c r="G194" s="3"/>
      <x:c r="H194" s="3"/>
      <x:c r="I194" s="20"/>
      <x:c r="J194" s="3"/>
      <x:c r="K194" s="22"/>
      <x:c r="L194" s="22"/>
      <x:c r="M194" s="24" t="str">
        <x:f>IF(A194="","",IF(COUNTIFS('执行日志'!$B$7:$B$306,A194)=0,"",IF(COUNTIFS('执行日志'!$B$7:$B$306,A194,'执行日志'!$L$7:$L$306,"有效",'执行日志'!$P$7:$P$306,"&lt;&gt;有效输入")&gt;0,"待核对",IF(COUNTIFS('执行日志'!$B$7:$B$306,A194,'执行日志'!$P$7:$P$306,"有效输入")=0,"",SUMIFS('执行日志'!$H$7:$H$306,'执行日志'!$B$7:$B$306,A194,'执行日志'!$P$7:$P$306,"有效输入")))))</x:f>
      </x:c>
      <x:c r="N194" s="24" t="str">
        <x:f>IF(A194="","",IF(COUNTIFS('执行日志'!$B$7:$B$306,A194)=0,"",IF(COUNTIFS('执行日志'!$B$7:$B$306,A194,'执行日志'!$L$7:$L$306,"有效",'执行日志'!$P$7:$P$306,"&lt;&gt;有效输入")&gt;0,"待核对",IF(COUNTIFS('执行日志'!$B$7:$B$306,A194,'执行日志'!$P$7:$P$306,"有效输入")=0,"",SUMIFS('执行日志'!$J$7:$J$306,'执行日志'!$B$7:$B$306,A194,'执行日志'!$P$7:$P$306,"有效输入")))))</x:f>
      </x:c>
      <x:c r="O194" s="24" t="str">
        <x:f>IF(A194="","",IF(NOT(ISNUMBER(K194)),"待定预算",IF(NOT(ISNUMBER(M194)),"暂无有效流水",K194-M194)))</x:f>
      </x:c>
      <x:c r="P194" s="24" t="str">
        <x:f>IF(A194="","",IF(NOT(ISNUMBER(L194)),"待定预算",IF(NOT(ISNUMBER(N194)),"暂无有效流水",L194-N194)))</x:f>
      </x:c>
      <x:c r="Q194" s="19" t="str">
        <x:f>IF(A194="","",IF(D194="已结案","已结案",IF(NOT(ISNUMBER(I194)),"待定复盘日",IF(NOT(ISNUMBER($B$3)),"待定评估日",IF(I194&lt;=$B$3,"应复盘","未到期")))))</x:f>
      </x:c>
      <x:c r="R194" s="19" t="str">
        <x:f>IF(A194="","",IF(COUNTIFS($A$7:$A$306,A194)&lt;&gt;1,"问题编号重复",IF(OR(B194="",C194="",D194="",G194="",S194=""),"待补基础信息",IF(AND(F194&lt;&gt;"",COUNTIFS('方案版本'!$A$7:$A$306,F194,'方案版本'!$B$7:$B$306,A194,'方案版本'!$L$7:$L$306,"已冻结")&lt;&gt;1),"当前方案引用无效",IF(AND(D194="执行中",F194=""),"执行缺方案",IF(AND(D194="已结案",OR(T194="",COUNTIFS('复盘记录'!$B$7:$B$306,A194)=0,COUNTIFS('更新日志'!$B$7:$B$306,A194)=0)),"结案资料待补","基础记录齐备"))))))</x:f>
      </x:c>
      <x:c r="S194" s="3"/>
      <x:c r="T194" s="3"/>
    </x:row>
    <x:row r="195" ht="25" customHeight="1">
      <x:c r="A195" s="3"/>
      <x:c r="B195" s="3"/>
      <x:c r="C195" s="3"/>
      <x:c r="D195" s="3"/>
      <x:c r="E195" s="3"/>
      <x:c r="F195" s="3"/>
      <x:c r="G195" s="3"/>
      <x:c r="H195" s="3"/>
      <x:c r="I195" s="20"/>
      <x:c r="J195" s="3"/>
      <x:c r="K195" s="22"/>
      <x:c r="L195" s="22"/>
      <x:c r="M195" s="24" t="str">
        <x:f>IF(A195="","",IF(COUNTIFS('执行日志'!$B$7:$B$306,A195)=0,"",IF(COUNTIFS('执行日志'!$B$7:$B$306,A195,'执行日志'!$L$7:$L$306,"有效",'执行日志'!$P$7:$P$306,"&lt;&gt;有效输入")&gt;0,"待核对",IF(COUNTIFS('执行日志'!$B$7:$B$306,A195,'执行日志'!$P$7:$P$306,"有效输入")=0,"",SUMIFS('执行日志'!$H$7:$H$306,'执行日志'!$B$7:$B$306,A195,'执行日志'!$P$7:$P$306,"有效输入")))))</x:f>
      </x:c>
      <x:c r="N195" s="24" t="str">
        <x:f>IF(A195="","",IF(COUNTIFS('执行日志'!$B$7:$B$306,A195)=0,"",IF(COUNTIFS('执行日志'!$B$7:$B$306,A195,'执行日志'!$L$7:$L$306,"有效",'执行日志'!$P$7:$P$306,"&lt;&gt;有效输入")&gt;0,"待核对",IF(COUNTIFS('执行日志'!$B$7:$B$306,A195,'执行日志'!$P$7:$P$306,"有效输入")=0,"",SUMIFS('执行日志'!$J$7:$J$306,'执行日志'!$B$7:$B$306,A195,'执行日志'!$P$7:$P$306,"有效输入")))))</x:f>
      </x:c>
      <x:c r="O195" s="24" t="str">
        <x:f>IF(A195="","",IF(NOT(ISNUMBER(K195)),"待定预算",IF(NOT(ISNUMBER(M195)),"暂无有效流水",K195-M195)))</x:f>
      </x:c>
      <x:c r="P195" s="24" t="str">
        <x:f>IF(A195="","",IF(NOT(ISNUMBER(L195)),"待定预算",IF(NOT(ISNUMBER(N195)),"暂无有效流水",L195-N195)))</x:f>
      </x:c>
      <x:c r="Q195" s="19" t="str">
        <x:f>IF(A195="","",IF(D195="已结案","已结案",IF(NOT(ISNUMBER(I195)),"待定复盘日",IF(NOT(ISNUMBER($B$3)),"待定评估日",IF(I195&lt;=$B$3,"应复盘","未到期")))))</x:f>
      </x:c>
      <x:c r="R195" s="19" t="str">
        <x:f>IF(A195="","",IF(COUNTIFS($A$7:$A$306,A195)&lt;&gt;1,"问题编号重复",IF(OR(B195="",C195="",D195="",G195="",S195=""),"待补基础信息",IF(AND(F195&lt;&gt;"",COUNTIFS('方案版本'!$A$7:$A$306,F195,'方案版本'!$B$7:$B$306,A195,'方案版本'!$L$7:$L$306,"已冻结")&lt;&gt;1),"当前方案引用无效",IF(AND(D195="执行中",F195=""),"执行缺方案",IF(AND(D195="已结案",OR(T195="",COUNTIFS('复盘记录'!$B$7:$B$306,A195)=0,COUNTIFS('更新日志'!$B$7:$B$306,A195)=0)),"结案资料待补","基础记录齐备"))))))</x:f>
      </x:c>
      <x:c r="S195" s="3"/>
      <x:c r="T195" s="3"/>
    </x:row>
    <x:row r="196" ht="25" customHeight="1">
      <x:c r="A196" s="3"/>
      <x:c r="B196" s="3"/>
      <x:c r="C196" s="3"/>
      <x:c r="D196" s="3"/>
      <x:c r="E196" s="3"/>
      <x:c r="F196" s="3"/>
      <x:c r="G196" s="3"/>
      <x:c r="H196" s="3"/>
      <x:c r="I196" s="20"/>
      <x:c r="J196" s="3"/>
      <x:c r="K196" s="22"/>
      <x:c r="L196" s="22"/>
      <x:c r="M196" s="24" t="str">
        <x:f>IF(A196="","",IF(COUNTIFS('执行日志'!$B$7:$B$306,A196)=0,"",IF(COUNTIFS('执行日志'!$B$7:$B$306,A196,'执行日志'!$L$7:$L$306,"有效",'执行日志'!$P$7:$P$306,"&lt;&gt;有效输入")&gt;0,"待核对",IF(COUNTIFS('执行日志'!$B$7:$B$306,A196,'执行日志'!$P$7:$P$306,"有效输入")=0,"",SUMIFS('执行日志'!$H$7:$H$306,'执行日志'!$B$7:$B$306,A196,'执行日志'!$P$7:$P$306,"有效输入")))))</x:f>
      </x:c>
      <x:c r="N196" s="24" t="str">
        <x:f>IF(A196="","",IF(COUNTIFS('执行日志'!$B$7:$B$306,A196)=0,"",IF(COUNTIFS('执行日志'!$B$7:$B$306,A196,'执行日志'!$L$7:$L$306,"有效",'执行日志'!$P$7:$P$306,"&lt;&gt;有效输入")&gt;0,"待核对",IF(COUNTIFS('执行日志'!$B$7:$B$306,A196,'执行日志'!$P$7:$P$306,"有效输入")=0,"",SUMIFS('执行日志'!$J$7:$J$306,'执行日志'!$B$7:$B$306,A196,'执行日志'!$P$7:$P$306,"有效输入")))))</x:f>
      </x:c>
      <x:c r="O196" s="24" t="str">
        <x:f>IF(A196="","",IF(NOT(ISNUMBER(K196)),"待定预算",IF(NOT(ISNUMBER(M196)),"暂无有效流水",K196-M196)))</x:f>
      </x:c>
      <x:c r="P196" s="24" t="str">
        <x:f>IF(A196="","",IF(NOT(ISNUMBER(L196)),"待定预算",IF(NOT(ISNUMBER(N196)),"暂无有效流水",L196-N196)))</x:f>
      </x:c>
      <x:c r="Q196" s="19" t="str">
        <x:f>IF(A196="","",IF(D196="已结案","已结案",IF(NOT(ISNUMBER(I196)),"待定复盘日",IF(NOT(ISNUMBER($B$3)),"待定评估日",IF(I196&lt;=$B$3,"应复盘","未到期")))))</x:f>
      </x:c>
      <x:c r="R196" s="19" t="str">
        <x:f>IF(A196="","",IF(COUNTIFS($A$7:$A$306,A196)&lt;&gt;1,"问题编号重复",IF(OR(B196="",C196="",D196="",G196="",S196=""),"待补基础信息",IF(AND(F196&lt;&gt;"",COUNTIFS('方案版本'!$A$7:$A$306,F196,'方案版本'!$B$7:$B$306,A196,'方案版本'!$L$7:$L$306,"已冻结")&lt;&gt;1),"当前方案引用无效",IF(AND(D196="执行中",F196=""),"执行缺方案",IF(AND(D196="已结案",OR(T196="",COUNTIFS('复盘记录'!$B$7:$B$306,A196)=0,COUNTIFS('更新日志'!$B$7:$B$306,A196)=0)),"结案资料待补","基础记录齐备"))))))</x:f>
      </x:c>
      <x:c r="S196" s="3"/>
      <x:c r="T196" s="3"/>
    </x:row>
    <x:row r="197" ht="25" customHeight="1">
      <x:c r="A197" s="3"/>
      <x:c r="B197" s="3"/>
      <x:c r="C197" s="3"/>
      <x:c r="D197" s="3"/>
      <x:c r="E197" s="3"/>
      <x:c r="F197" s="3"/>
      <x:c r="G197" s="3"/>
      <x:c r="H197" s="3"/>
      <x:c r="I197" s="20"/>
      <x:c r="J197" s="3"/>
      <x:c r="K197" s="22"/>
      <x:c r="L197" s="22"/>
      <x:c r="M197" s="24" t="str">
        <x:f>IF(A197="","",IF(COUNTIFS('执行日志'!$B$7:$B$306,A197)=0,"",IF(COUNTIFS('执行日志'!$B$7:$B$306,A197,'执行日志'!$L$7:$L$306,"有效",'执行日志'!$P$7:$P$306,"&lt;&gt;有效输入")&gt;0,"待核对",IF(COUNTIFS('执行日志'!$B$7:$B$306,A197,'执行日志'!$P$7:$P$306,"有效输入")=0,"",SUMIFS('执行日志'!$H$7:$H$306,'执行日志'!$B$7:$B$306,A197,'执行日志'!$P$7:$P$306,"有效输入")))))</x:f>
      </x:c>
      <x:c r="N197" s="24" t="str">
        <x:f>IF(A197="","",IF(COUNTIFS('执行日志'!$B$7:$B$306,A197)=0,"",IF(COUNTIFS('执行日志'!$B$7:$B$306,A197,'执行日志'!$L$7:$L$306,"有效",'执行日志'!$P$7:$P$306,"&lt;&gt;有效输入")&gt;0,"待核对",IF(COUNTIFS('执行日志'!$B$7:$B$306,A197,'执行日志'!$P$7:$P$306,"有效输入")=0,"",SUMIFS('执行日志'!$J$7:$J$306,'执行日志'!$B$7:$B$306,A197,'执行日志'!$P$7:$P$306,"有效输入")))))</x:f>
      </x:c>
      <x:c r="O197" s="24" t="str">
        <x:f>IF(A197="","",IF(NOT(ISNUMBER(K197)),"待定预算",IF(NOT(ISNUMBER(M197)),"暂无有效流水",K197-M197)))</x:f>
      </x:c>
      <x:c r="P197" s="24" t="str">
        <x:f>IF(A197="","",IF(NOT(ISNUMBER(L197)),"待定预算",IF(NOT(ISNUMBER(N197)),"暂无有效流水",L197-N197)))</x:f>
      </x:c>
      <x:c r="Q197" s="19" t="str">
        <x:f>IF(A197="","",IF(D197="已结案","已结案",IF(NOT(ISNUMBER(I197)),"待定复盘日",IF(NOT(ISNUMBER($B$3)),"待定评估日",IF(I197&lt;=$B$3,"应复盘","未到期")))))</x:f>
      </x:c>
      <x:c r="R197" s="19" t="str">
        <x:f>IF(A197="","",IF(COUNTIFS($A$7:$A$306,A197)&lt;&gt;1,"问题编号重复",IF(OR(B197="",C197="",D197="",G197="",S197=""),"待补基础信息",IF(AND(F197&lt;&gt;"",COUNTIFS('方案版本'!$A$7:$A$306,F197,'方案版本'!$B$7:$B$306,A197,'方案版本'!$L$7:$L$306,"已冻结")&lt;&gt;1),"当前方案引用无效",IF(AND(D197="执行中",F197=""),"执行缺方案",IF(AND(D197="已结案",OR(T197="",COUNTIFS('复盘记录'!$B$7:$B$306,A197)=0,COUNTIFS('更新日志'!$B$7:$B$306,A197)=0)),"结案资料待补","基础记录齐备"))))))</x:f>
      </x:c>
      <x:c r="S197" s="3"/>
      <x:c r="T197" s="3"/>
    </x:row>
    <x:row r="198" ht="25" customHeight="1">
      <x:c r="A198" s="3"/>
      <x:c r="B198" s="3"/>
      <x:c r="C198" s="3"/>
      <x:c r="D198" s="3"/>
      <x:c r="E198" s="3"/>
      <x:c r="F198" s="3"/>
      <x:c r="G198" s="3"/>
      <x:c r="H198" s="3"/>
      <x:c r="I198" s="20"/>
      <x:c r="J198" s="3"/>
      <x:c r="K198" s="22"/>
      <x:c r="L198" s="22"/>
      <x:c r="M198" s="24" t="str">
        <x:f>IF(A198="","",IF(COUNTIFS('执行日志'!$B$7:$B$306,A198)=0,"",IF(COUNTIFS('执行日志'!$B$7:$B$306,A198,'执行日志'!$L$7:$L$306,"有效",'执行日志'!$P$7:$P$306,"&lt;&gt;有效输入")&gt;0,"待核对",IF(COUNTIFS('执行日志'!$B$7:$B$306,A198,'执行日志'!$P$7:$P$306,"有效输入")=0,"",SUMIFS('执行日志'!$H$7:$H$306,'执行日志'!$B$7:$B$306,A198,'执行日志'!$P$7:$P$306,"有效输入")))))</x:f>
      </x:c>
      <x:c r="N198" s="24" t="str">
        <x:f>IF(A198="","",IF(COUNTIFS('执行日志'!$B$7:$B$306,A198)=0,"",IF(COUNTIFS('执行日志'!$B$7:$B$306,A198,'执行日志'!$L$7:$L$306,"有效",'执行日志'!$P$7:$P$306,"&lt;&gt;有效输入")&gt;0,"待核对",IF(COUNTIFS('执行日志'!$B$7:$B$306,A198,'执行日志'!$P$7:$P$306,"有效输入")=0,"",SUMIFS('执行日志'!$J$7:$J$306,'执行日志'!$B$7:$B$306,A198,'执行日志'!$P$7:$P$306,"有效输入")))))</x:f>
      </x:c>
      <x:c r="O198" s="24" t="str">
        <x:f>IF(A198="","",IF(NOT(ISNUMBER(K198)),"待定预算",IF(NOT(ISNUMBER(M198)),"暂无有效流水",K198-M198)))</x:f>
      </x:c>
      <x:c r="P198" s="24" t="str">
        <x:f>IF(A198="","",IF(NOT(ISNUMBER(L198)),"待定预算",IF(NOT(ISNUMBER(N198)),"暂无有效流水",L198-N198)))</x:f>
      </x:c>
      <x:c r="Q198" s="19" t="str">
        <x:f>IF(A198="","",IF(D198="已结案","已结案",IF(NOT(ISNUMBER(I198)),"待定复盘日",IF(NOT(ISNUMBER($B$3)),"待定评估日",IF(I198&lt;=$B$3,"应复盘","未到期")))))</x:f>
      </x:c>
      <x:c r="R198" s="19" t="str">
        <x:f>IF(A198="","",IF(COUNTIFS($A$7:$A$306,A198)&lt;&gt;1,"问题编号重复",IF(OR(B198="",C198="",D198="",G198="",S198=""),"待补基础信息",IF(AND(F198&lt;&gt;"",COUNTIFS('方案版本'!$A$7:$A$306,F198,'方案版本'!$B$7:$B$306,A198,'方案版本'!$L$7:$L$306,"已冻结")&lt;&gt;1),"当前方案引用无效",IF(AND(D198="执行中",F198=""),"执行缺方案",IF(AND(D198="已结案",OR(T198="",COUNTIFS('复盘记录'!$B$7:$B$306,A198)=0,COUNTIFS('更新日志'!$B$7:$B$306,A198)=0)),"结案资料待补","基础记录齐备"))))))</x:f>
      </x:c>
      <x:c r="S198" s="3"/>
      <x:c r="T198" s="3"/>
    </x:row>
    <x:row r="199" ht="25" customHeight="1">
      <x:c r="A199" s="3"/>
      <x:c r="B199" s="3"/>
      <x:c r="C199" s="3"/>
      <x:c r="D199" s="3"/>
      <x:c r="E199" s="3"/>
      <x:c r="F199" s="3"/>
      <x:c r="G199" s="3"/>
      <x:c r="H199" s="3"/>
      <x:c r="I199" s="20"/>
      <x:c r="J199" s="3"/>
      <x:c r="K199" s="22"/>
      <x:c r="L199" s="22"/>
      <x:c r="M199" s="24" t="str">
        <x:f>IF(A199="","",IF(COUNTIFS('执行日志'!$B$7:$B$306,A199)=0,"",IF(COUNTIFS('执行日志'!$B$7:$B$306,A199,'执行日志'!$L$7:$L$306,"有效",'执行日志'!$P$7:$P$306,"&lt;&gt;有效输入")&gt;0,"待核对",IF(COUNTIFS('执行日志'!$B$7:$B$306,A199,'执行日志'!$P$7:$P$306,"有效输入")=0,"",SUMIFS('执行日志'!$H$7:$H$306,'执行日志'!$B$7:$B$306,A199,'执行日志'!$P$7:$P$306,"有效输入")))))</x:f>
      </x:c>
      <x:c r="N199" s="24" t="str">
        <x:f>IF(A199="","",IF(COUNTIFS('执行日志'!$B$7:$B$306,A199)=0,"",IF(COUNTIFS('执行日志'!$B$7:$B$306,A199,'执行日志'!$L$7:$L$306,"有效",'执行日志'!$P$7:$P$306,"&lt;&gt;有效输入")&gt;0,"待核对",IF(COUNTIFS('执行日志'!$B$7:$B$306,A199,'执行日志'!$P$7:$P$306,"有效输入")=0,"",SUMIFS('执行日志'!$J$7:$J$306,'执行日志'!$B$7:$B$306,A199,'执行日志'!$P$7:$P$306,"有效输入")))))</x:f>
      </x:c>
      <x:c r="O199" s="24" t="str">
        <x:f>IF(A199="","",IF(NOT(ISNUMBER(K199)),"待定预算",IF(NOT(ISNUMBER(M199)),"暂无有效流水",K199-M199)))</x:f>
      </x:c>
      <x:c r="P199" s="24" t="str">
        <x:f>IF(A199="","",IF(NOT(ISNUMBER(L199)),"待定预算",IF(NOT(ISNUMBER(N199)),"暂无有效流水",L199-N199)))</x:f>
      </x:c>
      <x:c r="Q199" s="19" t="str">
        <x:f>IF(A199="","",IF(D199="已结案","已结案",IF(NOT(ISNUMBER(I199)),"待定复盘日",IF(NOT(ISNUMBER($B$3)),"待定评估日",IF(I199&lt;=$B$3,"应复盘","未到期")))))</x:f>
      </x:c>
      <x:c r="R199" s="19" t="str">
        <x:f>IF(A199="","",IF(COUNTIFS($A$7:$A$306,A199)&lt;&gt;1,"问题编号重复",IF(OR(B199="",C199="",D199="",G199="",S199=""),"待补基础信息",IF(AND(F199&lt;&gt;"",COUNTIFS('方案版本'!$A$7:$A$306,F199,'方案版本'!$B$7:$B$306,A199,'方案版本'!$L$7:$L$306,"已冻结")&lt;&gt;1),"当前方案引用无效",IF(AND(D199="执行中",F199=""),"执行缺方案",IF(AND(D199="已结案",OR(T199="",COUNTIFS('复盘记录'!$B$7:$B$306,A199)=0,COUNTIFS('更新日志'!$B$7:$B$306,A199)=0)),"结案资料待补","基础记录齐备"))))))</x:f>
      </x:c>
      <x:c r="S199" s="3"/>
      <x:c r="T199" s="3"/>
    </x:row>
    <x:row r="200" ht="25" customHeight="1">
      <x:c r="A200" s="3"/>
      <x:c r="B200" s="3"/>
      <x:c r="C200" s="3"/>
      <x:c r="D200" s="3"/>
      <x:c r="E200" s="3"/>
      <x:c r="F200" s="3"/>
      <x:c r="G200" s="3"/>
      <x:c r="H200" s="3"/>
      <x:c r="I200" s="20"/>
      <x:c r="J200" s="3"/>
      <x:c r="K200" s="22"/>
      <x:c r="L200" s="22"/>
      <x:c r="M200" s="24" t="str">
        <x:f>IF(A200="","",IF(COUNTIFS('执行日志'!$B$7:$B$306,A200)=0,"",IF(COUNTIFS('执行日志'!$B$7:$B$306,A200,'执行日志'!$L$7:$L$306,"有效",'执行日志'!$P$7:$P$306,"&lt;&gt;有效输入")&gt;0,"待核对",IF(COUNTIFS('执行日志'!$B$7:$B$306,A200,'执行日志'!$P$7:$P$306,"有效输入")=0,"",SUMIFS('执行日志'!$H$7:$H$306,'执行日志'!$B$7:$B$306,A200,'执行日志'!$P$7:$P$306,"有效输入")))))</x:f>
      </x:c>
      <x:c r="N200" s="24" t="str">
        <x:f>IF(A200="","",IF(COUNTIFS('执行日志'!$B$7:$B$306,A200)=0,"",IF(COUNTIFS('执行日志'!$B$7:$B$306,A200,'执行日志'!$L$7:$L$306,"有效",'执行日志'!$P$7:$P$306,"&lt;&gt;有效输入")&gt;0,"待核对",IF(COUNTIFS('执行日志'!$B$7:$B$306,A200,'执行日志'!$P$7:$P$306,"有效输入")=0,"",SUMIFS('执行日志'!$J$7:$J$306,'执行日志'!$B$7:$B$306,A200,'执行日志'!$P$7:$P$306,"有效输入")))))</x:f>
      </x:c>
      <x:c r="O200" s="24" t="str">
        <x:f>IF(A200="","",IF(NOT(ISNUMBER(K200)),"待定预算",IF(NOT(ISNUMBER(M200)),"暂无有效流水",K200-M200)))</x:f>
      </x:c>
      <x:c r="P200" s="24" t="str">
        <x:f>IF(A200="","",IF(NOT(ISNUMBER(L200)),"待定预算",IF(NOT(ISNUMBER(N200)),"暂无有效流水",L200-N200)))</x:f>
      </x:c>
      <x:c r="Q200" s="19" t="str">
        <x:f>IF(A200="","",IF(D200="已结案","已结案",IF(NOT(ISNUMBER(I200)),"待定复盘日",IF(NOT(ISNUMBER($B$3)),"待定评估日",IF(I200&lt;=$B$3,"应复盘","未到期")))))</x:f>
      </x:c>
      <x:c r="R200" s="19" t="str">
        <x:f>IF(A200="","",IF(COUNTIFS($A$7:$A$306,A200)&lt;&gt;1,"问题编号重复",IF(OR(B200="",C200="",D200="",G200="",S200=""),"待补基础信息",IF(AND(F200&lt;&gt;"",COUNTIFS('方案版本'!$A$7:$A$306,F200,'方案版本'!$B$7:$B$306,A200,'方案版本'!$L$7:$L$306,"已冻结")&lt;&gt;1),"当前方案引用无效",IF(AND(D200="执行中",F200=""),"执行缺方案",IF(AND(D200="已结案",OR(T200="",COUNTIFS('复盘记录'!$B$7:$B$306,A200)=0,COUNTIFS('更新日志'!$B$7:$B$306,A200)=0)),"结案资料待补","基础记录齐备"))))))</x:f>
      </x:c>
      <x:c r="S200" s="3"/>
      <x:c r="T200" s="3"/>
    </x:row>
    <x:row r="201" ht="25" customHeight="1">
      <x:c r="A201" s="3"/>
      <x:c r="B201" s="3"/>
      <x:c r="C201" s="3"/>
      <x:c r="D201" s="3"/>
      <x:c r="E201" s="3"/>
      <x:c r="F201" s="3"/>
      <x:c r="G201" s="3"/>
      <x:c r="H201" s="3"/>
      <x:c r="I201" s="20"/>
      <x:c r="J201" s="3"/>
      <x:c r="K201" s="22"/>
      <x:c r="L201" s="22"/>
      <x:c r="M201" s="24" t="str">
        <x:f>IF(A201="","",IF(COUNTIFS('执行日志'!$B$7:$B$306,A201)=0,"",IF(COUNTIFS('执行日志'!$B$7:$B$306,A201,'执行日志'!$L$7:$L$306,"有效",'执行日志'!$P$7:$P$306,"&lt;&gt;有效输入")&gt;0,"待核对",IF(COUNTIFS('执行日志'!$B$7:$B$306,A201,'执行日志'!$P$7:$P$306,"有效输入")=0,"",SUMIFS('执行日志'!$H$7:$H$306,'执行日志'!$B$7:$B$306,A201,'执行日志'!$P$7:$P$306,"有效输入")))))</x:f>
      </x:c>
      <x:c r="N201" s="24" t="str">
        <x:f>IF(A201="","",IF(COUNTIFS('执行日志'!$B$7:$B$306,A201)=0,"",IF(COUNTIFS('执行日志'!$B$7:$B$306,A201,'执行日志'!$L$7:$L$306,"有效",'执行日志'!$P$7:$P$306,"&lt;&gt;有效输入")&gt;0,"待核对",IF(COUNTIFS('执行日志'!$B$7:$B$306,A201,'执行日志'!$P$7:$P$306,"有效输入")=0,"",SUMIFS('执行日志'!$J$7:$J$306,'执行日志'!$B$7:$B$306,A201,'执行日志'!$P$7:$P$306,"有效输入")))))</x:f>
      </x:c>
      <x:c r="O201" s="24" t="str">
        <x:f>IF(A201="","",IF(NOT(ISNUMBER(K201)),"待定预算",IF(NOT(ISNUMBER(M201)),"暂无有效流水",K201-M201)))</x:f>
      </x:c>
      <x:c r="P201" s="24" t="str">
        <x:f>IF(A201="","",IF(NOT(ISNUMBER(L201)),"待定预算",IF(NOT(ISNUMBER(N201)),"暂无有效流水",L201-N201)))</x:f>
      </x:c>
      <x:c r="Q201" s="19" t="str">
        <x:f>IF(A201="","",IF(D201="已结案","已结案",IF(NOT(ISNUMBER(I201)),"待定复盘日",IF(NOT(ISNUMBER($B$3)),"待定评估日",IF(I201&lt;=$B$3,"应复盘","未到期")))))</x:f>
      </x:c>
      <x:c r="R201" s="19" t="str">
        <x:f>IF(A201="","",IF(COUNTIFS($A$7:$A$306,A201)&lt;&gt;1,"问题编号重复",IF(OR(B201="",C201="",D201="",G201="",S201=""),"待补基础信息",IF(AND(F201&lt;&gt;"",COUNTIFS('方案版本'!$A$7:$A$306,F201,'方案版本'!$B$7:$B$306,A201,'方案版本'!$L$7:$L$306,"已冻结")&lt;&gt;1),"当前方案引用无效",IF(AND(D201="执行中",F201=""),"执行缺方案",IF(AND(D201="已结案",OR(T201="",COUNTIFS('复盘记录'!$B$7:$B$306,A201)=0,COUNTIFS('更新日志'!$B$7:$B$306,A201)=0)),"结案资料待补","基础记录齐备"))))))</x:f>
      </x:c>
      <x:c r="S201" s="3"/>
      <x:c r="T201" s="3"/>
    </x:row>
    <x:row r="202" ht="25" customHeight="1">
      <x:c r="A202" s="3"/>
      <x:c r="B202" s="3"/>
      <x:c r="C202" s="3"/>
      <x:c r="D202" s="3"/>
      <x:c r="E202" s="3"/>
      <x:c r="F202" s="3"/>
      <x:c r="G202" s="3"/>
      <x:c r="H202" s="3"/>
      <x:c r="I202" s="20"/>
      <x:c r="J202" s="3"/>
      <x:c r="K202" s="22"/>
      <x:c r="L202" s="22"/>
      <x:c r="M202" s="24" t="str">
        <x:f>IF(A202="","",IF(COUNTIFS('执行日志'!$B$7:$B$306,A202)=0,"",IF(COUNTIFS('执行日志'!$B$7:$B$306,A202,'执行日志'!$L$7:$L$306,"有效",'执行日志'!$P$7:$P$306,"&lt;&gt;有效输入")&gt;0,"待核对",IF(COUNTIFS('执行日志'!$B$7:$B$306,A202,'执行日志'!$P$7:$P$306,"有效输入")=0,"",SUMIFS('执行日志'!$H$7:$H$306,'执行日志'!$B$7:$B$306,A202,'执行日志'!$P$7:$P$306,"有效输入")))))</x:f>
      </x:c>
      <x:c r="N202" s="24" t="str">
        <x:f>IF(A202="","",IF(COUNTIFS('执行日志'!$B$7:$B$306,A202)=0,"",IF(COUNTIFS('执行日志'!$B$7:$B$306,A202,'执行日志'!$L$7:$L$306,"有效",'执行日志'!$P$7:$P$306,"&lt;&gt;有效输入")&gt;0,"待核对",IF(COUNTIFS('执行日志'!$B$7:$B$306,A202,'执行日志'!$P$7:$P$306,"有效输入")=0,"",SUMIFS('执行日志'!$J$7:$J$306,'执行日志'!$B$7:$B$306,A202,'执行日志'!$P$7:$P$306,"有效输入")))))</x:f>
      </x:c>
      <x:c r="O202" s="24" t="str">
        <x:f>IF(A202="","",IF(NOT(ISNUMBER(K202)),"待定预算",IF(NOT(ISNUMBER(M202)),"暂无有效流水",K202-M202)))</x:f>
      </x:c>
      <x:c r="P202" s="24" t="str">
        <x:f>IF(A202="","",IF(NOT(ISNUMBER(L202)),"待定预算",IF(NOT(ISNUMBER(N202)),"暂无有效流水",L202-N202)))</x:f>
      </x:c>
      <x:c r="Q202" s="19" t="str">
        <x:f>IF(A202="","",IF(D202="已结案","已结案",IF(NOT(ISNUMBER(I202)),"待定复盘日",IF(NOT(ISNUMBER($B$3)),"待定评估日",IF(I202&lt;=$B$3,"应复盘","未到期")))))</x:f>
      </x:c>
      <x:c r="R202" s="19" t="str">
        <x:f>IF(A202="","",IF(COUNTIFS($A$7:$A$306,A202)&lt;&gt;1,"问题编号重复",IF(OR(B202="",C202="",D202="",G202="",S202=""),"待补基础信息",IF(AND(F202&lt;&gt;"",COUNTIFS('方案版本'!$A$7:$A$306,F202,'方案版本'!$B$7:$B$306,A202,'方案版本'!$L$7:$L$306,"已冻结")&lt;&gt;1),"当前方案引用无效",IF(AND(D202="执行中",F202=""),"执行缺方案",IF(AND(D202="已结案",OR(T202="",COUNTIFS('复盘记录'!$B$7:$B$306,A202)=0,COUNTIFS('更新日志'!$B$7:$B$306,A202)=0)),"结案资料待补","基础记录齐备"))))))</x:f>
      </x:c>
      <x:c r="S202" s="3"/>
      <x:c r="T202" s="3"/>
    </x:row>
    <x:row r="203" ht="25" customHeight="1">
      <x:c r="A203" s="3"/>
      <x:c r="B203" s="3"/>
      <x:c r="C203" s="3"/>
      <x:c r="D203" s="3"/>
      <x:c r="E203" s="3"/>
      <x:c r="F203" s="3"/>
      <x:c r="G203" s="3"/>
      <x:c r="H203" s="3"/>
      <x:c r="I203" s="20"/>
      <x:c r="J203" s="3"/>
      <x:c r="K203" s="22"/>
      <x:c r="L203" s="22"/>
      <x:c r="M203" s="24" t="str">
        <x:f>IF(A203="","",IF(COUNTIFS('执行日志'!$B$7:$B$306,A203)=0,"",IF(COUNTIFS('执行日志'!$B$7:$B$306,A203,'执行日志'!$L$7:$L$306,"有效",'执行日志'!$P$7:$P$306,"&lt;&gt;有效输入")&gt;0,"待核对",IF(COUNTIFS('执行日志'!$B$7:$B$306,A203,'执行日志'!$P$7:$P$306,"有效输入")=0,"",SUMIFS('执行日志'!$H$7:$H$306,'执行日志'!$B$7:$B$306,A203,'执行日志'!$P$7:$P$306,"有效输入")))))</x:f>
      </x:c>
      <x:c r="N203" s="24" t="str">
        <x:f>IF(A203="","",IF(COUNTIFS('执行日志'!$B$7:$B$306,A203)=0,"",IF(COUNTIFS('执行日志'!$B$7:$B$306,A203,'执行日志'!$L$7:$L$306,"有效",'执行日志'!$P$7:$P$306,"&lt;&gt;有效输入")&gt;0,"待核对",IF(COUNTIFS('执行日志'!$B$7:$B$306,A203,'执行日志'!$P$7:$P$306,"有效输入")=0,"",SUMIFS('执行日志'!$J$7:$J$306,'执行日志'!$B$7:$B$306,A203,'执行日志'!$P$7:$P$306,"有效输入")))))</x:f>
      </x:c>
      <x:c r="O203" s="24" t="str">
        <x:f>IF(A203="","",IF(NOT(ISNUMBER(K203)),"待定预算",IF(NOT(ISNUMBER(M203)),"暂无有效流水",K203-M203)))</x:f>
      </x:c>
      <x:c r="P203" s="24" t="str">
        <x:f>IF(A203="","",IF(NOT(ISNUMBER(L203)),"待定预算",IF(NOT(ISNUMBER(N203)),"暂无有效流水",L203-N203)))</x:f>
      </x:c>
      <x:c r="Q203" s="19" t="str">
        <x:f>IF(A203="","",IF(D203="已结案","已结案",IF(NOT(ISNUMBER(I203)),"待定复盘日",IF(NOT(ISNUMBER($B$3)),"待定评估日",IF(I203&lt;=$B$3,"应复盘","未到期")))))</x:f>
      </x:c>
      <x:c r="R203" s="19" t="str">
        <x:f>IF(A203="","",IF(COUNTIFS($A$7:$A$306,A203)&lt;&gt;1,"问题编号重复",IF(OR(B203="",C203="",D203="",G203="",S203=""),"待补基础信息",IF(AND(F203&lt;&gt;"",COUNTIFS('方案版本'!$A$7:$A$306,F203,'方案版本'!$B$7:$B$306,A203,'方案版本'!$L$7:$L$306,"已冻结")&lt;&gt;1),"当前方案引用无效",IF(AND(D203="执行中",F203=""),"执行缺方案",IF(AND(D203="已结案",OR(T203="",COUNTIFS('复盘记录'!$B$7:$B$306,A203)=0,COUNTIFS('更新日志'!$B$7:$B$306,A203)=0)),"结案资料待补","基础记录齐备"))))))</x:f>
      </x:c>
      <x:c r="S203" s="3"/>
      <x:c r="T203" s="3"/>
    </x:row>
    <x:row r="204" ht="25" customHeight="1">
      <x:c r="A204" s="3"/>
      <x:c r="B204" s="3"/>
      <x:c r="C204" s="3"/>
      <x:c r="D204" s="3"/>
      <x:c r="E204" s="3"/>
      <x:c r="F204" s="3"/>
      <x:c r="G204" s="3"/>
      <x:c r="H204" s="3"/>
      <x:c r="I204" s="20"/>
      <x:c r="J204" s="3"/>
      <x:c r="K204" s="22"/>
      <x:c r="L204" s="22"/>
      <x:c r="M204" s="24" t="str">
        <x:f>IF(A204="","",IF(COUNTIFS('执行日志'!$B$7:$B$306,A204)=0,"",IF(COUNTIFS('执行日志'!$B$7:$B$306,A204,'执行日志'!$L$7:$L$306,"有效",'执行日志'!$P$7:$P$306,"&lt;&gt;有效输入")&gt;0,"待核对",IF(COUNTIFS('执行日志'!$B$7:$B$306,A204,'执行日志'!$P$7:$P$306,"有效输入")=0,"",SUMIFS('执行日志'!$H$7:$H$306,'执行日志'!$B$7:$B$306,A204,'执行日志'!$P$7:$P$306,"有效输入")))))</x:f>
      </x:c>
      <x:c r="N204" s="24" t="str">
        <x:f>IF(A204="","",IF(COUNTIFS('执行日志'!$B$7:$B$306,A204)=0,"",IF(COUNTIFS('执行日志'!$B$7:$B$306,A204,'执行日志'!$L$7:$L$306,"有效",'执行日志'!$P$7:$P$306,"&lt;&gt;有效输入")&gt;0,"待核对",IF(COUNTIFS('执行日志'!$B$7:$B$306,A204,'执行日志'!$P$7:$P$306,"有效输入")=0,"",SUMIFS('执行日志'!$J$7:$J$306,'执行日志'!$B$7:$B$306,A204,'执行日志'!$P$7:$P$306,"有效输入")))))</x:f>
      </x:c>
      <x:c r="O204" s="24" t="str">
        <x:f>IF(A204="","",IF(NOT(ISNUMBER(K204)),"待定预算",IF(NOT(ISNUMBER(M204)),"暂无有效流水",K204-M204)))</x:f>
      </x:c>
      <x:c r="P204" s="24" t="str">
        <x:f>IF(A204="","",IF(NOT(ISNUMBER(L204)),"待定预算",IF(NOT(ISNUMBER(N204)),"暂无有效流水",L204-N204)))</x:f>
      </x:c>
      <x:c r="Q204" s="19" t="str">
        <x:f>IF(A204="","",IF(D204="已结案","已结案",IF(NOT(ISNUMBER(I204)),"待定复盘日",IF(NOT(ISNUMBER($B$3)),"待定评估日",IF(I204&lt;=$B$3,"应复盘","未到期")))))</x:f>
      </x:c>
      <x:c r="R204" s="19" t="str">
        <x:f>IF(A204="","",IF(COUNTIFS($A$7:$A$306,A204)&lt;&gt;1,"问题编号重复",IF(OR(B204="",C204="",D204="",G204="",S204=""),"待补基础信息",IF(AND(F204&lt;&gt;"",COUNTIFS('方案版本'!$A$7:$A$306,F204,'方案版本'!$B$7:$B$306,A204,'方案版本'!$L$7:$L$306,"已冻结")&lt;&gt;1),"当前方案引用无效",IF(AND(D204="执行中",F204=""),"执行缺方案",IF(AND(D204="已结案",OR(T204="",COUNTIFS('复盘记录'!$B$7:$B$306,A204)=0,COUNTIFS('更新日志'!$B$7:$B$306,A204)=0)),"结案资料待补","基础记录齐备"))))))</x:f>
      </x:c>
      <x:c r="S204" s="3"/>
      <x:c r="T204" s="3"/>
    </x:row>
    <x:row r="205" ht="25" customHeight="1">
      <x:c r="A205" s="3"/>
      <x:c r="B205" s="3"/>
      <x:c r="C205" s="3"/>
      <x:c r="D205" s="3"/>
      <x:c r="E205" s="3"/>
      <x:c r="F205" s="3"/>
      <x:c r="G205" s="3"/>
      <x:c r="H205" s="3"/>
      <x:c r="I205" s="20"/>
      <x:c r="J205" s="3"/>
      <x:c r="K205" s="22"/>
      <x:c r="L205" s="22"/>
      <x:c r="M205" s="24" t="str">
        <x:f>IF(A205="","",IF(COUNTIFS('执行日志'!$B$7:$B$306,A205)=0,"",IF(COUNTIFS('执行日志'!$B$7:$B$306,A205,'执行日志'!$L$7:$L$306,"有效",'执行日志'!$P$7:$P$306,"&lt;&gt;有效输入")&gt;0,"待核对",IF(COUNTIFS('执行日志'!$B$7:$B$306,A205,'执行日志'!$P$7:$P$306,"有效输入")=0,"",SUMIFS('执行日志'!$H$7:$H$306,'执行日志'!$B$7:$B$306,A205,'执行日志'!$P$7:$P$306,"有效输入")))))</x:f>
      </x:c>
      <x:c r="N205" s="24" t="str">
        <x:f>IF(A205="","",IF(COUNTIFS('执行日志'!$B$7:$B$306,A205)=0,"",IF(COUNTIFS('执行日志'!$B$7:$B$306,A205,'执行日志'!$L$7:$L$306,"有效",'执行日志'!$P$7:$P$306,"&lt;&gt;有效输入")&gt;0,"待核对",IF(COUNTIFS('执行日志'!$B$7:$B$306,A205,'执行日志'!$P$7:$P$306,"有效输入")=0,"",SUMIFS('执行日志'!$J$7:$J$306,'执行日志'!$B$7:$B$306,A205,'执行日志'!$P$7:$P$306,"有效输入")))))</x:f>
      </x:c>
      <x:c r="O205" s="24" t="str">
        <x:f>IF(A205="","",IF(NOT(ISNUMBER(K205)),"待定预算",IF(NOT(ISNUMBER(M205)),"暂无有效流水",K205-M205)))</x:f>
      </x:c>
      <x:c r="P205" s="24" t="str">
        <x:f>IF(A205="","",IF(NOT(ISNUMBER(L205)),"待定预算",IF(NOT(ISNUMBER(N205)),"暂无有效流水",L205-N205)))</x:f>
      </x:c>
      <x:c r="Q205" s="19" t="str">
        <x:f>IF(A205="","",IF(D205="已结案","已结案",IF(NOT(ISNUMBER(I205)),"待定复盘日",IF(NOT(ISNUMBER($B$3)),"待定评估日",IF(I205&lt;=$B$3,"应复盘","未到期")))))</x:f>
      </x:c>
      <x:c r="R205" s="19" t="str">
        <x:f>IF(A205="","",IF(COUNTIFS($A$7:$A$306,A205)&lt;&gt;1,"问题编号重复",IF(OR(B205="",C205="",D205="",G205="",S205=""),"待补基础信息",IF(AND(F205&lt;&gt;"",COUNTIFS('方案版本'!$A$7:$A$306,F205,'方案版本'!$B$7:$B$306,A205,'方案版本'!$L$7:$L$306,"已冻结")&lt;&gt;1),"当前方案引用无效",IF(AND(D205="执行中",F205=""),"执行缺方案",IF(AND(D205="已结案",OR(T205="",COUNTIFS('复盘记录'!$B$7:$B$306,A205)=0,COUNTIFS('更新日志'!$B$7:$B$306,A205)=0)),"结案资料待补","基础记录齐备"))))))</x:f>
      </x:c>
      <x:c r="S205" s="3"/>
      <x:c r="T205" s="3"/>
    </x:row>
    <x:row r="206" ht="25" customHeight="1">
      <x:c r="A206" s="3"/>
      <x:c r="B206" s="3"/>
      <x:c r="C206" s="3"/>
      <x:c r="D206" s="3"/>
      <x:c r="E206" s="3"/>
      <x:c r="F206" s="3"/>
      <x:c r="G206" s="3"/>
      <x:c r="H206" s="3"/>
      <x:c r="I206" s="20"/>
      <x:c r="J206" s="3"/>
      <x:c r="K206" s="22"/>
      <x:c r="L206" s="22"/>
      <x:c r="M206" s="24" t="str">
        <x:f>IF(A206="","",IF(COUNTIFS('执行日志'!$B$7:$B$306,A206)=0,"",IF(COUNTIFS('执行日志'!$B$7:$B$306,A206,'执行日志'!$L$7:$L$306,"有效",'执行日志'!$P$7:$P$306,"&lt;&gt;有效输入")&gt;0,"待核对",IF(COUNTIFS('执行日志'!$B$7:$B$306,A206,'执行日志'!$P$7:$P$306,"有效输入")=0,"",SUMIFS('执行日志'!$H$7:$H$306,'执行日志'!$B$7:$B$306,A206,'执行日志'!$P$7:$P$306,"有效输入")))))</x:f>
      </x:c>
      <x:c r="N206" s="24" t="str">
        <x:f>IF(A206="","",IF(COUNTIFS('执行日志'!$B$7:$B$306,A206)=0,"",IF(COUNTIFS('执行日志'!$B$7:$B$306,A206,'执行日志'!$L$7:$L$306,"有效",'执行日志'!$P$7:$P$306,"&lt;&gt;有效输入")&gt;0,"待核对",IF(COUNTIFS('执行日志'!$B$7:$B$306,A206,'执行日志'!$P$7:$P$306,"有效输入")=0,"",SUMIFS('执行日志'!$J$7:$J$306,'执行日志'!$B$7:$B$306,A206,'执行日志'!$P$7:$P$306,"有效输入")))))</x:f>
      </x:c>
      <x:c r="O206" s="24" t="str">
        <x:f>IF(A206="","",IF(NOT(ISNUMBER(K206)),"待定预算",IF(NOT(ISNUMBER(M206)),"暂无有效流水",K206-M206)))</x:f>
      </x:c>
      <x:c r="P206" s="24" t="str">
        <x:f>IF(A206="","",IF(NOT(ISNUMBER(L206)),"待定预算",IF(NOT(ISNUMBER(N206)),"暂无有效流水",L206-N206)))</x:f>
      </x:c>
      <x:c r="Q206" s="19" t="str">
        <x:f>IF(A206="","",IF(D206="已结案","已结案",IF(NOT(ISNUMBER(I206)),"待定复盘日",IF(NOT(ISNUMBER($B$3)),"待定评估日",IF(I206&lt;=$B$3,"应复盘","未到期")))))</x:f>
      </x:c>
      <x:c r="R206" s="19" t="str">
        <x:f>IF(A206="","",IF(COUNTIFS($A$7:$A$306,A206)&lt;&gt;1,"问题编号重复",IF(OR(B206="",C206="",D206="",G206="",S206=""),"待补基础信息",IF(AND(F206&lt;&gt;"",COUNTIFS('方案版本'!$A$7:$A$306,F206,'方案版本'!$B$7:$B$306,A206,'方案版本'!$L$7:$L$306,"已冻结")&lt;&gt;1),"当前方案引用无效",IF(AND(D206="执行中",F206=""),"执行缺方案",IF(AND(D206="已结案",OR(T206="",COUNTIFS('复盘记录'!$B$7:$B$306,A206)=0,COUNTIFS('更新日志'!$B$7:$B$306,A206)=0)),"结案资料待补","基础记录齐备"))))))</x:f>
      </x:c>
      <x:c r="S206" s="3"/>
      <x:c r="T206" s="3"/>
    </x:row>
    <x:row r="207" ht="25" customHeight="1">
      <x:c r="A207" s="3"/>
      <x:c r="B207" s="3"/>
      <x:c r="C207" s="3"/>
      <x:c r="D207" s="3"/>
      <x:c r="E207" s="3"/>
      <x:c r="F207" s="3"/>
      <x:c r="G207" s="3"/>
      <x:c r="H207" s="3"/>
      <x:c r="I207" s="20"/>
      <x:c r="J207" s="3"/>
      <x:c r="K207" s="22"/>
      <x:c r="L207" s="22"/>
      <x:c r="M207" s="24" t="str">
        <x:f>IF(A207="","",IF(COUNTIFS('执行日志'!$B$7:$B$306,A207)=0,"",IF(COUNTIFS('执行日志'!$B$7:$B$306,A207,'执行日志'!$L$7:$L$306,"有效",'执行日志'!$P$7:$P$306,"&lt;&gt;有效输入")&gt;0,"待核对",IF(COUNTIFS('执行日志'!$B$7:$B$306,A207,'执行日志'!$P$7:$P$306,"有效输入")=0,"",SUMIFS('执行日志'!$H$7:$H$306,'执行日志'!$B$7:$B$306,A207,'执行日志'!$P$7:$P$306,"有效输入")))))</x:f>
      </x:c>
      <x:c r="N207" s="24" t="str">
        <x:f>IF(A207="","",IF(COUNTIFS('执行日志'!$B$7:$B$306,A207)=0,"",IF(COUNTIFS('执行日志'!$B$7:$B$306,A207,'执行日志'!$L$7:$L$306,"有效",'执行日志'!$P$7:$P$306,"&lt;&gt;有效输入")&gt;0,"待核对",IF(COUNTIFS('执行日志'!$B$7:$B$306,A207,'执行日志'!$P$7:$P$306,"有效输入")=0,"",SUMIFS('执行日志'!$J$7:$J$306,'执行日志'!$B$7:$B$306,A207,'执行日志'!$P$7:$P$306,"有效输入")))))</x:f>
      </x:c>
      <x:c r="O207" s="24" t="str">
        <x:f>IF(A207="","",IF(NOT(ISNUMBER(K207)),"待定预算",IF(NOT(ISNUMBER(M207)),"暂无有效流水",K207-M207)))</x:f>
      </x:c>
      <x:c r="P207" s="24" t="str">
        <x:f>IF(A207="","",IF(NOT(ISNUMBER(L207)),"待定预算",IF(NOT(ISNUMBER(N207)),"暂无有效流水",L207-N207)))</x:f>
      </x:c>
      <x:c r="Q207" s="19" t="str">
        <x:f>IF(A207="","",IF(D207="已结案","已结案",IF(NOT(ISNUMBER(I207)),"待定复盘日",IF(NOT(ISNUMBER($B$3)),"待定评估日",IF(I207&lt;=$B$3,"应复盘","未到期")))))</x:f>
      </x:c>
      <x:c r="R207" s="19" t="str">
        <x:f>IF(A207="","",IF(COUNTIFS($A$7:$A$306,A207)&lt;&gt;1,"问题编号重复",IF(OR(B207="",C207="",D207="",G207="",S207=""),"待补基础信息",IF(AND(F207&lt;&gt;"",COUNTIFS('方案版本'!$A$7:$A$306,F207,'方案版本'!$B$7:$B$306,A207,'方案版本'!$L$7:$L$306,"已冻结")&lt;&gt;1),"当前方案引用无效",IF(AND(D207="执行中",F207=""),"执行缺方案",IF(AND(D207="已结案",OR(T207="",COUNTIFS('复盘记录'!$B$7:$B$306,A207)=0,COUNTIFS('更新日志'!$B$7:$B$306,A207)=0)),"结案资料待补","基础记录齐备"))))))</x:f>
      </x:c>
      <x:c r="S207" s="3"/>
      <x:c r="T207" s="3"/>
    </x:row>
    <x:row r="208" ht="25" customHeight="1">
      <x:c r="A208" s="3"/>
      <x:c r="B208" s="3"/>
      <x:c r="C208" s="3"/>
      <x:c r="D208" s="3"/>
      <x:c r="E208" s="3"/>
      <x:c r="F208" s="3"/>
      <x:c r="G208" s="3"/>
      <x:c r="H208" s="3"/>
      <x:c r="I208" s="20"/>
      <x:c r="J208" s="3"/>
      <x:c r="K208" s="22"/>
      <x:c r="L208" s="22"/>
      <x:c r="M208" s="24" t="str">
        <x:f>IF(A208="","",IF(COUNTIFS('执行日志'!$B$7:$B$306,A208)=0,"",IF(COUNTIFS('执行日志'!$B$7:$B$306,A208,'执行日志'!$L$7:$L$306,"有效",'执行日志'!$P$7:$P$306,"&lt;&gt;有效输入")&gt;0,"待核对",IF(COUNTIFS('执行日志'!$B$7:$B$306,A208,'执行日志'!$P$7:$P$306,"有效输入")=0,"",SUMIFS('执行日志'!$H$7:$H$306,'执行日志'!$B$7:$B$306,A208,'执行日志'!$P$7:$P$306,"有效输入")))))</x:f>
      </x:c>
      <x:c r="N208" s="24" t="str">
        <x:f>IF(A208="","",IF(COUNTIFS('执行日志'!$B$7:$B$306,A208)=0,"",IF(COUNTIFS('执行日志'!$B$7:$B$306,A208,'执行日志'!$L$7:$L$306,"有效",'执行日志'!$P$7:$P$306,"&lt;&gt;有效输入")&gt;0,"待核对",IF(COUNTIFS('执行日志'!$B$7:$B$306,A208,'执行日志'!$P$7:$P$306,"有效输入")=0,"",SUMIFS('执行日志'!$J$7:$J$306,'执行日志'!$B$7:$B$306,A208,'执行日志'!$P$7:$P$306,"有效输入")))))</x:f>
      </x:c>
      <x:c r="O208" s="24" t="str">
        <x:f>IF(A208="","",IF(NOT(ISNUMBER(K208)),"待定预算",IF(NOT(ISNUMBER(M208)),"暂无有效流水",K208-M208)))</x:f>
      </x:c>
      <x:c r="P208" s="24" t="str">
        <x:f>IF(A208="","",IF(NOT(ISNUMBER(L208)),"待定预算",IF(NOT(ISNUMBER(N208)),"暂无有效流水",L208-N208)))</x:f>
      </x:c>
      <x:c r="Q208" s="19" t="str">
        <x:f>IF(A208="","",IF(D208="已结案","已结案",IF(NOT(ISNUMBER(I208)),"待定复盘日",IF(NOT(ISNUMBER($B$3)),"待定评估日",IF(I208&lt;=$B$3,"应复盘","未到期")))))</x:f>
      </x:c>
      <x:c r="R208" s="19" t="str">
        <x:f>IF(A208="","",IF(COUNTIFS($A$7:$A$306,A208)&lt;&gt;1,"问题编号重复",IF(OR(B208="",C208="",D208="",G208="",S208=""),"待补基础信息",IF(AND(F208&lt;&gt;"",COUNTIFS('方案版本'!$A$7:$A$306,F208,'方案版本'!$B$7:$B$306,A208,'方案版本'!$L$7:$L$306,"已冻结")&lt;&gt;1),"当前方案引用无效",IF(AND(D208="执行中",F208=""),"执行缺方案",IF(AND(D208="已结案",OR(T208="",COUNTIFS('复盘记录'!$B$7:$B$306,A208)=0,COUNTIFS('更新日志'!$B$7:$B$306,A208)=0)),"结案资料待补","基础记录齐备"))))))</x:f>
      </x:c>
      <x:c r="S208" s="3"/>
      <x:c r="T208" s="3"/>
    </x:row>
    <x:row r="209" ht="25" customHeight="1">
      <x:c r="A209" s="3"/>
      <x:c r="B209" s="3"/>
      <x:c r="C209" s="3"/>
      <x:c r="D209" s="3"/>
      <x:c r="E209" s="3"/>
      <x:c r="F209" s="3"/>
      <x:c r="G209" s="3"/>
      <x:c r="H209" s="3"/>
      <x:c r="I209" s="20"/>
      <x:c r="J209" s="3"/>
      <x:c r="K209" s="22"/>
      <x:c r="L209" s="22"/>
      <x:c r="M209" s="24" t="str">
        <x:f>IF(A209="","",IF(COUNTIFS('执行日志'!$B$7:$B$306,A209)=0,"",IF(COUNTIFS('执行日志'!$B$7:$B$306,A209,'执行日志'!$L$7:$L$306,"有效",'执行日志'!$P$7:$P$306,"&lt;&gt;有效输入")&gt;0,"待核对",IF(COUNTIFS('执行日志'!$B$7:$B$306,A209,'执行日志'!$P$7:$P$306,"有效输入")=0,"",SUMIFS('执行日志'!$H$7:$H$306,'执行日志'!$B$7:$B$306,A209,'执行日志'!$P$7:$P$306,"有效输入")))))</x:f>
      </x:c>
      <x:c r="N209" s="24" t="str">
        <x:f>IF(A209="","",IF(COUNTIFS('执行日志'!$B$7:$B$306,A209)=0,"",IF(COUNTIFS('执行日志'!$B$7:$B$306,A209,'执行日志'!$L$7:$L$306,"有效",'执行日志'!$P$7:$P$306,"&lt;&gt;有效输入")&gt;0,"待核对",IF(COUNTIFS('执行日志'!$B$7:$B$306,A209,'执行日志'!$P$7:$P$306,"有效输入")=0,"",SUMIFS('执行日志'!$J$7:$J$306,'执行日志'!$B$7:$B$306,A209,'执行日志'!$P$7:$P$306,"有效输入")))))</x:f>
      </x:c>
      <x:c r="O209" s="24" t="str">
        <x:f>IF(A209="","",IF(NOT(ISNUMBER(K209)),"待定预算",IF(NOT(ISNUMBER(M209)),"暂无有效流水",K209-M209)))</x:f>
      </x:c>
      <x:c r="P209" s="24" t="str">
        <x:f>IF(A209="","",IF(NOT(ISNUMBER(L209)),"待定预算",IF(NOT(ISNUMBER(N209)),"暂无有效流水",L209-N209)))</x:f>
      </x:c>
      <x:c r="Q209" s="19" t="str">
        <x:f>IF(A209="","",IF(D209="已结案","已结案",IF(NOT(ISNUMBER(I209)),"待定复盘日",IF(NOT(ISNUMBER($B$3)),"待定评估日",IF(I209&lt;=$B$3,"应复盘","未到期")))))</x:f>
      </x:c>
      <x:c r="R209" s="19" t="str">
        <x:f>IF(A209="","",IF(COUNTIFS($A$7:$A$306,A209)&lt;&gt;1,"问题编号重复",IF(OR(B209="",C209="",D209="",G209="",S209=""),"待补基础信息",IF(AND(F209&lt;&gt;"",COUNTIFS('方案版本'!$A$7:$A$306,F209,'方案版本'!$B$7:$B$306,A209,'方案版本'!$L$7:$L$306,"已冻结")&lt;&gt;1),"当前方案引用无效",IF(AND(D209="执行中",F209=""),"执行缺方案",IF(AND(D209="已结案",OR(T209="",COUNTIFS('复盘记录'!$B$7:$B$306,A209)=0,COUNTIFS('更新日志'!$B$7:$B$306,A209)=0)),"结案资料待补","基础记录齐备"))))))</x:f>
      </x:c>
      <x:c r="S209" s="3"/>
      <x:c r="T209" s="3"/>
    </x:row>
    <x:row r="210" ht="25" customHeight="1">
      <x:c r="A210" s="3"/>
      <x:c r="B210" s="3"/>
      <x:c r="C210" s="3"/>
      <x:c r="D210" s="3"/>
      <x:c r="E210" s="3"/>
      <x:c r="F210" s="3"/>
      <x:c r="G210" s="3"/>
      <x:c r="H210" s="3"/>
      <x:c r="I210" s="20"/>
      <x:c r="J210" s="3"/>
      <x:c r="K210" s="22"/>
      <x:c r="L210" s="22"/>
      <x:c r="M210" s="24" t="str">
        <x:f>IF(A210="","",IF(COUNTIFS('执行日志'!$B$7:$B$306,A210)=0,"",IF(COUNTIFS('执行日志'!$B$7:$B$306,A210,'执行日志'!$L$7:$L$306,"有效",'执行日志'!$P$7:$P$306,"&lt;&gt;有效输入")&gt;0,"待核对",IF(COUNTIFS('执行日志'!$B$7:$B$306,A210,'执行日志'!$P$7:$P$306,"有效输入")=0,"",SUMIFS('执行日志'!$H$7:$H$306,'执行日志'!$B$7:$B$306,A210,'执行日志'!$P$7:$P$306,"有效输入")))))</x:f>
      </x:c>
      <x:c r="N210" s="24" t="str">
        <x:f>IF(A210="","",IF(COUNTIFS('执行日志'!$B$7:$B$306,A210)=0,"",IF(COUNTIFS('执行日志'!$B$7:$B$306,A210,'执行日志'!$L$7:$L$306,"有效",'执行日志'!$P$7:$P$306,"&lt;&gt;有效输入")&gt;0,"待核对",IF(COUNTIFS('执行日志'!$B$7:$B$306,A210,'执行日志'!$P$7:$P$306,"有效输入")=0,"",SUMIFS('执行日志'!$J$7:$J$306,'执行日志'!$B$7:$B$306,A210,'执行日志'!$P$7:$P$306,"有效输入")))))</x:f>
      </x:c>
      <x:c r="O210" s="24" t="str">
        <x:f>IF(A210="","",IF(NOT(ISNUMBER(K210)),"待定预算",IF(NOT(ISNUMBER(M210)),"暂无有效流水",K210-M210)))</x:f>
      </x:c>
      <x:c r="P210" s="24" t="str">
        <x:f>IF(A210="","",IF(NOT(ISNUMBER(L210)),"待定预算",IF(NOT(ISNUMBER(N210)),"暂无有效流水",L210-N210)))</x:f>
      </x:c>
      <x:c r="Q210" s="19" t="str">
        <x:f>IF(A210="","",IF(D210="已结案","已结案",IF(NOT(ISNUMBER(I210)),"待定复盘日",IF(NOT(ISNUMBER($B$3)),"待定评估日",IF(I210&lt;=$B$3,"应复盘","未到期")))))</x:f>
      </x:c>
      <x:c r="R210" s="19" t="str">
        <x:f>IF(A210="","",IF(COUNTIFS($A$7:$A$306,A210)&lt;&gt;1,"问题编号重复",IF(OR(B210="",C210="",D210="",G210="",S210=""),"待补基础信息",IF(AND(F210&lt;&gt;"",COUNTIFS('方案版本'!$A$7:$A$306,F210,'方案版本'!$B$7:$B$306,A210,'方案版本'!$L$7:$L$306,"已冻结")&lt;&gt;1),"当前方案引用无效",IF(AND(D210="执行中",F210=""),"执行缺方案",IF(AND(D210="已结案",OR(T210="",COUNTIFS('复盘记录'!$B$7:$B$306,A210)=0,COUNTIFS('更新日志'!$B$7:$B$306,A210)=0)),"结案资料待补","基础记录齐备"))))))</x:f>
      </x:c>
      <x:c r="S210" s="3"/>
      <x:c r="T210" s="3"/>
    </x:row>
    <x:row r="211" ht="25" customHeight="1">
      <x:c r="A211" s="3"/>
      <x:c r="B211" s="3"/>
      <x:c r="C211" s="3"/>
      <x:c r="D211" s="3"/>
      <x:c r="E211" s="3"/>
      <x:c r="F211" s="3"/>
      <x:c r="G211" s="3"/>
      <x:c r="H211" s="3"/>
      <x:c r="I211" s="20"/>
      <x:c r="J211" s="3"/>
      <x:c r="K211" s="22"/>
      <x:c r="L211" s="22"/>
      <x:c r="M211" s="24" t="str">
        <x:f>IF(A211="","",IF(COUNTIFS('执行日志'!$B$7:$B$306,A211)=0,"",IF(COUNTIFS('执行日志'!$B$7:$B$306,A211,'执行日志'!$L$7:$L$306,"有效",'执行日志'!$P$7:$P$306,"&lt;&gt;有效输入")&gt;0,"待核对",IF(COUNTIFS('执行日志'!$B$7:$B$306,A211,'执行日志'!$P$7:$P$306,"有效输入")=0,"",SUMIFS('执行日志'!$H$7:$H$306,'执行日志'!$B$7:$B$306,A211,'执行日志'!$P$7:$P$306,"有效输入")))))</x:f>
      </x:c>
      <x:c r="N211" s="24" t="str">
        <x:f>IF(A211="","",IF(COUNTIFS('执行日志'!$B$7:$B$306,A211)=0,"",IF(COUNTIFS('执行日志'!$B$7:$B$306,A211,'执行日志'!$L$7:$L$306,"有效",'执行日志'!$P$7:$P$306,"&lt;&gt;有效输入")&gt;0,"待核对",IF(COUNTIFS('执行日志'!$B$7:$B$306,A211,'执行日志'!$P$7:$P$306,"有效输入")=0,"",SUMIFS('执行日志'!$J$7:$J$306,'执行日志'!$B$7:$B$306,A211,'执行日志'!$P$7:$P$306,"有效输入")))))</x:f>
      </x:c>
      <x:c r="O211" s="24" t="str">
        <x:f>IF(A211="","",IF(NOT(ISNUMBER(K211)),"待定预算",IF(NOT(ISNUMBER(M211)),"暂无有效流水",K211-M211)))</x:f>
      </x:c>
      <x:c r="P211" s="24" t="str">
        <x:f>IF(A211="","",IF(NOT(ISNUMBER(L211)),"待定预算",IF(NOT(ISNUMBER(N211)),"暂无有效流水",L211-N211)))</x:f>
      </x:c>
      <x:c r="Q211" s="19" t="str">
        <x:f>IF(A211="","",IF(D211="已结案","已结案",IF(NOT(ISNUMBER(I211)),"待定复盘日",IF(NOT(ISNUMBER($B$3)),"待定评估日",IF(I211&lt;=$B$3,"应复盘","未到期")))))</x:f>
      </x:c>
      <x:c r="R211" s="19" t="str">
        <x:f>IF(A211="","",IF(COUNTIFS($A$7:$A$306,A211)&lt;&gt;1,"问题编号重复",IF(OR(B211="",C211="",D211="",G211="",S211=""),"待补基础信息",IF(AND(F211&lt;&gt;"",COUNTIFS('方案版本'!$A$7:$A$306,F211,'方案版本'!$B$7:$B$306,A211,'方案版本'!$L$7:$L$306,"已冻结")&lt;&gt;1),"当前方案引用无效",IF(AND(D211="执行中",F211=""),"执行缺方案",IF(AND(D211="已结案",OR(T211="",COUNTIFS('复盘记录'!$B$7:$B$306,A211)=0,COUNTIFS('更新日志'!$B$7:$B$306,A211)=0)),"结案资料待补","基础记录齐备"))))))</x:f>
      </x:c>
      <x:c r="S211" s="3"/>
      <x:c r="T211" s="3"/>
    </x:row>
    <x:row r="212" ht="25" customHeight="1">
      <x:c r="A212" s="3"/>
      <x:c r="B212" s="3"/>
      <x:c r="C212" s="3"/>
      <x:c r="D212" s="3"/>
      <x:c r="E212" s="3"/>
      <x:c r="F212" s="3"/>
      <x:c r="G212" s="3"/>
      <x:c r="H212" s="3"/>
      <x:c r="I212" s="20"/>
      <x:c r="J212" s="3"/>
      <x:c r="K212" s="22"/>
      <x:c r="L212" s="22"/>
      <x:c r="M212" s="24" t="str">
        <x:f>IF(A212="","",IF(COUNTIFS('执行日志'!$B$7:$B$306,A212)=0,"",IF(COUNTIFS('执行日志'!$B$7:$B$306,A212,'执行日志'!$L$7:$L$306,"有效",'执行日志'!$P$7:$P$306,"&lt;&gt;有效输入")&gt;0,"待核对",IF(COUNTIFS('执行日志'!$B$7:$B$306,A212,'执行日志'!$P$7:$P$306,"有效输入")=0,"",SUMIFS('执行日志'!$H$7:$H$306,'执行日志'!$B$7:$B$306,A212,'执行日志'!$P$7:$P$306,"有效输入")))))</x:f>
      </x:c>
      <x:c r="N212" s="24" t="str">
        <x:f>IF(A212="","",IF(COUNTIFS('执行日志'!$B$7:$B$306,A212)=0,"",IF(COUNTIFS('执行日志'!$B$7:$B$306,A212,'执行日志'!$L$7:$L$306,"有效",'执行日志'!$P$7:$P$306,"&lt;&gt;有效输入")&gt;0,"待核对",IF(COUNTIFS('执行日志'!$B$7:$B$306,A212,'执行日志'!$P$7:$P$306,"有效输入")=0,"",SUMIFS('执行日志'!$J$7:$J$306,'执行日志'!$B$7:$B$306,A212,'执行日志'!$P$7:$P$306,"有效输入")))))</x:f>
      </x:c>
      <x:c r="O212" s="24" t="str">
        <x:f>IF(A212="","",IF(NOT(ISNUMBER(K212)),"待定预算",IF(NOT(ISNUMBER(M212)),"暂无有效流水",K212-M212)))</x:f>
      </x:c>
      <x:c r="P212" s="24" t="str">
        <x:f>IF(A212="","",IF(NOT(ISNUMBER(L212)),"待定预算",IF(NOT(ISNUMBER(N212)),"暂无有效流水",L212-N212)))</x:f>
      </x:c>
      <x:c r="Q212" s="19" t="str">
        <x:f>IF(A212="","",IF(D212="已结案","已结案",IF(NOT(ISNUMBER(I212)),"待定复盘日",IF(NOT(ISNUMBER($B$3)),"待定评估日",IF(I212&lt;=$B$3,"应复盘","未到期")))))</x:f>
      </x:c>
      <x:c r="R212" s="19" t="str">
        <x:f>IF(A212="","",IF(COUNTIFS($A$7:$A$306,A212)&lt;&gt;1,"问题编号重复",IF(OR(B212="",C212="",D212="",G212="",S212=""),"待补基础信息",IF(AND(F212&lt;&gt;"",COUNTIFS('方案版本'!$A$7:$A$306,F212,'方案版本'!$B$7:$B$306,A212,'方案版本'!$L$7:$L$306,"已冻结")&lt;&gt;1),"当前方案引用无效",IF(AND(D212="执行中",F212=""),"执行缺方案",IF(AND(D212="已结案",OR(T212="",COUNTIFS('复盘记录'!$B$7:$B$306,A212)=0,COUNTIFS('更新日志'!$B$7:$B$306,A212)=0)),"结案资料待补","基础记录齐备"))))))</x:f>
      </x:c>
      <x:c r="S212" s="3"/>
      <x:c r="T212" s="3"/>
    </x:row>
    <x:row r="213" ht="25" customHeight="1">
      <x:c r="A213" s="3"/>
      <x:c r="B213" s="3"/>
      <x:c r="C213" s="3"/>
      <x:c r="D213" s="3"/>
      <x:c r="E213" s="3"/>
      <x:c r="F213" s="3"/>
      <x:c r="G213" s="3"/>
      <x:c r="H213" s="3"/>
      <x:c r="I213" s="20"/>
      <x:c r="J213" s="3"/>
      <x:c r="K213" s="22"/>
      <x:c r="L213" s="22"/>
      <x:c r="M213" s="24" t="str">
        <x:f>IF(A213="","",IF(COUNTIFS('执行日志'!$B$7:$B$306,A213)=0,"",IF(COUNTIFS('执行日志'!$B$7:$B$306,A213,'执行日志'!$L$7:$L$306,"有效",'执行日志'!$P$7:$P$306,"&lt;&gt;有效输入")&gt;0,"待核对",IF(COUNTIFS('执行日志'!$B$7:$B$306,A213,'执行日志'!$P$7:$P$306,"有效输入")=0,"",SUMIFS('执行日志'!$H$7:$H$306,'执行日志'!$B$7:$B$306,A213,'执行日志'!$P$7:$P$306,"有效输入")))))</x:f>
      </x:c>
      <x:c r="N213" s="24" t="str">
        <x:f>IF(A213="","",IF(COUNTIFS('执行日志'!$B$7:$B$306,A213)=0,"",IF(COUNTIFS('执行日志'!$B$7:$B$306,A213,'执行日志'!$L$7:$L$306,"有效",'执行日志'!$P$7:$P$306,"&lt;&gt;有效输入")&gt;0,"待核对",IF(COUNTIFS('执行日志'!$B$7:$B$306,A213,'执行日志'!$P$7:$P$306,"有效输入")=0,"",SUMIFS('执行日志'!$J$7:$J$306,'执行日志'!$B$7:$B$306,A213,'执行日志'!$P$7:$P$306,"有效输入")))))</x:f>
      </x:c>
      <x:c r="O213" s="24" t="str">
        <x:f>IF(A213="","",IF(NOT(ISNUMBER(K213)),"待定预算",IF(NOT(ISNUMBER(M213)),"暂无有效流水",K213-M213)))</x:f>
      </x:c>
      <x:c r="P213" s="24" t="str">
        <x:f>IF(A213="","",IF(NOT(ISNUMBER(L213)),"待定预算",IF(NOT(ISNUMBER(N213)),"暂无有效流水",L213-N213)))</x:f>
      </x:c>
      <x:c r="Q213" s="19" t="str">
        <x:f>IF(A213="","",IF(D213="已结案","已结案",IF(NOT(ISNUMBER(I213)),"待定复盘日",IF(NOT(ISNUMBER($B$3)),"待定评估日",IF(I213&lt;=$B$3,"应复盘","未到期")))))</x:f>
      </x:c>
      <x:c r="R213" s="19" t="str">
        <x:f>IF(A213="","",IF(COUNTIFS($A$7:$A$306,A213)&lt;&gt;1,"问题编号重复",IF(OR(B213="",C213="",D213="",G213="",S213=""),"待补基础信息",IF(AND(F213&lt;&gt;"",COUNTIFS('方案版本'!$A$7:$A$306,F213,'方案版本'!$B$7:$B$306,A213,'方案版本'!$L$7:$L$306,"已冻结")&lt;&gt;1),"当前方案引用无效",IF(AND(D213="执行中",F213=""),"执行缺方案",IF(AND(D213="已结案",OR(T213="",COUNTIFS('复盘记录'!$B$7:$B$306,A213)=0,COUNTIFS('更新日志'!$B$7:$B$306,A213)=0)),"结案资料待补","基础记录齐备"))))))</x:f>
      </x:c>
      <x:c r="S213" s="3"/>
      <x:c r="T213" s="3"/>
    </x:row>
    <x:row r="214" ht="25" customHeight="1">
      <x:c r="A214" s="3"/>
      <x:c r="B214" s="3"/>
      <x:c r="C214" s="3"/>
      <x:c r="D214" s="3"/>
      <x:c r="E214" s="3"/>
      <x:c r="F214" s="3"/>
      <x:c r="G214" s="3"/>
      <x:c r="H214" s="3"/>
      <x:c r="I214" s="20"/>
      <x:c r="J214" s="3"/>
      <x:c r="K214" s="22"/>
      <x:c r="L214" s="22"/>
      <x:c r="M214" s="24" t="str">
        <x:f>IF(A214="","",IF(COUNTIFS('执行日志'!$B$7:$B$306,A214)=0,"",IF(COUNTIFS('执行日志'!$B$7:$B$306,A214,'执行日志'!$L$7:$L$306,"有效",'执行日志'!$P$7:$P$306,"&lt;&gt;有效输入")&gt;0,"待核对",IF(COUNTIFS('执行日志'!$B$7:$B$306,A214,'执行日志'!$P$7:$P$306,"有效输入")=0,"",SUMIFS('执行日志'!$H$7:$H$306,'执行日志'!$B$7:$B$306,A214,'执行日志'!$P$7:$P$306,"有效输入")))))</x:f>
      </x:c>
      <x:c r="N214" s="24" t="str">
        <x:f>IF(A214="","",IF(COUNTIFS('执行日志'!$B$7:$B$306,A214)=0,"",IF(COUNTIFS('执行日志'!$B$7:$B$306,A214,'执行日志'!$L$7:$L$306,"有效",'执行日志'!$P$7:$P$306,"&lt;&gt;有效输入")&gt;0,"待核对",IF(COUNTIFS('执行日志'!$B$7:$B$306,A214,'执行日志'!$P$7:$P$306,"有效输入")=0,"",SUMIFS('执行日志'!$J$7:$J$306,'执行日志'!$B$7:$B$306,A214,'执行日志'!$P$7:$P$306,"有效输入")))))</x:f>
      </x:c>
      <x:c r="O214" s="24" t="str">
        <x:f>IF(A214="","",IF(NOT(ISNUMBER(K214)),"待定预算",IF(NOT(ISNUMBER(M214)),"暂无有效流水",K214-M214)))</x:f>
      </x:c>
      <x:c r="P214" s="24" t="str">
        <x:f>IF(A214="","",IF(NOT(ISNUMBER(L214)),"待定预算",IF(NOT(ISNUMBER(N214)),"暂无有效流水",L214-N214)))</x:f>
      </x:c>
      <x:c r="Q214" s="19" t="str">
        <x:f>IF(A214="","",IF(D214="已结案","已结案",IF(NOT(ISNUMBER(I214)),"待定复盘日",IF(NOT(ISNUMBER($B$3)),"待定评估日",IF(I214&lt;=$B$3,"应复盘","未到期")))))</x:f>
      </x:c>
      <x:c r="R214" s="19" t="str">
        <x:f>IF(A214="","",IF(COUNTIFS($A$7:$A$306,A214)&lt;&gt;1,"问题编号重复",IF(OR(B214="",C214="",D214="",G214="",S214=""),"待补基础信息",IF(AND(F214&lt;&gt;"",COUNTIFS('方案版本'!$A$7:$A$306,F214,'方案版本'!$B$7:$B$306,A214,'方案版本'!$L$7:$L$306,"已冻结")&lt;&gt;1),"当前方案引用无效",IF(AND(D214="执行中",F214=""),"执行缺方案",IF(AND(D214="已结案",OR(T214="",COUNTIFS('复盘记录'!$B$7:$B$306,A214)=0,COUNTIFS('更新日志'!$B$7:$B$306,A214)=0)),"结案资料待补","基础记录齐备"))))))</x:f>
      </x:c>
      <x:c r="S214" s="3"/>
      <x:c r="T214" s="3"/>
    </x:row>
    <x:row r="215" ht="25" customHeight="1">
      <x:c r="A215" s="3"/>
      <x:c r="B215" s="3"/>
      <x:c r="C215" s="3"/>
      <x:c r="D215" s="3"/>
      <x:c r="E215" s="3"/>
      <x:c r="F215" s="3"/>
      <x:c r="G215" s="3"/>
      <x:c r="H215" s="3"/>
      <x:c r="I215" s="20"/>
      <x:c r="J215" s="3"/>
      <x:c r="K215" s="22"/>
      <x:c r="L215" s="22"/>
      <x:c r="M215" s="24" t="str">
        <x:f>IF(A215="","",IF(COUNTIFS('执行日志'!$B$7:$B$306,A215)=0,"",IF(COUNTIFS('执行日志'!$B$7:$B$306,A215,'执行日志'!$L$7:$L$306,"有效",'执行日志'!$P$7:$P$306,"&lt;&gt;有效输入")&gt;0,"待核对",IF(COUNTIFS('执行日志'!$B$7:$B$306,A215,'执行日志'!$P$7:$P$306,"有效输入")=0,"",SUMIFS('执行日志'!$H$7:$H$306,'执行日志'!$B$7:$B$306,A215,'执行日志'!$P$7:$P$306,"有效输入")))))</x:f>
      </x:c>
      <x:c r="N215" s="24" t="str">
        <x:f>IF(A215="","",IF(COUNTIFS('执行日志'!$B$7:$B$306,A215)=0,"",IF(COUNTIFS('执行日志'!$B$7:$B$306,A215,'执行日志'!$L$7:$L$306,"有效",'执行日志'!$P$7:$P$306,"&lt;&gt;有效输入")&gt;0,"待核对",IF(COUNTIFS('执行日志'!$B$7:$B$306,A215,'执行日志'!$P$7:$P$306,"有效输入")=0,"",SUMIFS('执行日志'!$J$7:$J$306,'执行日志'!$B$7:$B$306,A215,'执行日志'!$P$7:$P$306,"有效输入")))))</x:f>
      </x:c>
      <x:c r="O215" s="24" t="str">
        <x:f>IF(A215="","",IF(NOT(ISNUMBER(K215)),"待定预算",IF(NOT(ISNUMBER(M215)),"暂无有效流水",K215-M215)))</x:f>
      </x:c>
      <x:c r="P215" s="24" t="str">
        <x:f>IF(A215="","",IF(NOT(ISNUMBER(L215)),"待定预算",IF(NOT(ISNUMBER(N215)),"暂无有效流水",L215-N215)))</x:f>
      </x:c>
      <x:c r="Q215" s="19" t="str">
        <x:f>IF(A215="","",IF(D215="已结案","已结案",IF(NOT(ISNUMBER(I215)),"待定复盘日",IF(NOT(ISNUMBER($B$3)),"待定评估日",IF(I215&lt;=$B$3,"应复盘","未到期")))))</x:f>
      </x:c>
      <x:c r="R215" s="19" t="str">
        <x:f>IF(A215="","",IF(COUNTIFS($A$7:$A$306,A215)&lt;&gt;1,"问题编号重复",IF(OR(B215="",C215="",D215="",G215="",S215=""),"待补基础信息",IF(AND(F215&lt;&gt;"",COUNTIFS('方案版本'!$A$7:$A$306,F215,'方案版本'!$B$7:$B$306,A215,'方案版本'!$L$7:$L$306,"已冻结")&lt;&gt;1),"当前方案引用无效",IF(AND(D215="执行中",F215=""),"执行缺方案",IF(AND(D215="已结案",OR(T215="",COUNTIFS('复盘记录'!$B$7:$B$306,A215)=0,COUNTIFS('更新日志'!$B$7:$B$306,A215)=0)),"结案资料待补","基础记录齐备"))))))</x:f>
      </x:c>
      <x:c r="S215" s="3"/>
      <x:c r="T215" s="3"/>
    </x:row>
    <x:row r="216" ht="25" customHeight="1">
      <x:c r="A216" s="3"/>
      <x:c r="B216" s="3"/>
      <x:c r="C216" s="3"/>
      <x:c r="D216" s="3"/>
      <x:c r="E216" s="3"/>
      <x:c r="F216" s="3"/>
      <x:c r="G216" s="3"/>
      <x:c r="H216" s="3"/>
      <x:c r="I216" s="20"/>
      <x:c r="J216" s="3"/>
      <x:c r="K216" s="22"/>
      <x:c r="L216" s="22"/>
      <x:c r="M216" s="24" t="str">
        <x:f>IF(A216="","",IF(COUNTIFS('执行日志'!$B$7:$B$306,A216)=0,"",IF(COUNTIFS('执行日志'!$B$7:$B$306,A216,'执行日志'!$L$7:$L$306,"有效",'执行日志'!$P$7:$P$306,"&lt;&gt;有效输入")&gt;0,"待核对",IF(COUNTIFS('执行日志'!$B$7:$B$306,A216,'执行日志'!$P$7:$P$306,"有效输入")=0,"",SUMIFS('执行日志'!$H$7:$H$306,'执行日志'!$B$7:$B$306,A216,'执行日志'!$P$7:$P$306,"有效输入")))))</x:f>
      </x:c>
      <x:c r="N216" s="24" t="str">
        <x:f>IF(A216="","",IF(COUNTIFS('执行日志'!$B$7:$B$306,A216)=0,"",IF(COUNTIFS('执行日志'!$B$7:$B$306,A216,'执行日志'!$L$7:$L$306,"有效",'执行日志'!$P$7:$P$306,"&lt;&gt;有效输入")&gt;0,"待核对",IF(COUNTIFS('执行日志'!$B$7:$B$306,A216,'执行日志'!$P$7:$P$306,"有效输入")=0,"",SUMIFS('执行日志'!$J$7:$J$306,'执行日志'!$B$7:$B$306,A216,'执行日志'!$P$7:$P$306,"有效输入")))))</x:f>
      </x:c>
      <x:c r="O216" s="24" t="str">
        <x:f>IF(A216="","",IF(NOT(ISNUMBER(K216)),"待定预算",IF(NOT(ISNUMBER(M216)),"暂无有效流水",K216-M216)))</x:f>
      </x:c>
      <x:c r="P216" s="24" t="str">
        <x:f>IF(A216="","",IF(NOT(ISNUMBER(L216)),"待定预算",IF(NOT(ISNUMBER(N216)),"暂无有效流水",L216-N216)))</x:f>
      </x:c>
      <x:c r="Q216" s="19" t="str">
        <x:f>IF(A216="","",IF(D216="已结案","已结案",IF(NOT(ISNUMBER(I216)),"待定复盘日",IF(NOT(ISNUMBER($B$3)),"待定评估日",IF(I216&lt;=$B$3,"应复盘","未到期")))))</x:f>
      </x:c>
      <x:c r="R216" s="19" t="str">
        <x:f>IF(A216="","",IF(COUNTIFS($A$7:$A$306,A216)&lt;&gt;1,"问题编号重复",IF(OR(B216="",C216="",D216="",G216="",S216=""),"待补基础信息",IF(AND(F216&lt;&gt;"",COUNTIFS('方案版本'!$A$7:$A$306,F216,'方案版本'!$B$7:$B$306,A216,'方案版本'!$L$7:$L$306,"已冻结")&lt;&gt;1),"当前方案引用无效",IF(AND(D216="执行中",F216=""),"执行缺方案",IF(AND(D216="已结案",OR(T216="",COUNTIFS('复盘记录'!$B$7:$B$306,A216)=0,COUNTIFS('更新日志'!$B$7:$B$306,A216)=0)),"结案资料待补","基础记录齐备"))))))</x:f>
      </x:c>
      <x:c r="S216" s="3"/>
      <x:c r="T216" s="3"/>
    </x:row>
    <x:row r="217" ht="25" customHeight="1">
      <x:c r="A217" s="3"/>
      <x:c r="B217" s="3"/>
      <x:c r="C217" s="3"/>
      <x:c r="D217" s="3"/>
      <x:c r="E217" s="3"/>
      <x:c r="F217" s="3"/>
      <x:c r="G217" s="3"/>
      <x:c r="H217" s="3"/>
      <x:c r="I217" s="20"/>
      <x:c r="J217" s="3"/>
      <x:c r="K217" s="22"/>
      <x:c r="L217" s="22"/>
      <x:c r="M217" s="24" t="str">
        <x:f>IF(A217="","",IF(COUNTIFS('执行日志'!$B$7:$B$306,A217)=0,"",IF(COUNTIFS('执行日志'!$B$7:$B$306,A217,'执行日志'!$L$7:$L$306,"有效",'执行日志'!$P$7:$P$306,"&lt;&gt;有效输入")&gt;0,"待核对",IF(COUNTIFS('执行日志'!$B$7:$B$306,A217,'执行日志'!$P$7:$P$306,"有效输入")=0,"",SUMIFS('执行日志'!$H$7:$H$306,'执行日志'!$B$7:$B$306,A217,'执行日志'!$P$7:$P$306,"有效输入")))))</x:f>
      </x:c>
      <x:c r="N217" s="24" t="str">
        <x:f>IF(A217="","",IF(COUNTIFS('执行日志'!$B$7:$B$306,A217)=0,"",IF(COUNTIFS('执行日志'!$B$7:$B$306,A217,'执行日志'!$L$7:$L$306,"有效",'执行日志'!$P$7:$P$306,"&lt;&gt;有效输入")&gt;0,"待核对",IF(COUNTIFS('执行日志'!$B$7:$B$306,A217,'执行日志'!$P$7:$P$306,"有效输入")=0,"",SUMIFS('执行日志'!$J$7:$J$306,'执行日志'!$B$7:$B$306,A217,'执行日志'!$P$7:$P$306,"有效输入")))))</x:f>
      </x:c>
      <x:c r="O217" s="24" t="str">
        <x:f>IF(A217="","",IF(NOT(ISNUMBER(K217)),"待定预算",IF(NOT(ISNUMBER(M217)),"暂无有效流水",K217-M217)))</x:f>
      </x:c>
      <x:c r="P217" s="24" t="str">
        <x:f>IF(A217="","",IF(NOT(ISNUMBER(L217)),"待定预算",IF(NOT(ISNUMBER(N217)),"暂无有效流水",L217-N217)))</x:f>
      </x:c>
      <x:c r="Q217" s="19" t="str">
        <x:f>IF(A217="","",IF(D217="已结案","已结案",IF(NOT(ISNUMBER(I217)),"待定复盘日",IF(NOT(ISNUMBER($B$3)),"待定评估日",IF(I217&lt;=$B$3,"应复盘","未到期")))))</x:f>
      </x:c>
      <x:c r="R217" s="19" t="str">
        <x:f>IF(A217="","",IF(COUNTIFS($A$7:$A$306,A217)&lt;&gt;1,"问题编号重复",IF(OR(B217="",C217="",D217="",G217="",S217=""),"待补基础信息",IF(AND(F217&lt;&gt;"",COUNTIFS('方案版本'!$A$7:$A$306,F217,'方案版本'!$B$7:$B$306,A217,'方案版本'!$L$7:$L$306,"已冻结")&lt;&gt;1),"当前方案引用无效",IF(AND(D217="执行中",F217=""),"执行缺方案",IF(AND(D217="已结案",OR(T217="",COUNTIFS('复盘记录'!$B$7:$B$306,A217)=0,COUNTIFS('更新日志'!$B$7:$B$306,A217)=0)),"结案资料待补","基础记录齐备"))))))</x:f>
      </x:c>
      <x:c r="S217" s="3"/>
      <x:c r="T217" s="3"/>
    </x:row>
    <x:row r="218" ht="25" customHeight="1">
      <x:c r="A218" s="3"/>
      <x:c r="B218" s="3"/>
      <x:c r="C218" s="3"/>
      <x:c r="D218" s="3"/>
      <x:c r="E218" s="3"/>
      <x:c r="F218" s="3"/>
      <x:c r="G218" s="3"/>
      <x:c r="H218" s="3"/>
      <x:c r="I218" s="20"/>
      <x:c r="J218" s="3"/>
      <x:c r="K218" s="22"/>
      <x:c r="L218" s="22"/>
      <x:c r="M218" s="24" t="str">
        <x:f>IF(A218="","",IF(COUNTIFS('执行日志'!$B$7:$B$306,A218)=0,"",IF(COUNTIFS('执行日志'!$B$7:$B$306,A218,'执行日志'!$L$7:$L$306,"有效",'执行日志'!$P$7:$P$306,"&lt;&gt;有效输入")&gt;0,"待核对",IF(COUNTIFS('执行日志'!$B$7:$B$306,A218,'执行日志'!$P$7:$P$306,"有效输入")=0,"",SUMIFS('执行日志'!$H$7:$H$306,'执行日志'!$B$7:$B$306,A218,'执行日志'!$P$7:$P$306,"有效输入")))))</x:f>
      </x:c>
      <x:c r="N218" s="24" t="str">
        <x:f>IF(A218="","",IF(COUNTIFS('执行日志'!$B$7:$B$306,A218)=0,"",IF(COUNTIFS('执行日志'!$B$7:$B$306,A218,'执行日志'!$L$7:$L$306,"有效",'执行日志'!$P$7:$P$306,"&lt;&gt;有效输入")&gt;0,"待核对",IF(COUNTIFS('执行日志'!$B$7:$B$306,A218,'执行日志'!$P$7:$P$306,"有效输入")=0,"",SUMIFS('执行日志'!$J$7:$J$306,'执行日志'!$B$7:$B$306,A218,'执行日志'!$P$7:$P$306,"有效输入")))))</x:f>
      </x:c>
      <x:c r="O218" s="24" t="str">
        <x:f>IF(A218="","",IF(NOT(ISNUMBER(K218)),"待定预算",IF(NOT(ISNUMBER(M218)),"暂无有效流水",K218-M218)))</x:f>
      </x:c>
      <x:c r="P218" s="24" t="str">
        <x:f>IF(A218="","",IF(NOT(ISNUMBER(L218)),"待定预算",IF(NOT(ISNUMBER(N218)),"暂无有效流水",L218-N218)))</x:f>
      </x:c>
      <x:c r="Q218" s="19" t="str">
        <x:f>IF(A218="","",IF(D218="已结案","已结案",IF(NOT(ISNUMBER(I218)),"待定复盘日",IF(NOT(ISNUMBER($B$3)),"待定评估日",IF(I218&lt;=$B$3,"应复盘","未到期")))))</x:f>
      </x:c>
      <x:c r="R218" s="19" t="str">
        <x:f>IF(A218="","",IF(COUNTIFS($A$7:$A$306,A218)&lt;&gt;1,"问题编号重复",IF(OR(B218="",C218="",D218="",G218="",S218=""),"待补基础信息",IF(AND(F218&lt;&gt;"",COUNTIFS('方案版本'!$A$7:$A$306,F218,'方案版本'!$B$7:$B$306,A218,'方案版本'!$L$7:$L$306,"已冻结")&lt;&gt;1),"当前方案引用无效",IF(AND(D218="执行中",F218=""),"执行缺方案",IF(AND(D218="已结案",OR(T218="",COUNTIFS('复盘记录'!$B$7:$B$306,A218)=0,COUNTIFS('更新日志'!$B$7:$B$306,A218)=0)),"结案资料待补","基础记录齐备"))))))</x:f>
      </x:c>
      <x:c r="S218" s="3"/>
      <x:c r="T218" s="3"/>
    </x:row>
    <x:row r="219" ht="25" customHeight="1">
      <x:c r="A219" s="3"/>
      <x:c r="B219" s="3"/>
      <x:c r="C219" s="3"/>
      <x:c r="D219" s="3"/>
      <x:c r="E219" s="3"/>
      <x:c r="F219" s="3"/>
      <x:c r="G219" s="3"/>
      <x:c r="H219" s="3"/>
      <x:c r="I219" s="20"/>
      <x:c r="J219" s="3"/>
      <x:c r="K219" s="22"/>
      <x:c r="L219" s="22"/>
      <x:c r="M219" s="24" t="str">
        <x:f>IF(A219="","",IF(COUNTIFS('执行日志'!$B$7:$B$306,A219)=0,"",IF(COUNTIFS('执行日志'!$B$7:$B$306,A219,'执行日志'!$L$7:$L$306,"有效",'执行日志'!$P$7:$P$306,"&lt;&gt;有效输入")&gt;0,"待核对",IF(COUNTIFS('执行日志'!$B$7:$B$306,A219,'执行日志'!$P$7:$P$306,"有效输入")=0,"",SUMIFS('执行日志'!$H$7:$H$306,'执行日志'!$B$7:$B$306,A219,'执行日志'!$P$7:$P$306,"有效输入")))))</x:f>
      </x:c>
      <x:c r="N219" s="24" t="str">
        <x:f>IF(A219="","",IF(COUNTIFS('执行日志'!$B$7:$B$306,A219)=0,"",IF(COUNTIFS('执行日志'!$B$7:$B$306,A219,'执行日志'!$L$7:$L$306,"有效",'执行日志'!$P$7:$P$306,"&lt;&gt;有效输入")&gt;0,"待核对",IF(COUNTIFS('执行日志'!$B$7:$B$306,A219,'执行日志'!$P$7:$P$306,"有效输入")=0,"",SUMIFS('执行日志'!$J$7:$J$306,'执行日志'!$B$7:$B$306,A219,'执行日志'!$P$7:$P$306,"有效输入")))))</x:f>
      </x:c>
      <x:c r="O219" s="24" t="str">
        <x:f>IF(A219="","",IF(NOT(ISNUMBER(K219)),"待定预算",IF(NOT(ISNUMBER(M219)),"暂无有效流水",K219-M219)))</x:f>
      </x:c>
      <x:c r="P219" s="24" t="str">
        <x:f>IF(A219="","",IF(NOT(ISNUMBER(L219)),"待定预算",IF(NOT(ISNUMBER(N219)),"暂无有效流水",L219-N219)))</x:f>
      </x:c>
      <x:c r="Q219" s="19" t="str">
        <x:f>IF(A219="","",IF(D219="已结案","已结案",IF(NOT(ISNUMBER(I219)),"待定复盘日",IF(NOT(ISNUMBER($B$3)),"待定评估日",IF(I219&lt;=$B$3,"应复盘","未到期")))))</x:f>
      </x:c>
      <x:c r="R219" s="19" t="str">
        <x:f>IF(A219="","",IF(COUNTIFS($A$7:$A$306,A219)&lt;&gt;1,"问题编号重复",IF(OR(B219="",C219="",D219="",G219="",S219=""),"待补基础信息",IF(AND(F219&lt;&gt;"",COUNTIFS('方案版本'!$A$7:$A$306,F219,'方案版本'!$B$7:$B$306,A219,'方案版本'!$L$7:$L$306,"已冻结")&lt;&gt;1),"当前方案引用无效",IF(AND(D219="执行中",F219=""),"执行缺方案",IF(AND(D219="已结案",OR(T219="",COUNTIFS('复盘记录'!$B$7:$B$306,A219)=0,COUNTIFS('更新日志'!$B$7:$B$306,A219)=0)),"结案资料待补","基础记录齐备"))))))</x:f>
      </x:c>
      <x:c r="S219" s="3"/>
      <x:c r="T219" s="3"/>
    </x:row>
    <x:row r="220" ht="25" customHeight="1">
      <x:c r="A220" s="3"/>
      <x:c r="B220" s="3"/>
      <x:c r="C220" s="3"/>
      <x:c r="D220" s="3"/>
      <x:c r="E220" s="3"/>
      <x:c r="F220" s="3"/>
      <x:c r="G220" s="3"/>
      <x:c r="H220" s="3"/>
      <x:c r="I220" s="20"/>
      <x:c r="J220" s="3"/>
      <x:c r="K220" s="22"/>
      <x:c r="L220" s="22"/>
      <x:c r="M220" s="24" t="str">
        <x:f>IF(A220="","",IF(COUNTIFS('执行日志'!$B$7:$B$306,A220)=0,"",IF(COUNTIFS('执行日志'!$B$7:$B$306,A220,'执行日志'!$L$7:$L$306,"有效",'执行日志'!$P$7:$P$306,"&lt;&gt;有效输入")&gt;0,"待核对",IF(COUNTIFS('执行日志'!$B$7:$B$306,A220,'执行日志'!$P$7:$P$306,"有效输入")=0,"",SUMIFS('执行日志'!$H$7:$H$306,'执行日志'!$B$7:$B$306,A220,'执行日志'!$P$7:$P$306,"有效输入")))))</x:f>
      </x:c>
      <x:c r="N220" s="24" t="str">
        <x:f>IF(A220="","",IF(COUNTIFS('执行日志'!$B$7:$B$306,A220)=0,"",IF(COUNTIFS('执行日志'!$B$7:$B$306,A220,'执行日志'!$L$7:$L$306,"有效",'执行日志'!$P$7:$P$306,"&lt;&gt;有效输入")&gt;0,"待核对",IF(COUNTIFS('执行日志'!$B$7:$B$306,A220,'执行日志'!$P$7:$P$306,"有效输入")=0,"",SUMIFS('执行日志'!$J$7:$J$306,'执行日志'!$B$7:$B$306,A220,'执行日志'!$P$7:$P$306,"有效输入")))))</x:f>
      </x:c>
      <x:c r="O220" s="24" t="str">
        <x:f>IF(A220="","",IF(NOT(ISNUMBER(K220)),"待定预算",IF(NOT(ISNUMBER(M220)),"暂无有效流水",K220-M220)))</x:f>
      </x:c>
      <x:c r="P220" s="24" t="str">
        <x:f>IF(A220="","",IF(NOT(ISNUMBER(L220)),"待定预算",IF(NOT(ISNUMBER(N220)),"暂无有效流水",L220-N220)))</x:f>
      </x:c>
      <x:c r="Q220" s="19" t="str">
        <x:f>IF(A220="","",IF(D220="已结案","已结案",IF(NOT(ISNUMBER(I220)),"待定复盘日",IF(NOT(ISNUMBER($B$3)),"待定评估日",IF(I220&lt;=$B$3,"应复盘","未到期")))))</x:f>
      </x:c>
      <x:c r="R220" s="19" t="str">
        <x:f>IF(A220="","",IF(COUNTIFS($A$7:$A$306,A220)&lt;&gt;1,"问题编号重复",IF(OR(B220="",C220="",D220="",G220="",S220=""),"待补基础信息",IF(AND(F220&lt;&gt;"",COUNTIFS('方案版本'!$A$7:$A$306,F220,'方案版本'!$B$7:$B$306,A220,'方案版本'!$L$7:$L$306,"已冻结")&lt;&gt;1),"当前方案引用无效",IF(AND(D220="执行中",F220=""),"执行缺方案",IF(AND(D220="已结案",OR(T220="",COUNTIFS('复盘记录'!$B$7:$B$306,A220)=0,COUNTIFS('更新日志'!$B$7:$B$306,A220)=0)),"结案资料待补","基础记录齐备"))))))</x:f>
      </x:c>
      <x:c r="S220" s="3"/>
      <x:c r="T220" s="3"/>
    </x:row>
    <x:row r="221" ht="25" customHeight="1">
      <x:c r="A221" s="3"/>
      <x:c r="B221" s="3"/>
      <x:c r="C221" s="3"/>
      <x:c r="D221" s="3"/>
      <x:c r="E221" s="3"/>
      <x:c r="F221" s="3"/>
      <x:c r="G221" s="3"/>
      <x:c r="H221" s="3"/>
      <x:c r="I221" s="20"/>
      <x:c r="J221" s="3"/>
      <x:c r="K221" s="22"/>
      <x:c r="L221" s="22"/>
      <x:c r="M221" s="24" t="str">
        <x:f>IF(A221="","",IF(COUNTIFS('执行日志'!$B$7:$B$306,A221)=0,"",IF(COUNTIFS('执行日志'!$B$7:$B$306,A221,'执行日志'!$L$7:$L$306,"有效",'执行日志'!$P$7:$P$306,"&lt;&gt;有效输入")&gt;0,"待核对",IF(COUNTIFS('执行日志'!$B$7:$B$306,A221,'执行日志'!$P$7:$P$306,"有效输入")=0,"",SUMIFS('执行日志'!$H$7:$H$306,'执行日志'!$B$7:$B$306,A221,'执行日志'!$P$7:$P$306,"有效输入")))))</x:f>
      </x:c>
      <x:c r="N221" s="24" t="str">
        <x:f>IF(A221="","",IF(COUNTIFS('执行日志'!$B$7:$B$306,A221)=0,"",IF(COUNTIFS('执行日志'!$B$7:$B$306,A221,'执行日志'!$L$7:$L$306,"有效",'执行日志'!$P$7:$P$306,"&lt;&gt;有效输入")&gt;0,"待核对",IF(COUNTIFS('执行日志'!$B$7:$B$306,A221,'执行日志'!$P$7:$P$306,"有效输入")=0,"",SUMIFS('执行日志'!$J$7:$J$306,'执行日志'!$B$7:$B$306,A221,'执行日志'!$P$7:$P$306,"有效输入")))))</x:f>
      </x:c>
      <x:c r="O221" s="24" t="str">
        <x:f>IF(A221="","",IF(NOT(ISNUMBER(K221)),"待定预算",IF(NOT(ISNUMBER(M221)),"暂无有效流水",K221-M221)))</x:f>
      </x:c>
      <x:c r="P221" s="24" t="str">
        <x:f>IF(A221="","",IF(NOT(ISNUMBER(L221)),"待定预算",IF(NOT(ISNUMBER(N221)),"暂无有效流水",L221-N221)))</x:f>
      </x:c>
      <x:c r="Q221" s="19" t="str">
        <x:f>IF(A221="","",IF(D221="已结案","已结案",IF(NOT(ISNUMBER(I221)),"待定复盘日",IF(NOT(ISNUMBER($B$3)),"待定评估日",IF(I221&lt;=$B$3,"应复盘","未到期")))))</x:f>
      </x:c>
      <x:c r="R221" s="19" t="str">
        <x:f>IF(A221="","",IF(COUNTIFS($A$7:$A$306,A221)&lt;&gt;1,"问题编号重复",IF(OR(B221="",C221="",D221="",G221="",S221=""),"待补基础信息",IF(AND(F221&lt;&gt;"",COUNTIFS('方案版本'!$A$7:$A$306,F221,'方案版本'!$B$7:$B$306,A221,'方案版本'!$L$7:$L$306,"已冻结")&lt;&gt;1),"当前方案引用无效",IF(AND(D221="执行中",F221=""),"执行缺方案",IF(AND(D221="已结案",OR(T221="",COUNTIFS('复盘记录'!$B$7:$B$306,A221)=0,COUNTIFS('更新日志'!$B$7:$B$306,A221)=0)),"结案资料待补","基础记录齐备"))))))</x:f>
      </x:c>
      <x:c r="S221" s="3"/>
      <x:c r="T221" s="3"/>
    </x:row>
    <x:row r="222" ht="25" customHeight="1">
      <x:c r="A222" s="3"/>
      <x:c r="B222" s="3"/>
      <x:c r="C222" s="3"/>
      <x:c r="D222" s="3"/>
      <x:c r="E222" s="3"/>
      <x:c r="F222" s="3"/>
      <x:c r="G222" s="3"/>
      <x:c r="H222" s="3"/>
      <x:c r="I222" s="20"/>
      <x:c r="J222" s="3"/>
      <x:c r="K222" s="22"/>
      <x:c r="L222" s="22"/>
      <x:c r="M222" s="24" t="str">
        <x:f>IF(A222="","",IF(COUNTIFS('执行日志'!$B$7:$B$306,A222)=0,"",IF(COUNTIFS('执行日志'!$B$7:$B$306,A222,'执行日志'!$L$7:$L$306,"有效",'执行日志'!$P$7:$P$306,"&lt;&gt;有效输入")&gt;0,"待核对",IF(COUNTIFS('执行日志'!$B$7:$B$306,A222,'执行日志'!$P$7:$P$306,"有效输入")=0,"",SUMIFS('执行日志'!$H$7:$H$306,'执行日志'!$B$7:$B$306,A222,'执行日志'!$P$7:$P$306,"有效输入")))))</x:f>
      </x:c>
      <x:c r="N222" s="24" t="str">
        <x:f>IF(A222="","",IF(COUNTIFS('执行日志'!$B$7:$B$306,A222)=0,"",IF(COUNTIFS('执行日志'!$B$7:$B$306,A222,'执行日志'!$L$7:$L$306,"有效",'执行日志'!$P$7:$P$306,"&lt;&gt;有效输入")&gt;0,"待核对",IF(COUNTIFS('执行日志'!$B$7:$B$306,A222,'执行日志'!$P$7:$P$306,"有效输入")=0,"",SUMIFS('执行日志'!$J$7:$J$306,'执行日志'!$B$7:$B$306,A222,'执行日志'!$P$7:$P$306,"有效输入")))))</x:f>
      </x:c>
      <x:c r="O222" s="24" t="str">
        <x:f>IF(A222="","",IF(NOT(ISNUMBER(K222)),"待定预算",IF(NOT(ISNUMBER(M222)),"暂无有效流水",K222-M222)))</x:f>
      </x:c>
      <x:c r="P222" s="24" t="str">
        <x:f>IF(A222="","",IF(NOT(ISNUMBER(L222)),"待定预算",IF(NOT(ISNUMBER(N222)),"暂无有效流水",L222-N222)))</x:f>
      </x:c>
      <x:c r="Q222" s="19" t="str">
        <x:f>IF(A222="","",IF(D222="已结案","已结案",IF(NOT(ISNUMBER(I222)),"待定复盘日",IF(NOT(ISNUMBER($B$3)),"待定评估日",IF(I222&lt;=$B$3,"应复盘","未到期")))))</x:f>
      </x:c>
      <x:c r="R222" s="19" t="str">
        <x:f>IF(A222="","",IF(COUNTIFS($A$7:$A$306,A222)&lt;&gt;1,"问题编号重复",IF(OR(B222="",C222="",D222="",G222="",S222=""),"待补基础信息",IF(AND(F222&lt;&gt;"",COUNTIFS('方案版本'!$A$7:$A$306,F222,'方案版本'!$B$7:$B$306,A222,'方案版本'!$L$7:$L$306,"已冻结")&lt;&gt;1),"当前方案引用无效",IF(AND(D222="执行中",F222=""),"执行缺方案",IF(AND(D222="已结案",OR(T222="",COUNTIFS('复盘记录'!$B$7:$B$306,A222)=0,COUNTIFS('更新日志'!$B$7:$B$306,A222)=0)),"结案资料待补","基础记录齐备"))))))</x:f>
      </x:c>
      <x:c r="S222" s="3"/>
      <x:c r="T222" s="3"/>
    </x:row>
    <x:row r="223" ht="25" customHeight="1">
      <x:c r="A223" s="3"/>
      <x:c r="B223" s="3"/>
      <x:c r="C223" s="3"/>
      <x:c r="D223" s="3"/>
      <x:c r="E223" s="3"/>
      <x:c r="F223" s="3"/>
      <x:c r="G223" s="3"/>
      <x:c r="H223" s="3"/>
      <x:c r="I223" s="20"/>
      <x:c r="J223" s="3"/>
      <x:c r="K223" s="22"/>
      <x:c r="L223" s="22"/>
      <x:c r="M223" s="24" t="str">
        <x:f>IF(A223="","",IF(COUNTIFS('执行日志'!$B$7:$B$306,A223)=0,"",IF(COUNTIFS('执行日志'!$B$7:$B$306,A223,'执行日志'!$L$7:$L$306,"有效",'执行日志'!$P$7:$P$306,"&lt;&gt;有效输入")&gt;0,"待核对",IF(COUNTIFS('执行日志'!$B$7:$B$306,A223,'执行日志'!$P$7:$P$306,"有效输入")=0,"",SUMIFS('执行日志'!$H$7:$H$306,'执行日志'!$B$7:$B$306,A223,'执行日志'!$P$7:$P$306,"有效输入")))))</x:f>
      </x:c>
      <x:c r="N223" s="24" t="str">
        <x:f>IF(A223="","",IF(COUNTIFS('执行日志'!$B$7:$B$306,A223)=0,"",IF(COUNTIFS('执行日志'!$B$7:$B$306,A223,'执行日志'!$L$7:$L$306,"有效",'执行日志'!$P$7:$P$306,"&lt;&gt;有效输入")&gt;0,"待核对",IF(COUNTIFS('执行日志'!$B$7:$B$306,A223,'执行日志'!$P$7:$P$306,"有效输入")=0,"",SUMIFS('执行日志'!$J$7:$J$306,'执行日志'!$B$7:$B$306,A223,'执行日志'!$P$7:$P$306,"有效输入")))))</x:f>
      </x:c>
      <x:c r="O223" s="24" t="str">
        <x:f>IF(A223="","",IF(NOT(ISNUMBER(K223)),"待定预算",IF(NOT(ISNUMBER(M223)),"暂无有效流水",K223-M223)))</x:f>
      </x:c>
      <x:c r="P223" s="24" t="str">
        <x:f>IF(A223="","",IF(NOT(ISNUMBER(L223)),"待定预算",IF(NOT(ISNUMBER(N223)),"暂无有效流水",L223-N223)))</x:f>
      </x:c>
      <x:c r="Q223" s="19" t="str">
        <x:f>IF(A223="","",IF(D223="已结案","已结案",IF(NOT(ISNUMBER(I223)),"待定复盘日",IF(NOT(ISNUMBER($B$3)),"待定评估日",IF(I223&lt;=$B$3,"应复盘","未到期")))))</x:f>
      </x:c>
      <x:c r="R223" s="19" t="str">
        <x:f>IF(A223="","",IF(COUNTIFS($A$7:$A$306,A223)&lt;&gt;1,"问题编号重复",IF(OR(B223="",C223="",D223="",G223="",S223=""),"待补基础信息",IF(AND(F223&lt;&gt;"",COUNTIFS('方案版本'!$A$7:$A$306,F223,'方案版本'!$B$7:$B$306,A223,'方案版本'!$L$7:$L$306,"已冻结")&lt;&gt;1),"当前方案引用无效",IF(AND(D223="执行中",F223=""),"执行缺方案",IF(AND(D223="已结案",OR(T223="",COUNTIFS('复盘记录'!$B$7:$B$306,A223)=0,COUNTIFS('更新日志'!$B$7:$B$306,A223)=0)),"结案资料待补","基础记录齐备"))))))</x:f>
      </x:c>
      <x:c r="S223" s="3"/>
      <x:c r="T223" s="3"/>
    </x:row>
    <x:row r="224" ht="25" customHeight="1">
      <x:c r="A224" s="3"/>
      <x:c r="B224" s="3"/>
      <x:c r="C224" s="3"/>
      <x:c r="D224" s="3"/>
      <x:c r="E224" s="3"/>
      <x:c r="F224" s="3"/>
      <x:c r="G224" s="3"/>
      <x:c r="H224" s="3"/>
      <x:c r="I224" s="20"/>
      <x:c r="J224" s="3"/>
      <x:c r="K224" s="22"/>
      <x:c r="L224" s="22"/>
      <x:c r="M224" s="24" t="str">
        <x:f>IF(A224="","",IF(COUNTIFS('执行日志'!$B$7:$B$306,A224)=0,"",IF(COUNTIFS('执行日志'!$B$7:$B$306,A224,'执行日志'!$L$7:$L$306,"有效",'执行日志'!$P$7:$P$306,"&lt;&gt;有效输入")&gt;0,"待核对",IF(COUNTIFS('执行日志'!$B$7:$B$306,A224,'执行日志'!$P$7:$P$306,"有效输入")=0,"",SUMIFS('执行日志'!$H$7:$H$306,'执行日志'!$B$7:$B$306,A224,'执行日志'!$P$7:$P$306,"有效输入")))))</x:f>
      </x:c>
      <x:c r="N224" s="24" t="str">
        <x:f>IF(A224="","",IF(COUNTIFS('执行日志'!$B$7:$B$306,A224)=0,"",IF(COUNTIFS('执行日志'!$B$7:$B$306,A224,'执行日志'!$L$7:$L$306,"有效",'执行日志'!$P$7:$P$306,"&lt;&gt;有效输入")&gt;0,"待核对",IF(COUNTIFS('执行日志'!$B$7:$B$306,A224,'执行日志'!$P$7:$P$306,"有效输入")=0,"",SUMIFS('执行日志'!$J$7:$J$306,'执行日志'!$B$7:$B$306,A224,'执行日志'!$P$7:$P$306,"有效输入")))))</x:f>
      </x:c>
      <x:c r="O224" s="24" t="str">
        <x:f>IF(A224="","",IF(NOT(ISNUMBER(K224)),"待定预算",IF(NOT(ISNUMBER(M224)),"暂无有效流水",K224-M224)))</x:f>
      </x:c>
      <x:c r="P224" s="24" t="str">
        <x:f>IF(A224="","",IF(NOT(ISNUMBER(L224)),"待定预算",IF(NOT(ISNUMBER(N224)),"暂无有效流水",L224-N224)))</x:f>
      </x:c>
      <x:c r="Q224" s="19" t="str">
        <x:f>IF(A224="","",IF(D224="已结案","已结案",IF(NOT(ISNUMBER(I224)),"待定复盘日",IF(NOT(ISNUMBER($B$3)),"待定评估日",IF(I224&lt;=$B$3,"应复盘","未到期")))))</x:f>
      </x:c>
      <x:c r="R224" s="19" t="str">
        <x:f>IF(A224="","",IF(COUNTIFS($A$7:$A$306,A224)&lt;&gt;1,"问题编号重复",IF(OR(B224="",C224="",D224="",G224="",S224=""),"待补基础信息",IF(AND(F224&lt;&gt;"",COUNTIFS('方案版本'!$A$7:$A$306,F224,'方案版本'!$B$7:$B$306,A224,'方案版本'!$L$7:$L$306,"已冻结")&lt;&gt;1),"当前方案引用无效",IF(AND(D224="执行中",F224=""),"执行缺方案",IF(AND(D224="已结案",OR(T224="",COUNTIFS('复盘记录'!$B$7:$B$306,A224)=0,COUNTIFS('更新日志'!$B$7:$B$306,A224)=0)),"结案资料待补","基础记录齐备"))))))</x:f>
      </x:c>
      <x:c r="S224" s="3"/>
      <x:c r="T224" s="3"/>
    </x:row>
    <x:row r="225" ht="25" customHeight="1">
      <x:c r="A225" s="3"/>
      <x:c r="B225" s="3"/>
      <x:c r="C225" s="3"/>
      <x:c r="D225" s="3"/>
      <x:c r="E225" s="3"/>
      <x:c r="F225" s="3"/>
      <x:c r="G225" s="3"/>
      <x:c r="H225" s="3"/>
      <x:c r="I225" s="20"/>
      <x:c r="J225" s="3"/>
      <x:c r="K225" s="22"/>
      <x:c r="L225" s="22"/>
      <x:c r="M225" s="24" t="str">
        <x:f>IF(A225="","",IF(COUNTIFS('执行日志'!$B$7:$B$306,A225)=0,"",IF(COUNTIFS('执行日志'!$B$7:$B$306,A225,'执行日志'!$L$7:$L$306,"有效",'执行日志'!$P$7:$P$306,"&lt;&gt;有效输入")&gt;0,"待核对",IF(COUNTIFS('执行日志'!$B$7:$B$306,A225,'执行日志'!$P$7:$P$306,"有效输入")=0,"",SUMIFS('执行日志'!$H$7:$H$306,'执行日志'!$B$7:$B$306,A225,'执行日志'!$P$7:$P$306,"有效输入")))))</x:f>
      </x:c>
      <x:c r="N225" s="24" t="str">
        <x:f>IF(A225="","",IF(COUNTIFS('执行日志'!$B$7:$B$306,A225)=0,"",IF(COUNTIFS('执行日志'!$B$7:$B$306,A225,'执行日志'!$L$7:$L$306,"有效",'执行日志'!$P$7:$P$306,"&lt;&gt;有效输入")&gt;0,"待核对",IF(COUNTIFS('执行日志'!$B$7:$B$306,A225,'执行日志'!$P$7:$P$306,"有效输入")=0,"",SUMIFS('执行日志'!$J$7:$J$306,'执行日志'!$B$7:$B$306,A225,'执行日志'!$P$7:$P$306,"有效输入")))))</x:f>
      </x:c>
      <x:c r="O225" s="24" t="str">
        <x:f>IF(A225="","",IF(NOT(ISNUMBER(K225)),"待定预算",IF(NOT(ISNUMBER(M225)),"暂无有效流水",K225-M225)))</x:f>
      </x:c>
      <x:c r="P225" s="24" t="str">
        <x:f>IF(A225="","",IF(NOT(ISNUMBER(L225)),"待定预算",IF(NOT(ISNUMBER(N225)),"暂无有效流水",L225-N225)))</x:f>
      </x:c>
      <x:c r="Q225" s="19" t="str">
        <x:f>IF(A225="","",IF(D225="已结案","已结案",IF(NOT(ISNUMBER(I225)),"待定复盘日",IF(NOT(ISNUMBER($B$3)),"待定评估日",IF(I225&lt;=$B$3,"应复盘","未到期")))))</x:f>
      </x:c>
      <x:c r="R225" s="19" t="str">
        <x:f>IF(A225="","",IF(COUNTIFS($A$7:$A$306,A225)&lt;&gt;1,"问题编号重复",IF(OR(B225="",C225="",D225="",G225="",S225=""),"待补基础信息",IF(AND(F225&lt;&gt;"",COUNTIFS('方案版本'!$A$7:$A$306,F225,'方案版本'!$B$7:$B$306,A225,'方案版本'!$L$7:$L$306,"已冻结")&lt;&gt;1),"当前方案引用无效",IF(AND(D225="执行中",F225=""),"执行缺方案",IF(AND(D225="已结案",OR(T225="",COUNTIFS('复盘记录'!$B$7:$B$306,A225)=0,COUNTIFS('更新日志'!$B$7:$B$306,A225)=0)),"结案资料待补","基础记录齐备"))))))</x:f>
      </x:c>
      <x:c r="S225" s="3"/>
      <x:c r="T225" s="3"/>
    </x:row>
    <x:row r="226" ht="25" customHeight="1">
      <x:c r="A226" s="3"/>
      <x:c r="B226" s="3"/>
      <x:c r="C226" s="3"/>
      <x:c r="D226" s="3"/>
      <x:c r="E226" s="3"/>
      <x:c r="F226" s="3"/>
      <x:c r="G226" s="3"/>
      <x:c r="H226" s="3"/>
      <x:c r="I226" s="20"/>
      <x:c r="J226" s="3"/>
      <x:c r="K226" s="22"/>
      <x:c r="L226" s="22"/>
      <x:c r="M226" s="24" t="str">
        <x:f>IF(A226="","",IF(COUNTIFS('执行日志'!$B$7:$B$306,A226)=0,"",IF(COUNTIFS('执行日志'!$B$7:$B$306,A226,'执行日志'!$L$7:$L$306,"有效",'执行日志'!$P$7:$P$306,"&lt;&gt;有效输入")&gt;0,"待核对",IF(COUNTIFS('执行日志'!$B$7:$B$306,A226,'执行日志'!$P$7:$P$306,"有效输入")=0,"",SUMIFS('执行日志'!$H$7:$H$306,'执行日志'!$B$7:$B$306,A226,'执行日志'!$P$7:$P$306,"有效输入")))))</x:f>
      </x:c>
      <x:c r="N226" s="24" t="str">
        <x:f>IF(A226="","",IF(COUNTIFS('执行日志'!$B$7:$B$306,A226)=0,"",IF(COUNTIFS('执行日志'!$B$7:$B$306,A226,'执行日志'!$L$7:$L$306,"有效",'执行日志'!$P$7:$P$306,"&lt;&gt;有效输入")&gt;0,"待核对",IF(COUNTIFS('执行日志'!$B$7:$B$306,A226,'执行日志'!$P$7:$P$306,"有效输入")=0,"",SUMIFS('执行日志'!$J$7:$J$306,'执行日志'!$B$7:$B$306,A226,'执行日志'!$P$7:$P$306,"有效输入")))))</x:f>
      </x:c>
      <x:c r="O226" s="24" t="str">
        <x:f>IF(A226="","",IF(NOT(ISNUMBER(K226)),"待定预算",IF(NOT(ISNUMBER(M226)),"暂无有效流水",K226-M226)))</x:f>
      </x:c>
      <x:c r="P226" s="24" t="str">
        <x:f>IF(A226="","",IF(NOT(ISNUMBER(L226)),"待定预算",IF(NOT(ISNUMBER(N226)),"暂无有效流水",L226-N226)))</x:f>
      </x:c>
      <x:c r="Q226" s="19" t="str">
        <x:f>IF(A226="","",IF(D226="已结案","已结案",IF(NOT(ISNUMBER(I226)),"待定复盘日",IF(NOT(ISNUMBER($B$3)),"待定评估日",IF(I226&lt;=$B$3,"应复盘","未到期")))))</x:f>
      </x:c>
      <x:c r="R226" s="19" t="str">
        <x:f>IF(A226="","",IF(COUNTIFS($A$7:$A$306,A226)&lt;&gt;1,"问题编号重复",IF(OR(B226="",C226="",D226="",G226="",S226=""),"待补基础信息",IF(AND(F226&lt;&gt;"",COUNTIFS('方案版本'!$A$7:$A$306,F226,'方案版本'!$B$7:$B$306,A226,'方案版本'!$L$7:$L$306,"已冻结")&lt;&gt;1),"当前方案引用无效",IF(AND(D226="执行中",F226=""),"执行缺方案",IF(AND(D226="已结案",OR(T226="",COUNTIFS('复盘记录'!$B$7:$B$306,A226)=0,COUNTIFS('更新日志'!$B$7:$B$306,A226)=0)),"结案资料待补","基础记录齐备"))))))</x:f>
      </x:c>
      <x:c r="S226" s="3"/>
      <x:c r="T226" s="3"/>
    </x:row>
    <x:row r="227" ht="25" customHeight="1">
      <x:c r="A227" s="3"/>
      <x:c r="B227" s="3"/>
      <x:c r="C227" s="3"/>
      <x:c r="D227" s="3"/>
      <x:c r="E227" s="3"/>
      <x:c r="F227" s="3"/>
      <x:c r="G227" s="3"/>
      <x:c r="H227" s="3"/>
      <x:c r="I227" s="20"/>
      <x:c r="J227" s="3"/>
      <x:c r="K227" s="22"/>
      <x:c r="L227" s="22"/>
      <x:c r="M227" s="24" t="str">
        <x:f>IF(A227="","",IF(COUNTIFS('执行日志'!$B$7:$B$306,A227)=0,"",IF(COUNTIFS('执行日志'!$B$7:$B$306,A227,'执行日志'!$L$7:$L$306,"有效",'执行日志'!$P$7:$P$306,"&lt;&gt;有效输入")&gt;0,"待核对",IF(COUNTIFS('执行日志'!$B$7:$B$306,A227,'执行日志'!$P$7:$P$306,"有效输入")=0,"",SUMIFS('执行日志'!$H$7:$H$306,'执行日志'!$B$7:$B$306,A227,'执行日志'!$P$7:$P$306,"有效输入")))))</x:f>
      </x:c>
      <x:c r="N227" s="24" t="str">
        <x:f>IF(A227="","",IF(COUNTIFS('执行日志'!$B$7:$B$306,A227)=0,"",IF(COUNTIFS('执行日志'!$B$7:$B$306,A227,'执行日志'!$L$7:$L$306,"有效",'执行日志'!$P$7:$P$306,"&lt;&gt;有效输入")&gt;0,"待核对",IF(COUNTIFS('执行日志'!$B$7:$B$306,A227,'执行日志'!$P$7:$P$306,"有效输入")=0,"",SUMIFS('执行日志'!$J$7:$J$306,'执行日志'!$B$7:$B$306,A227,'执行日志'!$P$7:$P$306,"有效输入")))))</x:f>
      </x:c>
      <x:c r="O227" s="24" t="str">
        <x:f>IF(A227="","",IF(NOT(ISNUMBER(K227)),"待定预算",IF(NOT(ISNUMBER(M227)),"暂无有效流水",K227-M227)))</x:f>
      </x:c>
      <x:c r="P227" s="24" t="str">
        <x:f>IF(A227="","",IF(NOT(ISNUMBER(L227)),"待定预算",IF(NOT(ISNUMBER(N227)),"暂无有效流水",L227-N227)))</x:f>
      </x:c>
      <x:c r="Q227" s="19" t="str">
        <x:f>IF(A227="","",IF(D227="已结案","已结案",IF(NOT(ISNUMBER(I227)),"待定复盘日",IF(NOT(ISNUMBER($B$3)),"待定评估日",IF(I227&lt;=$B$3,"应复盘","未到期")))))</x:f>
      </x:c>
      <x:c r="R227" s="19" t="str">
        <x:f>IF(A227="","",IF(COUNTIFS($A$7:$A$306,A227)&lt;&gt;1,"问题编号重复",IF(OR(B227="",C227="",D227="",G227="",S227=""),"待补基础信息",IF(AND(F227&lt;&gt;"",COUNTIFS('方案版本'!$A$7:$A$306,F227,'方案版本'!$B$7:$B$306,A227,'方案版本'!$L$7:$L$306,"已冻结")&lt;&gt;1),"当前方案引用无效",IF(AND(D227="执行中",F227=""),"执行缺方案",IF(AND(D227="已结案",OR(T227="",COUNTIFS('复盘记录'!$B$7:$B$306,A227)=0,COUNTIFS('更新日志'!$B$7:$B$306,A227)=0)),"结案资料待补","基础记录齐备"))))))</x:f>
      </x:c>
      <x:c r="S227" s="3"/>
      <x:c r="T227" s="3"/>
    </x:row>
    <x:row r="228" ht="25" customHeight="1">
      <x:c r="A228" s="3"/>
      <x:c r="B228" s="3"/>
      <x:c r="C228" s="3"/>
      <x:c r="D228" s="3"/>
      <x:c r="E228" s="3"/>
      <x:c r="F228" s="3"/>
      <x:c r="G228" s="3"/>
      <x:c r="H228" s="3"/>
      <x:c r="I228" s="20"/>
      <x:c r="J228" s="3"/>
      <x:c r="K228" s="22"/>
      <x:c r="L228" s="22"/>
      <x:c r="M228" s="24" t="str">
        <x:f>IF(A228="","",IF(COUNTIFS('执行日志'!$B$7:$B$306,A228)=0,"",IF(COUNTIFS('执行日志'!$B$7:$B$306,A228,'执行日志'!$L$7:$L$306,"有效",'执行日志'!$P$7:$P$306,"&lt;&gt;有效输入")&gt;0,"待核对",IF(COUNTIFS('执行日志'!$B$7:$B$306,A228,'执行日志'!$P$7:$P$306,"有效输入")=0,"",SUMIFS('执行日志'!$H$7:$H$306,'执行日志'!$B$7:$B$306,A228,'执行日志'!$P$7:$P$306,"有效输入")))))</x:f>
      </x:c>
      <x:c r="N228" s="24" t="str">
        <x:f>IF(A228="","",IF(COUNTIFS('执行日志'!$B$7:$B$306,A228)=0,"",IF(COUNTIFS('执行日志'!$B$7:$B$306,A228,'执行日志'!$L$7:$L$306,"有效",'执行日志'!$P$7:$P$306,"&lt;&gt;有效输入")&gt;0,"待核对",IF(COUNTIFS('执行日志'!$B$7:$B$306,A228,'执行日志'!$P$7:$P$306,"有效输入")=0,"",SUMIFS('执行日志'!$J$7:$J$306,'执行日志'!$B$7:$B$306,A228,'执行日志'!$P$7:$P$306,"有效输入")))))</x:f>
      </x:c>
      <x:c r="O228" s="24" t="str">
        <x:f>IF(A228="","",IF(NOT(ISNUMBER(K228)),"待定预算",IF(NOT(ISNUMBER(M228)),"暂无有效流水",K228-M228)))</x:f>
      </x:c>
      <x:c r="P228" s="24" t="str">
        <x:f>IF(A228="","",IF(NOT(ISNUMBER(L228)),"待定预算",IF(NOT(ISNUMBER(N228)),"暂无有效流水",L228-N228)))</x:f>
      </x:c>
      <x:c r="Q228" s="19" t="str">
        <x:f>IF(A228="","",IF(D228="已结案","已结案",IF(NOT(ISNUMBER(I228)),"待定复盘日",IF(NOT(ISNUMBER($B$3)),"待定评估日",IF(I228&lt;=$B$3,"应复盘","未到期")))))</x:f>
      </x:c>
      <x:c r="R228" s="19" t="str">
        <x:f>IF(A228="","",IF(COUNTIFS($A$7:$A$306,A228)&lt;&gt;1,"问题编号重复",IF(OR(B228="",C228="",D228="",G228="",S228=""),"待补基础信息",IF(AND(F228&lt;&gt;"",COUNTIFS('方案版本'!$A$7:$A$306,F228,'方案版本'!$B$7:$B$306,A228,'方案版本'!$L$7:$L$306,"已冻结")&lt;&gt;1),"当前方案引用无效",IF(AND(D228="执行中",F228=""),"执行缺方案",IF(AND(D228="已结案",OR(T228="",COUNTIFS('复盘记录'!$B$7:$B$306,A228)=0,COUNTIFS('更新日志'!$B$7:$B$306,A228)=0)),"结案资料待补","基础记录齐备"))))))</x:f>
      </x:c>
      <x:c r="S228" s="3"/>
      <x:c r="T228" s="3"/>
    </x:row>
    <x:row r="229" ht="25" customHeight="1">
      <x:c r="A229" s="3"/>
      <x:c r="B229" s="3"/>
      <x:c r="C229" s="3"/>
      <x:c r="D229" s="3"/>
      <x:c r="E229" s="3"/>
      <x:c r="F229" s="3"/>
      <x:c r="G229" s="3"/>
      <x:c r="H229" s="3"/>
      <x:c r="I229" s="20"/>
      <x:c r="J229" s="3"/>
      <x:c r="K229" s="22"/>
      <x:c r="L229" s="22"/>
      <x:c r="M229" s="24" t="str">
        <x:f>IF(A229="","",IF(COUNTIFS('执行日志'!$B$7:$B$306,A229)=0,"",IF(COUNTIFS('执行日志'!$B$7:$B$306,A229,'执行日志'!$L$7:$L$306,"有效",'执行日志'!$P$7:$P$306,"&lt;&gt;有效输入")&gt;0,"待核对",IF(COUNTIFS('执行日志'!$B$7:$B$306,A229,'执行日志'!$P$7:$P$306,"有效输入")=0,"",SUMIFS('执行日志'!$H$7:$H$306,'执行日志'!$B$7:$B$306,A229,'执行日志'!$P$7:$P$306,"有效输入")))))</x:f>
      </x:c>
      <x:c r="N229" s="24" t="str">
        <x:f>IF(A229="","",IF(COUNTIFS('执行日志'!$B$7:$B$306,A229)=0,"",IF(COUNTIFS('执行日志'!$B$7:$B$306,A229,'执行日志'!$L$7:$L$306,"有效",'执行日志'!$P$7:$P$306,"&lt;&gt;有效输入")&gt;0,"待核对",IF(COUNTIFS('执行日志'!$B$7:$B$306,A229,'执行日志'!$P$7:$P$306,"有效输入")=0,"",SUMIFS('执行日志'!$J$7:$J$306,'执行日志'!$B$7:$B$306,A229,'执行日志'!$P$7:$P$306,"有效输入")))))</x:f>
      </x:c>
      <x:c r="O229" s="24" t="str">
        <x:f>IF(A229="","",IF(NOT(ISNUMBER(K229)),"待定预算",IF(NOT(ISNUMBER(M229)),"暂无有效流水",K229-M229)))</x:f>
      </x:c>
      <x:c r="P229" s="24" t="str">
        <x:f>IF(A229="","",IF(NOT(ISNUMBER(L229)),"待定预算",IF(NOT(ISNUMBER(N229)),"暂无有效流水",L229-N229)))</x:f>
      </x:c>
      <x:c r="Q229" s="19" t="str">
        <x:f>IF(A229="","",IF(D229="已结案","已结案",IF(NOT(ISNUMBER(I229)),"待定复盘日",IF(NOT(ISNUMBER($B$3)),"待定评估日",IF(I229&lt;=$B$3,"应复盘","未到期")))))</x:f>
      </x:c>
      <x:c r="R229" s="19" t="str">
        <x:f>IF(A229="","",IF(COUNTIFS($A$7:$A$306,A229)&lt;&gt;1,"问题编号重复",IF(OR(B229="",C229="",D229="",G229="",S229=""),"待补基础信息",IF(AND(F229&lt;&gt;"",COUNTIFS('方案版本'!$A$7:$A$306,F229,'方案版本'!$B$7:$B$306,A229,'方案版本'!$L$7:$L$306,"已冻结")&lt;&gt;1),"当前方案引用无效",IF(AND(D229="执行中",F229=""),"执行缺方案",IF(AND(D229="已结案",OR(T229="",COUNTIFS('复盘记录'!$B$7:$B$306,A229)=0,COUNTIFS('更新日志'!$B$7:$B$306,A229)=0)),"结案资料待补","基础记录齐备"))))))</x:f>
      </x:c>
      <x:c r="S229" s="3"/>
      <x:c r="T229" s="3"/>
    </x:row>
    <x:row r="230" ht="25" customHeight="1">
      <x:c r="A230" s="3"/>
      <x:c r="B230" s="3"/>
      <x:c r="C230" s="3"/>
      <x:c r="D230" s="3"/>
      <x:c r="E230" s="3"/>
      <x:c r="F230" s="3"/>
      <x:c r="G230" s="3"/>
      <x:c r="H230" s="3"/>
      <x:c r="I230" s="20"/>
      <x:c r="J230" s="3"/>
      <x:c r="K230" s="22"/>
      <x:c r="L230" s="22"/>
      <x:c r="M230" s="24" t="str">
        <x:f>IF(A230="","",IF(COUNTIFS('执行日志'!$B$7:$B$306,A230)=0,"",IF(COUNTIFS('执行日志'!$B$7:$B$306,A230,'执行日志'!$L$7:$L$306,"有效",'执行日志'!$P$7:$P$306,"&lt;&gt;有效输入")&gt;0,"待核对",IF(COUNTIFS('执行日志'!$B$7:$B$306,A230,'执行日志'!$P$7:$P$306,"有效输入")=0,"",SUMIFS('执行日志'!$H$7:$H$306,'执行日志'!$B$7:$B$306,A230,'执行日志'!$P$7:$P$306,"有效输入")))))</x:f>
      </x:c>
      <x:c r="N230" s="24" t="str">
        <x:f>IF(A230="","",IF(COUNTIFS('执行日志'!$B$7:$B$306,A230)=0,"",IF(COUNTIFS('执行日志'!$B$7:$B$306,A230,'执行日志'!$L$7:$L$306,"有效",'执行日志'!$P$7:$P$306,"&lt;&gt;有效输入")&gt;0,"待核对",IF(COUNTIFS('执行日志'!$B$7:$B$306,A230,'执行日志'!$P$7:$P$306,"有效输入")=0,"",SUMIFS('执行日志'!$J$7:$J$306,'执行日志'!$B$7:$B$306,A230,'执行日志'!$P$7:$P$306,"有效输入")))))</x:f>
      </x:c>
      <x:c r="O230" s="24" t="str">
        <x:f>IF(A230="","",IF(NOT(ISNUMBER(K230)),"待定预算",IF(NOT(ISNUMBER(M230)),"暂无有效流水",K230-M230)))</x:f>
      </x:c>
      <x:c r="P230" s="24" t="str">
        <x:f>IF(A230="","",IF(NOT(ISNUMBER(L230)),"待定预算",IF(NOT(ISNUMBER(N230)),"暂无有效流水",L230-N230)))</x:f>
      </x:c>
      <x:c r="Q230" s="19" t="str">
        <x:f>IF(A230="","",IF(D230="已结案","已结案",IF(NOT(ISNUMBER(I230)),"待定复盘日",IF(NOT(ISNUMBER($B$3)),"待定评估日",IF(I230&lt;=$B$3,"应复盘","未到期")))))</x:f>
      </x:c>
      <x:c r="R230" s="19" t="str">
        <x:f>IF(A230="","",IF(COUNTIFS($A$7:$A$306,A230)&lt;&gt;1,"问题编号重复",IF(OR(B230="",C230="",D230="",G230="",S230=""),"待补基础信息",IF(AND(F230&lt;&gt;"",COUNTIFS('方案版本'!$A$7:$A$306,F230,'方案版本'!$B$7:$B$306,A230,'方案版本'!$L$7:$L$306,"已冻结")&lt;&gt;1),"当前方案引用无效",IF(AND(D230="执行中",F230=""),"执行缺方案",IF(AND(D230="已结案",OR(T230="",COUNTIFS('复盘记录'!$B$7:$B$306,A230)=0,COUNTIFS('更新日志'!$B$7:$B$306,A230)=0)),"结案资料待补","基础记录齐备"))))))</x:f>
      </x:c>
      <x:c r="S230" s="3"/>
      <x:c r="T230" s="3"/>
    </x:row>
    <x:row r="231" ht="25" customHeight="1">
      <x:c r="A231" s="3"/>
      <x:c r="B231" s="3"/>
      <x:c r="C231" s="3"/>
      <x:c r="D231" s="3"/>
      <x:c r="E231" s="3"/>
      <x:c r="F231" s="3"/>
      <x:c r="G231" s="3"/>
      <x:c r="H231" s="3"/>
      <x:c r="I231" s="20"/>
      <x:c r="J231" s="3"/>
      <x:c r="K231" s="22"/>
      <x:c r="L231" s="22"/>
      <x:c r="M231" s="24" t="str">
        <x:f>IF(A231="","",IF(COUNTIFS('执行日志'!$B$7:$B$306,A231)=0,"",IF(COUNTIFS('执行日志'!$B$7:$B$306,A231,'执行日志'!$L$7:$L$306,"有效",'执行日志'!$P$7:$P$306,"&lt;&gt;有效输入")&gt;0,"待核对",IF(COUNTIFS('执行日志'!$B$7:$B$306,A231,'执行日志'!$P$7:$P$306,"有效输入")=0,"",SUMIFS('执行日志'!$H$7:$H$306,'执行日志'!$B$7:$B$306,A231,'执行日志'!$P$7:$P$306,"有效输入")))))</x:f>
      </x:c>
      <x:c r="N231" s="24" t="str">
        <x:f>IF(A231="","",IF(COUNTIFS('执行日志'!$B$7:$B$306,A231)=0,"",IF(COUNTIFS('执行日志'!$B$7:$B$306,A231,'执行日志'!$L$7:$L$306,"有效",'执行日志'!$P$7:$P$306,"&lt;&gt;有效输入")&gt;0,"待核对",IF(COUNTIFS('执行日志'!$B$7:$B$306,A231,'执行日志'!$P$7:$P$306,"有效输入")=0,"",SUMIFS('执行日志'!$J$7:$J$306,'执行日志'!$B$7:$B$306,A231,'执行日志'!$P$7:$P$306,"有效输入")))))</x:f>
      </x:c>
      <x:c r="O231" s="24" t="str">
        <x:f>IF(A231="","",IF(NOT(ISNUMBER(K231)),"待定预算",IF(NOT(ISNUMBER(M231)),"暂无有效流水",K231-M231)))</x:f>
      </x:c>
      <x:c r="P231" s="24" t="str">
        <x:f>IF(A231="","",IF(NOT(ISNUMBER(L231)),"待定预算",IF(NOT(ISNUMBER(N231)),"暂无有效流水",L231-N231)))</x:f>
      </x:c>
      <x:c r="Q231" s="19" t="str">
        <x:f>IF(A231="","",IF(D231="已结案","已结案",IF(NOT(ISNUMBER(I231)),"待定复盘日",IF(NOT(ISNUMBER($B$3)),"待定评估日",IF(I231&lt;=$B$3,"应复盘","未到期")))))</x:f>
      </x:c>
      <x:c r="R231" s="19" t="str">
        <x:f>IF(A231="","",IF(COUNTIFS($A$7:$A$306,A231)&lt;&gt;1,"问题编号重复",IF(OR(B231="",C231="",D231="",G231="",S231=""),"待补基础信息",IF(AND(F231&lt;&gt;"",COUNTIFS('方案版本'!$A$7:$A$306,F231,'方案版本'!$B$7:$B$306,A231,'方案版本'!$L$7:$L$306,"已冻结")&lt;&gt;1),"当前方案引用无效",IF(AND(D231="执行中",F231=""),"执行缺方案",IF(AND(D231="已结案",OR(T231="",COUNTIFS('复盘记录'!$B$7:$B$306,A231)=0,COUNTIFS('更新日志'!$B$7:$B$306,A231)=0)),"结案资料待补","基础记录齐备"))))))</x:f>
      </x:c>
      <x:c r="S231" s="3"/>
      <x:c r="T231" s="3"/>
    </x:row>
    <x:row r="232" ht="25" customHeight="1">
      <x:c r="A232" s="3"/>
      <x:c r="B232" s="3"/>
      <x:c r="C232" s="3"/>
      <x:c r="D232" s="3"/>
      <x:c r="E232" s="3"/>
      <x:c r="F232" s="3"/>
      <x:c r="G232" s="3"/>
      <x:c r="H232" s="3"/>
      <x:c r="I232" s="20"/>
      <x:c r="J232" s="3"/>
      <x:c r="K232" s="22"/>
      <x:c r="L232" s="22"/>
      <x:c r="M232" s="24" t="str">
        <x:f>IF(A232="","",IF(COUNTIFS('执行日志'!$B$7:$B$306,A232)=0,"",IF(COUNTIFS('执行日志'!$B$7:$B$306,A232,'执行日志'!$L$7:$L$306,"有效",'执行日志'!$P$7:$P$306,"&lt;&gt;有效输入")&gt;0,"待核对",IF(COUNTIFS('执行日志'!$B$7:$B$306,A232,'执行日志'!$P$7:$P$306,"有效输入")=0,"",SUMIFS('执行日志'!$H$7:$H$306,'执行日志'!$B$7:$B$306,A232,'执行日志'!$P$7:$P$306,"有效输入")))))</x:f>
      </x:c>
      <x:c r="N232" s="24" t="str">
        <x:f>IF(A232="","",IF(COUNTIFS('执行日志'!$B$7:$B$306,A232)=0,"",IF(COUNTIFS('执行日志'!$B$7:$B$306,A232,'执行日志'!$L$7:$L$306,"有效",'执行日志'!$P$7:$P$306,"&lt;&gt;有效输入")&gt;0,"待核对",IF(COUNTIFS('执行日志'!$B$7:$B$306,A232,'执行日志'!$P$7:$P$306,"有效输入")=0,"",SUMIFS('执行日志'!$J$7:$J$306,'执行日志'!$B$7:$B$306,A232,'执行日志'!$P$7:$P$306,"有效输入")))))</x:f>
      </x:c>
      <x:c r="O232" s="24" t="str">
        <x:f>IF(A232="","",IF(NOT(ISNUMBER(K232)),"待定预算",IF(NOT(ISNUMBER(M232)),"暂无有效流水",K232-M232)))</x:f>
      </x:c>
      <x:c r="P232" s="24" t="str">
        <x:f>IF(A232="","",IF(NOT(ISNUMBER(L232)),"待定预算",IF(NOT(ISNUMBER(N232)),"暂无有效流水",L232-N232)))</x:f>
      </x:c>
      <x:c r="Q232" s="19" t="str">
        <x:f>IF(A232="","",IF(D232="已结案","已结案",IF(NOT(ISNUMBER(I232)),"待定复盘日",IF(NOT(ISNUMBER($B$3)),"待定评估日",IF(I232&lt;=$B$3,"应复盘","未到期")))))</x:f>
      </x:c>
      <x:c r="R232" s="19" t="str">
        <x:f>IF(A232="","",IF(COUNTIFS($A$7:$A$306,A232)&lt;&gt;1,"问题编号重复",IF(OR(B232="",C232="",D232="",G232="",S232=""),"待补基础信息",IF(AND(F232&lt;&gt;"",COUNTIFS('方案版本'!$A$7:$A$306,F232,'方案版本'!$B$7:$B$306,A232,'方案版本'!$L$7:$L$306,"已冻结")&lt;&gt;1),"当前方案引用无效",IF(AND(D232="执行中",F232=""),"执行缺方案",IF(AND(D232="已结案",OR(T232="",COUNTIFS('复盘记录'!$B$7:$B$306,A232)=0,COUNTIFS('更新日志'!$B$7:$B$306,A232)=0)),"结案资料待补","基础记录齐备"))))))</x:f>
      </x:c>
      <x:c r="S232" s="3"/>
      <x:c r="T232" s="3"/>
    </x:row>
    <x:row r="233" ht="25" customHeight="1">
      <x:c r="A233" s="3"/>
      <x:c r="B233" s="3"/>
      <x:c r="C233" s="3"/>
      <x:c r="D233" s="3"/>
      <x:c r="E233" s="3"/>
      <x:c r="F233" s="3"/>
      <x:c r="G233" s="3"/>
      <x:c r="H233" s="3"/>
      <x:c r="I233" s="20"/>
      <x:c r="J233" s="3"/>
      <x:c r="K233" s="22"/>
      <x:c r="L233" s="22"/>
      <x:c r="M233" s="24" t="str">
        <x:f>IF(A233="","",IF(COUNTIFS('执行日志'!$B$7:$B$306,A233)=0,"",IF(COUNTIFS('执行日志'!$B$7:$B$306,A233,'执行日志'!$L$7:$L$306,"有效",'执行日志'!$P$7:$P$306,"&lt;&gt;有效输入")&gt;0,"待核对",IF(COUNTIFS('执行日志'!$B$7:$B$306,A233,'执行日志'!$P$7:$P$306,"有效输入")=0,"",SUMIFS('执行日志'!$H$7:$H$306,'执行日志'!$B$7:$B$306,A233,'执行日志'!$P$7:$P$306,"有效输入")))))</x:f>
      </x:c>
      <x:c r="N233" s="24" t="str">
        <x:f>IF(A233="","",IF(COUNTIFS('执行日志'!$B$7:$B$306,A233)=0,"",IF(COUNTIFS('执行日志'!$B$7:$B$306,A233,'执行日志'!$L$7:$L$306,"有效",'执行日志'!$P$7:$P$306,"&lt;&gt;有效输入")&gt;0,"待核对",IF(COUNTIFS('执行日志'!$B$7:$B$306,A233,'执行日志'!$P$7:$P$306,"有效输入")=0,"",SUMIFS('执行日志'!$J$7:$J$306,'执行日志'!$B$7:$B$306,A233,'执行日志'!$P$7:$P$306,"有效输入")))))</x:f>
      </x:c>
      <x:c r="O233" s="24" t="str">
        <x:f>IF(A233="","",IF(NOT(ISNUMBER(K233)),"待定预算",IF(NOT(ISNUMBER(M233)),"暂无有效流水",K233-M233)))</x:f>
      </x:c>
      <x:c r="P233" s="24" t="str">
        <x:f>IF(A233="","",IF(NOT(ISNUMBER(L233)),"待定预算",IF(NOT(ISNUMBER(N233)),"暂无有效流水",L233-N233)))</x:f>
      </x:c>
      <x:c r="Q233" s="19" t="str">
        <x:f>IF(A233="","",IF(D233="已结案","已结案",IF(NOT(ISNUMBER(I233)),"待定复盘日",IF(NOT(ISNUMBER($B$3)),"待定评估日",IF(I233&lt;=$B$3,"应复盘","未到期")))))</x:f>
      </x:c>
      <x:c r="R233" s="19" t="str">
        <x:f>IF(A233="","",IF(COUNTIFS($A$7:$A$306,A233)&lt;&gt;1,"问题编号重复",IF(OR(B233="",C233="",D233="",G233="",S233=""),"待补基础信息",IF(AND(F233&lt;&gt;"",COUNTIFS('方案版本'!$A$7:$A$306,F233,'方案版本'!$B$7:$B$306,A233,'方案版本'!$L$7:$L$306,"已冻结")&lt;&gt;1),"当前方案引用无效",IF(AND(D233="执行中",F233=""),"执行缺方案",IF(AND(D233="已结案",OR(T233="",COUNTIFS('复盘记录'!$B$7:$B$306,A233)=0,COUNTIFS('更新日志'!$B$7:$B$306,A233)=0)),"结案资料待补","基础记录齐备"))))))</x:f>
      </x:c>
      <x:c r="S233" s="3"/>
      <x:c r="T233" s="3"/>
    </x:row>
    <x:row r="234" ht="25" customHeight="1">
      <x:c r="A234" s="3"/>
      <x:c r="B234" s="3"/>
      <x:c r="C234" s="3"/>
      <x:c r="D234" s="3"/>
      <x:c r="E234" s="3"/>
      <x:c r="F234" s="3"/>
      <x:c r="G234" s="3"/>
      <x:c r="H234" s="3"/>
      <x:c r="I234" s="20"/>
      <x:c r="J234" s="3"/>
      <x:c r="K234" s="22"/>
      <x:c r="L234" s="22"/>
      <x:c r="M234" s="24" t="str">
        <x:f>IF(A234="","",IF(COUNTIFS('执行日志'!$B$7:$B$306,A234)=0,"",IF(COUNTIFS('执行日志'!$B$7:$B$306,A234,'执行日志'!$L$7:$L$306,"有效",'执行日志'!$P$7:$P$306,"&lt;&gt;有效输入")&gt;0,"待核对",IF(COUNTIFS('执行日志'!$B$7:$B$306,A234,'执行日志'!$P$7:$P$306,"有效输入")=0,"",SUMIFS('执行日志'!$H$7:$H$306,'执行日志'!$B$7:$B$306,A234,'执行日志'!$P$7:$P$306,"有效输入")))))</x:f>
      </x:c>
      <x:c r="N234" s="24" t="str">
        <x:f>IF(A234="","",IF(COUNTIFS('执行日志'!$B$7:$B$306,A234)=0,"",IF(COUNTIFS('执行日志'!$B$7:$B$306,A234,'执行日志'!$L$7:$L$306,"有效",'执行日志'!$P$7:$P$306,"&lt;&gt;有效输入")&gt;0,"待核对",IF(COUNTIFS('执行日志'!$B$7:$B$306,A234,'执行日志'!$P$7:$P$306,"有效输入")=0,"",SUMIFS('执行日志'!$J$7:$J$306,'执行日志'!$B$7:$B$306,A234,'执行日志'!$P$7:$P$306,"有效输入")))))</x:f>
      </x:c>
      <x:c r="O234" s="24" t="str">
        <x:f>IF(A234="","",IF(NOT(ISNUMBER(K234)),"待定预算",IF(NOT(ISNUMBER(M234)),"暂无有效流水",K234-M234)))</x:f>
      </x:c>
      <x:c r="P234" s="24" t="str">
        <x:f>IF(A234="","",IF(NOT(ISNUMBER(L234)),"待定预算",IF(NOT(ISNUMBER(N234)),"暂无有效流水",L234-N234)))</x:f>
      </x:c>
      <x:c r="Q234" s="19" t="str">
        <x:f>IF(A234="","",IF(D234="已结案","已结案",IF(NOT(ISNUMBER(I234)),"待定复盘日",IF(NOT(ISNUMBER($B$3)),"待定评估日",IF(I234&lt;=$B$3,"应复盘","未到期")))))</x:f>
      </x:c>
      <x:c r="R234" s="19" t="str">
        <x:f>IF(A234="","",IF(COUNTIFS($A$7:$A$306,A234)&lt;&gt;1,"问题编号重复",IF(OR(B234="",C234="",D234="",G234="",S234=""),"待补基础信息",IF(AND(F234&lt;&gt;"",COUNTIFS('方案版本'!$A$7:$A$306,F234,'方案版本'!$B$7:$B$306,A234,'方案版本'!$L$7:$L$306,"已冻结")&lt;&gt;1),"当前方案引用无效",IF(AND(D234="执行中",F234=""),"执行缺方案",IF(AND(D234="已结案",OR(T234="",COUNTIFS('复盘记录'!$B$7:$B$306,A234)=0,COUNTIFS('更新日志'!$B$7:$B$306,A234)=0)),"结案资料待补","基础记录齐备"))))))</x:f>
      </x:c>
      <x:c r="S234" s="3"/>
      <x:c r="T234" s="3"/>
    </x:row>
    <x:row r="235" ht="25" customHeight="1">
      <x:c r="A235" s="3"/>
      <x:c r="B235" s="3"/>
      <x:c r="C235" s="3"/>
      <x:c r="D235" s="3"/>
      <x:c r="E235" s="3"/>
      <x:c r="F235" s="3"/>
      <x:c r="G235" s="3"/>
      <x:c r="H235" s="3"/>
      <x:c r="I235" s="20"/>
      <x:c r="J235" s="3"/>
      <x:c r="K235" s="22"/>
      <x:c r="L235" s="22"/>
      <x:c r="M235" s="24" t="str">
        <x:f>IF(A235="","",IF(COUNTIFS('执行日志'!$B$7:$B$306,A235)=0,"",IF(COUNTIFS('执行日志'!$B$7:$B$306,A235,'执行日志'!$L$7:$L$306,"有效",'执行日志'!$P$7:$P$306,"&lt;&gt;有效输入")&gt;0,"待核对",IF(COUNTIFS('执行日志'!$B$7:$B$306,A235,'执行日志'!$P$7:$P$306,"有效输入")=0,"",SUMIFS('执行日志'!$H$7:$H$306,'执行日志'!$B$7:$B$306,A235,'执行日志'!$P$7:$P$306,"有效输入")))))</x:f>
      </x:c>
      <x:c r="N235" s="24" t="str">
        <x:f>IF(A235="","",IF(COUNTIFS('执行日志'!$B$7:$B$306,A235)=0,"",IF(COUNTIFS('执行日志'!$B$7:$B$306,A235,'执行日志'!$L$7:$L$306,"有效",'执行日志'!$P$7:$P$306,"&lt;&gt;有效输入")&gt;0,"待核对",IF(COUNTIFS('执行日志'!$B$7:$B$306,A235,'执行日志'!$P$7:$P$306,"有效输入")=0,"",SUMIFS('执行日志'!$J$7:$J$306,'执行日志'!$B$7:$B$306,A235,'执行日志'!$P$7:$P$306,"有效输入")))))</x:f>
      </x:c>
      <x:c r="O235" s="24" t="str">
        <x:f>IF(A235="","",IF(NOT(ISNUMBER(K235)),"待定预算",IF(NOT(ISNUMBER(M235)),"暂无有效流水",K235-M235)))</x:f>
      </x:c>
      <x:c r="P235" s="24" t="str">
        <x:f>IF(A235="","",IF(NOT(ISNUMBER(L235)),"待定预算",IF(NOT(ISNUMBER(N235)),"暂无有效流水",L235-N235)))</x:f>
      </x:c>
      <x:c r="Q235" s="19" t="str">
        <x:f>IF(A235="","",IF(D235="已结案","已结案",IF(NOT(ISNUMBER(I235)),"待定复盘日",IF(NOT(ISNUMBER($B$3)),"待定评估日",IF(I235&lt;=$B$3,"应复盘","未到期")))))</x:f>
      </x:c>
      <x:c r="R235" s="19" t="str">
        <x:f>IF(A235="","",IF(COUNTIFS($A$7:$A$306,A235)&lt;&gt;1,"问题编号重复",IF(OR(B235="",C235="",D235="",G235="",S235=""),"待补基础信息",IF(AND(F235&lt;&gt;"",COUNTIFS('方案版本'!$A$7:$A$306,F235,'方案版本'!$B$7:$B$306,A235,'方案版本'!$L$7:$L$306,"已冻结")&lt;&gt;1),"当前方案引用无效",IF(AND(D235="执行中",F235=""),"执行缺方案",IF(AND(D235="已结案",OR(T235="",COUNTIFS('复盘记录'!$B$7:$B$306,A235)=0,COUNTIFS('更新日志'!$B$7:$B$306,A235)=0)),"结案资料待补","基础记录齐备"))))))</x:f>
      </x:c>
      <x:c r="S235" s="3"/>
      <x:c r="T235" s="3"/>
    </x:row>
    <x:row r="236" ht="25" customHeight="1">
      <x:c r="A236" s="3"/>
      <x:c r="B236" s="3"/>
      <x:c r="C236" s="3"/>
      <x:c r="D236" s="3"/>
      <x:c r="E236" s="3"/>
      <x:c r="F236" s="3"/>
      <x:c r="G236" s="3"/>
      <x:c r="H236" s="3"/>
      <x:c r="I236" s="20"/>
      <x:c r="J236" s="3"/>
      <x:c r="K236" s="22"/>
      <x:c r="L236" s="22"/>
      <x:c r="M236" s="24" t="str">
        <x:f>IF(A236="","",IF(COUNTIFS('执行日志'!$B$7:$B$306,A236)=0,"",IF(COUNTIFS('执行日志'!$B$7:$B$306,A236,'执行日志'!$L$7:$L$306,"有效",'执行日志'!$P$7:$P$306,"&lt;&gt;有效输入")&gt;0,"待核对",IF(COUNTIFS('执行日志'!$B$7:$B$306,A236,'执行日志'!$P$7:$P$306,"有效输入")=0,"",SUMIFS('执行日志'!$H$7:$H$306,'执行日志'!$B$7:$B$306,A236,'执行日志'!$P$7:$P$306,"有效输入")))))</x:f>
      </x:c>
      <x:c r="N236" s="24" t="str">
        <x:f>IF(A236="","",IF(COUNTIFS('执行日志'!$B$7:$B$306,A236)=0,"",IF(COUNTIFS('执行日志'!$B$7:$B$306,A236,'执行日志'!$L$7:$L$306,"有效",'执行日志'!$P$7:$P$306,"&lt;&gt;有效输入")&gt;0,"待核对",IF(COUNTIFS('执行日志'!$B$7:$B$306,A236,'执行日志'!$P$7:$P$306,"有效输入")=0,"",SUMIFS('执行日志'!$J$7:$J$306,'执行日志'!$B$7:$B$306,A236,'执行日志'!$P$7:$P$306,"有效输入")))))</x:f>
      </x:c>
      <x:c r="O236" s="24" t="str">
        <x:f>IF(A236="","",IF(NOT(ISNUMBER(K236)),"待定预算",IF(NOT(ISNUMBER(M236)),"暂无有效流水",K236-M236)))</x:f>
      </x:c>
      <x:c r="P236" s="24" t="str">
        <x:f>IF(A236="","",IF(NOT(ISNUMBER(L236)),"待定预算",IF(NOT(ISNUMBER(N236)),"暂无有效流水",L236-N236)))</x:f>
      </x:c>
      <x:c r="Q236" s="19" t="str">
        <x:f>IF(A236="","",IF(D236="已结案","已结案",IF(NOT(ISNUMBER(I236)),"待定复盘日",IF(NOT(ISNUMBER($B$3)),"待定评估日",IF(I236&lt;=$B$3,"应复盘","未到期")))))</x:f>
      </x:c>
      <x:c r="R236" s="19" t="str">
        <x:f>IF(A236="","",IF(COUNTIFS($A$7:$A$306,A236)&lt;&gt;1,"问题编号重复",IF(OR(B236="",C236="",D236="",G236="",S236=""),"待补基础信息",IF(AND(F236&lt;&gt;"",COUNTIFS('方案版本'!$A$7:$A$306,F236,'方案版本'!$B$7:$B$306,A236,'方案版本'!$L$7:$L$306,"已冻结")&lt;&gt;1),"当前方案引用无效",IF(AND(D236="执行中",F236=""),"执行缺方案",IF(AND(D236="已结案",OR(T236="",COUNTIFS('复盘记录'!$B$7:$B$306,A236)=0,COUNTIFS('更新日志'!$B$7:$B$306,A236)=0)),"结案资料待补","基础记录齐备"))))))</x:f>
      </x:c>
      <x:c r="S236" s="3"/>
      <x:c r="T236" s="3"/>
    </x:row>
    <x:row r="237" ht="25" customHeight="1">
      <x:c r="A237" s="3"/>
      <x:c r="B237" s="3"/>
      <x:c r="C237" s="3"/>
      <x:c r="D237" s="3"/>
      <x:c r="E237" s="3"/>
      <x:c r="F237" s="3"/>
      <x:c r="G237" s="3"/>
      <x:c r="H237" s="3"/>
      <x:c r="I237" s="20"/>
      <x:c r="J237" s="3"/>
      <x:c r="K237" s="22"/>
      <x:c r="L237" s="22"/>
      <x:c r="M237" s="24" t="str">
        <x:f>IF(A237="","",IF(COUNTIFS('执行日志'!$B$7:$B$306,A237)=0,"",IF(COUNTIFS('执行日志'!$B$7:$B$306,A237,'执行日志'!$L$7:$L$306,"有效",'执行日志'!$P$7:$P$306,"&lt;&gt;有效输入")&gt;0,"待核对",IF(COUNTIFS('执行日志'!$B$7:$B$306,A237,'执行日志'!$P$7:$P$306,"有效输入")=0,"",SUMIFS('执行日志'!$H$7:$H$306,'执行日志'!$B$7:$B$306,A237,'执行日志'!$P$7:$P$306,"有效输入")))))</x:f>
      </x:c>
      <x:c r="N237" s="24" t="str">
        <x:f>IF(A237="","",IF(COUNTIFS('执行日志'!$B$7:$B$306,A237)=0,"",IF(COUNTIFS('执行日志'!$B$7:$B$306,A237,'执行日志'!$L$7:$L$306,"有效",'执行日志'!$P$7:$P$306,"&lt;&gt;有效输入")&gt;0,"待核对",IF(COUNTIFS('执行日志'!$B$7:$B$306,A237,'执行日志'!$P$7:$P$306,"有效输入")=0,"",SUMIFS('执行日志'!$J$7:$J$306,'执行日志'!$B$7:$B$306,A237,'执行日志'!$P$7:$P$306,"有效输入")))))</x:f>
      </x:c>
      <x:c r="O237" s="24" t="str">
        <x:f>IF(A237="","",IF(NOT(ISNUMBER(K237)),"待定预算",IF(NOT(ISNUMBER(M237)),"暂无有效流水",K237-M237)))</x:f>
      </x:c>
      <x:c r="P237" s="24" t="str">
        <x:f>IF(A237="","",IF(NOT(ISNUMBER(L237)),"待定预算",IF(NOT(ISNUMBER(N237)),"暂无有效流水",L237-N237)))</x:f>
      </x:c>
      <x:c r="Q237" s="19" t="str">
        <x:f>IF(A237="","",IF(D237="已结案","已结案",IF(NOT(ISNUMBER(I237)),"待定复盘日",IF(NOT(ISNUMBER($B$3)),"待定评估日",IF(I237&lt;=$B$3,"应复盘","未到期")))))</x:f>
      </x:c>
      <x:c r="R237" s="19" t="str">
        <x:f>IF(A237="","",IF(COUNTIFS($A$7:$A$306,A237)&lt;&gt;1,"问题编号重复",IF(OR(B237="",C237="",D237="",G237="",S237=""),"待补基础信息",IF(AND(F237&lt;&gt;"",COUNTIFS('方案版本'!$A$7:$A$306,F237,'方案版本'!$B$7:$B$306,A237,'方案版本'!$L$7:$L$306,"已冻结")&lt;&gt;1),"当前方案引用无效",IF(AND(D237="执行中",F237=""),"执行缺方案",IF(AND(D237="已结案",OR(T237="",COUNTIFS('复盘记录'!$B$7:$B$306,A237)=0,COUNTIFS('更新日志'!$B$7:$B$306,A237)=0)),"结案资料待补","基础记录齐备"))))))</x:f>
      </x:c>
      <x:c r="S237" s="3"/>
      <x:c r="T237" s="3"/>
    </x:row>
    <x:row r="238" ht="25" customHeight="1">
      <x:c r="A238" s="3"/>
      <x:c r="B238" s="3"/>
      <x:c r="C238" s="3"/>
      <x:c r="D238" s="3"/>
      <x:c r="E238" s="3"/>
      <x:c r="F238" s="3"/>
      <x:c r="G238" s="3"/>
      <x:c r="H238" s="3"/>
      <x:c r="I238" s="20"/>
      <x:c r="J238" s="3"/>
      <x:c r="K238" s="22"/>
      <x:c r="L238" s="22"/>
      <x:c r="M238" s="24" t="str">
        <x:f>IF(A238="","",IF(COUNTIFS('执行日志'!$B$7:$B$306,A238)=0,"",IF(COUNTIFS('执行日志'!$B$7:$B$306,A238,'执行日志'!$L$7:$L$306,"有效",'执行日志'!$P$7:$P$306,"&lt;&gt;有效输入")&gt;0,"待核对",IF(COUNTIFS('执行日志'!$B$7:$B$306,A238,'执行日志'!$P$7:$P$306,"有效输入")=0,"",SUMIFS('执行日志'!$H$7:$H$306,'执行日志'!$B$7:$B$306,A238,'执行日志'!$P$7:$P$306,"有效输入")))))</x:f>
      </x:c>
      <x:c r="N238" s="24" t="str">
        <x:f>IF(A238="","",IF(COUNTIFS('执行日志'!$B$7:$B$306,A238)=0,"",IF(COUNTIFS('执行日志'!$B$7:$B$306,A238,'执行日志'!$L$7:$L$306,"有效",'执行日志'!$P$7:$P$306,"&lt;&gt;有效输入")&gt;0,"待核对",IF(COUNTIFS('执行日志'!$B$7:$B$306,A238,'执行日志'!$P$7:$P$306,"有效输入")=0,"",SUMIFS('执行日志'!$J$7:$J$306,'执行日志'!$B$7:$B$306,A238,'执行日志'!$P$7:$P$306,"有效输入")))))</x:f>
      </x:c>
      <x:c r="O238" s="24" t="str">
        <x:f>IF(A238="","",IF(NOT(ISNUMBER(K238)),"待定预算",IF(NOT(ISNUMBER(M238)),"暂无有效流水",K238-M238)))</x:f>
      </x:c>
      <x:c r="P238" s="24" t="str">
        <x:f>IF(A238="","",IF(NOT(ISNUMBER(L238)),"待定预算",IF(NOT(ISNUMBER(N238)),"暂无有效流水",L238-N238)))</x:f>
      </x:c>
      <x:c r="Q238" s="19" t="str">
        <x:f>IF(A238="","",IF(D238="已结案","已结案",IF(NOT(ISNUMBER(I238)),"待定复盘日",IF(NOT(ISNUMBER($B$3)),"待定评估日",IF(I238&lt;=$B$3,"应复盘","未到期")))))</x:f>
      </x:c>
      <x:c r="R238" s="19" t="str">
        <x:f>IF(A238="","",IF(COUNTIFS($A$7:$A$306,A238)&lt;&gt;1,"问题编号重复",IF(OR(B238="",C238="",D238="",G238="",S238=""),"待补基础信息",IF(AND(F238&lt;&gt;"",COUNTIFS('方案版本'!$A$7:$A$306,F238,'方案版本'!$B$7:$B$306,A238,'方案版本'!$L$7:$L$306,"已冻结")&lt;&gt;1),"当前方案引用无效",IF(AND(D238="执行中",F238=""),"执行缺方案",IF(AND(D238="已结案",OR(T238="",COUNTIFS('复盘记录'!$B$7:$B$306,A238)=0,COUNTIFS('更新日志'!$B$7:$B$306,A238)=0)),"结案资料待补","基础记录齐备"))))))</x:f>
      </x:c>
      <x:c r="S238" s="3"/>
      <x:c r="T238" s="3"/>
    </x:row>
    <x:row r="239" ht="25" customHeight="1">
      <x:c r="A239" s="3"/>
      <x:c r="B239" s="3"/>
      <x:c r="C239" s="3"/>
      <x:c r="D239" s="3"/>
      <x:c r="E239" s="3"/>
      <x:c r="F239" s="3"/>
      <x:c r="G239" s="3"/>
      <x:c r="H239" s="3"/>
      <x:c r="I239" s="20"/>
      <x:c r="J239" s="3"/>
      <x:c r="K239" s="22"/>
      <x:c r="L239" s="22"/>
      <x:c r="M239" s="24" t="str">
        <x:f>IF(A239="","",IF(COUNTIFS('执行日志'!$B$7:$B$306,A239)=0,"",IF(COUNTIFS('执行日志'!$B$7:$B$306,A239,'执行日志'!$L$7:$L$306,"有效",'执行日志'!$P$7:$P$306,"&lt;&gt;有效输入")&gt;0,"待核对",IF(COUNTIFS('执行日志'!$B$7:$B$306,A239,'执行日志'!$P$7:$P$306,"有效输入")=0,"",SUMIFS('执行日志'!$H$7:$H$306,'执行日志'!$B$7:$B$306,A239,'执行日志'!$P$7:$P$306,"有效输入")))))</x:f>
      </x:c>
      <x:c r="N239" s="24" t="str">
        <x:f>IF(A239="","",IF(COUNTIFS('执行日志'!$B$7:$B$306,A239)=0,"",IF(COUNTIFS('执行日志'!$B$7:$B$306,A239,'执行日志'!$L$7:$L$306,"有效",'执行日志'!$P$7:$P$306,"&lt;&gt;有效输入")&gt;0,"待核对",IF(COUNTIFS('执行日志'!$B$7:$B$306,A239,'执行日志'!$P$7:$P$306,"有效输入")=0,"",SUMIFS('执行日志'!$J$7:$J$306,'执行日志'!$B$7:$B$306,A239,'执行日志'!$P$7:$P$306,"有效输入")))))</x:f>
      </x:c>
      <x:c r="O239" s="24" t="str">
        <x:f>IF(A239="","",IF(NOT(ISNUMBER(K239)),"待定预算",IF(NOT(ISNUMBER(M239)),"暂无有效流水",K239-M239)))</x:f>
      </x:c>
      <x:c r="P239" s="24" t="str">
        <x:f>IF(A239="","",IF(NOT(ISNUMBER(L239)),"待定预算",IF(NOT(ISNUMBER(N239)),"暂无有效流水",L239-N239)))</x:f>
      </x:c>
      <x:c r="Q239" s="19" t="str">
        <x:f>IF(A239="","",IF(D239="已结案","已结案",IF(NOT(ISNUMBER(I239)),"待定复盘日",IF(NOT(ISNUMBER($B$3)),"待定评估日",IF(I239&lt;=$B$3,"应复盘","未到期")))))</x:f>
      </x:c>
      <x:c r="R239" s="19" t="str">
        <x:f>IF(A239="","",IF(COUNTIFS($A$7:$A$306,A239)&lt;&gt;1,"问题编号重复",IF(OR(B239="",C239="",D239="",G239="",S239=""),"待补基础信息",IF(AND(F239&lt;&gt;"",COUNTIFS('方案版本'!$A$7:$A$306,F239,'方案版本'!$B$7:$B$306,A239,'方案版本'!$L$7:$L$306,"已冻结")&lt;&gt;1),"当前方案引用无效",IF(AND(D239="执行中",F239=""),"执行缺方案",IF(AND(D239="已结案",OR(T239="",COUNTIFS('复盘记录'!$B$7:$B$306,A239)=0,COUNTIFS('更新日志'!$B$7:$B$306,A239)=0)),"结案资料待补","基础记录齐备"))))))</x:f>
      </x:c>
      <x:c r="S239" s="3"/>
      <x:c r="T239" s="3"/>
    </x:row>
    <x:row r="240" ht="25" customHeight="1">
      <x:c r="A240" s="3"/>
      <x:c r="B240" s="3"/>
      <x:c r="C240" s="3"/>
      <x:c r="D240" s="3"/>
      <x:c r="E240" s="3"/>
      <x:c r="F240" s="3"/>
      <x:c r="G240" s="3"/>
      <x:c r="H240" s="3"/>
      <x:c r="I240" s="20"/>
      <x:c r="J240" s="3"/>
      <x:c r="K240" s="22"/>
      <x:c r="L240" s="22"/>
      <x:c r="M240" s="24" t="str">
        <x:f>IF(A240="","",IF(COUNTIFS('执行日志'!$B$7:$B$306,A240)=0,"",IF(COUNTIFS('执行日志'!$B$7:$B$306,A240,'执行日志'!$L$7:$L$306,"有效",'执行日志'!$P$7:$P$306,"&lt;&gt;有效输入")&gt;0,"待核对",IF(COUNTIFS('执行日志'!$B$7:$B$306,A240,'执行日志'!$P$7:$P$306,"有效输入")=0,"",SUMIFS('执行日志'!$H$7:$H$306,'执行日志'!$B$7:$B$306,A240,'执行日志'!$P$7:$P$306,"有效输入")))))</x:f>
      </x:c>
      <x:c r="N240" s="24" t="str">
        <x:f>IF(A240="","",IF(COUNTIFS('执行日志'!$B$7:$B$306,A240)=0,"",IF(COUNTIFS('执行日志'!$B$7:$B$306,A240,'执行日志'!$L$7:$L$306,"有效",'执行日志'!$P$7:$P$306,"&lt;&gt;有效输入")&gt;0,"待核对",IF(COUNTIFS('执行日志'!$B$7:$B$306,A240,'执行日志'!$P$7:$P$306,"有效输入")=0,"",SUMIFS('执行日志'!$J$7:$J$306,'执行日志'!$B$7:$B$306,A240,'执行日志'!$P$7:$P$306,"有效输入")))))</x:f>
      </x:c>
      <x:c r="O240" s="24" t="str">
        <x:f>IF(A240="","",IF(NOT(ISNUMBER(K240)),"待定预算",IF(NOT(ISNUMBER(M240)),"暂无有效流水",K240-M240)))</x:f>
      </x:c>
      <x:c r="P240" s="24" t="str">
        <x:f>IF(A240="","",IF(NOT(ISNUMBER(L240)),"待定预算",IF(NOT(ISNUMBER(N240)),"暂无有效流水",L240-N240)))</x:f>
      </x:c>
      <x:c r="Q240" s="19" t="str">
        <x:f>IF(A240="","",IF(D240="已结案","已结案",IF(NOT(ISNUMBER(I240)),"待定复盘日",IF(NOT(ISNUMBER($B$3)),"待定评估日",IF(I240&lt;=$B$3,"应复盘","未到期")))))</x:f>
      </x:c>
      <x:c r="R240" s="19" t="str">
        <x:f>IF(A240="","",IF(COUNTIFS($A$7:$A$306,A240)&lt;&gt;1,"问题编号重复",IF(OR(B240="",C240="",D240="",G240="",S240=""),"待补基础信息",IF(AND(F240&lt;&gt;"",COUNTIFS('方案版本'!$A$7:$A$306,F240,'方案版本'!$B$7:$B$306,A240,'方案版本'!$L$7:$L$306,"已冻结")&lt;&gt;1),"当前方案引用无效",IF(AND(D240="执行中",F240=""),"执行缺方案",IF(AND(D240="已结案",OR(T240="",COUNTIFS('复盘记录'!$B$7:$B$306,A240)=0,COUNTIFS('更新日志'!$B$7:$B$306,A240)=0)),"结案资料待补","基础记录齐备"))))))</x:f>
      </x:c>
      <x:c r="S240" s="3"/>
      <x:c r="T240" s="3"/>
    </x:row>
    <x:row r="241" ht="25" customHeight="1">
      <x:c r="A241" s="3"/>
      <x:c r="B241" s="3"/>
      <x:c r="C241" s="3"/>
      <x:c r="D241" s="3"/>
      <x:c r="E241" s="3"/>
      <x:c r="F241" s="3"/>
      <x:c r="G241" s="3"/>
      <x:c r="H241" s="3"/>
      <x:c r="I241" s="20"/>
      <x:c r="J241" s="3"/>
      <x:c r="K241" s="22"/>
      <x:c r="L241" s="22"/>
      <x:c r="M241" s="24" t="str">
        <x:f>IF(A241="","",IF(COUNTIFS('执行日志'!$B$7:$B$306,A241)=0,"",IF(COUNTIFS('执行日志'!$B$7:$B$306,A241,'执行日志'!$L$7:$L$306,"有效",'执行日志'!$P$7:$P$306,"&lt;&gt;有效输入")&gt;0,"待核对",IF(COUNTIFS('执行日志'!$B$7:$B$306,A241,'执行日志'!$P$7:$P$306,"有效输入")=0,"",SUMIFS('执行日志'!$H$7:$H$306,'执行日志'!$B$7:$B$306,A241,'执行日志'!$P$7:$P$306,"有效输入")))))</x:f>
      </x:c>
      <x:c r="N241" s="24" t="str">
        <x:f>IF(A241="","",IF(COUNTIFS('执行日志'!$B$7:$B$306,A241)=0,"",IF(COUNTIFS('执行日志'!$B$7:$B$306,A241,'执行日志'!$L$7:$L$306,"有效",'执行日志'!$P$7:$P$306,"&lt;&gt;有效输入")&gt;0,"待核对",IF(COUNTIFS('执行日志'!$B$7:$B$306,A241,'执行日志'!$P$7:$P$306,"有效输入")=0,"",SUMIFS('执行日志'!$J$7:$J$306,'执行日志'!$B$7:$B$306,A241,'执行日志'!$P$7:$P$306,"有效输入")))))</x:f>
      </x:c>
      <x:c r="O241" s="24" t="str">
        <x:f>IF(A241="","",IF(NOT(ISNUMBER(K241)),"待定预算",IF(NOT(ISNUMBER(M241)),"暂无有效流水",K241-M241)))</x:f>
      </x:c>
      <x:c r="P241" s="24" t="str">
        <x:f>IF(A241="","",IF(NOT(ISNUMBER(L241)),"待定预算",IF(NOT(ISNUMBER(N241)),"暂无有效流水",L241-N241)))</x:f>
      </x:c>
      <x:c r="Q241" s="19" t="str">
        <x:f>IF(A241="","",IF(D241="已结案","已结案",IF(NOT(ISNUMBER(I241)),"待定复盘日",IF(NOT(ISNUMBER($B$3)),"待定评估日",IF(I241&lt;=$B$3,"应复盘","未到期")))))</x:f>
      </x:c>
      <x:c r="R241" s="19" t="str">
        <x:f>IF(A241="","",IF(COUNTIFS($A$7:$A$306,A241)&lt;&gt;1,"问题编号重复",IF(OR(B241="",C241="",D241="",G241="",S241=""),"待补基础信息",IF(AND(F241&lt;&gt;"",COUNTIFS('方案版本'!$A$7:$A$306,F241,'方案版本'!$B$7:$B$306,A241,'方案版本'!$L$7:$L$306,"已冻结")&lt;&gt;1),"当前方案引用无效",IF(AND(D241="执行中",F241=""),"执行缺方案",IF(AND(D241="已结案",OR(T241="",COUNTIFS('复盘记录'!$B$7:$B$306,A241)=0,COUNTIFS('更新日志'!$B$7:$B$306,A241)=0)),"结案资料待补","基础记录齐备"))))))</x:f>
      </x:c>
      <x:c r="S241" s="3"/>
      <x:c r="T241" s="3"/>
    </x:row>
    <x:row r="242" ht="25" customHeight="1">
      <x:c r="A242" s="3"/>
      <x:c r="B242" s="3"/>
      <x:c r="C242" s="3"/>
      <x:c r="D242" s="3"/>
      <x:c r="E242" s="3"/>
      <x:c r="F242" s="3"/>
      <x:c r="G242" s="3"/>
      <x:c r="H242" s="3"/>
      <x:c r="I242" s="20"/>
      <x:c r="J242" s="3"/>
      <x:c r="K242" s="22"/>
      <x:c r="L242" s="22"/>
      <x:c r="M242" s="24" t="str">
        <x:f>IF(A242="","",IF(COUNTIFS('执行日志'!$B$7:$B$306,A242)=0,"",IF(COUNTIFS('执行日志'!$B$7:$B$306,A242,'执行日志'!$L$7:$L$306,"有效",'执行日志'!$P$7:$P$306,"&lt;&gt;有效输入")&gt;0,"待核对",IF(COUNTIFS('执行日志'!$B$7:$B$306,A242,'执行日志'!$P$7:$P$306,"有效输入")=0,"",SUMIFS('执行日志'!$H$7:$H$306,'执行日志'!$B$7:$B$306,A242,'执行日志'!$P$7:$P$306,"有效输入")))))</x:f>
      </x:c>
      <x:c r="N242" s="24" t="str">
        <x:f>IF(A242="","",IF(COUNTIFS('执行日志'!$B$7:$B$306,A242)=0,"",IF(COUNTIFS('执行日志'!$B$7:$B$306,A242,'执行日志'!$L$7:$L$306,"有效",'执行日志'!$P$7:$P$306,"&lt;&gt;有效输入")&gt;0,"待核对",IF(COUNTIFS('执行日志'!$B$7:$B$306,A242,'执行日志'!$P$7:$P$306,"有效输入")=0,"",SUMIFS('执行日志'!$J$7:$J$306,'执行日志'!$B$7:$B$306,A242,'执行日志'!$P$7:$P$306,"有效输入")))))</x:f>
      </x:c>
      <x:c r="O242" s="24" t="str">
        <x:f>IF(A242="","",IF(NOT(ISNUMBER(K242)),"待定预算",IF(NOT(ISNUMBER(M242)),"暂无有效流水",K242-M242)))</x:f>
      </x:c>
      <x:c r="P242" s="24" t="str">
        <x:f>IF(A242="","",IF(NOT(ISNUMBER(L242)),"待定预算",IF(NOT(ISNUMBER(N242)),"暂无有效流水",L242-N242)))</x:f>
      </x:c>
      <x:c r="Q242" s="19" t="str">
        <x:f>IF(A242="","",IF(D242="已结案","已结案",IF(NOT(ISNUMBER(I242)),"待定复盘日",IF(NOT(ISNUMBER($B$3)),"待定评估日",IF(I242&lt;=$B$3,"应复盘","未到期")))))</x:f>
      </x:c>
      <x:c r="R242" s="19" t="str">
        <x:f>IF(A242="","",IF(COUNTIFS($A$7:$A$306,A242)&lt;&gt;1,"问题编号重复",IF(OR(B242="",C242="",D242="",G242="",S242=""),"待补基础信息",IF(AND(F242&lt;&gt;"",COUNTIFS('方案版本'!$A$7:$A$306,F242,'方案版本'!$B$7:$B$306,A242,'方案版本'!$L$7:$L$306,"已冻结")&lt;&gt;1),"当前方案引用无效",IF(AND(D242="执行中",F242=""),"执行缺方案",IF(AND(D242="已结案",OR(T242="",COUNTIFS('复盘记录'!$B$7:$B$306,A242)=0,COUNTIFS('更新日志'!$B$7:$B$306,A242)=0)),"结案资料待补","基础记录齐备"))))))</x:f>
      </x:c>
      <x:c r="S242" s="3"/>
      <x:c r="T242" s="3"/>
    </x:row>
    <x:row r="243" ht="25" customHeight="1">
      <x:c r="A243" s="3"/>
      <x:c r="B243" s="3"/>
      <x:c r="C243" s="3"/>
      <x:c r="D243" s="3"/>
      <x:c r="E243" s="3"/>
      <x:c r="F243" s="3"/>
      <x:c r="G243" s="3"/>
      <x:c r="H243" s="3"/>
      <x:c r="I243" s="20"/>
      <x:c r="J243" s="3"/>
      <x:c r="K243" s="22"/>
      <x:c r="L243" s="22"/>
      <x:c r="M243" s="24" t="str">
        <x:f>IF(A243="","",IF(COUNTIFS('执行日志'!$B$7:$B$306,A243)=0,"",IF(COUNTIFS('执行日志'!$B$7:$B$306,A243,'执行日志'!$L$7:$L$306,"有效",'执行日志'!$P$7:$P$306,"&lt;&gt;有效输入")&gt;0,"待核对",IF(COUNTIFS('执行日志'!$B$7:$B$306,A243,'执行日志'!$P$7:$P$306,"有效输入")=0,"",SUMIFS('执行日志'!$H$7:$H$306,'执行日志'!$B$7:$B$306,A243,'执行日志'!$P$7:$P$306,"有效输入")))))</x:f>
      </x:c>
      <x:c r="N243" s="24" t="str">
        <x:f>IF(A243="","",IF(COUNTIFS('执行日志'!$B$7:$B$306,A243)=0,"",IF(COUNTIFS('执行日志'!$B$7:$B$306,A243,'执行日志'!$L$7:$L$306,"有效",'执行日志'!$P$7:$P$306,"&lt;&gt;有效输入")&gt;0,"待核对",IF(COUNTIFS('执行日志'!$B$7:$B$306,A243,'执行日志'!$P$7:$P$306,"有效输入")=0,"",SUMIFS('执行日志'!$J$7:$J$306,'执行日志'!$B$7:$B$306,A243,'执行日志'!$P$7:$P$306,"有效输入")))))</x:f>
      </x:c>
      <x:c r="O243" s="24" t="str">
        <x:f>IF(A243="","",IF(NOT(ISNUMBER(K243)),"待定预算",IF(NOT(ISNUMBER(M243)),"暂无有效流水",K243-M243)))</x:f>
      </x:c>
      <x:c r="P243" s="24" t="str">
        <x:f>IF(A243="","",IF(NOT(ISNUMBER(L243)),"待定预算",IF(NOT(ISNUMBER(N243)),"暂无有效流水",L243-N243)))</x:f>
      </x:c>
      <x:c r="Q243" s="19" t="str">
        <x:f>IF(A243="","",IF(D243="已结案","已结案",IF(NOT(ISNUMBER(I243)),"待定复盘日",IF(NOT(ISNUMBER($B$3)),"待定评估日",IF(I243&lt;=$B$3,"应复盘","未到期")))))</x:f>
      </x:c>
      <x:c r="R243" s="19" t="str">
        <x:f>IF(A243="","",IF(COUNTIFS($A$7:$A$306,A243)&lt;&gt;1,"问题编号重复",IF(OR(B243="",C243="",D243="",G243="",S243=""),"待补基础信息",IF(AND(F243&lt;&gt;"",COUNTIFS('方案版本'!$A$7:$A$306,F243,'方案版本'!$B$7:$B$306,A243,'方案版本'!$L$7:$L$306,"已冻结")&lt;&gt;1),"当前方案引用无效",IF(AND(D243="执行中",F243=""),"执行缺方案",IF(AND(D243="已结案",OR(T243="",COUNTIFS('复盘记录'!$B$7:$B$306,A243)=0,COUNTIFS('更新日志'!$B$7:$B$306,A243)=0)),"结案资料待补","基础记录齐备"))))))</x:f>
      </x:c>
      <x:c r="S243" s="3"/>
      <x:c r="T243" s="3"/>
    </x:row>
    <x:row r="244" ht="25" customHeight="1">
      <x:c r="A244" s="3"/>
      <x:c r="B244" s="3"/>
      <x:c r="C244" s="3"/>
      <x:c r="D244" s="3"/>
      <x:c r="E244" s="3"/>
      <x:c r="F244" s="3"/>
      <x:c r="G244" s="3"/>
      <x:c r="H244" s="3"/>
      <x:c r="I244" s="20"/>
      <x:c r="J244" s="3"/>
      <x:c r="K244" s="22"/>
      <x:c r="L244" s="22"/>
      <x:c r="M244" s="24" t="str">
        <x:f>IF(A244="","",IF(COUNTIFS('执行日志'!$B$7:$B$306,A244)=0,"",IF(COUNTIFS('执行日志'!$B$7:$B$306,A244,'执行日志'!$L$7:$L$306,"有效",'执行日志'!$P$7:$P$306,"&lt;&gt;有效输入")&gt;0,"待核对",IF(COUNTIFS('执行日志'!$B$7:$B$306,A244,'执行日志'!$P$7:$P$306,"有效输入")=0,"",SUMIFS('执行日志'!$H$7:$H$306,'执行日志'!$B$7:$B$306,A244,'执行日志'!$P$7:$P$306,"有效输入")))))</x:f>
      </x:c>
      <x:c r="N244" s="24" t="str">
        <x:f>IF(A244="","",IF(COUNTIFS('执行日志'!$B$7:$B$306,A244)=0,"",IF(COUNTIFS('执行日志'!$B$7:$B$306,A244,'执行日志'!$L$7:$L$306,"有效",'执行日志'!$P$7:$P$306,"&lt;&gt;有效输入")&gt;0,"待核对",IF(COUNTIFS('执行日志'!$B$7:$B$306,A244,'执行日志'!$P$7:$P$306,"有效输入")=0,"",SUMIFS('执行日志'!$J$7:$J$306,'执行日志'!$B$7:$B$306,A244,'执行日志'!$P$7:$P$306,"有效输入")))))</x:f>
      </x:c>
      <x:c r="O244" s="24" t="str">
        <x:f>IF(A244="","",IF(NOT(ISNUMBER(K244)),"待定预算",IF(NOT(ISNUMBER(M244)),"暂无有效流水",K244-M244)))</x:f>
      </x:c>
      <x:c r="P244" s="24" t="str">
        <x:f>IF(A244="","",IF(NOT(ISNUMBER(L244)),"待定预算",IF(NOT(ISNUMBER(N244)),"暂无有效流水",L244-N244)))</x:f>
      </x:c>
      <x:c r="Q244" s="19" t="str">
        <x:f>IF(A244="","",IF(D244="已结案","已结案",IF(NOT(ISNUMBER(I244)),"待定复盘日",IF(NOT(ISNUMBER($B$3)),"待定评估日",IF(I244&lt;=$B$3,"应复盘","未到期")))))</x:f>
      </x:c>
      <x:c r="R244" s="19" t="str">
        <x:f>IF(A244="","",IF(COUNTIFS($A$7:$A$306,A244)&lt;&gt;1,"问题编号重复",IF(OR(B244="",C244="",D244="",G244="",S244=""),"待补基础信息",IF(AND(F244&lt;&gt;"",COUNTIFS('方案版本'!$A$7:$A$306,F244,'方案版本'!$B$7:$B$306,A244,'方案版本'!$L$7:$L$306,"已冻结")&lt;&gt;1),"当前方案引用无效",IF(AND(D244="执行中",F244=""),"执行缺方案",IF(AND(D244="已结案",OR(T244="",COUNTIFS('复盘记录'!$B$7:$B$306,A244)=0,COUNTIFS('更新日志'!$B$7:$B$306,A244)=0)),"结案资料待补","基础记录齐备"))))))</x:f>
      </x:c>
      <x:c r="S244" s="3"/>
      <x:c r="T244" s="3"/>
    </x:row>
    <x:row r="245" ht="25" customHeight="1">
      <x:c r="A245" s="3"/>
      <x:c r="B245" s="3"/>
      <x:c r="C245" s="3"/>
      <x:c r="D245" s="3"/>
      <x:c r="E245" s="3"/>
      <x:c r="F245" s="3"/>
      <x:c r="G245" s="3"/>
      <x:c r="H245" s="3"/>
      <x:c r="I245" s="20"/>
      <x:c r="J245" s="3"/>
      <x:c r="K245" s="22"/>
      <x:c r="L245" s="22"/>
      <x:c r="M245" s="24" t="str">
        <x:f>IF(A245="","",IF(COUNTIFS('执行日志'!$B$7:$B$306,A245)=0,"",IF(COUNTIFS('执行日志'!$B$7:$B$306,A245,'执行日志'!$L$7:$L$306,"有效",'执行日志'!$P$7:$P$306,"&lt;&gt;有效输入")&gt;0,"待核对",IF(COUNTIFS('执行日志'!$B$7:$B$306,A245,'执行日志'!$P$7:$P$306,"有效输入")=0,"",SUMIFS('执行日志'!$H$7:$H$306,'执行日志'!$B$7:$B$306,A245,'执行日志'!$P$7:$P$306,"有效输入")))))</x:f>
      </x:c>
      <x:c r="N245" s="24" t="str">
        <x:f>IF(A245="","",IF(COUNTIFS('执行日志'!$B$7:$B$306,A245)=0,"",IF(COUNTIFS('执行日志'!$B$7:$B$306,A245,'执行日志'!$L$7:$L$306,"有效",'执行日志'!$P$7:$P$306,"&lt;&gt;有效输入")&gt;0,"待核对",IF(COUNTIFS('执行日志'!$B$7:$B$306,A245,'执行日志'!$P$7:$P$306,"有效输入")=0,"",SUMIFS('执行日志'!$J$7:$J$306,'执行日志'!$B$7:$B$306,A245,'执行日志'!$P$7:$P$306,"有效输入")))))</x:f>
      </x:c>
      <x:c r="O245" s="24" t="str">
        <x:f>IF(A245="","",IF(NOT(ISNUMBER(K245)),"待定预算",IF(NOT(ISNUMBER(M245)),"暂无有效流水",K245-M245)))</x:f>
      </x:c>
      <x:c r="P245" s="24" t="str">
        <x:f>IF(A245="","",IF(NOT(ISNUMBER(L245)),"待定预算",IF(NOT(ISNUMBER(N245)),"暂无有效流水",L245-N245)))</x:f>
      </x:c>
      <x:c r="Q245" s="19" t="str">
        <x:f>IF(A245="","",IF(D245="已结案","已结案",IF(NOT(ISNUMBER(I245)),"待定复盘日",IF(NOT(ISNUMBER($B$3)),"待定评估日",IF(I245&lt;=$B$3,"应复盘","未到期")))))</x:f>
      </x:c>
      <x:c r="R245" s="19" t="str">
        <x:f>IF(A245="","",IF(COUNTIFS($A$7:$A$306,A245)&lt;&gt;1,"问题编号重复",IF(OR(B245="",C245="",D245="",G245="",S245=""),"待补基础信息",IF(AND(F245&lt;&gt;"",COUNTIFS('方案版本'!$A$7:$A$306,F245,'方案版本'!$B$7:$B$306,A245,'方案版本'!$L$7:$L$306,"已冻结")&lt;&gt;1),"当前方案引用无效",IF(AND(D245="执行中",F245=""),"执行缺方案",IF(AND(D245="已结案",OR(T245="",COUNTIFS('复盘记录'!$B$7:$B$306,A245)=0,COUNTIFS('更新日志'!$B$7:$B$306,A245)=0)),"结案资料待补","基础记录齐备"))))))</x:f>
      </x:c>
      <x:c r="S245" s="3"/>
      <x:c r="T245" s="3"/>
    </x:row>
    <x:row r="246" ht="25" customHeight="1">
      <x:c r="A246" s="3"/>
      <x:c r="B246" s="3"/>
      <x:c r="C246" s="3"/>
      <x:c r="D246" s="3"/>
      <x:c r="E246" s="3"/>
      <x:c r="F246" s="3"/>
      <x:c r="G246" s="3"/>
      <x:c r="H246" s="3"/>
      <x:c r="I246" s="20"/>
      <x:c r="J246" s="3"/>
      <x:c r="K246" s="22"/>
      <x:c r="L246" s="22"/>
      <x:c r="M246" s="24" t="str">
        <x:f>IF(A246="","",IF(COUNTIFS('执行日志'!$B$7:$B$306,A246)=0,"",IF(COUNTIFS('执行日志'!$B$7:$B$306,A246,'执行日志'!$L$7:$L$306,"有效",'执行日志'!$P$7:$P$306,"&lt;&gt;有效输入")&gt;0,"待核对",IF(COUNTIFS('执行日志'!$B$7:$B$306,A246,'执行日志'!$P$7:$P$306,"有效输入")=0,"",SUMIFS('执行日志'!$H$7:$H$306,'执行日志'!$B$7:$B$306,A246,'执行日志'!$P$7:$P$306,"有效输入")))))</x:f>
      </x:c>
      <x:c r="N246" s="24" t="str">
        <x:f>IF(A246="","",IF(COUNTIFS('执行日志'!$B$7:$B$306,A246)=0,"",IF(COUNTIFS('执行日志'!$B$7:$B$306,A246,'执行日志'!$L$7:$L$306,"有效",'执行日志'!$P$7:$P$306,"&lt;&gt;有效输入")&gt;0,"待核对",IF(COUNTIFS('执行日志'!$B$7:$B$306,A246,'执行日志'!$P$7:$P$306,"有效输入")=0,"",SUMIFS('执行日志'!$J$7:$J$306,'执行日志'!$B$7:$B$306,A246,'执行日志'!$P$7:$P$306,"有效输入")))))</x:f>
      </x:c>
      <x:c r="O246" s="24" t="str">
        <x:f>IF(A246="","",IF(NOT(ISNUMBER(K246)),"待定预算",IF(NOT(ISNUMBER(M246)),"暂无有效流水",K246-M246)))</x:f>
      </x:c>
      <x:c r="P246" s="24" t="str">
        <x:f>IF(A246="","",IF(NOT(ISNUMBER(L246)),"待定预算",IF(NOT(ISNUMBER(N246)),"暂无有效流水",L246-N246)))</x:f>
      </x:c>
      <x:c r="Q246" s="19" t="str">
        <x:f>IF(A246="","",IF(D246="已结案","已结案",IF(NOT(ISNUMBER(I246)),"待定复盘日",IF(NOT(ISNUMBER($B$3)),"待定评估日",IF(I246&lt;=$B$3,"应复盘","未到期")))))</x:f>
      </x:c>
      <x:c r="R246" s="19" t="str">
        <x:f>IF(A246="","",IF(COUNTIFS($A$7:$A$306,A246)&lt;&gt;1,"问题编号重复",IF(OR(B246="",C246="",D246="",G246="",S246=""),"待补基础信息",IF(AND(F246&lt;&gt;"",COUNTIFS('方案版本'!$A$7:$A$306,F246,'方案版本'!$B$7:$B$306,A246,'方案版本'!$L$7:$L$306,"已冻结")&lt;&gt;1),"当前方案引用无效",IF(AND(D246="执行中",F246=""),"执行缺方案",IF(AND(D246="已结案",OR(T246="",COUNTIFS('复盘记录'!$B$7:$B$306,A246)=0,COUNTIFS('更新日志'!$B$7:$B$306,A246)=0)),"结案资料待补","基础记录齐备"))))))</x:f>
      </x:c>
      <x:c r="S246" s="3"/>
      <x:c r="T246" s="3"/>
    </x:row>
    <x:row r="247" ht="25" customHeight="1">
      <x:c r="A247" s="3"/>
      <x:c r="B247" s="3"/>
      <x:c r="C247" s="3"/>
      <x:c r="D247" s="3"/>
      <x:c r="E247" s="3"/>
      <x:c r="F247" s="3"/>
      <x:c r="G247" s="3"/>
      <x:c r="H247" s="3"/>
      <x:c r="I247" s="20"/>
      <x:c r="J247" s="3"/>
      <x:c r="K247" s="22"/>
      <x:c r="L247" s="22"/>
      <x:c r="M247" s="24" t="str">
        <x:f>IF(A247="","",IF(COUNTIFS('执行日志'!$B$7:$B$306,A247)=0,"",IF(COUNTIFS('执行日志'!$B$7:$B$306,A247,'执行日志'!$L$7:$L$306,"有效",'执行日志'!$P$7:$P$306,"&lt;&gt;有效输入")&gt;0,"待核对",IF(COUNTIFS('执行日志'!$B$7:$B$306,A247,'执行日志'!$P$7:$P$306,"有效输入")=0,"",SUMIFS('执行日志'!$H$7:$H$306,'执行日志'!$B$7:$B$306,A247,'执行日志'!$P$7:$P$306,"有效输入")))))</x:f>
      </x:c>
      <x:c r="N247" s="24" t="str">
        <x:f>IF(A247="","",IF(COUNTIFS('执行日志'!$B$7:$B$306,A247)=0,"",IF(COUNTIFS('执行日志'!$B$7:$B$306,A247,'执行日志'!$L$7:$L$306,"有效",'执行日志'!$P$7:$P$306,"&lt;&gt;有效输入")&gt;0,"待核对",IF(COUNTIFS('执行日志'!$B$7:$B$306,A247,'执行日志'!$P$7:$P$306,"有效输入")=0,"",SUMIFS('执行日志'!$J$7:$J$306,'执行日志'!$B$7:$B$306,A247,'执行日志'!$P$7:$P$306,"有效输入")))))</x:f>
      </x:c>
      <x:c r="O247" s="24" t="str">
        <x:f>IF(A247="","",IF(NOT(ISNUMBER(K247)),"待定预算",IF(NOT(ISNUMBER(M247)),"暂无有效流水",K247-M247)))</x:f>
      </x:c>
      <x:c r="P247" s="24" t="str">
        <x:f>IF(A247="","",IF(NOT(ISNUMBER(L247)),"待定预算",IF(NOT(ISNUMBER(N247)),"暂无有效流水",L247-N247)))</x:f>
      </x:c>
      <x:c r="Q247" s="19" t="str">
        <x:f>IF(A247="","",IF(D247="已结案","已结案",IF(NOT(ISNUMBER(I247)),"待定复盘日",IF(NOT(ISNUMBER($B$3)),"待定评估日",IF(I247&lt;=$B$3,"应复盘","未到期")))))</x:f>
      </x:c>
      <x:c r="R247" s="19" t="str">
        <x:f>IF(A247="","",IF(COUNTIFS($A$7:$A$306,A247)&lt;&gt;1,"问题编号重复",IF(OR(B247="",C247="",D247="",G247="",S247=""),"待补基础信息",IF(AND(F247&lt;&gt;"",COUNTIFS('方案版本'!$A$7:$A$306,F247,'方案版本'!$B$7:$B$306,A247,'方案版本'!$L$7:$L$306,"已冻结")&lt;&gt;1),"当前方案引用无效",IF(AND(D247="执行中",F247=""),"执行缺方案",IF(AND(D247="已结案",OR(T247="",COUNTIFS('复盘记录'!$B$7:$B$306,A247)=0,COUNTIFS('更新日志'!$B$7:$B$306,A247)=0)),"结案资料待补","基础记录齐备"))))))</x:f>
      </x:c>
      <x:c r="S247" s="3"/>
      <x:c r="T247" s="3"/>
    </x:row>
    <x:row r="248" ht="25" customHeight="1">
      <x:c r="A248" s="3"/>
      <x:c r="B248" s="3"/>
      <x:c r="C248" s="3"/>
      <x:c r="D248" s="3"/>
      <x:c r="E248" s="3"/>
      <x:c r="F248" s="3"/>
      <x:c r="G248" s="3"/>
      <x:c r="H248" s="3"/>
      <x:c r="I248" s="20"/>
      <x:c r="J248" s="3"/>
      <x:c r="K248" s="22"/>
      <x:c r="L248" s="22"/>
      <x:c r="M248" s="24" t="str">
        <x:f>IF(A248="","",IF(COUNTIFS('执行日志'!$B$7:$B$306,A248)=0,"",IF(COUNTIFS('执行日志'!$B$7:$B$306,A248,'执行日志'!$L$7:$L$306,"有效",'执行日志'!$P$7:$P$306,"&lt;&gt;有效输入")&gt;0,"待核对",IF(COUNTIFS('执行日志'!$B$7:$B$306,A248,'执行日志'!$P$7:$P$306,"有效输入")=0,"",SUMIFS('执行日志'!$H$7:$H$306,'执行日志'!$B$7:$B$306,A248,'执行日志'!$P$7:$P$306,"有效输入")))))</x:f>
      </x:c>
      <x:c r="N248" s="24" t="str">
        <x:f>IF(A248="","",IF(COUNTIFS('执行日志'!$B$7:$B$306,A248)=0,"",IF(COUNTIFS('执行日志'!$B$7:$B$306,A248,'执行日志'!$L$7:$L$306,"有效",'执行日志'!$P$7:$P$306,"&lt;&gt;有效输入")&gt;0,"待核对",IF(COUNTIFS('执行日志'!$B$7:$B$306,A248,'执行日志'!$P$7:$P$306,"有效输入")=0,"",SUMIFS('执行日志'!$J$7:$J$306,'执行日志'!$B$7:$B$306,A248,'执行日志'!$P$7:$P$306,"有效输入")))))</x:f>
      </x:c>
      <x:c r="O248" s="24" t="str">
        <x:f>IF(A248="","",IF(NOT(ISNUMBER(K248)),"待定预算",IF(NOT(ISNUMBER(M248)),"暂无有效流水",K248-M248)))</x:f>
      </x:c>
      <x:c r="P248" s="24" t="str">
        <x:f>IF(A248="","",IF(NOT(ISNUMBER(L248)),"待定预算",IF(NOT(ISNUMBER(N248)),"暂无有效流水",L248-N248)))</x:f>
      </x:c>
      <x:c r="Q248" s="19" t="str">
        <x:f>IF(A248="","",IF(D248="已结案","已结案",IF(NOT(ISNUMBER(I248)),"待定复盘日",IF(NOT(ISNUMBER($B$3)),"待定评估日",IF(I248&lt;=$B$3,"应复盘","未到期")))))</x:f>
      </x:c>
      <x:c r="R248" s="19" t="str">
        <x:f>IF(A248="","",IF(COUNTIFS($A$7:$A$306,A248)&lt;&gt;1,"问题编号重复",IF(OR(B248="",C248="",D248="",G248="",S248=""),"待补基础信息",IF(AND(F248&lt;&gt;"",COUNTIFS('方案版本'!$A$7:$A$306,F248,'方案版本'!$B$7:$B$306,A248,'方案版本'!$L$7:$L$306,"已冻结")&lt;&gt;1),"当前方案引用无效",IF(AND(D248="执行中",F248=""),"执行缺方案",IF(AND(D248="已结案",OR(T248="",COUNTIFS('复盘记录'!$B$7:$B$306,A248)=0,COUNTIFS('更新日志'!$B$7:$B$306,A248)=0)),"结案资料待补","基础记录齐备"))))))</x:f>
      </x:c>
      <x:c r="S248" s="3"/>
      <x:c r="T248" s="3"/>
    </x:row>
    <x:row r="249" ht="25" customHeight="1">
      <x:c r="A249" s="3"/>
      <x:c r="B249" s="3"/>
      <x:c r="C249" s="3"/>
      <x:c r="D249" s="3"/>
      <x:c r="E249" s="3"/>
      <x:c r="F249" s="3"/>
      <x:c r="G249" s="3"/>
      <x:c r="H249" s="3"/>
      <x:c r="I249" s="20"/>
      <x:c r="J249" s="3"/>
      <x:c r="K249" s="22"/>
      <x:c r="L249" s="22"/>
      <x:c r="M249" s="24" t="str">
        <x:f>IF(A249="","",IF(COUNTIFS('执行日志'!$B$7:$B$306,A249)=0,"",IF(COUNTIFS('执行日志'!$B$7:$B$306,A249,'执行日志'!$L$7:$L$306,"有效",'执行日志'!$P$7:$P$306,"&lt;&gt;有效输入")&gt;0,"待核对",IF(COUNTIFS('执行日志'!$B$7:$B$306,A249,'执行日志'!$P$7:$P$306,"有效输入")=0,"",SUMIFS('执行日志'!$H$7:$H$306,'执行日志'!$B$7:$B$306,A249,'执行日志'!$P$7:$P$306,"有效输入")))))</x:f>
      </x:c>
      <x:c r="N249" s="24" t="str">
        <x:f>IF(A249="","",IF(COUNTIFS('执行日志'!$B$7:$B$306,A249)=0,"",IF(COUNTIFS('执行日志'!$B$7:$B$306,A249,'执行日志'!$L$7:$L$306,"有效",'执行日志'!$P$7:$P$306,"&lt;&gt;有效输入")&gt;0,"待核对",IF(COUNTIFS('执行日志'!$B$7:$B$306,A249,'执行日志'!$P$7:$P$306,"有效输入")=0,"",SUMIFS('执行日志'!$J$7:$J$306,'执行日志'!$B$7:$B$306,A249,'执行日志'!$P$7:$P$306,"有效输入")))))</x:f>
      </x:c>
      <x:c r="O249" s="24" t="str">
        <x:f>IF(A249="","",IF(NOT(ISNUMBER(K249)),"待定预算",IF(NOT(ISNUMBER(M249)),"暂无有效流水",K249-M249)))</x:f>
      </x:c>
      <x:c r="P249" s="24" t="str">
        <x:f>IF(A249="","",IF(NOT(ISNUMBER(L249)),"待定预算",IF(NOT(ISNUMBER(N249)),"暂无有效流水",L249-N249)))</x:f>
      </x:c>
      <x:c r="Q249" s="19" t="str">
        <x:f>IF(A249="","",IF(D249="已结案","已结案",IF(NOT(ISNUMBER(I249)),"待定复盘日",IF(NOT(ISNUMBER($B$3)),"待定评估日",IF(I249&lt;=$B$3,"应复盘","未到期")))))</x:f>
      </x:c>
      <x:c r="R249" s="19" t="str">
        <x:f>IF(A249="","",IF(COUNTIFS($A$7:$A$306,A249)&lt;&gt;1,"问题编号重复",IF(OR(B249="",C249="",D249="",G249="",S249=""),"待补基础信息",IF(AND(F249&lt;&gt;"",COUNTIFS('方案版本'!$A$7:$A$306,F249,'方案版本'!$B$7:$B$306,A249,'方案版本'!$L$7:$L$306,"已冻结")&lt;&gt;1),"当前方案引用无效",IF(AND(D249="执行中",F249=""),"执行缺方案",IF(AND(D249="已结案",OR(T249="",COUNTIFS('复盘记录'!$B$7:$B$306,A249)=0,COUNTIFS('更新日志'!$B$7:$B$306,A249)=0)),"结案资料待补","基础记录齐备"))))))</x:f>
      </x:c>
      <x:c r="S249" s="3"/>
      <x:c r="T249" s="3"/>
    </x:row>
    <x:row r="250" ht="25" customHeight="1">
      <x:c r="A250" s="3"/>
      <x:c r="B250" s="3"/>
      <x:c r="C250" s="3"/>
      <x:c r="D250" s="3"/>
      <x:c r="E250" s="3"/>
      <x:c r="F250" s="3"/>
      <x:c r="G250" s="3"/>
      <x:c r="H250" s="3"/>
      <x:c r="I250" s="20"/>
      <x:c r="J250" s="3"/>
      <x:c r="K250" s="22"/>
      <x:c r="L250" s="22"/>
      <x:c r="M250" s="24" t="str">
        <x:f>IF(A250="","",IF(COUNTIFS('执行日志'!$B$7:$B$306,A250)=0,"",IF(COUNTIFS('执行日志'!$B$7:$B$306,A250,'执行日志'!$L$7:$L$306,"有效",'执行日志'!$P$7:$P$306,"&lt;&gt;有效输入")&gt;0,"待核对",IF(COUNTIFS('执行日志'!$B$7:$B$306,A250,'执行日志'!$P$7:$P$306,"有效输入")=0,"",SUMIFS('执行日志'!$H$7:$H$306,'执行日志'!$B$7:$B$306,A250,'执行日志'!$P$7:$P$306,"有效输入")))))</x:f>
      </x:c>
      <x:c r="N250" s="24" t="str">
        <x:f>IF(A250="","",IF(COUNTIFS('执行日志'!$B$7:$B$306,A250)=0,"",IF(COUNTIFS('执行日志'!$B$7:$B$306,A250,'执行日志'!$L$7:$L$306,"有效",'执行日志'!$P$7:$P$306,"&lt;&gt;有效输入")&gt;0,"待核对",IF(COUNTIFS('执行日志'!$B$7:$B$306,A250,'执行日志'!$P$7:$P$306,"有效输入")=0,"",SUMIFS('执行日志'!$J$7:$J$306,'执行日志'!$B$7:$B$306,A250,'执行日志'!$P$7:$P$306,"有效输入")))))</x:f>
      </x:c>
      <x:c r="O250" s="24" t="str">
        <x:f>IF(A250="","",IF(NOT(ISNUMBER(K250)),"待定预算",IF(NOT(ISNUMBER(M250)),"暂无有效流水",K250-M250)))</x:f>
      </x:c>
      <x:c r="P250" s="24" t="str">
        <x:f>IF(A250="","",IF(NOT(ISNUMBER(L250)),"待定预算",IF(NOT(ISNUMBER(N250)),"暂无有效流水",L250-N250)))</x:f>
      </x:c>
      <x:c r="Q250" s="19" t="str">
        <x:f>IF(A250="","",IF(D250="已结案","已结案",IF(NOT(ISNUMBER(I250)),"待定复盘日",IF(NOT(ISNUMBER($B$3)),"待定评估日",IF(I250&lt;=$B$3,"应复盘","未到期")))))</x:f>
      </x:c>
      <x:c r="R250" s="19" t="str">
        <x:f>IF(A250="","",IF(COUNTIFS($A$7:$A$306,A250)&lt;&gt;1,"问题编号重复",IF(OR(B250="",C250="",D250="",G250="",S250=""),"待补基础信息",IF(AND(F250&lt;&gt;"",COUNTIFS('方案版本'!$A$7:$A$306,F250,'方案版本'!$B$7:$B$306,A250,'方案版本'!$L$7:$L$306,"已冻结")&lt;&gt;1),"当前方案引用无效",IF(AND(D250="执行中",F250=""),"执行缺方案",IF(AND(D250="已结案",OR(T250="",COUNTIFS('复盘记录'!$B$7:$B$306,A250)=0,COUNTIFS('更新日志'!$B$7:$B$306,A250)=0)),"结案资料待补","基础记录齐备"))))))</x:f>
      </x:c>
      <x:c r="S250" s="3"/>
      <x:c r="T250" s="3"/>
    </x:row>
    <x:row r="251" ht="25" customHeight="1">
      <x:c r="A251" s="3"/>
      <x:c r="B251" s="3"/>
      <x:c r="C251" s="3"/>
      <x:c r="D251" s="3"/>
      <x:c r="E251" s="3"/>
      <x:c r="F251" s="3"/>
      <x:c r="G251" s="3"/>
      <x:c r="H251" s="3"/>
      <x:c r="I251" s="20"/>
      <x:c r="J251" s="3"/>
      <x:c r="K251" s="22"/>
      <x:c r="L251" s="22"/>
      <x:c r="M251" s="24" t="str">
        <x:f>IF(A251="","",IF(COUNTIFS('执行日志'!$B$7:$B$306,A251)=0,"",IF(COUNTIFS('执行日志'!$B$7:$B$306,A251,'执行日志'!$L$7:$L$306,"有效",'执行日志'!$P$7:$P$306,"&lt;&gt;有效输入")&gt;0,"待核对",IF(COUNTIFS('执行日志'!$B$7:$B$306,A251,'执行日志'!$P$7:$P$306,"有效输入")=0,"",SUMIFS('执行日志'!$H$7:$H$306,'执行日志'!$B$7:$B$306,A251,'执行日志'!$P$7:$P$306,"有效输入")))))</x:f>
      </x:c>
      <x:c r="N251" s="24" t="str">
        <x:f>IF(A251="","",IF(COUNTIFS('执行日志'!$B$7:$B$306,A251)=0,"",IF(COUNTIFS('执行日志'!$B$7:$B$306,A251,'执行日志'!$L$7:$L$306,"有效",'执行日志'!$P$7:$P$306,"&lt;&gt;有效输入")&gt;0,"待核对",IF(COUNTIFS('执行日志'!$B$7:$B$306,A251,'执行日志'!$P$7:$P$306,"有效输入")=0,"",SUMIFS('执行日志'!$J$7:$J$306,'执行日志'!$B$7:$B$306,A251,'执行日志'!$P$7:$P$306,"有效输入")))))</x:f>
      </x:c>
      <x:c r="O251" s="24" t="str">
        <x:f>IF(A251="","",IF(NOT(ISNUMBER(K251)),"待定预算",IF(NOT(ISNUMBER(M251)),"暂无有效流水",K251-M251)))</x:f>
      </x:c>
      <x:c r="P251" s="24" t="str">
        <x:f>IF(A251="","",IF(NOT(ISNUMBER(L251)),"待定预算",IF(NOT(ISNUMBER(N251)),"暂无有效流水",L251-N251)))</x:f>
      </x:c>
      <x:c r="Q251" s="19" t="str">
        <x:f>IF(A251="","",IF(D251="已结案","已结案",IF(NOT(ISNUMBER(I251)),"待定复盘日",IF(NOT(ISNUMBER($B$3)),"待定评估日",IF(I251&lt;=$B$3,"应复盘","未到期")))))</x:f>
      </x:c>
      <x:c r="R251" s="19" t="str">
        <x:f>IF(A251="","",IF(COUNTIFS($A$7:$A$306,A251)&lt;&gt;1,"问题编号重复",IF(OR(B251="",C251="",D251="",G251="",S251=""),"待补基础信息",IF(AND(F251&lt;&gt;"",COUNTIFS('方案版本'!$A$7:$A$306,F251,'方案版本'!$B$7:$B$306,A251,'方案版本'!$L$7:$L$306,"已冻结")&lt;&gt;1),"当前方案引用无效",IF(AND(D251="执行中",F251=""),"执行缺方案",IF(AND(D251="已结案",OR(T251="",COUNTIFS('复盘记录'!$B$7:$B$306,A251)=0,COUNTIFS('更新日志'!$B$7:$B$306,A251)=0)),"结案资料待补","基础记录齐备"))))))</x:f>
      </x:c>
      <x:c r="S251" s="3"/>
      <x:c r="T251" s="3"/>
    </x:row>
    <x:row r="252" ht="25" customHeight="1">
      <x:c r="A252" s="3"/>
      <x:c r="B252" s="3"/>
      <x:c r="C252" s="3"/>
      <x:c r="D252" s="3"/>
      <x:c r="E252" s="3"/>
      <x:c r="F252" s="3"/>
      <x:c r="G252" s="3"/>
      <x:c r="H252" s="3"/>
      <x:c r="I252" s="20"/>
      <x:c r="J252" s="3"/>
      <x:c r="K252" s="22"/>
      <x:c r="L252" s="22"/>
      <x:c r="M252" s="24" t="str">
        <x:f>IF(A252="","",IF(COUNTIFS('执行日志'!$B$7:$B$306,A252)=0,"",IF(COUNTIFS('执行日志'!$B$7:$B$306,A252,'执行日志'!$L$7:$L$306,"有效",'执行日志'!$P$7:$P$306,"&lt;&gt;有效输入")&gt;0,"待核对",IF(COUNTIFS('执行日志'!$B$7:$B$306,A252,'执行日志'!$P$7:$P$306,"有效输入")=0,"",SUMIFS('执行日志'!$H$7:$H$306,'执行日志'!$B$7:$B$306,A252,'执行日志'!$P$7:$P$306,"有效输入")))))</x:f>
      </x:c>
      <x:c r="N252" s="24" t="str">
        <x:f>IF(A252="","",IF(COUNTIFS('执行日志'!$B$7:$B$306,A252)=0,"",IF(COUNTIFS('执行日志'!$B$7:$B$306,A252,'执行日志'!$L$7:$L$306,"有效",'执行日志'!$P$7:$P$306,"&lt;&gt;有效输入")&gt;0,"待核对",IF(COUNTIFS('执行日志'!$B$7:$B$306,A252,'执行日志'!$P$7:$P$306,"有效输入")=0,"",SUMIFS('执行日志'!$J$7:$J$306,'执行日志'!$B$7:$B$306,A252,'执行日志'!$P$7:$P$306,"有效输入")))))</x:f>
      </x:c>
      <x:c r="O252" s="24" t="str">
        <x:f>IF(A252="","",IF(NOT(ISNUMBER(K252)),"待定预算",IF(NOT(ISNUMBER(M252)),"暂无有效流水",K252-M252)))</x:f>
      </x:c>
      <x:c r="P252" s="24" t="str">
        <x:f>IF(A252="","",IF(NOT(ISNUMBER(L252)),"待定预算",IF(NOT(ISNUMBER(N252)),"暂无有效流水",L252-N252)))</x:f>
      </x:c>
      <x:c r="Q252" s="19" t="str">
        <x:f>IF(A252="","",IF(D252="已结案","已结案",IF(NOT(ISNUMBER(I252)),"待定复盘日",IF(NOT(ISNUMBER($B$3)),"待定评估日",IF(I252&lt;=$B$3,"应复盘","未到期")))))</x:f>
      </x:c>
      <x:c r="R252" s="19" t="str">
        <x:f>IF(A252="","",IF(COUNTIFS($A$7:$A$306,A252)&lt;&gt;1,"问题编号重复",IF(OR(B252="",C252="",D252="",G252="",S252=""),"待补基础信息",IF(AND(F252&lt;&gt;"",COUNTIFS('方案版本'!$A$7:$A$306,F252,'方案版本'!$B$7:$B$306,A252,'方案版本'!$L$7:$L$306,"已冻结")&lt;&gt;1),"当前方案引用无效",IF(AND(D252="执行中",F252=""),"执行缺方案",IF(AND(D252="已结案",OR(T252="",COUNTIFS('复盘记录'!$B$7:$B$306,A252)=0,COUNTIFS('更新日志'!$B$7:$B$306,A252)=0)),"结案资料待补","基础记录齐备"))))))</x:f>
      </x:c>
      <x:c r="S252" s="3"/>
      <x:c r="T252" s="3"/>
    </x:row>
    <x:row r="253" ht="25" customHeight="1">
      <x:c r="A253" s="3"/>
      <x:c r="B253" s="3"/>
      <x:c r="C253" s="3"/>
      <x:c r="D253" s="3"/>
      <x:c r="E253" s="3"/>
      <x:c r="F253" s="3"/>
      <x:c r="G253" s="3"/>
      <x:c r="H253" s="3"/>
      <x:c r="I253" s="20"/>
      <x:c r="J253" s="3"/>
      <x:c r="K253" s="22"/>
      <x:c r="L253" s="22"/>
      <x:c r="M253" s="24" t="str">
        <x:f>IF(A253="","",IF(COUNTIFS('执行日志'!$B$7:$B$306,A253)=0,"",IF(COUNTIFS('执行日志'!$B$7:$B$306,A253,'执行日志'!$L$7:$L$306,"有效",'执行日志'!$P$7:$P$306,"&lt;&gt;有效输入")&gt;0,"待核对",IF(COUNTIFS('执行日志'!$B$7:$B$306,A253,'执行日志'!$P$7:$P$306,"有效输入")=0,"",SUMIFS('执行日志'!$H$7:$H$306,'执行日志'!$B$7:$B$306,A253,'执行日志'!$P$7:$P$306,"有效输入")))))</x:f>
      </x:c>
      <x:c r="N253" s="24" t="str">
        <x:f>IF(A253="","",IF(COUNTIFS('执行日志'!$B$7:$B$306,A253)=0,"",IF(COUNTIFS('执行日志'!$B$7:$B$306,A253,'执行日志'!$L$7:$L$306,"有效",'执行日志'!$P$7:$P$306,"&lt;&gt;有效输入")&gt;0,"待核对",IF(COUNTIFS('执行日志'!$B$7:$B$306,A253,'执行日志'!$P$7:$P$306,"有效输入")=0,"",SUMIFS('执行日志'!$J$7:$J$306,'执行日志'!$B$7:$B$306,A253,'执行日志'!$P$7:$P$306,"有效输入")))))</x:f>
      </x:c>
      <x:c r="O253" s="24" t="str">
        <x:f>IF(A253="","",IF(NOT(ISNUMBER(K253)),"待定预算",IF(NOT(ISNUMBER(M253)),"暂无有效流水",K253-M253)))</x:f>
      </x:c>
      <x:c r="P253" s="24" t="str">
        <x:f>IF(A253="","",IF(NOT(ISNUMBER(L253)),"待定预算",IF(NOT(ISNUMBER(N253)),"暂无有效流水",L253-N253)))</x:f>
      </x:c>
      <x:c r="Q253" s="19" t="str">
        <x:f>IF(A253="","",IF(D253="已结案","已结案",IF(NOT(ISNUMBER(I253)),"待定复盘日",IF(NOT(ISNUMBER($B$3)),"待定评估日",IF(I253&lt;=$B$3,"应复盘","未到期")))))</x:f>
      </x:c>
      <x:c r="R253" s="19" t="str">
        <x:f>IF(A253="","",IF(COUNTIFS($A$7:$A$306,A253)&lt;&gt;1,"问题编号重复",IF(OR(B253="",C253="",D253="",G253="",S253=""),"待补基础信息",IF(AND(F253&lt;&gt;"",COUNTIFS('方案版本'!$A$7:$A$306,F253,'方案版本'!$B$7:$B$306,A253,'方案版本'!$L$7:$L$306,"已冻结")&lt;&gt;1),"当前方案引用无效",IF(AND(D253="执行中",F253=""),"执行缺方案",IF(AND(D253="已结案",OR(T253="",COUNTIFS('复盘记录'!$B$7:$B$306,A253)=0,COUNTIFS('更新日志'!$B$7:$B$306,A253)=0)),"结案资料待补","基础记录齐备"))))))</x:f>
      </x:c>
      <x:c r="S253" s="3"/>
      <x:c r="T253" s="3"/>
    </x:row>
    <x:row r="254" ht="25" customHeight="1">
      <x:c r="A254" s="3"/>
      <x:c r="B254" s="3"/>
      <x:c r="C254" s="3"/>
      <x:c r="D254" s="3"/>
      <x:c r="E254" s="3"/>
      <x:c r="F254" s="3"/>
      <x:c r="G254" s="3"/>
      <x:c r="H254" s="3"/>
      <x:c r="I254" s="20"/>
      <x:c r="J254" s="3"/>
      <x:c r="K254" s="22"/>
      <x:c r="L254" s="22"/>
      <x:c r="M254" s="24" t="str">
        <x:f>IF(A254="","",IF(COUNTIFS('执行日志'!$B$7:$B$306,A254)=0,"",IF(COUNTIFS('执行日志'!$B$7:$B$306,A254,'执行日志'!$L$7:$L$306,"有效",'执行日志'!$P$7:$P$306,"&lt;&gt;有效输入")&gt;0,"待核对",IF(COUNTIFS('执行日志'!$B$7:$B$306,A254,'执行日志'!$P$7:$P$306,"有效输入")=0,"",SUMIFS('执行日志'!$H$7:$H$306,'执行日志'!$B$7:$B$306,A254,'执行日志'!$P$7:$P$306,"有效输入")))))</x:f>
      </x:c>
      <x:c r="N254" s="24" t="str">
        <x:f>IF(A254="","",IF(COUNTIFS('执行日志'!$B$7:$B$306,A254)=0,"",IF(COUNTIFS('执行日志'!$B$7:$B$306,A254,'执行日志'!$L$7:$L$306,"有效",'执行日志'!$P$7:$P$306,"&lt;&gt;有效输入")&gt;0,"待核对",IF(COUNTIFS('执行日志'!$B$7:$B$306,A254,'执行日志'!$P$7:$P$306,"有效输入")=0,"",SUMIFS('执行日志'!$J$7:$J$306,'执行日志'!$B$7:$B$306,A254,'执行日志'!$P$7:$P$306,"有效输入")))))</x:f>
      </x:c>
      <x:c r="O254" s="24" t="str">
        <x:f>IF(A254="","",IF(NOT(ISNUMBER(K254)),"待定预算",IF(NOT(ISNUMBER(M254)),"暂无有效流水",K254-M254)))</x:f>
      </x:c>
      <x:c r="P254" s="24" t="str">
        <x:f>IF(A254="","",IF(NOT(ISNUMBER(L254)),"待定预算",IF(NOT(ISNUMBER(N254)),"暂无有效流水",L254-N254)))</x:f>
      </x:c>
      <x:c r="Q254" s="19" t="str">
        <x:f>IF(A254="","",IF(D254="已结案","已结案",IF(NOT(ISNUMBER(I254)),"待定复盘日",IF(NOT(ISNUMBER($B$3)),"待定评估日",IF(I254&lt;=$B$3,"应复盘","未到期")))))</x:f>
      </x:c>
      <x:c r="R254" s="19" t="str">
        <x:f>IF(A254="","",IF(COUNTIFS($A$7:$A$306,A254)&lt;&gt;1,"问题编号重复",IF(OR(B254="",C254="",D254="",G254="",S254=""),"待补基础信息",IF(AND(F254&lt;&gt;"",COUNTIFS('方案版本'!$A$7:$A$306,F254,'方案版本'!$B$7:$B$306,A254,'方案版本'!$L$7:$L$306,"已冻结")&lt;&gt;1),"当前方案引用无效",IF(AND(D254="执行中",F254=""),"执行缺方案",IF(AND(D254="已结案",OR(T254="",COUNTIFS('复盘记录'!$B$7:$B$306,A254)=0,COUNTIFS('更新日志'!$B$7:$B$306,A254)=0)),"结案资料待补","基础记录齐备"))))))</x:f>
      </x:c>
      <x:c r="S254" s="3"/>
      <x:c r="T254" s="3"/>
    </x:row>
    <x:row r="255" ht="25" customHeight="1">
      <x:c r="A255" s="3"/>
      <x:c r="B255" s="3"/>
      <x:c r="C255" s="3"/>
      <x:c r="D255" s="3"/>
      <x:c r="E255" s="3"/>
      <x:c r="F255" s="3"/>
      <x:c r="G255" s="3"/>
      <x:c r="H255" s="3"/>
      <x:c r="I255" s="20"/>
      <x:c r="J255" s="3"/>
      <x:c r="K255" s="22"/>
      <x:c r="L255" s="22"/>
      <x:c r="M255" s="24" t="str">
        <x:f>IF(A255="","",IF(COUNTIFS('执行日志'!$B$7:$B$306,A255)=0,"",IF(COUNTIFS('执行日志'!$B$7:$B$306,A255,'执行日志'!$L$7:$L$306,"有效",'执行日志'!$P$7:$P$306,"&lt;&gt;有效输入")&gt;0,"待核对",IF(COUNTIFS('执行日志'!$B$7:$B$306,A255,'执行日志'!$P$7:$P$306,"有效输入")=0,"",SUMIFS('执行日志'!$H$7:$H$306,'执行日志'!$B$7:$B$306,A255,'执行日志'!$P$7:$P$306,"有效输入")))))</x:f>
      </x:c>
      <x:c r="N255" s="24" t="str">
        <x:f>IF(A255="","",IF(COUNTIFS('执行日志'!$B$7:$B$306,A255)=0,"",IF(COUNTIFS('执行日志'!$B$7:$B$306,A255,'执行日志'!$L$7:$L$306,"有效",'执行日志'!$P$7:$P$306,"&lt;&gt;有效输入")&gt;0,"待核对",IF(COUNTIFS('执行日志'!$B$7:$B$306,A255,'执行日志'!$P$7:$P$306,"有效输入")=0,"",SUMIFS('执行日志'!$J$7:$J$306,'执行日志'!$B$7:$B$306,A255,'执行日志'!$P$7:$P$306,"有效输入")))))</x:f>
      </x:c>
      <x:c r="O255" s="24" t="str">
        <x:f>IF(A255="","",IF(NOT(ISNUMBER(K255)),"待定预算",IF(NOT(ISNUMBER(M255)),"暂无有效流水",K255-M255)))</x:f>
      </x:c>
      <x:c r="P255" s="24" t="str">
        <x:f>IF(A255="","",IF(NOT(ISNUMBER(L255)),"待定预算",IF(NOT(ISNUMBER(N255)),"暂无有效流水",L255-N255)))</x:f>
      </x:c>
      <x:c r="Q255" s="19" t="str">
        <x:f>IF(A255="","",IF(D255="已结案","已结案",IF(NOT(ISNUMBER(I255)),"待定复盘日",IF(NOT(ISNUMBER($B$3)),"待定评估日",IF(I255&lt;=$B$3,"应复盘","未到期")))))</x:f>
      </x:c>
      <x:c r="R255" s="19" t="str">
        <x:f>IF(A255="","",IF(COUNTIFS($A$7:$A$306,A255)&lt;&gt;1,"问题编号重复",IF(OR(B255="",C255="",D255="",G255="",S255=""),"待补基础信息",IF(AND(F255&lt;&gt;"",COUNTIFS('方案版本'!$A$7:$A$306,F255,'方案版本'!$B$7:$B$306,A255,'方案版本'!$L$7:$L$306,"已冻结")&lt;&gt;1),"当前方案引用无效",IF(AND(D255="执行中",F255=""),"执行缺方案",IF(AND(D255="已结案",OR(T255="",COUNTIFS('复盘记录'!$B$7:$B$306,A255)=0,COUNTIFS('更新日志'!$B$7:$B$306,A255)=0)),"结案资料待补","基础记录齐备"))))))</x:f>
      </x:c>
      <x:c r="S255" s="3"/>
      <x:c r="T255" s="3"/>
    </x:row>
    <x:row r="256" ht="25" customHeight="1">
      <x:c r="A256" s="3"/>
      <x:c r="B256" s="3"/>
      <x:c r="C256" s="3"/>
      <x:c r="D256" s="3"/>
      <x:c r="E256" s="3"/>
      <x:c r="F256" s="3"/>
      <x:c r="G256" s="3"/>
      <x:c r="H256" s="3"/>
      <x:c r="I256" s="20"/>
      <x:c r="J256" s="3"/>
      <x:c r="K256" s="22"/>
      <x:c r="L256" s="22"/>
      <x:c r="M256" s="24" t="str">
        <x:f>IF(A256="","",IF(COUNTIFS('执行日志'!$B$7:$B$306,A256)=0,"",IF(COUNTIFS('执行日志'!$B$7:$B$306,A256,'执行日志'!$L$7:$L$306,"有效",'执行日志'!$P$7:$P$306,"&lt;&gt;有效输入")&gt;0,"待核对",IF(COUNTIFS('执行日志'!$B$7:$B$306,A256,'执行日志'!$P$7:$P$306,"有效输入")=0,"",SUMIFS('执行日志'!$H$7:$H$306,'执行日志'!$B$7:$B$306,A256,'执行日志'!$P$7:$P$306,"有效输入")))))</x:f>
      </x:c>
      <x:c r="N256" s="24" t="str">
        <x:f>IF(A256="","",IF(COUNTIFS('执行日志'!$B$7:$B$306,A256)=0,"",IF(COUNTIFS('执行日志'!$B$7:$B$306,A256,'执行日志'!$L$7:$L$306,"有效",'执行日志'!$P$7:$P$306,"&lt;&gt;有效输入")&gt;0,"待核对",IF(COUNTIFS('执行日志'!$B$7:$B$306,A256,'执行日志'!$P$7:$P$306,"有效输入")=0,"",SUMIFS('执行日志'!$J$7:$J$306,'执行日志'!$B$7:$B$306,A256,'执行日志'!$P$7:$P$306,"有效输入")))))</x:f>
      </x:c>
      <x:c r="O256" s="24" t="str">
        <x:f>IF(A256="","",IF(NOT(ISNUMBER(K256)),"待定预算",IF(NOT(ISNUMBER(M256)),"暂无有效流水",K256-M256)))</x:f>
      </x:c>
      <x:c r="P256" s="24" t="str">
        <x:f>IF(A256="","",IF(NOT(ISNUMBER(L256)),"待定预算",IF(NOT(ISNUMBER(N256)),"暂无有效流水",L256-N256)))</x:f>
      </x:c>
      <x:c r="Q256" s="19" t="str">
        <x:f>IF(A256="","",IF(D256="已结案","已结案",IF(NOT(ISNUMBER(I256)),"待定复盘日",IF(NOT(ISNUMBER($B$3)),"待定评估日",IF(I256&lt;=$B$3,"应复盘","未到期")))))</x:f>
      </x:c>
      <x:c r="R256" s="19" t="str">
        <x:f>IF(A256="","",IF(COUNTIFS($A$7:$A$306,A256)&lt;&gt;1,"问题编号重复",IF(OR(B256="",C256="",D256="",G256="",S256=""),"待补基础信息",IF(AND(F256&lt;&gt;"",COUNTIFS('方案版本'!$A$7:$A$306,F256,'方案版本'!$B$7:$B$306,A256,'方案版本'!$L$7:$L$306,"已冻结")&lt;&gt;1),"当前方案引用无效",IF(AND(D256="执行中",F256=""),"执行缺方案",IF(AND(D256="已结案",OR(T256="",COUNTIFS('复盘记录'!$B$7:$B$306,A256)=0,COUNTIFS('更新日志'!$B$7:$B$306,A256)=0)),"结案资料待补","基础记录齐备"))))))</x:f>
      </x:c>
      <x:c r="S256" s="3"/>
      <x:c r="T256" s="3"/>
    </x:row>
    <x:row r="257" ht="25" customHeight="1">
      <x:c r="A257" s="3"/>
      <x:c r="B257" s="3"/>
      <x:c r="C257" s="3"/>
      <x:c r="D257" s="3"/>
      <x:c r="E257" s="3"/>
      <x:c r="F257" s="3"/>
      <x:c r="G257" s="3"/>
      <x:c r="H257" s="3"/>
      <x:c r="I257" s="20"/>
      <x:c r="J257" s="3"/>
      <x:c r="K257" s="22"/>
      <x:c r="L257" s="22"/>
      <x:c r="M257" s="24" t="str">
        <x:f>IF(A257="","",IF(COUNTIFS('执行日志'!$B$7:$B$306,A257)=0,"",IF(COUNTIFS('执行日志'!$B$7:$B$306,A257,'执行日志'!$L$7:$L$306,"有效",'执行日志'!$P$7:$P$306,"&lt;&gt;有效输入")&gt;0,"待核对",IF(COUNTIFS('执行日志'!$B$7:$B$306,A257,'执行日志'!$P$7:$P$306,"有效输入")=0,"",SUMIFS('执行日志'!$H$7:$H$306,'执行日志'!$B$7:$B$306,A257,'执行日志'!$P$7:$P$306,"有效输入")))))</x:f>
      </x:c>
      <x:c r="N257" s="24" t="str">
        <x:f>IF(A257="","",IF(COUNTIFS('执行日志'!$B$7:$B$306,A257)=0,"",IF(COUNTIFS('执行日志'!$B$7:$B$306,A257,'执行日志'!$L$7:$L$306,"有效",'执行日志'!$P$7:$P$306,"&lt;&gt;有效输入")&gt;0,"待核对",IF(COUNTIFS('执行日志'!$B$7:$B$306,A257,'执行日志'!$P$7:$P$306,"有效输入")=0,"",SUMIFS('执行日志'!$J$7:$J$306,'执行日志'!$B$7:$B$306,A257,'执行日志'!$P$7:$P$306,"有效输入")))))</x:f>
      </x:c>
      <x:c r="O257" s="24" t="str">
        <x:f>IF(A257="","",IF(NOT(ISNUMBER(K257)),"待定预算",IF(NOT(ISNUMBER(M257)),"暂无有效流水",K257-M257)))</x:f>
      </x:c>
      <x:c r="P257" s="24" t="str">
        <x:f>IF(A257="","",IF(NOT(ISNUMBER(L257)),"待定预算",IF(NOT(ISNUMBER(N257)),"暂无有效流水",L257-N257)))</x:f>
      </x:c>
      <x:c r="Q257" s="19" t="str">
        <x:f>IF(A257="","",IF(D257="已结案","已结案",IF(NOT(ISNUMBER(I257)),"待定复盘日",IF(NOT(ISNUMBER($B$3)),"待定评估日",IF(I257&lt;=$B$3,"应复盘","未到期")))))</x:f>
      </x:c>
      <x:c r="R257" s="19" t="str">
        <x:f>IF(A257="","",IF(COUNTIFS($A$7:$A$306,A257)&lt;&gt;1,"问题编号重复",IF(OR(B257="",C257="",D257="",G257="",S257=""),"待补基础信息",IF(AND(F257&lt;&gt;"",COUNTIFS('方案版本'!$A$7:$A$306,F257,'方案版本'!$B$7:$B$306,A257,'方案版本'!$L$7:$L$306,"已冻结")&lt;&gt;1),"当前方案引用无效",IF(AND(D257="执行中",F257=""),"执行缺方案",IF(AND(D257="已结案",OR(T257="",COUNTIFS('复盘记录'!$B$7:$B$306,A257)=0,COUNTIFS('更新日志'!$B$7:$B$306,A257)=0)),"结案资料待补","基础记录齐备"))))))</x:f>
      </x:c>
      <x:c r="S257" s="3"/>
      <x:c r="T257" s="3"/>
    </x:row>
    <x:row r="258" ht="25" customHeight="1">
      <x:c r="A258" s="3"/>
      <x:c r="B258" s="3"/>
      <x:c r="C258" s="3"/>
      <x:c r="D258" s="3"/>
      <x:c r="E258" s="3"/>
      <x:c r="F258" s="3"/>
      <x:c r="G258" s="3"/>
      <x:c r="H258" s="3"/>
      <x:c r="I258" s="20"/>
      <x:c r="J258" s="3"/>
      <x:c r="K258" s="22"/>
      <x:c r="L258" s="22"/>
      <x:c r="M258" s="24" t="str">
        <x:f>IF(A258="","",IF(COUNTIFS('执行日志'!$B$7:$B$306,A258)=0,"",IF(COUNTIFS('执行日志'!$B$7:$B$306,A258,'执行日志'!$L$7:$L$306,"有效",'执行日志'!$P$7:$P$306,"&lt;&gt;有效输入")&gt;0,"待核对",IF(COUNTIFS('执行日志'!$B$7:$B$306,A258,'执行日志'!$P$7:$P$306,"有效输入")=0,"",SUMIFS('执行日志'!$H$7:$H$306,'执行日志'!$B$7:$B$306,A258,'执行日志'!$P$7:$P$306,"有效输入")))))</x:f>
      </x:c>
      <x:c r="N258" s="24" t="str">
        <x:f>IF(A258="","",IF(COUNTIFS('执行日志'!$B$7:$B$306,A258)=0,"",IF(COUNTIFS('执行日志'!$B$7:$B$306,A258,'执行日志'!$L$7:$L$306,"有效",'执行日志'!$P$7:$P$306,"&lt;&gt;有效输入")&gt;0,"待核对",IF(COUNTIFS('执行日志'!$B$7:$B$306,A258,'执行日志'!$P$7:$P$306,"有效输入")=0,"",SUMIFS('执行日志'!$J$7:$J$306,'执行日志'!$B$7:$B$306,A258,'执行日志'!$P$7:$P$306,"有效输入")))))</x:f>
      </x:c>
      <x:c r="O258" s="24" t="str">
        <x:f>IF(A258="","",IF(NOT(ISNUMBER(K258)),"待定预算",IF(NOT(ISNUMBER(M258)),"暂无有效流水",K258-M258)))</x:f>
      </x:c>
      <x:c r="P258" s="24" t="str">
        <x:f>IF(A258="","",IF(NOT(ISNUMBER(L258)),"待定预算",IF(NOT(ISNUMBER(N258)),"暂无有效流水",L258-N258)))</x:f>
      </x:c>
      <x:c r="Q258" s="19" t="str">
        <x:f>IF(A258="","",IF(D258="已结案","已结案",IF(NOT(ISNUMBER(I258)),"待定复盘日",IF(NOT(ISNUMBER($B$3)),"待定评估日",IF(I258&lt;=$B$3,"应复盘","未到期")))))</x:f>
      </x:c>
      <x:c r="R258" s="19" t="str">
        <x:f>IF(A258="","",IF(COUNTIFS($A$7:$A$306,A258)&lt;&gt;1,"问题编号重复",IF(OR(B258="",C258="",D258="",G258="",S258=""),"待补基础信息",IF(AND(F258&lt;&gt;"",COUNTIFS('方案版本'!$A$7:$A$306,F258,'方案版本'!$B$7:$B$306,A258,'方案版本'!$L$7:$L$306,"已冻结")&lt;&gt;1),"当前方案引用无效",IF(AND(D258="执行中",F258=""),"执行缺方案",IF(AND(D258="已结案",OR(T258="",COUNTIFS('复盘记录'!$B$7:$B$306,A258)=0,COUNTIFS('更新日志'!$B$7:$B$306,A258)=0)),"结案资料待补","基础记录齐备"))))))</x:f>
      </x:c>
      <x:c r="S258" s="3"/>
      <x:c r="T258" s="3"/>
    </x:row>
    <x:row r="259" ht="25" customHeight="1">
      <x:c r="A259" s="3"/>
      <x:c r="B259" s="3"/>
      <x:c r="C259" s="3"/>
      <x:c r="D259" s="3"/>
      <x:c r="E259" s="3"/>
      <x:c r="F259" s="3"/>
      <x:c r="G259" s="3"/>
      <x:c r="H259" s="3"/>
      <x:c r="I259" s="20"/>
      <x:c r="J259" s="3"/>
      <x:c r="K259" s="22"/>
      <x:c r="L259" s="22"/>
      <x:c r="M259" s="24" t="str">
        <x:f>IF(A259="","",IF(COUNTIFS('执行日志'!$B$7:$B$306,A259)=0,"",IF(COUNTIFS('执行日志'!$B$7:$B$306,A259,'执行日志'!$L$7:$L$306,"有效",'执行日志'!$P$7:$P$306,"&lt;&gt;有效输入")&gt;0,"待核对",IF(COUNTIFS('执行日志'!$B$7:$B$306,A259,'执行日志'!$P$7:$P$306,"有效输入")=0,"",SUMIFS('执行日志'!$H$7:$H$306,'执行日志'!$B$7:$B$306,A259,'执行日志'!$P$7:$P$306,"有效输入")))))</x:f>
      </x:c>
      <x:c r="N259" s="24" t="str">
        <x:f>IF(A259="","",IF(COUNTIFS('执行日志'!$B$7:$B$306,A259)=0,"",IF(COUNTIFS('执行日志'!$B$7:$B$306,A259,'执行日志'!$L$7:$L$306,"有效",'执行日志'!$P$7:$P$306,"&lt;&gt;有效输入")&gt;0,"待核对",IF(COUNTIFS('执行日志'!$B$7:$B$306,A259,'执行日志'!$P$7:$P$306,"有效输入")=0,"",SUMIFS('执行日志'!$J$7:$J$306,'执行日志'!$B$7:$B$306,A259,'执行日志'!$P$7:$P$306,"有效输入")))))</x:f>
      </x:c>
      <x:c r="O259" s="24" t="str">
        <x:f>IF(A259="","",IF(NOT(ISNUMBER(K259)),"待定预算",IF(NOT(ISNUMBER(M259)),"暂无有效流水",K259-M259)))</x:f>
      </x:c>
      <x:c r="P259" s="24" t="str">
        <x:f>IF(A259="","",IF(NOT(ISNUMBER(L259)),"待定预算",IF(NOT(ISNUMBER(N259)),"暂无有效流水",L259-N259)))</x:f>
      </x:c>
      <x:c r="Q259" s="19" t="str">
        <x:f>IF(A259="","",IF(D259="已结案","已结案",IF(NOT(ISNUMBER(I259)),"待定复盘日",IF(NOT(ISNUMBER($B$3)),"待定评估日",IF(I259&lt;=$B$3,"应复盘","未到期")))))</x:f>
      </x:c>
      <x:c r="R259" s="19" t="str">
        <x:f>IF(A259="","",IF(COUNTIFS($A$7:$A$306,A259)&lt;&gt;1,"问题编号重复",IF(OR(B259="",C259="",D259="",G259="",S259=""),"待补基础信息",IF(AND(F259&lt;&gt;"",COUNTIFS('方案版本'!$A$7:$A$306,F259,'方案版本'!$B$7:$B$306,A259,'方案版本'!$L$7:$L$306,"已冻结")&lt;&gt;1),"当前方案引用无效",IF(AND(D259="执行中",F259=""),"执行缺方案",IF(AND(D259="已结案",OR(T259="",COUNTIFS('复盘记录'!$B$7:$B$306,A259)=0,COUNTIFS('更新日志'!$B$7:$B$306,A259)=0)),"结案资料待补","基础记录齐备"))))))</x:f>
      </x:c>
      <x:c r="S259" s="3"/>
      <x:c r="T259" s="3"/>
    </x:row>
    <x:row r="260" ht="25" customHeight="1">
      <x:c r="A260" s="3"/>
      <x:c r="B260" s="3"/>
      <x:c r="C260" s="3"/>
      <x:c r="D260" s="3"/>
      <x:c r="E260" s="3"/>
      <x:c r="F260" s="3"/>
      <x:c r="G260" s="3"/>
      <x:c r="H260" s="3"/>
      <x:c r="I260" s="20"/>
      <x:c r="J260" s="3"/>
      <x:c r="K260" s="22"/>
      <x:c r="L260" s="22"/>
      <x:c r="M260" s="24" t="str">
        <x:f>IF(A260="","",IF(COUNTIFS('执行日志'!$B$7:$B$306,A260)=0,"",IF(COUNTIFS('执行日志'!$B$7:$B$306,A260,'执行日志'!$L$7:$L$306,"有效",'执行日志'!$P$7:$P$306,"&lt;&gt;有效输入")&gt;0,"待核对",IF(COUNTIFS('执行日志'!$B$7:$B$306,A260,'执行日志'!$P$7:$P$306,"有效输入")=0,"",SUMIFS('执行日志'!$H$7:$H$306,'执行日志'!$B$7:$B$306,A260,'执行日志'!$P$7:$P$306,"有效输入")))))</x:f>
      </x:c>
      <x:c r="N260" s="24" t="str">
        <x:f>IF(A260="","",IF(COUNTIFS('执行日志'!$B$7:$B$306,A260)=0,"",IF(COUNTIFS('执行日志'!$B$7:$B$306,A260,'执行日志'!$L$7:$L$306,"有效",'执行日志'!$P$7:$P$306,"&lt;&gt;有效输入")&gt;0,"待核对",IF(COUNTIFS('执行日志'!$B$7:$B$306,A260,'执行日志'!$P$7:$P$306,"有效输入")=0,"",SUMIFS('执行日志'!$J$7:$J$306,'执行日志'!$B$7:$B$306,A260,'执行日志'!$P$7:$P$306,"有效输入")))))</x:f>
      </x:c>
      <x:c r="O260" s="24" t="str">
        <x:f>IF(A260="","",IF(NOT(ISNUMBER(K260)),"待定预算",IF(NOT(ISNUMBER(M260)),"暂无有效流水",K260-M260)))</x:f>
      </x:c>
      <x:c r="P260" s="24" t="str">
        <x:f>IF(A260="","",IF(NOT(ISNUMBER(L260)),"待定预算",IF(NOT(ISNUMBER(N260)),"暂无有效流水",L260-N260)))</x:f>
      </x:c>
      <x:c r="Q260" s="19" t="str">
        <x:f>IF(A260="","",IF(D260="已结案","已结案",IF(NOT(ISNUMBER(I260)),"待定复盘日",IF(NOT(ISNUMBER($B$3)),"待定评估日",IF(I260&lt;=$B$3,"应复盘","未到期")))))</x:f>
      </x:c>
      <x:c r="R260" s="19" t="str">
        <x:f>IF(A260="","",IF(COUNTIFS($A$7:$A$306,A260)&lt;&gt;1,"问题编号重复",IF(OR(B260="",C260="",D260="",G260="",S260=""),"待补基础信息",IF(AND(F260&lt;&gt;"",COUNTIFS('方案版本'!$A$7:$A$306,F260,'方案版本'!$B$7:$B$306,A260,'方案版本'!$L$7:$L$306,"已冻结")&lt;&gt;1),"当前方案引用无效",IF(AND(D260="执行中",F260=""),"执行缺方案",IF(AND(D260="已结案",OR(T260="",COUNTIFS('复盘记录'!$B$7:$B$306,A260)=0,COUNTIFS('更新日志'!$B$7:$B$306,A260)=0)),"结案资料待补","基础记录齐备"))))))</x:f>
      </x:c>
      <x:c r="S260" s="3"/>
      <x:c r="T260" s="3"/>
    </x:row>
    <x:row r="261" ht="25" customHeight="1">
      <x:c r="A261" s="3"/>
      <x:c r="B261" s="3"/>
      <x:c r="C261" s="3"/>
      <x:c r="D261" s="3"/>
      <x:c r="E261" s="3"/>
      <x:c r="F261" s="3"/>
      <x:c r="G261" s="3"/>
      <x:c r="H261" s="3"/>
      <x:c r="I261" s="20"/>
      <x:c r="J261" s="3"/>
      <x:c r="K261" s="22"/>
      <x:c r="L261" s="22"/>
      <x:c r="M261" s="24" t="str">
        <x:f>IF(A261="","",IF(COUNTIFS('执行日志'!$B$7:$B$306,A261)=0,"",IF(COUNTIFS('执行日志'!$B$7:$B$306,A261,'执行日志'!$L$7:$L$306,"有效",'执行日志'!$P$7:$P$306,"&lt;&gt;有效输入")&gt;0,"待核对",IF(COUNTIFS('执行日志'!$B$7:$B$306,A261,'执行日志'!$P$7:$P$306,"有效输入")=0,"",SUMIFS('执行日志'!$H$7:$H$306,'执行日志'!$B$7:$B$306,A261,'执行日志'!$P$7:$P$306,"有效输入")))))</x:f>
      </x:c>
      <x:c r="N261" s="24" t="str">
        <x:f>IF(A261="","",IF(COUNTIFS('执行日志'!$B$7:$B$306,A261)=0,"",IF(COUNTIFS('执行日志'!$B$7:$B$306,A261,'执行日志'!$L$7:$L$306,"有效",'执行日志'!$P$7:$P$306,"&lt;&gt;有效输入")&gt;0,"待核对",IF(COUNTIFS('执行日志'!$B$7:$B$306,A261,'执行日志'!$P$7:$P$306,"有效输入")=0,"",SUMIFS('执行日志'!$J$7:$J$306,'执行日志'!$B$7:$B$306,A261,'执行日志'!$P$7:$P$306,"有效输入")))))</x:f>
      </x:c>
      <x:c r="O261" s="24" t="str">
        <x:f>IF(A261="","",IF(NOT(ISNUMBER(K261)),"待定预算",IF(NOT(ISNUMBER(M261)),"暂无有效流水",K261-M261)))</x:f>
      </x:c>
      <x:c r="P261" s="24" t="str">
        <x:f>IF(A261="","",IF(NOT(ISNUMBER(L261)),"待定预算",IF(NOT(ISNUMBER(N261)),"暂无有效流水",L261-N261)))</x:f>
      </x:c>
      <x:c r="Q261" s="19" t="str">
        <x:f>IF(A261="","",IF(D261="已结案","已结案",IF(NOT(ISNUMBER(I261)),"待定复盘日",IF(NOT(ISNUMBER($B$3)),"待定评估日",IF(I261&lt;=$B$3,"应复盘","未到期")))))</x:f>
      </x:c>
      <x:c r="R261" s="19" t="str">
        <x:f>IF(A261="","",IF(COUNTIFS($A$7:$A$306,A261)&lt;&gt;1,"问题编号重复",IF(OR(B261="",C261="",D261="",G261="",S261=""),"待补基础信息",IF(AND(F261&lt;&gt;"",COUNTIFS('方案版本'!$A$7:$A$306,F261,'方案版本'!$B$7:$B$306,A261,'方案版本'!$L$7:$L$306,"已冻结")&lt;&gt;1),"当前方案引用无效",IF(AND(D261="执行中",F261=""),"执行缺方案",IF(AND(D261="已结案",OR(T261="",COUNTIFS('复盘记录'!$B$7:$B$306,A261)=0,COUNTIFS('更新日志'!$B$7:$B$306,A261)=0)),"结案资料待补","基础记录齐备"))))))</x:f>
      </x:c>
      <x:c r="S261" s="3"/>
      <x:c r="T261" s="3"/>
    </x:row>
    <x:row r="262" ht="25" customHeight="1">
      <x:c r="A262" s="3"/>
      <x:c r="B262" s="3"/>
      <x:c r="C262" s="3"/>
      <x:c r="D262" s="3"/>
      <x:c r="E262" s="3"/>
      <x:c r="F262" s="3"/>
      <x:c r="G262" s="3"/>
      <x:c r="H262" s="3"/>
      <x:c r="I262" s="20"/>
      <x:c r="J262" s="3"/>
      <x:c r="K262" s="22"/>
      <x:c r="L262" s="22"/>
      <x:c r="M262" s="24" t="str">
        <x:f>IF(A262="","",IF(COUNTIFS('执行日志'!$B$7:$B$306,A262)=0,"",IF(COUNTIFS('执行日志'!$B$7:$B$306,A262,'执行日志'!$L$7:$L$306,"有效",'执行日志'!$P$7:$P$306,"&lt;&gt;有效输入")&gt;0,"待核对",IF(COUNTIFS('执行日志'!$B$7:$B$306,A262,'执行日志'!$P$7:$P$306,"有效输入")=0,"",SUMIFS('执行日志'!$H$7:$H$306,'执行日志'!$B$7:$B$306,A262,'执行日志'!$P$7:$P$306,"有效输入")))))</x:f>
      </x:c>
      <x:c r="N262" s="24" t="str">
        <x:f>IF(A262="","",IF(COUNTIFS('执行日志'!$B$7:$B$306,A262)=0,"",IF(COUNTIFS('执行日志'!$B$7:$B$306,A262,'执行日志'!$L$7:$L$306,"有效",'执行日志'!$P$7:$P$306,"&lt;&gt;有效输入")&gt;0,"待核对",IF(COUNTIFS('执行日志'!$B$7:$B$306,A262,'执行日志'!$P$7:$P$306,"有效输入")=0,"",SUMIFS('执行日志'!$J$7:$J$306,'执行日志'!$B$7:$B$306,A262,'执行日志'!$P$7:$P$306,"有效输入")))))</x:f>
      </x:c>
      <x:c r="O262" s="24" t="str">
        <x:f>IF(A262="","",IF(NOT(ISNUMBER(K262)),"待定预算",IF(NOT(ISNUMBER(M262)),"暂无有效流水",K262-M262)))</x:f>
      </x:c>
      <x:c r="P262" s="24" t="str">
        <x:f>IF(A262="","",IF(NOT(ISNUMBER(L262)),"待定预算",IF(NOT(ISNUMBER(N262)),"暂无有效流水",L262-N262)))</x:f>
      </x:c>
      <x:c r="Q262" s="19" t="str">
        <x:f>IF(A262="","",IF(D262="已结案","已结案",IF(NOT(ISNUMBER(I262)),"待定复盘日",IF(NOT(ISNUMBER($B$3)),"待定评估日",IF(I262&lt;=$B$3,"应复盘","未到期")))))</x:f>
      </x:c>
      <x:c r="R262" s="19" t="str">
        <x:f>IF(A262="","",IF(COUNTIFS($A$7:$A$306,A262)&lt;&gt;1,"问题编号重复",IF(OR(B262="",C262="",D262="",G262="",S262=""),"待补基础信息",IF(AND(F262&lt;&gt;"",COUNTIFS('方案版本'!$A$7:$A$306,F262,'方案版本'!$B$7:$B$306,A262,'方案版本'!$L$7:$L$306,"已冻结")&lt;&gt;1),"当前方案引用无效",IF(AND(D262="执行中",F262=""),"执行缺方案",IF(AND(D262="已结案",OR(T262="",COUNTIFS('复盘记录'!$B$7:$B$306,A262)=0,COUNTIFS('更新日志'!$B$7:$B$306,A262)=0)),"结案资料待补","基础记录齐备"))))))</x:f>
      </x:c>
      <x:c r="S262" s="3"/>
      <x:c r="T262" s="3"/>
    </x:row>
    <x:row r="263" ht="25" customHeight="1">
      <x:c r="A263" s="3"/>
      <x:c r="B263" s="3"/>
      <x:c r="C263" s="3"/>
      <x:c r="D263" s="3"/>
      <x:c r="E263" s="3"/>
      <x:c r="F263" s="3"/>
      <x:c r="G263" s="3"/>
      <x:c r="H263" s="3"/>
      <x:c r="I263" s="20"/>
      <x:c r="J263" s="3"/>
      <x:c r="K263" s="22"/>
      <x:c r="L263" s="22"/>
      <x:c r="M263" s="24" t="str">
        <x:f>IF(A263="","",IF(COUNTIFS('执行日志'!$B$7:$B$306,A263)=0,"",IF(COUNTIFS('执行日志'!$B$7:$B$306,A263,'执行日志'!$L$7:$L$306,"有效",'执行日志'!$P$7:$P$306,"&lt;&gt;有效输入")&gt;0,"待核对",IF(COUNTIFS('执行日志'!$B$7:$B$306,A263,'执行日志'!$P$7:$P$306,"有效输入")=0,"",SUMIFS('执行日志'!$H$7:$H$306,'执行日志'!$B$7:$B$306,A263,'执行日志'!$P$7:$P$306,"有效输入")))))</x:f>
      </x:c>
      <x:c r="N263" s="24" t="str">
        <x:f>IF(A263="","",IF(COUNTIFS('执行日志'!$B$7:$B$306,A263)=0,"",IF(COUNTIFS('执行日志'!$B$7:$B$306,A263,'执行日志'!$L$7:$L$306,"有效",'执行日志'!$P$7:$P$306,"&lt;&gt;有效输入")&gt;0,"待核对",IF(COUNTIFS('执行日志'!$B$7:$B$306,A263,'执行日志'!$P$7:$P$306,"有效输入")=0,"",SUMIFS('执行日志'!$J$7:$J$306,'执行日志'!$B$7:$B$306,A263,'执行日志'!$P$7:$P$306,"有效输入")))))</x:f>
      </x:c>
      <x:c r="O263" s="24" t="str">
        <x:f>IF(A263="","",IF(NOT(ISNUMBER(K263)),"待定预算",IF(NOT(ISNUMBER(M263)),"暂无有效流水",K263-M263)))</x:f>
      </x:c>
      <x:c r="P263" s="24" t="str">
        <x:f>IF(A263="","",IF(NOT(ISNUMBER(L263)),"待定预算",IF(NOT(ISNUMBER(N263)),"暂无有效流水",L263-N263)))</x:f>
      </x:c>
      <x:c r="Q263" s="19" t="str">
        <x:f>IF(A263="","",IF(D263="已结案","已结案",IF(NOT(ISNUMBER(I263)),"待定复盘日",IF(NOT(ISNUMBER($B$3)),"待定评估日",IF(I263&lt;=$B$3,"应复盘","未到期")))))</x:f>
      </x:c>
      <x:c r="R263" s="19" t="str">
        <x:f>IF(A263="","",IF(COUNTIFS($A$7:$A$306,A263)&lt;&gt;1,"问题编号重复",IF(OR(B263="",C263="",D263="",G263="",S263=""),"待补基础信息",IF(AND(F263&lt;&gt;"",COUNTIFS('方案版本'!$A$7:$A$306,F263,'方案版本'!$B$7:$B$306,A263,'方案版本'!$L$7:$L$306,"已冻结")&lt;&gt;1),"当前方案引用无效",IF(AND(D263="执行中",F263=""),"执行缺方案",IF(AND(D263="已结案",OR(T263="",COUNTIFS('复盘记录'!$B$7:$B$306,A263)=0,COUNTIFS('更新日志'!$B$7:$B$306,A263)=0)),"结案资料待补","基础记录齐备"))))))</x:f>
      </x:c>
      <x:c r="S263" s="3"/>
      <x:c r="T263" s="3"/>
    </x:row>
    <x:row r="264" ht="25" customHeight="1">
      <x:c r="A264" s="3"/>
      <x:c r="B264" s="3"/>
      <x:c r="C264" s="3"/>
      <x:c r="D264" s="3"/>
      <x:c r="E264" s="3"/>
      <x:c r="F264" s="3"/>
      <x:c r="G264" s="3"/>
      <x:c r="H264" s="3"/>
      <x:c r="I264" s="20"/>
      <x:c r="J264" s="3"/>
      <x:c r="K264" s="22"/>
      <x:c r="L264" s="22"/>
      <x:c r="M264" s="24" t="str">
        <x:f>IF(A264="","",IF(COUNTIFS('执行日志'!$B$7:$B$306,A264)=0,"",IF(COUNTIFS('执行日志'!$B$7:$B$306,A264,'执行日志'!$L$7:$L$306,"有效",'执行日志'!$P$7:$P$306,"&lt;&gt;有效输入")&gt;0,"待核对",IF(COUNTIFS('执行日志'!$B$7:$B$306,A264,'执行日志'!$P$7:$P$306,"有效输入")=0,"",SUMIFS('执行日志'!$H$7:$H$306,'执行日志'!$B$7:$B$306,A264,'执行日志'!$P$7:$P$306,"有效输入")))))</x:f>
      </x:c>
      <x:c r="N264" s="24" t="str">
        <x:f>IF(A264="","",IF(COUNTIFS('执行日志'!$B$7:$B$306,A264)=0,"",IF(COUNTIFS('执行日志'!$B$7:$B$306,A264,'执行日志'!$L$7:$L$306,"有效",'执行日志'!$P$7:$P$306,"&lt;&gt;有效输入")&gt;0,"待核对",IF(COUNTIFS('执行日志'!$B$7:$B$306,A264,'执行日志'!$P$7:$P$306,"有效输入")=0,"",SUMIFS('执行日志'!$J$7:$J$306,'执行日志'!$B$7:$B$306,A264,'执行日志'!$P$7:$P$306,"有效输入")))))</x:f>
      </x:c>
      <x:c r="O264" s="24" t="str">
        <x:f>IF(A264="","",IF(NOT(ISNUMBER(K264)),"待定预算",IF(NOT(ISNUMBER(M264)),"暂无有效流水",K264-M264)))</x:f>
      </x:c>
      <x:c r="P264" s="24" t="str">
        <x:f>IF(A264="","",IF(NOT(ISNUMBER(L264)),"待定预算",IF(NOT(ISNUMBER(N264)),"暂无有效流水",L264-N264)))</x:f>
      </x:c>
      <x:c r="Q264" s="19" t="str">
        <x:f>IF(A264="","",IF(D264="已结案","已结案",IF(NOT(ISNUMBER(I264)),"待定复盘日",IF(NOT(ISNUMBER($B$3)),"待定评估日",IF(I264&lt;=$B$3,"应复盘","未到期")))))</x:f>
      </x:c>
      <x:c r="R264" s="19" t="str">
        <x:f>IF(A264="","",IF(COUNTIFS($A$7:$A$306,A264)&lt;&gt;1,"问题编号重复",IF(OR(B264="",C264="",D264="",G264="",S264=""),"待补基础信息",IF(AND(F264&lt;&gt;"",COUNTIFS('方案版本'!$A$7:$A$306,F264,'方案版本'!$B$7:$B$306,A264,'方案版本'!$L$7:$L$306,"已冻结")&lt;&gt;1),"当前方案引用无效",IF(AND(D264="执行中",F264=""),"执行缺方案",IF(AND(D264="已结案",OR(T264="",COUNTIFS('复盘记录'!$B$7:$B$306,A264)=0,COUNTIFS('更新日志'!$B$7:$B$306,A264)=0)),"结案资料待补","基础记录齐备"))))))</x:f>
      </x:c>
      <x:c r="S264" s="3"/>
      <x:c r="T264" s="3"/>
    </x:row>
    <x:row r="265" ht="25" customHeight="1">
      <x:c r="A265" s="3"/>
      <x:c r="B265" s="3"/>
      <x:c r="C265" s="3"/>
      <x:c r="D265" s="3"/>
      <x:c r="E265" s="3"/>
      <x:c r="F265" s="3"/>
      <x:c r="G265" s="3"/>
      <x:c r="H265" s="3"/>
      <x:c r="I265" s="20"/>
      <x:c r="J265" s="3"/>
      <x:c r="K265" s="22"/>
      <x:c r="L265" s="22"/>
      <x:c r="M265" s="24" t="str">
        <x:f>IF(A265="","",IF(COUNTIFS('执行日志'!$B$7:$B$306,A265)=0,"",IF(COUNTIFS('执行日志'!$B$7:$B$306,A265,'执行日志'!$L$7:$L$306,"有效",'执行日志'!$P$7:$P$306,"&lt;&gt;有效输入")&gt;0,"待核对",IF(COUNTIFS('执行日志'!$B$7:$B$306,A265,'执行日志'!$P$7:$P$306,"有效输入")=0,"",SUMIFS('执行日志'!$H$7:$H$306,'执行日志'!$B$7:$B$306,A265,'执行日志'!$P$7:$P$306,"有效输入")))))</x:f>
      </x:c>
      <x:c r="N265" s="24" t="str">
        <x:f>IF(A265="","",IF(COUNTIFS('执行日志'!$B$7:$B$306,A265)=0,"",IF(COUNTIFS('执行日志'!$B$7:$B$306,A265,'执行日志'!$L$7:$L$306,"有效",'执行日志'!$P$7:$P$306,"&lt;&gt;有效输入")&gt;0,"待核对",IF(COUNTIFS('执行日志'!$B$7:$B$306,A265,'执行日志'!$P$7:$P$306,"有效输入")=0,"",SUMIFS('执行日志'!$J$7:$J$306,'执行日志'!$B$7:$B$306,A265,'执行日志'!$P$7:$P$306,"有效输入")))))</x:f>
      </x:c>
      <x:c r="O265" s="24" t="str">
        <x:f>IF(A265="","",IF(NOT(ISNUMBER(K265)),"待定预算",IF(NOT(ISNUMBER(M265)),"暂无有效流水",K265-M265)))</x:f>
      </x:c>
      <x:c r="P265" s="24" t="str">
        <x:f>IF(A265="","",IF(NOT(ISNUMBER(L265)),"待定预算",IF(NOT(ISNUMBER(N265)),"暂无有效流水",L265-N265)))</x:f>
      </x:c>
      <x:c r="Q265" s="19" t="str">
        <x:f>IF(A265="","",IF(D265="已结案","已结案",IF(NOT(ISNUMBER(I265)),"待定复盘日",IF(NOT(ISNUMBER($B$3)),"待定评估日",IF(I265&lt;=$B$3,"应复盘","未到期")))))</x:f>
      </x:c>
      <x:c r="R265" s="19" t="str">
        <x:f>IF(A265="","",IF(COUNTIFS($A$7:$A$306,A265)&lt;&gt;1,"问题编号重复",IF(OR(B265="",C265="",D265="",G265="",S265=""),"待补基础信息",IF(AND(F265&lt;&gt;"",COUNTIFS('方案版本'!$A$7:$A$306,F265,'方案版本'!$B$7:$B$306,A265,'方案版本'!$L$7:$L$306,"已冻结")&lt;&gt;1),"当前方案引用无效",IF(AND(D265="执行中",F265=""),"执行缺方案",IF(AND(D265="已结案",OR(T265="",COUNTIFS('复盘记录'!$B$7:$B$306,A265)=0,COUNTIFS('更新日志'!$B$7:$B$306,A265)=0)),"结案资料待补","基础记录齐备"))))))</x:f>
      </x:c>
      <x:c r="S265" s="3"/>
      <x:c r="T265" s="3"/>
    </x:row>
    <x:row r="266" ht="25" customHeight="1">
      <x:c r="A266" s="3"/>
      <x:c r="B266" s="3"/>
      <x:c r="C266" s="3"/>
      <x:c r="D266" s="3"/>
      <x:c r="E266" s="3"/>
      <x:c r="F266" s="3"/>
      <x:c r="G266" s="3"/>
      <x:c r="H266" s="3"/>
      <x:c r="I266" s="20"/>
      <x:c r="J266" s="3"/>
      <x:c r="K266" s="22"/>
      <x:c r="L266" s="22"/>
      <x:c r="M266" s="24" t="str">
        <x:f>IF(A266="","",IF(COUNTIFS('执行日志'!$B$7:$B$306,A266)=0,"",IF(COUNTIFS('执行日志'!$B$7:$B$306,A266,'执行日志'!$L$7:$L$306,"有效",'执行日志'!$P$7:$P$306,"&lt;&gt;有效输入")&gt;0,"待核对",IF(COUNTIFS('执行日志'!$B$7:$B$306,A266,'执行日志'!$P$7:$P$306,"有效输入")=0,"",SUMIFS('执行日志'!$H$7:$H$306,'执行日志'!$B$7:$B$306,A266,'执行日志'!$P$7:$P$306,"有效输入")))))</x:f>
      </x:c>
      <x:c r="N266" s="24" t="str">
        <x:f>IF(A266="","",IF(COUNTIFS('执行日志'!$B$7:$B$306,A266)=0,"",IF(COUNTIFS('执行日志'!$B$7:$B$306,A266,'执行日志'!$L$7:$L$306,"有效",'执行日志'!$P$7:$P$306,"&lt;&gt;有效输入")&gt;0,"待核对",IF(COUNTIFS('执行日志'!$B$7:$B$306,A266,'执行日志'!$P$7:$P$306,"有效输入")=0,"",SUMIFS('执行日志'!$J$7:$J$306,'执行日志'!$B$7:$B$306,A266,'执行日志'!$P$7:$P$306,"有效输入")))))</x:f>
      </x:c>
      <x:c r="O266" s="24" t="str">
        <x:f>IF(A266="","",IF(NOT(ISNUMBER(K266)),"待定预算",IF(NOT(ISNUMBER(M266)),"暂无有效流水",K266-M266)))</x:f>
      </x:c>
      <x:c r="P266" s="24" t="str">
        <x:f>IF(A266="","",IF(NOT(ISNUMBER(L266)),"待定预算",IF(NOT(ISNUMBER(N266)),"暂无有效流水",L266-N266)))</x:f>
      </x:c>
      <x:c r="Q266" s="19" t="str">
        <x:f>IF(A266="","",IF(D266="已结案","已结案",IF(NOT(ISNUMBER(I266)),"待定复盘日",IF(NOT(ISNUMBER($B$3)),"待定评估日",IF(I266&lt;=$B$3,"应复盘","未到期")))))</x:f>
      </x:c>
      <x:c r="R266" s="19" t="str">
        <x:f>IF(A266="","",IF(COUNTIFS($A$7:$A$306,A266)&lt;&gt;1,"问题编号重复",IF(OR(B266="",C266="",D266="",G266="",S266=""),"待补基础信息",IF(AND(F266&lt;&gt;"",COUNTIFS('方案版本'!$A$7:$A$306,F266,'方案版本'!$B$7:$B$306,A266,'方案版本'!$L$7:$L$306,"已冻结")&lt;&gt;1),"当前方案引用无效",IF(AND(D266="执行中",F266=""),"执行缺方案",IF(AND(D266="已结案",OR(T266="",COUNTIFS('复盘记录'!$B$7:$B$306,A266)=0,COUNTIFS('更新日志'!$B$7:$B$306,A266)=0)),"结案资料待补","基础记录齐备"))))))</x:f>
      </x:c>
      <x:c r="S266" s="3"/>
      <x:c r="T266" s="3"/>
    </x:row>
    <x:row r="267" ht="25" customHeight="1">
      <x:c r="A267" s="3"/>
      <x:c r="B267" s="3"/>
      <x:c r="C267" s="3"/>
      <x:c r="D267" s="3"/>
      <x:c r="E267" s="3"/>
      <x:c r="F267" s="3"/>
      <x:c r="G267" s="3"/>
      <x:c r="H267" s="3"/>
      <x:c r="I267" s="20"/>
      <x:c r="J267" s="3"/>
      <x:c r="K267" s="22"/>
      <x:c r="L267" s="22"/>
      <x:c r="M267" s="24" t="str">
        <x:f>IF(A267="","",IF(COUNTIFS('执行日志'!$B$7:$B$306,A267)=0,"",IF(COUNTIFS('执行日志'!$B$7:$B$306,A267,'执行日志'!$L$7:$L$306,"有效",'执行日志'!$P$7:$P$306,"&lt;&gt;有效输入")&gt;0,"待核对",IF(COUNTIFS('执行日志'!$B$7:$B$306,A267,'执行日志'!$P$7:$P$306,"有效输入")=0,"",SUMIFS('执行日志'!$H$7:$H$306,'执行日志'!$B$7:$B$306,A267,'执行日志'!$P$7:$P$306,"有效输入")))))</x:f>
      </x:c>
      <x:c r="N267" s="24" t="str">
        <x:f>IF(A267="","",IF(COUNTIFS('执行日志'!$B$7:$B$306,A267)=0,"",IF(COUNTIFS('执行日志'!$B$7:$B$306,A267,'执行日志'!$L$7:$L$306,"有效",'执行日志'!$P$7:$P$306,"&lt;&gt;有效输入")&gt;0,"待核对",IF(COUNTIFS('执行日志'!$B$7:$B$306,A267,'执行日志'!$P$7:$P$306,"有效输入")=0,"",SUMIFS('执行日志'!$J$7:$J$306,'执行日志'!$B$7:$B$306,A267,'执行日志'!$P$7:$P$306,"有效输入")))))</x:f>
      </x:c>
      <x:c r="O267" s="24" t="str">
        <x:f>IF(A267="","",IF(NOT(ISNUMBER(K267)),"待定预算",IF(NOT(ISNUMBER(M267)),"暂无有效流水",K267-M267)))</x:f>
      </x:c>
      <x:c r="P267" s="24" t="str">
        <x:f>IF(A267="","",IF(NOT(ISNUMBER(L267)),"待定预算",IF(NOT(ISNUMBER(N267)),"暂无有效流水",L267-N267)))</x:f>
      </x:c>
      <x:c r="Q267" s="19" t="str">
        <x:f>IF(A267="","",IF(D267="已结案","已结案",IF(NOT(ISNUMBER(I267)),"待定复盘日",IF(NOT(ISNUMBER($B$3)),"待定评估日",IF(I267&lt;=$B$3,"应复盘","未到期")))))</x:f>
      </x:c>
      <x:c r="R267" s="19" t="str">
        <x:f>IF(A267="","",IF(COUNTIFS($A$7:$A$306,A267)&lt;&gt;1,"问题编号重复",IF(OR(B267="",C267="",D267="",G267="",S267=""),"待补基础信息",IF(AND(F267&lt;&gt;"",COUNTIFS('方案版本'!$A$7:$A$306,F267,'方案版本'!$B$7:$B$306,A267,'方案版本'!$L$7:$L$306,"已冻结")&lt;&gt;1),"当前方案引用无效",IF(AND(D267="执行中",F267=""),"执行缺方案",IF(AND(D267="已结案",OR(T267="",COUNTIFS('复盘记录'!$B$7:$B$306,A267)=0,COUNTIFS('更新日志'!$B$7:$B$306,A267)=0)),"结案资料待补","基础记录齐备"))))))</x:f>
      </x:c>
      <x:c r="S267" s="3"/>
      <x:c r="T267" s="3"/>
    </x:row>
    <x:row r="268" ht="25" customHeight="1">
      <x:c r="A268" s="3"/>
      <x:c r="B268" s="3"/>
      <x:c r="C268" s="3"/>
      <x:c r="D268" s="3"/>
      <x:c r="E268" s="3"/>
      <x:c r="F268" s="3"/>
      <x:c r="G268" s="3"/>
      <x:c r="H268" s="3"/>
      <x:c r="I268" s="20"/>
      <x:c r="J268" s="3"/>
      <x:c r="K268" s="22"/>
      <x:c r="L268" s="22"/>
      <x:c r="M268" s="24" t="str">
        <x:f>IF(A268="","",IF(COUNTIFS('执行日志'!$B$7:$B$306,A268)=0,"",IF(COUNTIFS('执行日志'!$B$7:$B$306,A268,'执行日志'!$L$7:$L$306,"有效",'执行日志'!$P$7:$P$306,"&lt;&gt;有效输入")&gt;0,"待核对",IF(COUNTIFS('执行日志'!$B$7:$B$306,A268,'执行日志'!$P$7:$P$306,"有效输入")=0,"",SUMIFS('执行日志'!$H$7:$H$306,'执行日志'!$B$7:$B$306,A268,'执行日志'!$P$7:$P$306,"有效输入")))))</x:f>
      </x:c>
      <x:c r="N268" s="24" t="str">
        <x:f>IF(A268="","",IF(COUNTIFS('执行日志'!$B$7:$B$306,A268)=0,"",IF(COUNTIFS('执行日志'!$B$7:$B$306,A268,'执行日志'!$L$7:$L$306,"有效",'执行日志'!$P$7:$P$306,"&lt;&gt;有效输入")&gt;0,"待核对",IF(COUNTIFS('执行日志'!$B$7:$B$306,A268,'执行日志'!$P$7:$P$306,"有效输入")=0,"",SUMIFS('执行日志'!$J$7:$J$306,'执行日志'!$B$7:$B$306,A268,'执行日志'!$P$7:$P$306,"有效输入")))))</x:f>
      </x:c>
      <x:c r="O268" s="24" t="str">
        <x:f>IF(A268="","",IF(NOT(ISNUMBER(K268)),"待定预算",IF(NOT(ISNUMBER(M268)),"暂无有效流水",K268-M268)))</x:f>
      </x:c>
      <x:c r="P268" s="24" t="str">
        <x:f>IF(A268="","",IF(NOT(ISNUMBER(L268)),"待定预算",IF(NOT(ISNUMBER(N268)),"暂无有效流水",L268-N268)))</x:f>
      </x:c>
      <x:c r="Q268" s="19" t="str">
        <x:f>IF(A268="","",IF(D268="已结案","已结案",IF(NOT(ISNUMBER(I268)),"待定复盘日",IF(NOT(ISNUMBER($B$3)),"待定评估日",IF(I268&lt;=$B$3,"应复盘","未到期")))))</x:f>
      </x:c>
      <x:c r="R268" s="19" t="str">
        <x:f>IF(A268="","",IF(COUNTIFS($A$7:$A$306,A268)&lt;&gt;1,"问题编号重复",IF(OR(B268="",C268="",D268="",G268="",S268=""),"待补基础信息",IF(AND(F268&lt;&gt;"",COUNTIFS('方案版本'!$A$7:$A$306,F268,'方案版本'!$B$7:$B$306,A268,'方案版本'!$L$7:$L$306,"已冻结")&lt;&gt;1),"当前方案引用无效",IF(AND(D268="执行中",F268=""),"执行缺方案",IF(AND(D268="已结案",OR(T268="",COUNTIFS('复盘记录'!$B$7:$B$306,A268)=0,COUNTIFS('更新日志'!$B$7:$B$306,A268)=0)),"结案资料待补","基础记录齐备"))))))</x:f>
      </x:c>
      <x:c r="S268" s="3"/>
      <x:c r="T268" s="3"/>
    </x:row>
    <x:row r="269" ht="25" customHeight="1">
      <x:c r="A269" s="3"/>
      <x:c r="B269" s="3"/>
      <x:c r="C269" s="3"/>
      <x:c r="D269" s="3"/>
      <x:c r="E269" s="3"/>
      <x:c r="F269" s="3"/>
      <x:c r="G269" s="3"/>
      <x:c r="H269" s="3"/>
      <x:c r="I269" s="20"/>
      <x:c r="J269" s="3"/>
      <x:c r="K269" s="22"/>
      <x:c r="L269" s="22"/>
      <x:c r="M269" s="24" t="str">
        <x:f>IF(A269="","",IF(COUNTIFS('执行日志'!$B$7:$B$306,A269)=0,"",IF(COUNTIFS('执行日志'!$B$7:$B$306,A269,'执行日志'!$L$7:$L$306,"有效",'执行日志'!$P$7:$P$306,"&lt;&gt;有效输入")&gt;0,"待核对",IF(COUNTIFS('执行日志'!$B$7:$B$306,A269,'执行日志'!$P$7:$P$306,"有效输入")=0,"",SUMIFS('执行日志'!$H$7:$H$306,'执行日志'!$B$7:$B$306,A269,'执行日志'!$P$7:$P$306,"有效输入")))))</x:f>
      </x:c>
      <x:c r="N269" s="24" t="str">
        <x:f>IF(A269="","",IF(COUNTIFS('执行日志'!$B$7:$B$306,A269)=0,"",IF(COUNTIFS('执行日志'!$B$7:$B$306,A269,'执行日志'!$L$7:$L$306,"有效",'执行日志'!$P$7:$P$306,"&lt;&gt;有效输入")&gt;0,"待核对",IF(COUNTIFS('执行日志'!$B$7:$B$306,A269,'执行日志'!$P$7:$P$306,"有效输入")=0,"",SUMIFS('执行日志'!$J$7:$J$306,'执行日志'!$B$7:$B$306,A269,'执行日志'!$P$7:$P$306,"有效输入")))))</x:f>
      </x:c>
      <x:c r="O269" s="24" t="str">
        <x:f>IF(A269="","",IF(NOT(ISNUMBER(K269)),"待定预算",IF(NOT(ISNUMBER(M269)),"暂无有效流水",K269-M269)))</x:f>
      </x:c>
      <x:c r="P269" s="24" t="str">
        <x:f>IF(A269="","",IF(NOT(ISNUMBER(L269)),"待定预算",IF(NOT(ISNUMBER(N269)),"暂无有效流水",L269-N269)))</x:f>
      </x:c>
      <x:c r="Q269" s="19" t="str">
        <x:f>IF(A269="","",IF(D269="已结案","已结案",IF(NOT(ISNUMBER(I269)),"待定复盘日",IF(NOT(ISNUMBER($B$3)),"待定评估日",IF(I269&lt;=$B$3,"应复盘","未到期")))))</x:f>
      </x:c>
      <x:c r="R269" s="19" t="str">
        <x:f>IF(A269="","",IF(COUNTIFS($A$7:$A$306,A269)&lt;&gt;1,"问题编号重复",IF(OR(B269="",C269="",D269="",G269="",S269=""),"待补基础信息",IF(AND(F269&lt;&gt;"",COUNTIFS('方案版本'!$A$7:$A$306,F269,'方案版本'!$B$7:$B$306,A269,'方案版本'!$L$7:$L$306,"已冻结")&lt;&gt;1),"当前方案引用无效",IF(AND(D269="执行中",F269=""),"执行缺方案",IF(AND(D269="已结案",OR(T269="",COUNTIFS('复盘记录'!$B$7:$B$306,A269)=0,COUNTIFS('更新日志'!$B$7:$B$306,A269)=0)),"结案资料待补","基础记录齐备"))))))</x:f>
      </x:c>
      <x:c r="S269" s="3"/>
      <x:c r="T269" s="3"/>
    </x:row>
    <x:row r="270" ht="25" customHeight="1">
      <x:c r="A270" s="3"/>
      <x:c r="B270" s="3"/>
      <x:c r="C270" s="3"/>
      <x:c r="D270" s="3"/>
      <x:c r="E270" s="3"/>
      <x:c r="F270" s="3"/>
      <x:c r="G270" s="3"/>
      <x:c r="H270" s="3"/>
      <x:c r="I270" s="20"/>
      <x:c r="J270" s="3"/>
      <x:c r="K270" s="22"/>
      <x:c r="L270" s="22"/>
      <x:c r="M270" s="24" t="str">
        <x:f>IF(A270="","",IF(COUNTIFS('执行日志'!$B$7:$B$306,A270)=0,"",IF(COUNTIFS('执行日志'!$B$7:$B$306,A270,'执行日志'!$L$7:$L$306,"有效",'执行日志'!$P$7:$P$306,"&lt;&gt;有效输入")&gt;0,"待核对",IF(COUNTIFS('执行日志'!$B$7:$B$306,A270,'执行日志'!$P$7:$P$306,"有效输入")=0,"",SUMIFS('执行日志'!$H$7:$H$306,'执行日志'!$B$7:$B$306,A270,'执行日志'!$P$7:$P$306,"有效输入")))))</x:f>
      </x:c>
      <x:c r="N270" s="24" t="str">
        <x:f>IF(A270="","",IF(COUNTIFS('执行日志'!$B$7:$B$306,A270)=0,"",IF(COUNTIFS('执行日志'!$B$7:$B$306,A270,'执行日志'!$L$7:$L$306,"有效",'执行日志'!$P$7:$P$306,"&lt;&gt;有效输入")&gt;0,"待核对",IF(COUNTIFS('执行日志'!$B$7:$B$306,A270,'执行日志'!$P$7:$P$306,"有效输入")=0,"",SUMIFS('执行日志'!$J$7:$J$306,'执行日志'!$B$7:$B$306,A270,'执行日志'!$P$7:$P$306,"有效输入")))))</x:f>
      </x:c>
      <x:c r="O270" s="24" t="str">
        <x:f>IF(A270="","",IF(NOT(ISNUMBER(K270)),"待定预算",IF(NOT(ISNUMBER(M270)),"暂无有效流水",K270-M270)))</x:f>
      </x:c>
      <x:c r="P270" s="24" t="str">
        <x:f>IF(A270="","",IF(NOT(ISNUMBER(L270)),"待定预算",IF(NOT(ISNUMBER(N270)),"暂无有效流水",L270-N270)))</x:f>
      </x:c>
      <x:c r="Q270" s="19" t="str">
        <x:f>IF(A270="","",IF(D270="已结案","已结案",IF(NOT(ISNUMBER(I270)),"待定复盘日",IF(NOT(ISNUMBER($B$3)),"待定评估日",IF(I270&lt;=$B$3,"应复盘","未到期")))))</x:f>
      </x:c>
      <x:c r="R270" s="19" t="str">
        <x:f>IF(A270="","",IF(COUNTIFS($A$7:$A$306,A270)&lt;&gt;1,"问题编号重复",IF(OR(B270="",C270="",D270="",G270="",S270=""),"待补基础信息",IF(AND(F270&lt;&gt;"",COUNTIFS('方案版本'!$A$7:$A$306,F270,'方案版本'!$B$7:$B$306,A270,'方案版本'!$L$7:$L$306,"已冻结")&lt;&gt;1),"当前方案引用无效",IF(AND(D270="执行中",F270=""),"执行缺方案",IF(AND(D270="已结案",OR(T270="",COUNTIFS('复盘记录'!$B$7:$B$306,A270)=0,COUNTIFS('更新日志'!$B$7:$B$306,A270)=0)),"结案资料待补","基础记录齐备"))))))</x:f>
      </x:c>
      <x:c r="S270" s="3"/>
      <x:c r="T270" s="3"/>
    </x:row>
    <x:row r="271" ht="25" customHeight="1">
      <x:c r="A271" s="3"/>
      <x:c r="B271" s="3"/>
      <x:c r="C271" s="3"/>
      <x:c r="D271" s="3"/>
      <x:c r="E271" s="3"/>
      <x:c r="F271" s="3"/>
      <x:c r="G271" s="3"/>
      <x:c r="H271" s="3"/>
      <x:c r="I271" s="20"/>
      <x:c r="J271" s="3"/>
      <x:c r="K271" s="22"/>
      <x:c r="L271" s="22"/>
      <x:c r="M271" s="24" t="str">
        <x:f>IF(A271="","",IF(COUNTIFS('执行日志'!$B$7:$B$306,A271)=0,"",IF(COUNTIFS('执行日志'!$B$7:$B$306,A271,'执行日志'!$L$7:$L$306,"有效",'执行日志'!$P$7:$P$306,"&lt;&gt;有效输入")&gt;0,"待核对",IF(COUNTIFS('执行日志'!$B$7:$B$306,A271,'执行日志'!$P$7:$P$306,"有效输入")=0,"",SUMIFS('执行日志'!$H$7:$H$306,'执行日志'!$B$7:$B$306,A271,'执行日志'!$P$7:$P$306,"有效输入")))))</x:f>
      </x:c>
      <x:c r="N271" s="24" t="str">
        <x:f>IF(A271="","",IF(COUNTIFS('执行日志'!$B$7:$B$306,A271)=0,"",IF(COUNTIFS('执行日志'!$B$7:$B$306,A271,'执行日志'!$L$7:$L$306,"有效",'执行日志'!$P$7:$P$306,"&lt;&gt;有效输入")&gt;0,"待核对",IF(COUNTIFS('执行日志'!$B$7:$B$306,A271,'执行日志'!$P$7:$P$306,"有效输入")=0,"",SUMIFS('执行日志'!$J$7:$J$306,'执行日志'!$B$7:$B$306,A271,'执行日志'!$P$7:$P$306,"有效输入")))))</x:f>
      </x:c>
      <x:c r="O271" s="24" t="str">
        <x:f>IF(A271="","",IF(NOT(ISNUMBER(K271)),"待定预算",IF(NOT(ISNUMBER(M271)),"暂无有效流水",K271-M271)))</x:f>
      </x:c>
      <x:c r="P271" s="24" t="str">
        <x:f>IF(A271="","",IF(NOT(ISNUMBER(L271)),"待定预算",IF(NOT(ISNUMBER(N271)),"暂无有效流水",L271-N271)))</x:f>
      </x:c>
      <x:c r="Q271" s="19" t="str">
        <x:f>IF(A271="","",IF(D271="已结案","已结案",IF(NOT(ISNUMBER(I271)),"待定复盘日",IF(NOT(ISNUMBER($B$3)),"待定评估日",IF(I271&lt;=$B$3,"应复盘","未到期")))))</x:f>
      </x:c>
      <x:c r="R271" s="19" t="str">
        <x:f>IF(A271="","",IF(COUNTIFS($A$7:$A$306,A271)&lt;&gt;1,"问题编号重复",IF(OR(B271="",C271="",D271="",G271="",S271=""),"待补基础信息",IF(AND(F271&lt;&gt;"",COUNTIFS('方案版本'!$A$7:$A$306,F271,'方案版本'!$B$7:$B$306,A271,'方案版本'!$L$7:$L$306,"已冻结")&lt;&gt;1),"当前方案引用无效",IF(AND(D271="执行中",F271=""),"执行缺方案",IF(AND(D271="已结案",OR(T271="",COUNTIFS('复盘记录'!$B$7:$B$306,A271)=0,COUNTIFS('更新日志'!$B$7:$B$306,A271)=0)),"结案资料待补","基础记录齐备"))))))</x:f>
      </x:c>
      <x:c r="S271" s="3"/>
      <x:c r="T271" s="3"/>
    </x:row>
    <x:row r="272" ht="25" customHeight="1">
      <x:c r="A272" s="3"/>
      <x:c r="B272" s="3"/>
      <x:c r="C272" s="3"/>
      <x:c r="D272" s="3"/>
      <x:c r="E272" s="3"/>
      <x:c r="F272" s="3"/>
      <x:c r="G272" s="3"/>
      <x:c r="H272" s="3"/>
      <x:c r="I272" s="20"/>
      <x:c r="J272" s="3"/>
      <x:c r="K272" s="22"/>
      <x:c r="L272" s="22"/>
      <x:c r="M272" s="24" t="str">
        <x:f>IF(A272="","",IF(COUNTIFS('执行日志'!$B$7:$B$306,A272)=0,"",IF(COUNTIFS('执行日志'!$B$7:$B$306,A272,'执行日志'!$L$7:$L$306,"有效",'执行日志'!$P$7:$P$306,"&lt;&gt;有效输入")&gt;0,"待核对",IF(COUNTIFS('执行日志'!$B$7:$B$306,A272,'执行日志'!$P$7:$P$306,"有效输入")=0,"",SUMIFS('执行日志'!$H$7:$H$306,'执行日志'!$B$7:$B$306,A272,'执行日志'!$P$7:$P$306,"有效输入")))))</x:f>
      </x:c>
      <x:c r="N272" s="24" t="str">
        <x:f>IF(A272="","",IF(COUNTIFS('执行日志'!$B$7:$B$306,A272)=0,"",IF(COUNTIFS('执行日志'!$B$7:$B$306,A272,'执行日志'!$L$7:$L$306,"有效",'执行日志'!$P$7:$P$306,"&lt;&gt;有效输入")&gt;0,"待核对",IF(COUNTIFS('执行日志'!$B$7:$B$306,A272,'执行日志'!$P$7:$P$306,"有效输入")=0,"",SUMIFS('执行日志'!$J$7:$J$306,'执行日志'!$B$7:$B$306,A272,'执行日志'!$P$7:$P$306,"有效输入")))))</x:f>
      </x:c>
      <x:c r="O272" s="24" t="str">
        <x:f>IF(A272="","",IF(NOT(ISNUMBER(K272)),"待定预算",IF(NOT(ISNUMBER(M272)),"暂无有效流水",K272-M272)))</x:f>
      </x:c>
      <x:c r="P272" s="24" t="str">
        <x:f>IF(A272="","",IF(NOT(ISNUMBER(L272)),"待定预算",IF(NOT(ISNUMBER(N272)),"暂无有效流水",L272-N272)))</x:f>
      </x:c>
      <x:c r="Q272" s="19" t="str">
        <x:f>IF(A272="","",IF(D272="已结案","已结案",IF(NOT(ISNUMBER(I272)),"待定复盘日",IF(NOT(ISNUMBER($B$3)),"待定评估日",IF(I272&lt;=$B$3,"应复盘","未到期")))))</x:f>
      </x:c>
      <x:c r="R272" s="19" t="str">
        <x:f>IF(A272="","",IF(COUNTIFS($A$7:$A$306,A272)&lt;&gt;1,"问题编号重复",IF(OR(B272="",C272="",D272="",G272="",S272=""),"待补基础信息",IF(AND(F272&lt;&gt;"",COUNTIFS('方案版本'!$A$7:$A$306,F272,'方案版本'!$B$7:$B$306,A272,'方案版本'!$L$7:$L$306,"已冻结")&lt;&gt;1),"当前方案引用无效",IF(AND(D272="执行中",F272=""),"执行缺方案",IF(AND(D272="已结案",OR(T272="",COUNTIFS('复盘记录'!$B$7:$B$306,A272)=0,COUNTIFS('更新日志'!$B$7:$B$306,A272)=0)),"结案资料待补","基础记录齐备"))))))</x:f>
      </x:c>
      <x:c r="S272" s="3"/>
      <x:c r="T272" s="3"/>
    </x:row>
    <x:row r="273" ht="25" customHeight="1">
      <x:c r="A273" s="3"/>
      <x:c r="B273" s="3"/>
      <x:c r="C273" s="3"/>
      <x:c r="D273" s="3"/>
      <x:c r="E273" s="3"/>
      <x:c r="F273" s="3"/>
      <x:c r="G273" s="3"/>
      <x:c r="H273" s="3"/>
      <x:c r="I273" s="20"/>
      <x:c r="J273" s="3"/>
      <x:c r="K273" s="22"/>
      <x:c r="L273" s="22"/>
      <x:c r="M273" s="24" t="str">
        <x:f>IF(A273="","",IF(COUNTIFS('执行日志'!$B$7:$B$306,A273)=0,"",IF(COUNTIFS('执行日志'!$B$7:$B$306,A273,'执行日志'!$L$7:$L$306,"有效",'执行日志'!$P$7:$P$306,"&lt;&gt;有效输入")&gt;0,"待核对",IF(COUNTIFS('执行日志'!$B$7:$B$306,A273,'执行日志'!$P$7:$P$306,"有效输入")=0,"",SUMIFS('执行日志'!$H$7:$H$306,'执行日志'!$B$7:$B$306,A273,'执行日志'!$P$7:$P$306,"有效输入")))))</x:f>
      </x:c>
      <x:c r="N273" s="24" t="str">
        <x:f>IF(A273="","",IF(COUNTIFS('执行日志'!$B$7:$B$306,A273)=0,"",IF(COUNTIFS('执行日志'!$B$7:$B$306,A273,'执行日志'!$L$7:$L$306,"有效",'执行日志'!$P$7:$P$306,"&lt;&gt;有效输入")&gt;0,"待核对",IF(COUNTIFS('执行日志'!$B$7:$B$306,A273,'执行日志'!$P$7:$P$306,"有效输入")=0,"",SUMIFS('执行日志'!$J$7:$J$306,'执行日志'!$B$7:$B$306,A273,'执行日志'!$P$7:$P$306,"有效输入")))))</x:f>
      </x:c>
      <x:c r="O273" s="24" t="str">
        <x:f>IF(A273="","",IF(NOT(ISNUMBER(K273)),"待定预算",IF(NOT(ISNUMBER(M273)),"暂无有效流水",K273-M273)))</x:f>
      </x:c>
      <x:c r="P273" s="24" t="str">
        <x:f>IF(A273="","",IF(NOT(ISNUMBER(L273)),"待定预算",IF(NOT(ISNUMBER(N273)),"暂无有效流水",L273-N273)))</x:f>
      </x:c>
      <x:c r="Q273" s="19" t="str">
        <x:f>IF(A273="","",IF(D273="已结案","已结案",IF(NOT(ISNUMBER(I273)),"待定复盘日",IF(NOT(ISNUMBER($B$3)),"待定评估日",IF(I273&lt;=$B$3,"应复盘","未到期")))))</x:f>
      </x:c>
      <x:c r="R273" s="19" t="str">
        <x:f>IF(A273="","",IF(COUNTIFS($A$7:$A$306,A273)&lt;&gt;1,"问题编号重复",IF(OR(B273="",C273="",D273="",G273="",S273=""),"待补基础信息",IF(AND(F273&lt;&gt;"",COUNTIFS('方案版本'!$A$7:$A$306,F273,'方案版本'!$B$7:$B$306,A273,'方案版本'!$L$7:$L$306,"已冻结")&lt;&gt;1),"当前方案引用无效",IF(AND(D273="执行中",F273=""),"执行缺方案",IF(AND(D273="已结案",OR(T273="",COUNTIFS('复盘记录'!$B$7:$B$306,A273)=0,COUNTIFS('更新日志'!$B$7:$B$306,A273)=0)),"结案资料待补","基础记录齐备"))))))</x:f>
      </x:c>
      <x:c r="S273" s="3"/>
      <x:c r="T273" s="3"/>
    </x:row>
    <x:row r="274" ht="25" customHeight="1">
      <x:c r="A274" s="3"/>
      <x:c r="B274" s="3"/>
      <x:c r="C274" s="3"/>
      <x:c r="D274" s="3"/>
      <x:c r="E274" s="3"/>
      <x:c r="F274" s="3"/>
      <x:c r="G274" s="3"/>
      <x:c r="H274" s="3"/>
      <x:c r="I274" s="20"/>
      <x:c r="J274" s="3"/>
      <x:c r="K274" s="22"/>
      <x:c r="L274" s="22"/>
      <x:c r="M274" s="24" t="str">
        <x:f>IF(A274="","",IF(COUNTIFS('执行日志'!$B$7:$B$306,A274)=0,"",IF(COUNTIFS('执行日志'!$B$7:$B$306,A274,'执行日志'!$L$7:$L$306,"有效",'执行日志'!$P$7:$P$306,"&lt;&gt;有效输入")&gt;0,"待核对",IF(COUNTIFS('执行日志'!$B$7:$B$306,A274,'执行日志'!$P$7:$P$306,"有效输入")=0,"",SUMIFS('执行日志'!$H$7:$H$306,'执行日志'!$B$7:$B$306,A274,'执行日志'!$P$7:$P$306,"有效输入")))))</x:f>
      </x:c>
      <x:c r="N274" s="24" t="str">
        <x:f>IF(A274="","",IF(COUNTIFS('执行日志'!$B$7:$B$306,A274)=0,"",IF(COUNTIFS('执行日志'!$B$7:$B$306,A274,'执行日志'!$L$7:$L$306,"有效",'执行日志'!$P$7:$P$306,"&lt;&gt;有效输入")&gt;0,"待核对",IF(COUNTIFS('执行日志'!$B$7:$B$306,A274,'执行日志'!$P$7:$P$306,"有效输入")=0,"",SUMIFS('执行日志'!$J$7:$J$306,'执行日志'!$B$7:$B$306,A274,'执行日志'!$P$7:$P$306,"有效输入")))))</x:f>
      </x:c>
      <x:c r="O274" s="24" t="str">
        <x:f>IF(A274="","",IF(NOT(ISNUMBER(K274)),"待定预算",IF(NOT(ISNUMBER(M274)),"暂无有效流水",K274-M274)))</x:f>
      </x:c>
      <x:c r="P274" s="24" t="str">
        <x:f>IF(A274="","",IF(NOT(ISNUMBER(L274)),"待定预算",IF(NOT(ISNUMBER(N274)),"暂无有效流水",L274-N274)))</x:f>
      </x:c>
      <x:c r="Q274" s="19" t="str">
        <x:f>IF(A274="","",IF(D274="已结案","已结案",IF(NOT(ISNUMBER(I274)),"待定复盘日",IF(NOT(ISNUMBER($B$3)),"待定评估日",IF(I274&lt;=$B$3,"应复盘","未到期")))))</x:f>
      </x:c>
      <x:c r="R274" s="19" t="str">
        <x:f>IF(A274="","",IF(COUNTIFS($A$7:$A$306,A274)&lt;&gt;1,"问题编号重复",IF(OR(B274="",C274="",D274="",G274="",S274=""),"待补基础信息",IF(AND(F274&lt;&gt;"",COUNTIFS('方案版本'!$A$7:$A$306,F274,'方案版本'!$B$7:$B$306,A274,'方案版本'!$L$7:$L$306,"已冻结")&lt;&gt;1),"当前方案引用无效",IF(AND(D274="执行中",F274=""),"执行缺方案",IF(AND(D274="已结案",OR(T274="",COUNTIFS('复盘记录'!$B$7:$B$306,A274)=0,COUNTIFS('更新日志'!$B$7:$B$306,A274)=0)),"结案资料待补","基础记录齐备"))))))</x:f>
      </x:c>
      <x:c r="S274" s="3"/>
      <x:c r="T274" s="3"/>
    </x:row>
    <x:row r="275" ht="25" customHeight="1">
      <x:c r="A275" s="3"/>
      <x:c r="B275" s="3"/>
      <x:c r="C275" s="3"/>
      <x:c r="D275" s="3"/>
      <x:c r="E275" s="3"/>
      <x:c r="F275" s="3"/>
      <x:c r="G275" s="3"/>
      <x:c r="H275" s="3"/>
      <x:c r="I275" s="20"/>
      <x:c r="J275" s="3"/>
      <x:c r="K275" s="22"/>
      <x:c r="L275" s="22"/>
      <x:c r="M275" s="24" t="str">
        <x:f>IF(A275="","",IF(COUNTIFS('执行日志'!$B$7:$B$306,A275)=0,"",IF(COUNTIFS('执行日志'!$B$7:$B$306,A275,'执行日志'!$L$7:$L$306,"有效",'执行日志'!$P$7:$P$306,"&lt;&gt;有效输入")&gt;0,"待核对",IF(COUNTIFS('执行日志'!$B$7:$B$306,A275,'执行日志'!$P$7:$P$306,"有效输入")=0,"",SUMIFS('执行日志'!$H$7:$H$306,'执行日志'!$B$7:$B$306,A275,'执行日志'!$P$7:$P$306,"有效输入")))))</x:f>
      </x:c>
      <x:c r="N275" s="24" t="str">
        <x:f>IF(A275="","",IF(COUNTIFS('执行日志'!$B$7:$B$306,A275)=0,"",IF(COUNTIFS('执行日志'!$B$7:$B$306,A275,'执行日志'!$L$7:$L$306,"有效",'执行日志'!$P$7:$P$306,"&lt;&gt;有效输入")&gt;0,"待核对",IF(COUNTIFS('执行日志'!$B$7:$B$306,A275,'执行日志'!$P$7:$P$306,"有效输入")=0,"",SUMIFS('执行日志'!$J$7:$J$306,'执行日志'!$B$7:$B$306,A275,'执行日志'!$P$7:$P$306,"有效输入")))))</x:f>
      </x:c>
      <x:c r="O275" s="24" t="str">
        <x:f>IF(A275="","",IF(NOT(ISNUMBER(K275)),"待定预算",IF(NOT(ISNUMBER(M275)),"暂无有效流水",K275-M275)))</x:f>
      </x:c>
      <x:c r="P275" s="24" t="str">
        <x:f>IF(A275="","",IF(NOT(ISNUMBER(L275)),"待定预算",IF(NOT(ISNUMBER(N275)),"暂无有效流水",L275-N275)))</x:f>
      </x:c>
      <x:c r="Q275" s="19" t="str">
        <x:f>IF(A275="","",IF(D275="已结案","已结案",IF(NOT(ISNUMBER(I275)),"待定复盘日",IF(NOT(ISNUMBER($B$3)),"待定评估日",IF(I275&lt;=$B$3,"应复盘","未到期")))))</x:f>
      </x:c>
      <x:c r="R275" s="19" t="str">
        <x:f>IF(A275="","",IF(COUNTIFS($A$7:$A$306,A275)&lt;&gt;1,"问题编号重复",IF(OR(B275="",C275="",D275="",G275="",S275=""),"待补基础信息",IF(AND(F275&lt;&gt;"",COUNTIFS('方案版本'!$A$7:$A$306,F275,'方案版本'!$B$7:$B$306,A275,'方案版本'!$L$7:$L$306,"已冻结")&lt;&gt;1),"当前方案引用无效",IF(AND(D275="执行中",F275=""),"执行缺方案",IF(AND(D275="已结案",OR(T275="",COUNTIFS('复盘记录'!$B$7:$B$306,A275)=0,COUNTIFS('更新日志'!$B$7:$B$306,A275)=0)),"结案资料待补","基础记录齐备"))))))</x:f>
      </x:c>
      <x:c r="S275" s="3"/>
      <x:c r="T275" s="3"/>
    </x:row>
    <x:row r="276" ht="25" customHeight="1">
      <x:c r="A276" s="3"/>
      <x:c r="B276" s="3"/>
      <x:c r="C276" s="3"/>
      <x:c r="D276" s="3"/>
      <x:c r="E276" s="3"/>
      <x:c r="F276" s="3"/>
      <x:c r="G276" s="3"/>
      <x:c r="H276" s="3"/>
      <x:c r="I276" s="20"/>
      <x:c r="J276" s="3"/>
      <x:c r="K276" s="22"/>
      <x:c r="L276" s="22"/>
      <x:c r="M276" s="24" t="str">
        <x:f>IF(A276="","",IF(COUNTIFS('执行日志'!$B$7:$B$306,A276)=0,"",IF(COUNTIFS('执行日志'!$B$7:$B$306,A276,'执行日志'!$L$7:$L$306,"有效",'执行日志'!$P$7:$P$306,"&lt;&gt;有效输入")&gt;0,"待核对",IF(COUNTIFS('执行日志'!$B$7:$B$306,A276,'执行日志'!$P$7:$P$306,"有效输入")=0,"",SUMIFS('执行日志'!$H$7:$H$306,'执行日志'!$B$7:$B$306,A276,'执行日志'!$P$7:$P$306,"有效输入")))))</x:f>
      </x:c>
      <x:c r="N276" s="24" t="str">
        <x:f>IF(A276="","",IF(COUNTIFS('执行日志'!$B$7:$B$306,A276)=0,"",IF(COUNTIFS('执行日志'!$B$7:$B$306,A276,'执行日志'!$L$7:$L$306,"有效",'执行日志'!$P$7:$P$306,"&lt;&gt;有效输入")&gt;0,"待核对",IF(COUNTIFS('执行日志'!$B$7:$B$306,A276,'执行日志'!$P$7:$P$306,"有效输入")=0,"",SUMIFS('执行日志'!$J$7:$J$306,'执行日志'!$B$7:$B$306,A276,'执行日志'!$P$7:$P$306,"有效输入")))))</x:f>
      </x:c>
      <x:c r="O276" s="24" t="str">
        <x:f>IF(A276="","",IF(NOT(ISNUMBER(K276)),"待定预算",IF(NOT(ISNUMBER(M276)),"暂无有效流水",K276-M276)))</x:f>
      </x:c>
      <x:c r="P276" s="24" t="str">
        <x:f>IF(A276="","",IF(NOT(ISNUMBER(L276)),"待定预算",IF(NOT(ISNUMBER(N276)),"暂无有效流水",L276-N276)))</x:f>
      </x:c>
      <x:c r="Q276" s="19" t="str">
        <x:f>IF(A276="","",IF(D276="已结案","已结案",IF(NOT(ISNUMBER(I276)),"待定复盘日",IF(NOT(ISNUMBER($B$3)),"待定评估日",IF(I276&lt;=$B$3,"应复盘","未到期")))))</x:f>
      </x:c>
      <x:c r="R276" s="19" t="str">
        <x:f>IF(A276="","",IF(COUNTIFS($A$7:$A$306,A276)&lt;&gt;1,"问题编号重复",IF(OR(B276="",C276="",D276="",G276="",S276=""),"待补基础信息",IF(AND(F276&lt;&gt;"",COUNTIFS('方案版本'!$A$7:$A$306,F276,'方案版本'!$B$7:$B$306,A276,'方案版本'!$L$7:$L$306,"已冻结")&lt;&gt;1),"当前方案引用无效",IF(AND(D276="执行中",F276=""),"执行缺方案",IF(AND(D276="已结案",OR(T276="",COUNTIFS('复盘记录'!$B$7:$B$306,A276)=0,COUNTIFS('更新日志'!$B$7:$B$306,A276)=0)),"结案资料待补","基础记录齐备"))))))</x:f>
      </x:c>
      <x:c r="S276" s="3"/>
      <x:c r="T276" s="3"/>
    </x:row>
    <x:row r="277" ht="25" customHeight="1">
      <x:c r="A277" s="3"/>
      <x:c r="B277" s="3"/>
      <x:c r="C277" s="3"/>
      <x:c r="D277" s="3"/>
      <x:c r="E277" s="3"/>
      <x:c r="F277" s="3"/>
      <x:c r="G277" s="3"/>
      <x:c r="H277" s="3"/>
      <x:c r="I277" s="20"/>
      <x:c r="J277" s="3"/>
      <x:c r="K277" s="22"/>
      <x:c r="L277" s="22"/>
      <x:c r="M277" s="24" t="str">
        <x:f>IF(A277="","",IF(COUNTIFS('执行日志'!$B$7:$B$306,A277)=0,"",IF(COUNTIFS('执行日志'!$B$7:$B$306,A277,'执行日志'!$L$7:$L$306,"有效",'执行日志'!$P$7:$P$306,"&lt;&gt;有效输入")&gt;0,"待核对",IF(COUNTIFS('执行日志'!$B$7:$B$306,A277,'执行日志'!$P$7:$P$306,"有效输入")=0,"",SUMIFS('执行日志'!$H$7:$H$306,'执行日志'!$B$7:$B$306,A277,'执行日志'!$P$7:$P$306,"有效输入")))))</x:f>
      </x:c>
      <x:c r="N277" s="24" t="str">
        <x:f>IF(A277="","",IF(COUNTIFS('执行日志'!$B$7:$B$306,A277)=0,"",IF(COUNTIFS('执行日志'!$B$7:$B$306,A277,'执行日志'!$L$7:$L$306,"有效",'执行日志'!$P$7:$P$306,"&lt;&gt;有效输入")&gt;0,"待核对",IF(COUNTIFS('执行日志'!$B$7:$B$306,A277,'执行日志'!$P$7:$P$306,"有效输入")=0,"",SUMIFS('执行日志'!$J$7:$J$306,'执行日志'!$B$7:$B$306,A277,'执行日志'!$P$7:$P$306,"有效输入")))))</x:f>
      </x:c>
      <x:c r="O277" s="24" t="str">
        <x:f>IF(A277="","",IF(NOT(ISNUMBER(K277)),"待定预算",IF(NOT(ISNUMBER(M277)),"暂无有效流水",K277-M277)))</x:f>
      </x:c>
      <x:c r="P277" s="24" t="str">
        <x:f>IF(A277="","",IF(NOT(ISNUMBER(L277)),"待定预算",IF(NOT(ISNUMBER(N277)),"暂无有效流水",L277-N277)))</x:f>
      </x:c>
      <x:c r="Q277" s="19" t="str">
        <x:f>IF(A277="","",IF(D277="已结案","已结案",IF(NOT(ISNUMBER(I277)),"待定复盘日",IF(NOT(ISNUMBER($B$3)),"待定评估日",IF(I277&lt;=$B$3,"应复盘","未到期")))))</x:f>
      </x:c>
      <x:c r="R277" s="19" t="str">
        <x:f>IF(A277="","",IF(COUNTIFS($A$7:$A$306,A277)&lt;&gt;1,"问题编号重复",IF(OR(B277="",C277="",D277="",G277="",S277=""),"待补基础信息",IF(AND(F277&lt;&gt;"",COUNTIFS('方案版本'!$A$7:$A$306,F277,'方案版本'!$B$7:$B$306,A277,'方案版本'!$L$7:$L$306,"已冻结")&lt;&gt;1),"当前方案引用无效",IF(AND(D277="执行中",F277=""),"执行缺方案",IF(AND(D277="已结案",OR(T277="",COUNTIFS('复盘记录'!$B$7:$B$306,A277)=0,COUNTIFS('更新日志'!$B$7:$B$306,A277)=0)),"结案资料待补","基础记录齐备"))))))</x:f>
      </x:c>
      <x:c r="S277" s="3"/>
      <x:c r="T277" s="3"/>
    </x:row>
    <x:row r="278" ht="25" customHeight="1">
      <x:c r="A278" s="3"/>
      <x:c r="B278" s="3"/>
      <x:c r="C278" s="3"/>
      <x:c r="D278" s="3"/>
      <x:c r="E278" s="3"/>
      <x:c r="F278" s="3"/>
      <x:c r="G278" s="3"/>
      <x:c r="H278" s="3"/>
      <x:c r="I278" s="20"/>
      <x:c r="J278" s="3"/>
      <x:c r="K278" s="22"/>
      <x:c r="L278" s="22"/>
      <x:c r="M278" s="24" t="str">
        <x:f>IF(A278="","",IF(COUNTIFS('执行日志'!$B$7:$B$306,A278)=0,"",IF(COUNTIFS('执行日志'!$B$7:$B$306,A278,'执行日志'!$L$7:$L$306,"有效",'执行日志'!$P$7:$P$306,"&lt;&gt;有效输入")&gt;0,"待核对",IF(COUNTIFS('执行日志'!$B$7:$B$306,A278,'执行日志'!$P$7:$P$306,"有效输入")=0,"",SUMIFS('执行日志'!$H$7:$H$306,'执行日志'!$B$7:$B$306,A278,'执行日志'!$P$7:$P$306,"有效输入")))))</x:f>
      </x:c>
      <x:c r="N278" s="24" t="str">
        <x:f>IF(A278="","",IF(COUNTIFS('执行日志'!$B$7:$B$306,A278)=0,"",IF(COUNTIFS('执行日志'!$B$7:$B$306,A278,'执行日志'!$L$7:$L$306,"有效",'执行日志'!$P$7:$P$306,"&lt;&gt;有效输入")&gt;0,"待核对",IF(COUNTIFS('执行日志'!$B$7:$B$306,A278,'执行日志'!$P$7:$P$306,"有效输入")=0,"",SUMIFS('执行日志'!$J$7:$J$306,'执行日志'!$B$7:$B$306,A278,'执行日志'!$P$7:$P$306,"有效输入")))))</x:f>
      </x:c>
      <x:c r="O278" s="24" t="str">
        <x:f>IF(A278="","",IF(NOT(ISNUMBER(K278)),"待定预算",IF(NOT(ISNUMBER(M278)),"暂无有效流水",K278-M278)))</x:f>
      </x:c>
      <x:c r="P278" s="24" t="str">
        <x:f>IF(A278="","",IF(NOT(ISNUMBER(L278)),"待定预算",IF(NOT(ISNUMBER(N278)),"暂无有效流水",L278-N278)))</x:f>
      </x:c>
      <x:c r="Q278" s="19" t="str">
        <x:f>IF(A278="","",IF(D278="已结案","已结案",IF(NOT(ISNUMBER(I278)),"待定复盘日",IF(NOT(ISNUMBER($B$3)),"待定评估日",IF(I278&lt;=$B$3,"应复盘","未到期")))))</x:f>
      </x:c>
      <x:c r="R278" s="19" t="str">
        <x:f>IF(A278="","",IF(COUNTIFS($A$7:$A$306,A278)&lt;&gt;1,"问题编号重复",IF(OR(B278="",C278="",D278="",G278="",S278=""),"待补基础信息",IF(AND(F278&lt;&gt;"",COUNTIFS('方案版本'!$A$7:$A$306,F278,'方案版本'!$B$7:$B$306,A278,'方案版本'!$L$7:$L$306,"已冻结")&lt;&gt;1),"当前方案引用无效",IF(AND(D278="执行中",F278=""),"执行缺方案",IF(AND(D278="已结案",OR(T278="",COUNTIFS('复盘记录'!$B$7:$B$306,A278)=0,COUNTIFS('更新日志'!$B$7:$B$306,A278)=0)),"结案资料待补","基础记录齐备"))))))</x:f>
      </x:c>
      <x:c r="S278" s="3"/>
      <x:c r="T278" s="3"/>
    </x:row>
    <x:row r="279" ht="25" customHeight="1">
      <x:c r="A279" s="3"/>
      <x:c r="B279" s="3"/>
      <x:c r="C279" s="3"/>
      <x:c r="D279" s="3"/>
      <x:c r="E279" s="3"/>
      <x:c r="F279" s="3"/>
      <x:c r="G279" s="3"/>
      <x:c r="H279" s="3"/>
      <x:c r="I279" s="20"/>
      <x:c r="J279" s="3"/>
      <x:c r="K279" s="22"/>
      <x:c r="L279" s="22"/>
      <x:c r="M279" s="24" t="str">
        <x:f>IF(A279="","",IF(COUNTIFS('执行日志'!$B$7:$B$306,A279)=0,"",IF(COUNTIFS('执行日志'!$B$7:$B$306,A279,'执行日志'!$L$7:$L$306,"有效",'执行日志'!$P$7:$P$306,"&lt;&gt;有效输入")&gt;0,"待核对",IF(COUNTIFS('执行日志'!$B$7:$B$306,A279,'执行日志'!$P$7:$P$306,"有效输入")=0,"",SUMIFS('执行日志'!$H$7:$H$306,'执行日志'!$B$7:$B$306,A279,'执行日志'!$P$7:$P$306,"有效输入")))))</x:f>
      </x:c>
      <x:c r="N279" s="24" t="str">
        <x:f>IF(A279="","",IF(COUNTIFS('执行日志'!$B$7:$B$306,A279)=0,"",IF(COUNTIFS('执行日志'!$B$7:$B$306,A279,'执行日志'!$L$7:$L$306,"有效",'执行日志'!$P$7:$P$306,"&lt;&gt;有效输入")&gt;0,"待核对",IF(COUNTIFS('执行日志'!$B$7:$B$306,A279,'执行日志'!$P$7:$P$306,"有效输入")=0,"",SUMIFS('执行日志'!$J$7:$J$306,'执行日志'!$B$7:$B$306,A279,'执行日志'!$P$7:$P$306,"有效输入")))))</x:f>
      </x:c>
      <x:c r="O279" s="24" t="str">
        <x:f>IF(A279="","",IF(NOT(ISNUMBER(K279)),"待定预算",IF(NOT(ISNUMBER(M279)),"暂无有效流水",K279-M279)))</x:f>
      </x:c>
      <x:c r="P279" s="24" t="str">
        <x:f>IF(A279="","",IF(NOT(ISNUMBER(L279)),"待定预算",IF(NOT(ISNUMBER(N279)),"暂无有效流水",L279-N279)))</x:f>
      </x:c>
      <x:c r="Q279" s="19" t="str">
        <x:f>IF(A279="","",IF(D279="已结案","已结案",IF(NOT(ISNUMBER(I279)),"待定复盘日",IF(NOT(ISNUMBER($B$3)),"待定评估日",IF(I279&lt;=$B$3,"应复盘","未到期")))))</x:f>
      </x:c>
      <x:c r="R279" s="19" t="str">
        <x:f>IF(A279="","",IF(COUNTIFS($A$7:$A$306,A279)&lt;&gt;1,"问题编号重复",IF(OR(B279="",C279="",D279="",G279="",S279=""),"待补基础信息",IF(AND(F279&lt;&gt;"",COUNTIFS('方案版本'!$A$7:$A$306,F279,'方案版本'!$B$7:$B$306,A279,'方案版本'!$L$7:$L$306,"已冻结")&lt;&gt;1),"当前方案引用无效",IF(AND(D279="执行中",F279=""),"执行缺方案",IF(AND(D279="已结案",OR(T279="",COUNTIFS('复盘记录'!$B$7:$B$306,A279)=0,COUNTIFS('更新日志'!$B$7:$B$306,A279)=0)),"结案资料待补","基础记录齐备"))))))</x:f>
      </x:c>
      <x:c r="S279" s="3"/>
      <x:c r="T279" s="3"/>
    </x:row>
    <x:row r="280" ht="25" customHeight="1">
      <x:c r="A280" s="3"/>
      <x:c r="B280" s="3"/>
      <x:c r="C280" s="3"/>
      <x:c r="D280" s="3"/>
      <x:c r="E280" s="3"/>
      <x:c r="F280" s="3"/>
      <x:c r="G280" s="3"/>
      <x:c r="H280" s="3"/>
      <x:c r="I280" s="20"/>
      <x:c r="J280" s="3"/>
      <x:c r="K280" s="22"/>
      <x:c r="L280" s="22"/>
      <x:c r="M280" s="24" t="str">
        <x:f>IF(A280="","",IF(COUNTIFS('执行日志'!$B$7:$B$306,A280)=0,"",IF(COUNTIFS('执行日志'!$B$7:$B$306,A280,'执行日志'!$L$7:$L$306,"有效",'执行日志'!$P$7:$P$306,"&lt;&gt;有效输入")&gt;0,"待核对",IF(COUNTIFS('执行日志'!$B$7:$B$306,A280,'执行日志'!$P$7:$P$306,"有效输入")=0,"",SUMIFS('执行日志'!$H$7:$H$306,'执行日志'!$B$7:$B$306,A280,'执行日志'!$P$7:$P$306,"有效输入")))))</x:f>
      </x:c>
      <x:c r="N280" s="24" t="str">
        <x:f>IF(A280="","",IF(COUNTIFS('执行日志'!$B$7:$B$306,A280)=0,"",IF(COUNTIFS('执行日志'!$B$7:$B$306,A280,'执行日志'!$L$7:$L$306,"有效",'执行日志'!$P$7:$P$306,"&lt;&gt;有效输入")&gt;0,"待核对",IF(COUNTIFS('执行日志'!$B$7:$B$306,A280,'执行日志'!$P$7:$P$306,"有效输入")=0,"",SUMIFS('执行日志'!$J$7:$J$306,'执行日志'!$B$7:$B$306,A280,'执行日志'!$P$7:$P$306,"有效输入")))))</x:f>
      </x:c>
      <x:c r="O280" s="24" t="str">
        <x:f>IF(A280="","",IF(NOT(ISNUMBER(K280)),"待定预算",IF(NOT(ISNUMBER(M280)),"暂无有效流水",K280-M280)))</x:f>
      </x:c>
      <x:c r="P280" s="24" t="str">
        <x:f>IF(A280="","",IF(NOT(ISNUMBER(L280)),"待定预算",IF(NOT(ISNUMBER(N280)),"暂无有效流水",L280-N280)))</x:f>
      </x:c>
      <x:c r="Q280" s="19" t="str">
        <x:f>IF(A280="","",IF(D280="已结案","已结案",IF(NOT(ISNUMBER(I280)),"待定复盘日",IF(NOT(ISNUMBER($B$3)),"待定评估日",IF(I280&lt;=$B$3,"应复盘","未到期")))))</x:f>
      </x:c>
      <x:c r="R280" s="19" t="str">
        <x:f>IF(A280="","",IF(COUNTIFS($A$7:$A$306,A280)&lt;&gt;1,"问题编号重复",IF(OR(B280="",C280="",D280="",G280="",S280=""),"待补基础信息",IF(AND(F280&lt;&gt;"",COUNTIFS('方案版本'!$A$7:$A$306,F280,'方案版本'!$B$7:$B$306,A280,'方案版本'!$L$7:$L$306,"已冻结")&lt;&gt;1),"当前方案引用无效",IF(AND(D280="执行中",F280=""),"执行缺方案",IF(AND(D280="已结案",OR(T280="",COUNTIFS('复盘记录'!$B$7:$B$306,A280)=0,COUNTIFS('更新日志'!$B$7:$B$306,A280)=0)),"结案资料待补","基础记录齐备"))))))</x:f>
      </x:c>
      <x:c r="S280" s="3"/>
      <x:c r="T280" s="3"/>
    </x:row>
    <x:row r="281" ht="25" customHeight="1">
      <x:c r="A281" s="3"/>
      <x:c r="B281" s="3"/>
      <x:c r="C281" s="3"/>
      <x:c r="D281" s="3"/>
      <x:c r="E281" s="3"/>
      <x:c r="F281" s="3"/>
      <x:c r="G281" s="3"/>
      <x:c r="H281" s="3"/>
      <x:c r="I281" s="20"/>
      <x:c r="J281" s="3"/>
      <x:c r="K281" s="22"/>
      <x:c r="L281" s="22"/>
      <x:c r="M281" s="24" t="str">
        <x:f>IF(A281="","",IF(COUNTIFS('执行日志'!$B$7:$B$306,A281)=0,"",IF(COUNTIFS('执行日志'!$B$7:$B$306,A281,'执行日志'!$L$7:$L$306,"有效",'执行日志'!$P$7:$P$306,"&lt;&gt;有效输入")&gt;0,"待核对",IF(COUNTIFS('执行日志'!$B$7:$B$306,A281,'执行日志'!$P$7:$P$306,"有效输入")=0,"",SUMIFS('执行日志'!$H$7:$H$306,'执行日志'!$B$7:$B$306,A281,'执行日志'!$P$7:$P$306,"有效输入")))))</x:f>
      </x:c>
      <x:c r="N281" s="24" t="str">
        <x:f>IF(A281="","",IF(COUNTIFS('执行日志'!$B$7:$B$306,A281)=0,"",IF(COUNTIFS('执行日志'!$B$7:$B$306,A281,'执行日志'!$L$7:$L$306,"有效",'执行日志'!$P$7:$P$306,"&lt;&gt;有效输入")&gt;0,"待核对",IF(COUNTIFS('执行日志'!$B$7:$B$306,A281,'执行日志'!$P$7:$P$306,"有效输入")=0,"",SUMIFS('执行日志'!$J$7:$J$306,'执行日志'!$B$7:$B$306,A281,'执行日志'!$P$7:$P$306,"有效输入")))))</x:f>
      </x:c>
      <x:c r="O281" s="24" t="str">
        <x:f>IF(A281="","",IF(NOT(ISNUMBER(K281)),"待定预算",IF(NOT(ISNUMBER(M281)),"暂无有效流水",K281-M281)))</x:f>
      </x:c>
      <x:c r="P281" s="24" t="str">
        <x:f>IF(A281="","",IF(NOT(ISNUMBER(L281)),"待定预算",IF(NOT(ISNUMBER(N281)),"暂无有效流水",L281-N281)))</x:f>
      </x:c>
      <x:c r="Q281" s="19" t="str">
        <x:f>IF(A281="","",IF(D281="已结案","已结案",IF(NOT(ISNUMBER(I281)),"待定复盘日",IF(NOT(ISNUMBER($B$3)),"待定评估日",IF(I281&lt;=$B$3,"应复盘","未到期")))))</x:f>
      </x:c>
      <x:c r="R281" s="19" t="str">
        <x:f>IF(A281="","",IF(COUNTIFS($A$7:$A$306,A281)&lt;&gt;1,"问题编号重复",IF(OR(B281="",C281="",D281="",G281="",S281=""),"待补基础信息",IF(AND(F281&lt;&gt;"",COUNTIFS('方案版本'!$A$7:$A$306,F281,'方案版本'!$B$7:$B$306,A281,'方案版本'!$L$7:$L$306,"已冻结")&lt;&gt;1),"当前方案引用无效",IF(AND(D281="执行中",F281=""),"执行缺方案",IF(AND(D281="已结案",OR(T281="",COUNTIFS('复盘记录'!$B$7:$B$306,A281)=0,COUNTIFS('更新日志'!$B$7:$B$306,A281)=0)),"结案资料待补","基础记录齐备"))))))</x:f>
      </x:c>
      <x:c r="S281" s="3"/>
      <x:c r="T281" s="3"/>
    </x:row>
    <x:row r="282" ht="25" customHeight="1">
      <x:c r="A282" s="3"/>
      <x:c r="B282" s="3"/>
      <x:c r="C282" s="3"/>
      <x:c r="D282" s="3"/>
      <x:c r="E282" s="3"/>
      <x:c r="F282" s="3"/>
      <x:c r="G282" s="3"/>
      <x:c r="H282" s="3"/>
      <x:c r="I282" s="20"/>
      <x:c r="J282" s="3"/>
      <x:c r="K282" s="22"/>
      <x:c r="L282" s="22"/>
      <x:c r="M282" s="24" t="str">
        <x:f>IF(A282="","",IF(COUNTIFS('执行日志'!$B$7:$B$306,A282)=0,"",IF(COUNTIFS('执行日志'!$B$7:$B$306,A282,'执行日志'!$L$7:$L$306,"有效",'执行日志'!$P$7:$P$306,"&lt;&gt;有效输入")&gt;0,"待核对",IF(COUNTIFS('执行日志'!$B$7:$B$306,A282,'执行日志'!$P$7:$P$306,"有效输入")=0,"",SUMIFS('执行日志'!$H$7:$H$306,'执行日志'!$B$7:$B$306,A282,'执行日志'!$P$7:$P$306,"有效输入")))))</x:f>
      </x:c>
      <x:c r="N282" s="24" t="str">
        <x:f>IF(A282="","",IF(COUNTIFS('执行日志'!$B$7:$B$306,A282)=0,"",IF(COUNTIFS('执行日志'!$B$7:$B$306,A282,'执行日志'!$L$7:$L$306,"有效",'执行日志'!$P$7:$P$306,"&lt;&gt;有效输入")&gt;0,"待核对",IF(COUNTIFS('执行日志'!$B$7:$B$306,A282,'执行日志'!$P$7:$P$306,"有效输入")=0,"",SUMIFS('执行日志'!$J$7:$J$306,'执行日志'!$B$7:$B$306,A282,'执行日志'!$P$7:$P$306,"有效输入")))))</x:f>
      </x:c>
      <x:c r="O282" s="24" t="str">
        <x:f>IF(A282="","",IF(NOT(ISNUMBER(K282)),"待定预算",IF(NOT(ISNUMBER(M282)),"暂无有效流水",K282-M282)))</x:f>
      </x:c>
      <x:c r="P282" s="24" t="str">
        <x:f>IF(A282="","",IF(NOT(ISNUMBER(L282)),"待定预算",IF(NOT(ISNUMBER(N282)),"暂无有效流水",L282-N282)))</x:f>
      </x:c>
      <x:c r="Q282" s="19" t="str">
        <x:f>IF(A282="","",IF(D282="已结案","已结案",IF(NOT(ISNUMBER(I282)),"待定复盘日",IF(NOT(ISNUMBER($B$3)),"待定评估日",IF(I282&lt;=$B$3,"应复盘","未到期")))))</x:f>
      </x:c>
      <x:c r="R282" s="19" t="str">
        <x:f>IF(A282="","",IF(COUNTIFS($A$7:$A$306,A282)&lt;&gt;1,"问题编号重复",IF(OR(B282="",C282="",D282="",G282="",S282=""),"待补基础信息",IF(AND(F282&lt;&gt;"",COUNTIFS('方案版本'!$A$7:$A$306,F282,'方案版本'!$B$7:$B$306,A282,'方案版本'!$L$7:$L$306,"已冻结")&lt;&gt;1),"当前方案引用无效",IF(AND(D282="执行中",F282=""),"执行缺方案",IF(AND(D282="已结案",OR(T282="",COUNTIFS('复盘记录'!$B$7:$B$306,A282)=0,COUNTIFS('更新日志'!$B$7:$B$306,A282)=0)),"结案资料待补","基础记录齐备"))))))</x:f>
      </x:c>
      <x:c r="S282" s="3"/>
      <x:c r="T282" s="3"/>
    </x:row>
    <x:row r="283" ht="25" customHeight="1">
      <x:c r="A283" s="3"/>
      <x:c r="B283" s="3"/>
      <x:c r="C283" s="3"/>
      <x:c r="D283" s="3"/>
      <x:c r="E283" s="3"/>
      <x:c r="F283" s="3"/>
      <x:c r="G283" s="3"/>
      <x:c r="H283" s="3"/>
      <x:c r="I283" s="20"/>
      <x:c r="J283" s="3"/>
      <x:c r="K283" s="22"/>
      <x:c r="L283" s="22"/>
      <x:c r="M283" s="24" t="str">
        <x:f>IF(A283="","",IF(COUNTIFS('执行日志'!$B$7:$B$306,A283)=0,"",IF(COUNTIFS('执行日志'!$B$7:$B$306,A283,'执行日志'!$L$7:$L$306,"有效",'执行日志'!$P$7:$P$306,"&lt;&gt;有效输入")&gt;0,"待核对",IF(COUNTIFS('执行日志'!$B$7:$B$306,A283,'执行日志'!$P$7:$P$306,"有效输入")=0,"",SUMIFS('执行日志'!$H$7:$H$306,'执行日志'!$B$7:$B$306,A283,'执行日志'!$P$7:$P$306,"有效输入")))))</x:f>
      </x:c>
      <x:c r="N283" s="24" t="str">
        <x:f>IF(A283="","",IF(COUNTIFS('执行日志'!$B$7:$B$306,A283)=0,"",IF(COUNTIFS('执行日志'!$B$7:$B$306,A283,'执行日志'!$L$7:$L$306,"有效",'执行日志'!$P$7:$P$306,"&lt;&gt;有效输入")&gt;0,"待核对",IF(COUNTIFS('执行日志'!$B$7:$B$306,A283,'执行日志'!$P$7:$P$306,"有效输入")=0,"",SUMIFS('执行日志'!$J$7:$J$306,'执行日志'!$B$7:$B$306,A283,'执行日志'!$P$7:$P$306,"有效输入")))))</x:f>
      </x:c>
      <x:c r="O283" s="24" t="str">
        <x:f>IF(A283="","",IF(NOT(ISNUMBER(K283)),"待定预算",IF(NOT(ISNUMBER(M283)),"暂无有效流水",K283-M283)))</x:f>
      </x:c>
      <x:c r="P283" s="24" t="str">
        <x:f>IF(A283="","",IF(NOT(ISNUMBER(L283)),"待定预算",IF(NOT(ISNUMBER(N283)),"暂无有效流水",L283-N283)))</x:f>
      </x:c>
      <x:c r="Q283" s="19" t="str">
        <x:f>IF(A283="","",IF(D283="已结案","已结案",IF(NOT(ISNUMBER(I283)),"待定复盘日",IF(NOT(ISNUMBER($B$3)),"待定评估日",IF(I283&lt;=$B$3,"应复盘","未到期")))))</x:f>
      </x:c>
      <x:c r="R283" s="19" t="str">
        <x:f>IF(A283="","",IF(COUNTIFS($A$7:$A$306,A283)&lt;&gt;1,"问题编号重复",IF(OR(B283="",C283="",D283="",G283="",S283=""),"待补基础信息",IF(AND(F283&lt;&gt;"",COUNTIFS('方案版本'!$A$7:$A$306,F283,'方案版本'!$B$7:$B$306,A283,'方案版本'!$L$7:$L$306,"已冻结")&lt;&gt;1),"当前方案引用无效",IF(AND(D283="执行中",F283=""),"执行缺方案",IF(AND(D283="已结案",OR(T283="",COUNTIFS('复盘记录'!$B$7:$B$306,A283)=0,COUNTIFS('更新日志'!$B$7:$B$306,A283)=0)),"结案资料待补","基础记录齐备"))))))</x:f>
      </x:c>
      <x:c r="S283" s="3"/>
      <x:c r="T283" s="3"/>
    </x:row>
    <x:row r="284" ht="25" customHeight="1">
      <x:c r="A284" s="3"/>
      <x:c r="B284" s="3"/>
      <x:c r="C284" s="3"/>
      <x:c r="D284" s="3"/>
      <x:c r="E284" s="3"/>
      <x:c r="F284" s="3"/>
      <x:c r="G284" s="3"/>
      <x:c r="H284" s="3"/>
      <x:c r="I284" s="20"/>
      <x:c r="J284" s="3"/>
      <x:c r="K284" s="22"/>
      <x:c r="L284" s="22"/>
      <x:c r="M284" s="24" t="str">
        <x:f>IF(A284="","",IF(COUNTIFS('执行日志'!$B$7:$B$306,A284)=0,"",IF(COUNTIFS('执行日志'!$B$7:$B$306,A284,'执行日志'!$L$7:$L$306,"有效",'执行日志'!$P$7:$P$306,"&lt;&gt;有效输入")&gt;0,"待核对",IF(COUNTIFS('执行日志'!$B$7:$B$306,A284,'执行日志'!$P$7:$P$306,"有效输入")=0,"",SUMIFS('执行日志'!$H$7:$H$306,'执行日志'!$B$7:$B$306,A284,'执行日志'!$P$7:$P$306,"有效输入")))))</x:f>
      </x:c>
      <x:c r="N284" s="24" t="str">
        <x:f>IF(A284="","",IF(COUNTIFS('执行日志'!$B$7:$B$306,A284)=0,"",IF(COUNTIFS('执行日志'!$B$7:$B$306,A284,'执行日志'!$L$7:$L$306,"有效",'执行日志'!$P$7:$P$306,"&lt;&gt;有效输入")&gt;0,"待核对",IF(COUNTIFS('执行日志'!$B$7:$B$306,A284,'执行日志'!$P$7:$P$306,"有效输入")=0,"",SUMIFS('执行日志'!$J$7:$J$306,'执行日志'!$B$7:$B$306,A284,'执行日志'!$P$7:$P$306,"有效输入")))))</x:f>
      </x:c>
      <x:c r="O284" s="24" t="str">
        <x:f>IF(A284="","",IF(NOT(ISNUMBER(K284)),"待定预算",IF(NOT(ISNUMBER(M284)),"暂无有效流水",K284-M284)))</x:f>
      </x:c>
      <x:c r="P284" s="24" t="str">
        <x:f>IF(A284="","",IF(NOT(ISNUMBER(L284)),"待定预算",IF(NOT(ISNUMBER(N284)),"暂无有效流水",L284-N284)))</x:f>
      </x:c>
      <x:c r="Q284" s="19" t="str">
        <x:f>IF(A284="","",IF(D284="已结案","已结案",IF(NOT(ISNUMBER(I284)),"待定复盘日",IF(NOT(ISNUMBER($B$3)),"待定评估日",IF(I284&lt;=$B$3,"应复盘","未到期")))))</x:f>
      </x:c>
      <x:c r="R284" s="19" t="str">
        <x:f>IF(A284="","",IF(COUNTIFS($A$7:$A$306,A284)&lt;&gt;1,"问题编号重复",IF(OR(B284="",C284="",D284="",G284="",S284=""),"待补基础信息",IF(AND(F284&lt;&gt;"",COUNTIFS('方案版本'!$A$7:$A$306,F284,'方案版本'!$B$7:$B$306,A284,'方案版本'!$L$7:$L$306,"已冻结")&lt;&gt;1),"当前方案引用无效",IF(AND(D284="执行中",F284=""),"执行缺方案",IF(AND(D284="已结案",OR(T284="",COUNTIFS('复盘记录'!$B$7:$B$306,A284)=0,COUNTIFS('更新日志'!$B$7:$B$306,A284)=0)),"结案资料待补","基础记录齐备"))))))</x:f>
      </x:c>
      <x:c r="S284" s="3"/>
      <x:c r="T284" s="3"/>
    </x:row>
    <x:row r="285" ht="25" customHeight="1">
      <x:c r="A285" s="3"/>
      <x:c r="B285" s="3"/>
      <x:c r="C285" s="3"/>
      <x:c r="D285" s="3"/>
      <x:c r="E285" s="3"/>
      <x:c r="F285" s="3"/>
      <x:c r="G285" s="3"/>
      <x:c r="H285" s="3"/>
      <x:c r="I285" s="20"/>
      <x:c r="J285" s="3"/>
      <x:c r="K285" s="22"/>
      <x:c r="L285" s="22"/>
      <x:c r="M285" s="24" t="str">
        <x:f>IF(A285="","",IF(COUNTIFS('执行日志'!$B$7:$B$306,A285)=0,"",IF(COUNTIFS('执行日志'!$B$7:$B$306,A285,'执行日志'!$L$7:$L$306,"有效",'执行日志'!$P$7:$P$306,"&lt;&gt;有效输入")&gt;0,"待核对",IF(COUNTIFS('执行日志'!$B$7:$B$306,A285,'执行日志'!$P$7:$P$306,"有效输入")=0,"",SUMIFS('执行日志'!$H$7:$H$306,'执行日志'!$B$7:$B$306,A285,'执行日志'!$P$7:$P$306,"有效输入")))))</x:f>
      </x:c>
      <x:c r="N285" s="24" t="str">
        <x:f>IF(A285="","",IF(COUNTIFS('执行日志'!$B$7:$B$306,A285)=0,"",IF(COUNTIFS('执行日志'!$B$7:$B$306,A285,'执行日志'!$L$7:$L$306,"有效",'执行日志'!$P$7:$P$306,"&lt;&gt;有效输入")&gt;0,"待核对",IF(COUNTIFS('执行日志'!$B$7:$B$306,A285,'执行日志'!$P$7:$P$306,"有效输入")=0,"",SUMIFS('执行日志'!$J$7:$J$306,'执行日志'!$B$7:$B$306,A285,'执行日志'!$P$7:$P$306,"有效输入")))))</x:f>
      </x:c>
      <x:c r="O285" s="24" t="str">
        <x:f>IF(A285="","",IF(NOT(ISNUMBER(K285)),"待定预算",IF(NOT(ISNUMBER(M285)),"暂无有效流水",K285-M285)))</x:f>
      </x:c>
      <x:c r="P285" s="24" t="str">
        <x:f>IF(A285="","",IF(NOT(ISNUMBER(L285)),"待定预算",IF(NOT(ISNUMBER(N285)),"暂无有效流水",L285-N285)))</x:f>
      </x:c>
      <x:c r="Q285" s="19" t="str">
        <x:f>IF(A285="","",IF(D285="已结案","已结案",IF(NOT(ISNUMBER(I285)),"待定复盘日",IF(NOT(ISNUMBER($B$3)),"待定评估日",IF(I285&lt;=$B$3,"应复盘","未到期")))))</x:f>
      </x:c>
      <x:c r="R285" s="19" t="str">
        <x:f>IF(A285="","",IF(COUNTIFS($A$7:$A$306,A285)&lt;&gt;1,"问题编号重复",IF(OR(B285="",C285="",D285="",G285="",S285=""),"待补基础信息",IF(AND(F285&lt;&gt;"",COUNTIFS('方案版本'!$A$7:$A$306,F285,'方案版本'!$B$7:$B$306,A285,'方案版本'!$L$7:$L$306,"已冻结")&lt;&gt;1),"当前方案引用无效",IF(AND(D285="执行中",F285=""),"执行缺方案",IF(AND(D285="已结案",OR(T285="",COUNTIFS('复盘记录'!$B$7:$B$306,A285)=0,COUNTIFS('更新日志'!$B$7:$B$306,A285)=0)),"结案资料待补","基础记录齐备"))))))</x:f>
      </x:c>
      <x:c r="S285" s="3"/>
      <x:c r="T285" s="3"/>
    </x:row>
    <x:row r="286" ht="25" customHeight="1">
      <x:c r="A286" s="3"/>
      <x:c r="B286" s="3"/>
      <x:c r="C286" s="3"/>
      <x:c r="D286" s="3"/>
      <x:c r="E286" s="3"/>
      <x:c r="F286" s="3"/>
      <x:c r="G286" s="3"/>
      <x:c r="H286" s="3"/>
      <x:c r="I286" s="20"/>
      <x:c r="J286" s="3"/>
      <x:c r="K286" s="22"/>
      <x:c r="L286" s="22"/>
      <x:c r="M286" s="24" t="str">
        <x:f>IF(A286="","",IF(COUNTIFS('执行日志'!$B$7:$B$306,A286)=0,"",IF(COUNTIFS('执行日志'!$B$7:$B$306,A286,'执行日志'!$L$7:$L$306,"有效",'执行日志'!$P$7:$P$306,"&lt;&gt;有效输入")&gt;0,"待核对",IF(COUNTIFS('执行日志'!$B$7:$B$306,A286,'执行日志'!$P$7:$P$306,"有效输入")=0,"",SUMIFS('执行日志'!$H$7:$H$306,'执行日志'!$B$7:$B$306,A286,'执行日志'!$P$7:$P$306,"有效输入")))))</x:f>
      </x:c>
      <x:c r="N286" s="24" t="str">
        <x:f>IF(A286="","",IF(COUNTIFS('执行日志'!$B$7:$B$306,A286)=0,"",IF(COUNTIFS('执行日志'!$B$7:$B$306,A286,'执行日志'!$L$7:$L$306,"有效",'执行日志'!$P$7:$P$306,"&lt;&gt;有效输入")&gt;0,"待核对",IF(COUNTIFS('执行日志'!$B$7:$B$306,A286,'执行日志'!$P$7:$P$306,"有效输入")=0,"",SUMIFS('执行日志'!$J$7:$J$306,'执行日志'!$B$7:$B$306,A286,'执行日志'!$P$7:$P$306,"有效输入")))))</x:f>
      </x:c>
      <x:c r="O286" s="24" t="str">
        <x:f>IF(A286="","",IF(NOT(ISNUMBER(K286)),"待定预算",IF(NOT(ISNUMBER(M286)),"暂无有效流水",K286-M286)))</x:f>
      </x:c>
      <x:c r="P286" s="24" t="str">
        <x:f>IF(A286="","",IF(NOT(ISNUMBER(L286)),"待定预算",IF(NOT(ISNUMBER(N286)),"暂无有效流水",L286-N286)))</x:f>
      </x:c>
      <x:c r="Q286" s="19" t="str">
        <x:f>IF(A286="","",IF(D286="已结案","已结案",IF(NOT(ISNUMBER(I286)),"待定复盘日",IF(NOT(ISNUMBER($B$3)),"待定评估日",IF(I286&lt;=$B$3,"应复盘","未到期")))))</x:f>
      </x:c>
      <x:c r="R286" s="19" t="str">
        <x:f>IF(A286="","",IF(COUNTIFS($A$7:$A$306,A286)&lt;&gt;1,"问题编号重复",IF(OR(B286="",C286="",D286="",G286="",S286=""),"待补基础信息",IF(AND(F286&lt;&gt;"",COUNTIFS('方案版本'!$A$7:$A$306,F286,'方案版本'!$B$7:$B$306,A286,'方案版本'!$L$7:$L$306,"已冻结")&lt;&gt;1),"当前方案引用无效",IF(AND(D286="执行中",F286=""),"执行缺方案",IF(AND(D286="已结案",OR(T286="",COUNTIFS('复盘记录'!$B$7:$B$306,A286)=0,COUNTIFS('更新日志'!$B$7:$B$306,A286)=0)),"结案资料待补","基础记录齐备"))))))</x:f>
      </x:c>
      <x:c r="S286" s="3"/>
      <x:c r="T286" s="3"/>
    </x:row>
    <x:row r="287" ht="25" customHeight="1">
      <x:c r="A287" s="3"/>
      <x:c r="B287" s="3"/>
      <x:c r="C287" s="3"/>
      <x:c r="D287" s="3"/>
      <x:c r="E287" s="3"/>
      <x:c r="F287" s="3"/>
      <x:c r="G287" s="3"/>
      <x:c r="H287" s="3"/>
      <x:c r="I287" s="20"/>
      <x:c r="J287" s="3"/>
      <x:c r="K287" s="22"/>
      <x:c r="L287" s="22"/>
      <x:c r="M287" s="24" t="str">
        <x:f>IF(A287="","",IF(COUNTIFS('执行日志'!$B$7:$B$306,A287)=0,"",IF(COUNTIFS('执行日志'!$B$7:$B$306,A287,'执行日志'!$L$7:$L$306,"有效",'执行日志'!$P$7:$P$306,"&lt;&gt;有效输入")&gt;0,"待核对",IF(COUNTIFS('执行日志'!$B$7:$B$306,A287,'执行日志'!$P$7:$P$306,"有效输入")=0,"",SUMIFS('执行日志'!$H$7:$H$306,'执行日志'!$B$7:$B$306,A287,'执行日志'!$P$7:$P$306,"有效输入")))))</x:f>
      </x:c>
      <x:c r="N287" s="24" t="str">
        <x:f>IF(A287="","",IF(COUNTIFS('执行日志'!$B$7:$B$306,A287)=0,"",IF(COUNTIFS('执行日志'!$B$7:$B$306,A287,'执行日志'!$L$7:$L$306,"有效",'执行日志'!$P$7:$P$306,"&lt;&gt;有效输入")&gt;0,"待核对",IF(COUNTIFS('执行日志'!$B$7:$B$306,A287,'执行日志'!$P$7:$P$306,"有效输入")=0,"",SUMIFS('执行日志'!$J$7:$J$306,'执行日志'!$B$7:$B$306,A287,'执行日志'!$P$7:$P$306,"有效输入")))))</x:f>
      </x:c>
      <x:c r="O287" s="24" t="str">
        <x:f>IF(A287="","",IF(NOT(ISNUMBER(K287)),"待定预算",IF(NOT(ISNUMBER(M287)),"暂无有效流水",K287-M287)))</x:f>
      </x:c>
      <x:c r="P287" s="24" t="str">
        <x:f>IF(A287="","",IF(NOT(ISNUMBER(L287)),"待定预算",IF(NOT(ISNUMBER(N287)),"暂无有效流水",L287-N287)))</x:f>
      </x:c>
      <x:c r="Q287" s="19" t="str">
        <x:f>IF(A287="","",IF(D287="已结案","已结案",IF(NOT(ISNUMBER(I287)),"待定复盘日",IF(NOT(ISNUMBER($B$3)),"待定评估日",IF(I287&lt;=$B$3,"应复盘","未到期")))))</x:f>
      </x:c>
      <x:c r="R287" s="19" t="str">
        <x:f>IF(A287="","",IF(COUNTIFS($A$7:$A$306,A287)&lt;&gt;1,"问题编号重复",IF(OR(B287="",C287="",D287="",G287="",S287=""),"待补基础信息",IF(AND(F287&lt;&gt;"",COUNTIFS('方案版本'!$A$7:$A$306,F287,'方案版本'!$B$7:$B$306,A287,'方案版本'!$L$7:$L$306,"已冻结")&lt;&gt;1),"当前方案引用无效",IF(AND(D287="执行中",F287=""),"执行缺方案",IF(AND(D287="已结案",OR(T287="",COUNTIFS('复盘记录'!$B$7:$B$306,A287)=0,COUNTIFS('更新日志'!$B$7:$B$306,A287)=0)),"结案资料待补","基础记录齐备"))))))</x:f>
      </x:c>
      <x:c r="S287" s="3"/>
      <x:c r="T287" s="3"/>
    </x:row>
    <x:row r="288" ht="25" customHeight="1">
      <x:c r="A288" s="3"/>
      <x:c r="B288" s="3"/>
      <x:c r="C288" s="3"/>
      <x:c r="D288" s="3"/>
      <x:c r="E288" s="3"/>
      <x:c r="F288" s="3"/>
      <x:c r="G288" s="3"/>
      <x:c r="H288" s="3"/>
      <x:c r="I288" s="20"/>
      <x:c r="J288" s="3"/>
      <x:c r="K288" s="22"/>
      <x:c r="L288" s="22"/>
      <x:c r="M288" s="24" t="str">
        <x:f>IF(A288="","",IF(COUNTIFS('执行日志'!$B$7:$B$306,A288)=0,"",IF(COUNTIFS('执行日志'!$B$7:$B$306,A288,'执行日志'!$L$7:$L$306,"有效",'执行日志'!$P$7:$P$306,"&lt;&gt;有效输入")&gt;0,"待核对",IF(COUNTIFS('执行日志'!$B$7:$B$306,A288,'执行日志'!$P$7:$P$306,"有效输入")=0,"",SUMIFS('执行日志'!$H$7:$H$306,'执行日志'!$B$7:$B$306,A288,'执行日志'!$P$7:$P$306,"有效输入")))))</x:f>
      </x:c>
      <x:c r="N288" s="24" t="str">
        <x:f>IF(A288="","",IF(COUNTIFS('执行日志'!$B$7:$B$306,A288)=0,"",IF(COUNTIFS('执行日志'!$B$7:$B$306,A288,'执行日志'!$L$7:$L$306,"有效",'执行日志'!$P$7:$P$306,"&lt;&gt;有效输入")&gt;0,"待核对",IF(COUNTIFS('执行日志'!$B$7:$B$306,A288,'执行日志'!$P$7:$P$306,"有效输入")=0,"",SUMIFS('执行日志'!$J$7:$J$306,'执行日志'!$B$7:$B$306,A288,'执行日志'!$P$7:$P$306,"有效输入")))))</x:f>
      </x:c>
      <x:c r="O288" s="24" t="str">
        <x:f>IF(A288="","",IF(NOT(ISNUMBER(K288)),"待定预算",IF(NOT(ISNUMBER(M288)),"暂无有效流水",K288-M288)))</x:f>
      </x:c>
      <x:c r="P288" s="24" t="str">
        <x:f>IF(A288="","",IF(NOT(ISNUMBER(L288)),"待定预算",IF(NOT(ISNUMBER(N288)),"暂无有效流水",L288-N288)))</x:f>
      </x:c>
      <x:c r="Q288" s="19" t="str">
        <x:f>IF(A288="","",IF(D288="已结案","已结案",IF(NOT(ISNUMBER(I288)),"待定复盘日",IF(NOT(ISNUMBER($B$3)),"待定评估日",IF(I288&lt;=$B$3,"应复盘","未到期")))))</x:f>
      </x:c>
      <x:c r="R288" s="19" t="str">
        <x:f>IF(A288="","",IF(COUNTIFS($A$7:$A$306,A288)&lt;&gt;1,"问题编号重复",IF(OR(B288="",C288="",D288="",G288="",S288=""),"待补基础信息",IF(AND(F288&lt;&gt;"",COUNTIFS('方案版本'!$A$7:$A$306,F288,'方案版本'!$B$7:$B$306,A288,'方案版本'!$L$7:$L$306,"已冻结")&lt;&gt;1),"当前方案引用无效",IF(AND(D288="执行中",F288=""),"执行缺方案",IF(AND(D288="已结案",OR(T288="",COUNTIFS('复盘记录'!$B$7:$B$306,A288)=0,COUNTIFS('更新日志'!$B$7:$B$306,A288)=0)),"结案资料待补","基础记录齐备"))))))</x:f>
      </x:c>
      <x:c r="S288" s="3"/>
      <x:c r="T288" s="3"/>
    </x:row>
    <x:row r="289" ht="25" customHeight="1">
      <x:c r="A289" s="3"/>
      <x:c r="B289" s="3"/>
      <x:c r="C289" s="3"/>
      <x:c r="D289" s="3"/>
      <x:c r="E289" s="3"/>
      <x:c r="F289" s="3"/>
      <x:c r="G289" s="3"/>
      <x:c r="H289" s="3"/>
      <x:c r="I289" s="20"/>
      <x:c r="J289" s="3"/>
      <x:c r="K289" s="22"/>
      <x:c r="L289" s="22"/>
      <x:c r="M289" s="24" t="str">
        <x:f>IF(A289="","",IF(COUNTIFS('执行日志'!$B$7:$B$306,A289)=0,"",IF(COUNTIFS('执行日志'!$B$7:$B$306,A289,'执行日志'!$L$7:$L$306,"有效",'执行日志'!$P$7:$P$306,"&lt;&gt;有效输入")&gt;0,"待核对",IF(COUNTIFS('执行日志'!$B$7:$B$306,A289,'执行日志'!$P$7:$P$306,"有效输入")=0,"",SUMIFS('执行日志'!$H$7:$H$306,'执行日志'!$B$7:$B$306,A289,'执行日志'!$P$7:$P$306,"有效输入")))))</x:f>
      </x:c>
      <x:c r="N289" s="24" t="str">
        <x:f>IF(A289="","",IF(COUNTIFS('执行日志'!$B$7:$B$306,A289)=0,"",IF(COUNTIFS('执行日志'!$B$7:$B$306,A289,'执行日志'!$L$7:$L$306,"有效",'执行日志'!$P$7:$P$306,"&lt;&gt;有效输入")&gt;0,"待核对",IF(COUNTIFS('执行日志'!$B$7:$B$306,A289,'执行日志'!$P$7:$P$306,"有效输入")=0,"",SUMIFS('执行日志'!$J$7:$J$306,'执行日志'!$B$7:$B$306,A289,'执行日志'!$P$7:$P$306,"有效输入")))))</x:f>
      </x:c>
      <x:c r="O289" s="24" t="str">
        <x:f>IF(A289="","",IF(NOT(ISNUMBER(K289)),"待定预算",IF(NOT(ISNUMBER(M289)),"暂无有效流水",K289-M289)))</x:f>
      </x:c>
      <x:c r="P289" s="24" t="str">
        <x:f>IF(A289="","",IF(NOT(ISNUMBER(L289)),"待定预算",IF(NOT(ISNUMBER(N289)),"暂无有效流水",L289-N289)))</x:f>
      </x:c>
      <x:c r="Q289" s="19" t="str">
        <x:f>IF(A289="","",IF(D289="已结案","已结案",IF(NOT(ISNUMBER(I289)),"待定复盘日",IF(NOT(ISNUMBER($B$3)),"待定评估日",IF(I289&lt;=$B$3,"应复盘","未到期")))))</x:f>
      </x:c>
      <x:c r="R289" s="19" t="str">
        <x:f>IF(A289="","",IF(COUNTIFS($A$7:$A$306,A289)&lt;&gt;1,"问题编号重复",IF(OR(B289="",C289="",D289="",G289="",S289=""),"待补基础信息",IF(AND(F289&lt;&gt;"",COUNTIFS('方案版本'!$A$7:$A$306,F289,'方案版本'!$B$7:$B$306,A289,'方案版本'!$L$7:$L$306,"已冻结")&lt;&gt;1),"当前方案引用无效",IF(AND(D289="执行中",F289=""),"执行缺方案",IF(AND(D289="已结案",OR(T289="",COUNTIFS('复盘记录'!$B$7:$B$306,A289)=0,COUNTIFS('更新日志'!$B$7:$B$306,A289)=0)),"结案资料待补","基础记录齐备"))))))</x:f>
      </x:c>
      <x:c r="S289" s="3"/>
      <x:c r="T289" s="3"/>
    </x:row>
    <x:row r="290" ht="25" customHeight="1">
      <x:c r="A290" s="3"/>
      <x:c r="B290" s="3"/>
      <x:c r="C290" s="3"/>
      <x:c r="D290" s="3"/>
      <x:c r="E290" s="3"/>
      <x:c r="F290" s="3"/>
      <x:c r="G290" s="3"/>
      <x:c r="H290" s="3"/>
      <x:c r="I290" s="20"/>
      <x:c r="J290" s="3"/>
      <x:c r="K290" s="22"/>
      <x:c r="L290" s="22"/>
      <x:c r="M290" s="24" t="str">
        <x:f>IF(A290="","",IF(COUNTIFS('执行日志'!$B$7:$B$306,A290)=0,"",IF(COUNTIFS('执行日志'!$B$7:$B$306,A290,'执行日志'!$L$7:$L$306,"有效",'执行日志'!$P$7:$P$306,"&lt;&gt;有效输入")&gt;0,"待核对",IF(COUNTIFS('执行日志'!$B$7:$B$306,A290,'执行日志'!$P$7:$P$306,"有效输入")=0,"",SUMIFS('执行日志'!$H$7:$H$306,'执行日志'!$B$7:$B$306,A290,'执行日志'!$P$7:$P$306,"有效输入")))))</x:f>
      </x:c>
      <x:c r="N290" s="24" t="str">
        <x:f>IF(A290="","",IF(COUNTIFS('执行日志'!$B$7:$B$306,A290)=0,"",IF(COUNTIFS('执行日志'!$B$7:$B$306,A290,'执行日志'!$L$7:$L$306,"有效",'执行日志'!$P$7:$P$306,"&lt;&gt;有效输入")&gt;0,"待核对",IF(COUNTIFS('执行日志'!$B$7:$B$306,A290,'执行日志'!$P$7:$P$306,"有效输入")=0,"",SUMIFS('执行日志'!$J$7:$J$306,'执行日志'!$B$7:$B$306,A290,'执行日志'!$P$7:$P$306,"有效输入")))))</x:f>
      </x:c>
      <x:c r="O290" s="24" t="str">
        <x:f>IF(A290="","",IF(NOT(ISNUMBER(K290)),"待定预算",IF(NOT(ISNUMBER(M290)),"暂无有效流水",K290-M290)))</x:f>
      </x:c>
      <x:c r="P290" s="24" t="str">
        <x:f>IF(A290="","",IF(NOT(ISNUMBER(L290)),"待定预算",IF(NOT(ISNUMBER(N290)),"暂无有效流水",L290-N290)))</x:f>
      </x:c>
      <x:c r="Q290" s="19" t="str">
        <x:f>IF(A290="","",IF(D290="已结案","已结案",IF(NOT(ISNUMBER(I290)),"待定复盘日",IF(NOT(ISNUMBER($B$3)),"待定评估日",IF(I290&lt;=$B$3,"应复盘","未到期")))))</x:f>
      </x:c>
      <x:c r="R290" s="19" t="str">
        <x:f>IF(A290="","",IF(COUNTIFS($A$7:$A$306,A290)&lt;&gt;1,"问题编号重复",IF(OR(B290="",C290="",D290="",G290="",S290=""),"待补基础信息",IF(AND(F290&lt;&gt;"",COUNTIFS('方案版本'!$A$7:$A$306,F290,'方案版本'!$B$7:$B$306,A290,'方案版本'!$L$7:$L$306,"已冻结")&lt;&gt;1),"当前方案引用无效",IF(AND(D290="执行中",F290=""),"执行缺方案",IF(AND(D290="已结案",OR(T290="",COUNTIFS('复盘记录'!$B$7:$B$306,A290)=0,COUNTIFS('更新日志'!$B$7:$B$306,A290)=0)),"结案资料待补","基础记录齐备"))))))</x:f>
      </x:c>
      <x:c r="S290" s="3"/>
      <x:c r="T290" s="3"/>
    </x:row>
    <x:row r="291" ht="25" customHeight="1">
      <x:c r="A291" s="3"/>
      <x:c r="B291" s="3"/>
      <x:c r="C291" s="3"/>
      <x:c r="D291" s="3"/>
      <x:c r="E291" s="3"/>
      <x:c r="F291" s="3"/>
      <x:c r="G291" s="3"/>
      <x:c r="H291" s="3"/>
      <x:c r="I291" s="20"/>
      <x:c r="J291" s="3"/>
      <x:c r="K291" s="22"/>
      <x:c r="L291" s="22"/>
      <x:c r="M291" s="24" t="str">
        <x:f>IF(A291="","",IF(COUNTIFS('执行日志'!$B$7:$B$306,A291)=0,"",IF(COUNTIFS('执行日志'!$B$7:$B$306,A291,'执行日志'!$L$7:$L$306,"有效",'执行日志'!$P$7:$P$306,"&lt;&gt;有效输入")&gt;0,"待核对",IF(COUNTIFS('执行日志'!$B$7:$B$306,A291,'执行日志'!$P$7:$P$306,"有效输入")=0,"",SUMIFS('执行日志'!$H$7:$H$306,'执行日志'!$B$7:$B$306,A291,'执行日志'!$P$7:$P$306,"有效输入")))))</x:f>
      </x:c>
      <x:c r="N291" s="24" t="str">
        <x:f>IF(A291="","",IF(COUNTIFS('执行日志'!$B$7:$B$306,A291)=0,"",IF(COUNTIFS('执行日志'!$B$7:$B$306,A291,'执行日志'!$L$7:$L$306,"有效",'执行日志'!$P$7:$P$306,"&lt;&gt;有效输入")&gt;0,"待核对",IF(COUNTIFS('执行日志'!$B$7:$B$306,A291,'执行日志'!$P$7:$P$306,"有效输入")=0,"",SUMIFS('执行日志'!$J$7:$J$306,'执行日志'!$B$7:$B$306,A291,'执行日志'!$P$7:$P$306,"有效输入")))))</x:f>
      </x:c>
      <x:c r="O291" s="24" t="str">
        <x:f>IF(A291="","",IF(NOT(ISNUMBER(K291)),"待定预算",IF(NOT(ISNUMBER(M291)),"暂无有效流水",K291-M291)))</x:f>
      </x:c>
      <x:c r="P291" s="24" t="str">
        <x:f>IF(A291="","",IF(NOT(ISNUMBER(L291)),"待定预算",IF(NOT(ISNUMBER(N291)),"暂无有效流水",L291-N291)))</x:f>
      </x:c>
      <x:c r="Q291" s="19" t="str">
        <x:f>IF(A291="","",IF(D291="已结案","已结案",IF(NOT(ISNUMBER(I291)),"待定复盘日",IF(NOT(ISNUMBER($B$3)),"待定评估日",IF(I291&lt;=$B$3,"应复盘","未到期")))))</x:f>
      </x:c>
      <x:c r="R291" s="19" t="str">
        <x:f>IF(A291="","",IF(COUNTIFS($A$7:$A$306,A291)&lt;&gt;1,"问题编号重复",IF(OR(B291="",C291="",D291="",G291="",S291=""),"待补基础信息",IF(AND(F291&lt;&gt;"",COUNTIFS('方案版本'!$A$7:$A$306,F291,'方案版本'!$B$7:$B$306,A291,'方案版本'!$L$7:$L$306,"已冻结")&lt;&gt;1),"当前方案引用无效",IF(AND(D291="执行中",F291=""),"执行缺方案",IF(AND(D291="已结案",OR(T291="",COUNTIFS('复盘记录'!$B$7:$B$306,A291)=0,COUNTIFS('更新日志'!$B$7:$B$306,A291)=0)),"结案资料待补","基础记录齐备"))))))</x:f>
      </x:c>
      <x:c r="S291" s="3"/>
      <x:c r="T291" s="3"/>
    </x:row>
    <x:row r="292" ht="25" customHeight="1">
      <x:c r="A292" s="3"/>
      <x:c r="B292" s="3"/>
      <x:c r="C292" s="3"/>
      <x:c r="D292" s="3"/>
      <x:c r="E292" s="3"/>
      <x:c r="F292" s="3"/>
      <x:c r="G292" s="3"/>
      <x:c r="H292" s="3"/>
      <x:c r="I292" s="20"/>
      <x:c r="J292" s="3"/>
      <x:c r="K292" s="22"/>
      <x:c r="L292" s="22"/>
      <x:c r="M292" s="24" t="str">
        <x:f>IF(A292="","",IF(COUNTIFS('执行日志'!$B$7:$B$306,A292)=0,"",IF(COUNTIFS('执行日志'!$B$7:$B$306,A292,'执行日志'!$L$7:$L$306,"有效",'执行日志'!$P$7:$P$306,"&lt;&gt;有效输入")&gt;0,"待核对",IF(COUNTIFS('执行日志'!$B$7:$B$306,A292,'执行日志'!$P$7:$P$306,"有效输入")=0,"",SUMIFS('执行日志'!$H$7:$H$306,'执行日志'!$B$7:$B$306,A292,'执行日志'!$P$7:$P$306,"有效输入")))))</x:f>
      </x:c>
      <x:c r="N292" s="24" t="str">
        <x:f>IF(A292="","",IF(COUNTIFS('执行日志'!$B$7:$B$306,A292)=0,"",IF(COUNTIFS('执行日志'!$B$7:$B$306,A292,'执行日志'!$L$7:$L$306,"有效",'执行日志'!$P$7:$P$306,"&lt;&gt;有效输入")&gt;0,"待核对",IF(COUNTIFS('执行日志'!$B$7:$B$306,A292,'执行日志'!$P$7:$P$306,"有效输入")=0,"",SUMIFS('执行日志'!$J$7:$J$306,'执行日志'!$B$7:$B$306,A292,'执行日志'!$P$7:$P$306,"有效输入")))))</x:f>
      </x:c>
      <x:c r="O292" s="24" t="str">
        <x:f>IF(A292="","",IF(NOT(ISNUMBER(K292)),"待定预算",IF(NOT(ISNUMBER(M292)),"暂无有效流水",K292-M292)))</x:f>
      </x:c>
      <x:c r="P292" s="24" t="str">
        <x:f>IF(A292="","",IF(NOT(ISNUMBER(L292)),"待定预算",IF(NOT(ISNUMBER(N292)),"暂无有效流水",L292-N292)))</x:f>
      </x:c>
      <x:c r="Q292" s="19" t="str">
        <x:f>IF(A292="","",IF(D292="已结案","已结案",IF(NOT(ISNUMBER(I292)),"待定复盘日",IF(NOT(ISNUMBER($B$3)),"待定评估日",IF(I292&lt;=$B$3,"应复盘","未到期")))))</x:f>
      </x:c>
      <x:c r="R292" s="19" t="str">
        <x:f>IF(A292="","",IF(COUNTIFS($A$7:$A$306,A292)&lt;&gt;1,"问题编号重复",IF(OR(B292="",C292="",D292="",G292="",S292=""),"待补基础信息",IF(AND(F292&lt;&gt;"",COUNTIFS('方案版本'!$A$7:$A$306,F292,'方案版本'!$B$7:$B$306,A292,'方案版本'!$L$7:$L$306,"已冻结")&lt;&gt;1),"当前方案引用无效",IF(AND(D292="执行中",F292=""),"执行缺方案",IF(AND(D292="已结案",OR(T292="",COUNTIFS('复盘记录'!$B$7:$B$306,A292)=0,COUNTIFS('更新日志'!$B$7:$B$306,A292)=0)),"结案资料待补","基础记录齐备"))))))</x:f>
      </x:c>
      <x:c r="S292" s="3"/>
      <x:c r="T292" s="3"/>
    </x:row>
    <x:row r="293" ht="25" customHeight="1">
      <x:c r="A293" s="3"/>
      <x:c r="B293" s="3"/>
      <x:c r="C293" s="3"/>
      <x:c r="D293" s="3"/>
      <x:c r="E293" s="3"/>
      <x:c r="F293" s="3"/>
      <x:c r="G293" s="3"/>
      <x:c r="H293" s="3"/>
      <x:c r="I293" s="20"/>
      <x:c r="J293" s="3"/>
      <x:c r="K293" s="22"/>
      <x:c r="L293" s="22"/>
      <x:c r="M293" s="24" t="str">
        <x:f>IF(A293="","",IF(COUNTIFS('执行日志'!$B$7:$B$306,A293)=0,"",IF(COUNTIFS('执行日志'!$B$7:$B$306,A293,'执行日志'!$L$7:$L$306,"有效",'执行日志'!$P$7:$P$306,"&lt;&gt;有效输入")&gt;0,"待核对",IF(COUNTIFS('执行日志'!$B$7:$B$306,A293,'执行日志'!$P$7:$P$306,"有效输入")=0,"",SUMIFS('执行日志'!$H$7:$H$306,'执行日志'!$B$7:$B$306,A293,'执行日志'!$P$7:$P$306,"有效输入")))))</x:f>
      </x:c>
      <x:c r="N293" s="24" t="str">
        <x:f>IF(A293="","",IF(COUNTIFS('执行日志'!$B$7:$B$306,A293)=0,"",IF(COUNTIFS('执行日志'!$B$7:$B$306,A293,'执行日志'!$L$7:$L$306,"有效",'执行日志'!$P$7:$P$306,"&lt;&gt;有效输入")&gt;0,"待核对",IF(COUNTIFS('执行日志'!$B$7:$B$306,A293,'执行日志'!$P$7:$P$306,"有效输入")=0,"",SUMIFS('执行日志'!$J$7:$J$306,'执行日志'!$B$7:$B$306,A293,'执行日志'!$P$7:$P$306,"有效输入")))))</x:f>
      </x:c>
      <x:c r="O293" s="24" t="str">
        <x:f>IF(A293="","",IF(NOT(ISNUMBER(K293)),"待定预算",IF(NOT(ISNUMBER(M293)),"暂无有效流水",K293-M293)))</x:f>
      </x:c>
      <x:c r="P293" s="24" t="str">
        <x:f>IF(A293="","",IF(NOT(ISNUMBER(L293)),"待定预算",IF(NOT(ISNUMBER(N293)),"暂无有效流水",L293-N293)))</x:f>
      </x:c>
      <x:c r="Q293" s="19" t="str">
        <x:f>IF(A293="","",IF(D293="已结案","已结案",IF(NOT(ISNUMBER(I293)),"待定复盘日",IF(NOT(ISNUMBER($B$3)),"待定评估日",IF(I293&lt;=$B$3,"应复盘","未到期")))))</x:f>
      </x:c>
      <x:c r="R293" s="19" t="str">
        <x:f>IF(A293="","",IF(COUNTIFS($A$7:$A$306,A293)&lt;&gt;1,"问题编号重复",IF(OR(B293="",C293="",D293="",G293="",S293=""),"待补基础信息",IF(AND(F293&lt;&gt;"",COUNTIFS('方案版本'!$A$7:$A$306,F293,'方案版本'!$B$7:$B$306,A293,'方案版本'!$L$7:$L$306,"已冻结")&lt;&gt;1),"当前方案引用无效",IF(AND(D293="执行中",F293=""),"执行缺方案",IF(AND(D293="已结案",OR(T293="",COUNTIFS('复盘记录'!$B$7:$B$306,A293)=0,COUNTIFS('更新日志'!$B$7:$B$306,A293)=0)),"结案资料待补","基础记录齐备"))))))</x:f>
      </x:c>
      <x:c r="S293" s="3"/>
      <x:c r="T293" s="3"/>
    </x:row>
    <x:row r="294" ht="25" customHeight="1">
      <x:c r="A294" s="3"/>
      <x:c r="B294" s="3"/>
      <x:c r="C294" s="3"/>
      <x:c r="D294" s="3"/>
      <x:c r="E294" s="3"/>
      <x:c r="F294" s="3"/>
      <x:c r="G294" s="3"/>
      <x:c r="H294" s="3"/>
      <x:c r="I294" s="20"/>
      <x:c r="J294" s="3"/>
      <x:c r="K294" s="22"/>
      <x:c r="L294" s="22"/>
      <x:c r="M294" s="24" t="str">
        <x:f>IF(A294="","",IF(COUNTIFS('执行日志'!$B$7:$B$306,A294)=0,"",IF(COUNTIFS('执行日志'!$B$7:$B$306,A294,'执行日志'!$L$7:$L$306,"有效",'执行日志'!$P$7:$P$306,"&lt;&gt;有效输入")&gt;0,"待核对",IF(COUNTIFS('执行日志'!$B$7:$B$306,A294,'执行日志'!$P$7:$P$306,"有效输入")=0,"",SUMIFS('执行日志'!$H$7:$H$306,'执行日志'!$B$7:$B$306,A294,'执行日志'!$P$7:$P$306,"有效输入")))))</x:f>
      </x:c>
      <x:c r="N294" s="24" t="str">
        <x:f>IF(A294="","",IF(COUNTIFS('执行日志'!$B$7:$B$306,A294)=0,"",IF(COUNTIFS('执行日志'!$B$7:$B$306,A294,'执行日志'!$L$7:$L$306,"有效",'执行日志'!$P$7:$P$306,"&lt;&gt;有效输入")&gt;0,"待核对",IF(COUNTIFS('执行日志'!$B$7:$B$306,A294,'执行日志'!$P$7:$P$306,"有效输入")=0,"",SUMIFS('执行日志'!$J$7:$J$306,'执行日志'!$B$7:$B$306,A294,'执行日志'!$P$7:$P$306,"有效输入")))))</x:f>
      </x:c>
      <x:c r="O294" s="24" t="str">
        <x:f>IF(A294="","",IF(NOT(ISNUMBER(K294)),"待定预算",IF(NOT(ISNUMBER(M294)),"暂无有效流水",K294-M294)))</x:f>
      </x:c>
      <x:c r="P294" s="24" t="str">
        <x:f>IF(A294="","",IF(NOT(ISNUMBER(L294)),"待定预算",IF(NOT(ISNUMBER(N294)),"暂无有效流水",L294-N294)))</x:f>
      </x:c>
      <x:c r="Q294" s="19" t="str">
        <x:f>IF(A294="","",IF(D294="已结案","已结案",IF(NOT(ISNUMBER(I294)),"待定复盘日",IF(NOT(ISNUMBER($B$3)),"待定评估日",IF(I294&lt;=$B$3,"应复盘","未到期")))))</x:f>
      </x:c>
      <x:c r="R294" s="19" t="str">
        <x:f>IF(A294="","",IF(COUNTIFS($A$7:$A$306,A294)&lt;&gt;1,"问题编号重复",IF(OR(B294="",C294="",D294="",G294="",S294=""),"待补基础信息",IF(AND(F294&lt;&gt;"",COUNTIFS('方案版本'!$A$7:$A$306,F294,'方案版本'!$B$7:$B$306,A294,'方案版本'!$L$7:$L$306,"已冻结")&lt;&gt;1),"当前方案引用无效",IF(AND(D294="执行中",F294=""),"执行缺方案",IF(AND(D294="已结案",OR(T294="",COUNTIFS('复盘记录'!$B$7:$B$306,A294)=0,COUNTIFS('更新日志'!$B$7:$B$306,A294)=0)),"结案资料待补","基础记录齐备"))))))</x:f>
      </x:c>
      <x:c r="S294" s="3"/>
      <x:c r="T294" s="3"/>
    </x:row>
    <x:row r="295" ht="25" customHeight="1">
      <x:c r="A295" s="3"/>
      <x:c r="B295" s="3"/>
      <x:c r="C295" s="3"/>
      <x:c r="D295" s="3"/>
      <x:c r="E295" s="3"/>
      <x:c r="F295" s="3"/>
      <x:c r="G295" s="3"/>
      <x:c r="H295" s="3"/>
      <x:c r="I295" s="20"/>
      <x:c r="J295" s="3"/>
      <x:c r="K295" s="22"/>
      <x:c r="L295" s="22"/>
      <x:c r="M295" s="24" t="str">
        <x:f>IF(A295="","",IF(COUNTIFS('执行日志'!$B$7:$B$306,A295)=0,"",IF(COUNTIFS('执行日志'!$B$7:$B$306,A295,'执行日志'!$L$7:$L$306,"有效",'执行日志'!$P$7:$P$306,"&lt;&gt;有效输入")&gt;0,"待核对",IF(COUNTIFS('执行日志'!$B$7:$B$306,A295,'执行日志'!$P$7:$P$306,"有效输入")=0,"",SUMIFS('执行日志'!$H$7:$H$306,'执行日志'!$B$7:$B$306,A295,'执行日志'!$P$7:$P$306,"有效输入")))))</x:f>
      </x:c>
      <x:c r="N295" s="24" t="str">
        <x:f>IF(A295="","",IF(COUNTIFS('执行日志'!$B$7:$B$306,A295)=0,"",IF(COUNTIFS('执行日志'!$B$7:$B$306,A295,'执行日志'!$L$7:$L$306,"有效",'执行日志'!$P$7:$P$306,"&lt;&gt;有效输入")&gt;0,"待核对",IF(COUNTIFS('执行日志'!$B$7:$B$306,A295,'执行日志'!$P$7:$P$306,"有效输入")=0,"",SUMIFS('执行日志'!$J$7:$J$306,'执行日志'!$B$7:$B$306,A295,'执行日志'!$P$7:$P$306,"有效输入")))))</x:f>
      </x:c>
      <x:c r="O295" s="24" t="str">
        <x:f>IF(A295="","",IF(NOT(ISNUMBER(K295)),"待定预算",IF(NOT(ISNUMBER(M295)),"暂无有效流水",K295-M295)))</x:f>
      </x:c>
      <x:c r="P295" s="24" t="str">
        <x:f>IF(A295="","",IF(NOT(ISNUMBER(L295)),"待定预算",IF(NOT(ISNUMBER(N295)),"暂无有效流水",L295-N295)))</x:f>
      </x:c>
      <x:c r="Q295" s="19" t="str">
        <x:f>IF(A295="","",IF(D295="已结案","已结案",IF(NOT(ISNUMBER(I295)),"待定复盘日",IF(NOT(ISNUMBER($B$3)),"待定评估日",IF(I295&lt;=$B$3,"应复盘","未到期")))))</x:f>
      </x:c>
      <x:c r="R295" s="19" t="str">
        <x:f>IF(A295="","",IF(COUNTIFS($A$7:$A$306,A295)&lt;&gt;1,"问题编号重复",IF(OR(B295="",C295="",D295="",G295="",S295=""),"待补基础信息",IF(AND(F295&lt;&gt;"",COUNTIFS('方案版本'!$A$7:$A$306,F295,'方案版本'!$B$7:$B$306,A295,'方案版本'!$L$7:$L$306,"已冻结")&lt;&gt;1),"当前方案引用无效",IF(AND(D295="执行中",F295=""),"执行缺方案",IF(AND(D295="已结案",OR(T295="",COUNTIFS('复盘记录'!$B$7:$B$306,A295)=0,COUNTIFS('更新日志'!$B$7:$B$306,A295)=0)),"结案资料待补","基础记录齐备"))))))</x:f>
      </x:c>
      <x:c r="S295" s="3"/>
      <x:c r="T295" s="3"/>
    </x:row>
    <x:row r="296" ht="25" customHeight="1">
      <x:c r="A296" s="3"/>
      <x:c r="B296" s="3"/>
      <x:c r="C296" s="3"/>
      <x:c r="D296" s="3"/>
      <x:c r="E296" s="3"/>
      <x:c r="F296" s="3"/>
      <x:c r="G296" s="3"/>
      <x:c r="H296" s="3"/>
      <x:c r="I296" s="20"/>
      <x:c r="J296" s="3"/>
      <x:c r="K296" s="22"/>
      <x:c r="L296" s="22"/>
      <x:c r="M296" s="24" t="str">
        <x:f>IF(A296="","",IF(COUNTIFS('执行日志'!$B$7:$B$306,A296)=0,"",IF(COUNTIFS('执行日志'!$B$7:$B$306,A296,'执行日志'!$L$7:$L$306,"有效",'执行日志'!$P$7:$P$306,"&lt;&gt;有效输入")&gt;0,"待核对",IF(COUNTIFS('执行日志'!$B$7:$B$306,A296,'执行日志'!$P$7:$P$306,"有效输入")=0,"",SUMIFS('执行日志'!$H$7:$H$306,'执行日志'!$B$7:$B$306,A296,'执行日志'!$P$7:$P$306,"有效输入")))))</x:f>
      </x:c>
      <x:c r="N296" s="24" t="str">
        <x:f>IF(A296="","",IF(COUNTIFS('执行日志'!$B$7:$B$306,A296)=0,"",IF(COUNTIFS('执行日志'!$B$7:$B$306,A296,'执行日志'!$L$7:$L$306,"有效",'执行日志'!$P$7:$P$306,"&lt;&gt;有效输入")&gt;0,"待核对",IF(COUNTIFS('执行日志'!$B$7:$B$306,A296,'执行日志'!$P$7:$P$306,"有效输入")=0,"",SUMIFS('执行日志'!$J$7:$J$306,'执行日志'!$B$7:$B$306,A296,'执行日志'!$P$7:$P$306,"有效输入")))))</x:f>
      </x:c>
      <x:c r="O296" s="24" t="str">
        <x:f>IF(A296="","",IF(NOT(ISNUMBER(K296)),"待定预算",IF(NOT(ISNUMBER(M296)),"暂无有效流水",K296-M296)))</x:f>
      </x:c>
      <x:c r="P296" s="24" t="str">
        <x:f>IF(A296="","",IF(NOT(ISNUMBER(L296)),"待定预算",IF(NOT(ISNUMBER(N296)),"暂无有效流水",L296-N296)))</x:f>
      </x:c>
      <x:c r="Q296" s="19" t="str">
        <x:f>IF(A296="","",IF(D296="已结案","已结案",IF(NOT(ISNUMBER(I296)),"待定复盘日",IF(NOT(ISNUMBER($B$3)),"待定评估日",IF(I296&lt;=$B$3,"应复盘","未到期")))))</x:f>
      </x:c>
      <x:c r="R296" s="19" t="str">
        <x:f>IF(A296="","",IF(COUNTIFS($A$7:$A$306,A296)&lt;&gt;1,"问题编号重复",IF(OR(B296="",C296="",D296="",G296="",S296=""),"待补基础信息",IF(AND(F296&lt;&gt;"",COUNTIFS('方案版本'!$A$7:$A$306,F296,'方案版本'!$B$7:$B$306,A296,'方案版本'!$L$7:$L$306,"已冻结")&lt;&gt;1),"当前方案引用无效",IF(AND(D296="执行中",F296=""),"执行缺方案",IF(AND(D296="已结案",OR(T296="",COUNTIFS('复盘记录'!$B$7:$B$306,A296)=0,COUNTIFS('更新日志'!$B$7:$B$306,A296)=0)),"结案资料待补","基础记录齐备"))))))</x:f>
      </x:c>
      <x:c r="S296" s="3"/>
      <x:c r="T296" s="3"/>
    </x:row>
    <x:row r="297" ht="25" customHeight="1">
      <x:c r="A297" s="3"/>
      <x:c r="B297" s="3"/>
      <x:c r="C297" s="3"/>
      <x:c r="D297" s="3"/>
      <x:c r="E297" s="3"/>
      <x:c r="F297" s="3"/>
      <x:c r="G297" s="3"/>
      <x:c r="H297" s="3"/>
      <x:c r="I297" s="20"/>
      <x:c r="J297" s="3"/>
      <x:c r="K297" s="22"/>
      <x:c r="L297" s="22"/>
      <x:c r="M297" s="24" t="str">
        <x:f>IF(A297="","",IF(COUNTIFS('执行日志'!$B$7:$B$306,A297)=0,"",IF(COUNTIFS('执行日志'!$B$7:$B$306,A297,'执行日志'!$L$7:$L$306,"有效",'执行日志'!$P$7:$P$306,"&lt;&gt;有效输入")&gt;0,"待核对",IF(COUNTIFS('执行日志'!$B$7:$B$306,A297,'执行日志'!$P$7:$P$306,"有效输入")=0,"",SUMIFS('执行日志'!$H$7:$H$306,'执行日志'!$B$7:$B$306,A297,'执行日志'!$P$7:$P$306,"有效输入")))))</x:f>
      </x:c>
      <x:c r="N297" s="24" t="str">
        <x:f>IF(A297="","",IF(COUNTIFS('执行日志'!$B$7:$B$306,A297)=0,"",IF(COUNTIFS('执行日志'!$B$7:$B$306,A297,'执行日志'!$L$7:$L$306,"有效",'执行日志'!$P$7:$P$306,"&lt;&gt;有效输入")&gt;0,"待核对",IF(COUNTIFS('执行日志'!$B$7:$B$306,A297,'执行日志'!$P$7:$P$306,"有效输入")=0,"",SUMIFS('执行日志'!$J$7:$J$306,'执行日志'!$B$7:$B$306,A297,'执行日志'!$P$7:$P$306,"有效输入")))))</x:f>
      </x:c>
      <x:c r="O297" s="24" t="str">
        <x:f>IF(A297="","",IF(NOT(ISNUMBER(K297)),"待定预算",IF(NOT(ISNUMBER(M297)),"暂无有效流水",K297-M297)))</x:f>
      </x:c>
      <x:c r="P297" s="24" t="str">
        <x:f>IF(A297="","",IF(NOT(ISNUMBER(L297)),"待定预算",IF(NOT(ISNUMBER(N297)),"暂无有效流水",L297-N297)))</x:f>
      </x:c>
      <x:c r="Q297" s="19" t="str">
        <x:f>IF(A297="","",IF(D297="已结案","已结案",IF(NOT(ISNUMBER(I297)),"待定复盘日",IF(NOT(ISNUMBER($B$3)),"待定评估日",IF(I297&lt;=$B$3,"应复盘","未到期")))))</x:f>
      </x:c>
      <x:c r="R297" s="19" t="str">
        <x:f>IF(A297="","",IF(COUNTIFS($A$7:$A$306,A297)&lt;&gt;1,"问题编号重复",IF(OR(B297="",C297="",D297="",G297="",S297=""),"待补基础信息",IF(AND(F297&lt;&gt;"",COUNTIFS('方案版本'!$A$7:$A$306,F297,'方案版本'!$B$7:$B$306,A297,'方案版本'!$L$7:$L$306,"已冻结")&lt;&gt;1),"当前方案引用无效",IF(AND(D297="执行中",F297=""),"执行缺方案",IF(AND(D297="已结案",OR(T297="",COUNTIFS('复盘记录'!$B$7:$B$306,A297)=0,COUNTIFS('更新日志'!$B$7:$B$306,A297)=0)),"结案资料待补","基础记录齐备"))))))</x:f>
      </x:c>
      <x:c r="S297" s="3"/>
      <x:c r="T297" s="3"/>
    </x:row>
    <x:row r="298" ht="25" customHeight="1">
      <x:c r="A298" s="3"/>
      <x:c r="B298" s="3"/>
      <x:c r="C298" s="3"/>
      <x:c r="D298" s="3"/>
      <x:c r="E298" s="3"/>
      <x:c r="F298" s="3"/>
      <x:c r="G298" s="3"/>
      <x:c r="H298" s="3"/>
      <x:c r="I298" s="20"/>
      <x:c r="J298" s="3"/>
      <x:c r="K298" s="22"/>
      <x:c r="L298" s="22"/>
      <x:c r="M298" s="24" t="str">
        <x:f>IF(A298="","",IF(COUNTIFS('执行日志'!$B$7:$B$306,A298)=0,"",IF(COUNTIFS('执行日志'!$B$7:$B$306,A298,'执行日志'!$L$7:$L$306,"有效",'执行日志'!$P$7:$P$306,"&lt;&gt;有效输入")&gt;0,"待核对",IF(COUNTIFS('执行日志'!$B$7:$B$306,A298,'执行日志'!$P$7:$P$306,"有效输入")=0,"",SUMIFS('执行日志'!$H$7:$H$306,'执行日志'!$B$7:$B$306,A298,'执行日志'!$P$7:$P$306,"有效输入")))))</x:f>
      </x:c>
      <x:c r="N298" s="24" t="str">
        <x:f>IF(A298="","",IF(COUNTIFS('执行日志'!$B$7:$B$306,A298)=0,"",IF(COUNTIFS('执行日志'!$B$7:$B$306,A298,'执行日志'!$L$7:$L$306,"有效",'执行日志'!$P$7:$P$306,"&lt;&gt;有效输入")&gt;0,"待核对",IF(COUNTIFS('执行日志'!$B$7:$B$306,A298,'执行日志'!$P$7:$P$306,"有效输入")=0,"",SUMIFS('执行日志'!$J$7:$J$306,'执行日志'!$B$7:$B$306,A298,'执行日志'!$P$7:$P$306,"有效输入")))))</x:f>
      </x:c>
      <x:c r="O298" s="24" t="str">
        <x:f>IF(A298="","",IF(NOT(ISNUMBER(K298)),"待定预算",IF(NOT(ISNUMBER(M298)),"暂无有效流水",K298-M298)))</x:f>
      </x:c>
      <x:c r="P298" s="24" t="str">
        <x:f>IF(A298="","",IF(NOT(ISNUMBER(L298)),"待定预算",IF(NOT(ISNUMBER(N298)),"暂无有效流水",L298-N298)))</x:f>
      </x:c>
      <x:c r="Q298" s="19" t="str">
        <x:f>IF(A298="","",IF(D298="已结案","已结案",IF(NOT(ISNUMBER(I298)),"待定复盘日",IF(NOT(ISNUMBER($B$3)),"待定评估日",IF(I298&lt;=$B$3,"应复盘","未到期")))))</x:f>
      </x:c>
      <x:c r="R298" s="19" t="str">
        <x:f>IF(A298="","",IF(COUNTIFS($A$7:$A$306,A298)&lt;&gt;1,"问题编号重复",IF(OR(B298="",C298="",D298="",G298="",S298=""),"待补基础信息",IF(AND(F298&lt;&gt;"",COUNTIFS('方案版本'!$A$7:$A$306,F298,'方案版本'!$B$7:$B$306,A298,'方案版本'!$L$7:$L$306,"已冻结")&lt;&gt;1),"当前方案引用无效",IF(AND(D298="执行中",F298=""),"执行缺方案",IF(AND(D298="已结案",OR(T298="",COUNTIFS('复盘记录'!$B$7:$B$306,A298)=0,COUNTIFS('更新日志'!$B$7:$B$306,A298)=0)),"结案资料待补","基础记录齐备"))))))</x:f>
      </x:c>
      <x:c r="S298" s="3"/>
      <x:c r="T298" s="3"/>
    </x:row>
    <x:row r="299" ht="25" customHeight="1">
      <x:c r="A299" s="3"/>
      <x:c r="B299" s="3"/>
      <x:c r="C299" s="3"/>
      <x:c r="D299" s="3"/>
      <x:c r="E299" s="3"/>
      <x:c r="F299" s="3"/>
      <x:c r="G299" s="3"/>
      <x:c r="H299" s="3"/>
      <x:c r="I299" s="20"/>
      <x:c r="J299" s="3"/>
      <x:c r="K299" s="22"/>
      <x:c r="L299" s="22"/>
      <x:c r="M299" s="24" t="str">
        <x:f>IF(A299="","",IF(COUNTIFS('执行日志'!$B$7:$B$306,A299)=0,"",IF(COUNTIFS('执行日志'!$B$7:$B$306,A299,'执行日志'!$L$7:$L$306,"有效",'执行日志'!$P$7:$P$306,"&lt;&gt;有效输入")&gt;0,"待核对",IF(COUNTIFS('执行日志'!$B$7:$B$306,A299,'执行日志'!$P$7:$P$306,"有效输入")=0,"",SUMIFS('执行日志'!$H$7:$H$306,'执行日志'!$B$7:$B$306,A299,'执行日志'!$P$7:$P$306,"有效输入")))))</x:f>
      </x:c>
      <x:c r="N299" s="24" t="str">
        <x:f>IF(A299="","",IF(COUNTIFS('执行日志'!$B$7:$B$306,A299)=0,"",IF(COUNTIFS('执行日志'!$B$7:$B$306,A299,'执行日志'!$L$7:$L$306,"有效",'执行日志'!$P$7:$P$306,"&lt;&gt;有效输入")&gt;0,"待核对",IF(COUNTIFS('执行日志'!$B$7:$B$306,A299,'执行日志'!$P$7:$P$306,"有效输入")=0,"",SUMIFS('执行日志'!$J$7:$J$306,'执行日志'!$B$7:$B$306,A299,'执行日志'!$P$7:$P$306,"有效输入")))))</x:f>
      </x:c>
      <x:c r="O299" s="24" t="str">
        <x:f>IF(A299="","",IF(NOT(ISNUMBER(K299)),"待定预算",IF(NOT(ISNUMBER(M299)),"暂无有效流水",K299-M299)))</x:f>
      </x:c>
      <x:c r="P299" s="24" t="str">
        <x:f>IF(A299="","",IF(NOT(ISNUMBER(L299)),"待定预算",IF(NOT(ISNUMBER(N299)),"暂无有效流水",L299-N299)))</x:f>
      </x:c>
      <x:c r="Q299" s="19" t="str">
        <x:f>IF(A299="","",IF(D299="已结案","已结案",IF(NOT(ISNUMBER(I299)),"待定复盘日",IF(NOT(ISNUMBER($B$3)),"待定评估日",IF(I299&lt;=$B$3,"应复盘","未到期")))))</x:f>
      </x:c>
      <x:c r="R299" s="19" t="str">
        <x:f>IF(A299="","",IF(COUNTIFS($A$7:$A$306,A299)&lt;&gt;1,"问题编号重复",IF(OR(B299="",C299="",D299="",G299="",S299=""),"待补基础信息",IF(AND(F299&lt;&gt;"",COUNTIFS('方案版本'!$A$7:$A$306,F299,'方案版本'!$B$7:$B$306,A299,'方案版本'!$L$7:$L$306,"已冻结")&lt;&gt;1),"当前方案引用无效",IF(AND(D299="执行中",F299=""),"执行缺方案",IF(AND(D299="已结案",OR(T299="",COUNTIFS('复盘记录'!$B$7:$B$306,A299)=0,COUNTIFS('更新日志'!$B$7:$B$306,A299)=0)),"结案资料待补","基础记录齐备"))))))</x:f>
      </x:c>
      <x:c r="S299" s="3"/>
      <x:c r="T299" s="3"/>
    </x:row>
    <x:row r="300" ht="25" customHeight="1">
      <x:c r="A300" s="3"/>
      <x:c r="B300" s="3"/>
      <x:c r="C300" s="3"/>
      <x:c r="D300" s="3"/>
      <x:c r="E300" s="3"/>
      <x:c r="F300" s="3"/>
      <x:c r="G300" s="3"/>
      <x:c r="H300" s="3"/>
      <x:c r="I300" s="20"/>
      <x:c r="J300" s="3"/>
      <x:c r="K300" s="22"/>
      <x:c r="L300" s="22"/>
      <x:c r="M300" s="24" t="str">
        <x:f>IF(A300="","",IF(COUNTIFS('执行日志'!$B$7:$B$306,A300)=0,"",IF(COUNTIFS('执行日志'!$B$7:$B$306,A300,'执行日志'!$L$7:$L$306,"有效",'执行日志'!$P$7:$P$306,"&lt;&gt;有效输入")&gt;0,"待核对",IF(COUNTIFS('执行日志'!$B$7:$B$306,A300,'执行日志'!$P$7:$P$306,"有效输入")=0,"",SUMIFS('执行日志'!$H$7:$H$306,'执行日志'!$B$7:$B$306,A300,'执行日志'!$P$7:$P$306,"有效输入")))))</x:f>
      </x:c>
      <x:c r="N300" s="24" t="str">
        <x:f>IF(A300="","",IF(COUNTIFS('执行日志'!$B$7:$B$306,A300)=0,"",IF(COUNTIFS('执行日志'!$B$7:$B$306,A300,'执行日志'!$L$7:$L$306,"有效",'执行日志'!$P$7:$P$306,"&lt;&gt;有效输入")&gt;0,"待核对",IF(COUNTIFS('执行日志'!$B$7:$B$306,A300,'执行日志'!$P$7:$P$306,"有效输入")=0,"",SUMIFS('执行日志'!$J$7:$J$306,'执行日志'!$B$7:$B$306,A300,'执行日志'!$P$7:$P$306,"有效输入")))))</x:f>
      </x:c>
      <x:c r="O300" s="24" t="str">
        <x:f>IF(A300="","",IF(NOT(ISNUMBER(K300)),"待定预算",IF(NOT(ISNUMBER(M300)),"暂无有效流水",K300-M300)))</x:f>
      </x:c>
      <x:c r="P300" s="24" t="str">
        <x:f>IF(A300="","",IF(NOT(ISNUMBER(L300)),"待定预算",IF(NOT(ISNUMBER(N300)),"暂无有效流水",L300-N300)))</x:f>
      </x:c>
      <x:c r="Q300" s="19" t="str">
        <x:f>IF(A300="","",IF(D300="已结案","已结案",IF(NOT(ISNUMBER(I300)),"待定复盘日",IF(NOT(ISNUMBER($B$3)),"待定评估日",IF(I300&lt;=$B$3,"应复盘","未到期")))))</x:f>
      </x:c>
      <x:c r="R300" s="19" t="str">
        <x:f>IF(A300="","",IF(COUNTIFS($A$7:$A$306,A300)&lt;&gt;1,"问题编号重复",IF(OR(B300="",C300="",D300="",G300="",S300=""),"待补基础信息",IF(AND(F300&lt;&gt;"",COUNTIFS('方案版本'!$A$7:$A$306,F300,'方案版本'!$B$7:$B$306,A300,'方案版本'!$L$7:$L$306,"已冻结")&lt;&gt;1),"当前方案引用无效",IF(AND(D300="执行中",F300=""),"执行缺方案",IF(AND(D300="已结案",OR(T300="",COUNTIFS('复盘记录'!$B$7:$B$306,A300)=0,COUNTIFS('更新日志'!$B$7:$B$306,A300)=0)),"结案资料待补","基础记录齐备"))))))</x:f>
      </x:c>
      <x:c r="S300" s="3"/>
      <x:c r="T300" s="3"/>
    </x:row>
    <x:row r="301" ht="25" customHeight="1">
      <x:c r="A301" s="3"/>
      <x:c r="B301" s="3"/>
      <x:c r="C301" s="3"/>
      <x:c r="D301" s="3"/>
      <x:c r="E301" s="3"/>
      <x:c r="F301" s="3"/>
      <x:c r="G301" s="3"/>
      <x:c r="H301" s="3"/>
      <x:c r="I301" s="20"/>
      <x:c r="J301" s="3"/>
      <x:c r="K301" s="22"/>
      <x:c r="L301" s="22"/>
      <x:c r="M301" s="24" t="str">
        <x:f>IF(A301="","",IF(COUNTIFS('执行日志'!$B$7:$B$306,A301)=0,"",IF(COUNTIFS('执行日志'!$B$7:$B$306,A301,'执行日志'!$L$7:$L$306,"有效",'执行日志'!$P$7:$P$306,"&lt;&gt;有效输入")&gt;0,"待核对",IF(COUNTIFS('执行日志'!$B$7:$B$306,A301,'执行日志'!$P$7:$P$306,"有效输入")=0,"",SUMIFS('执行日志'!$H$7:$H$306,'执行日志'!$B$7:$B$306,A301,'执行日志'!$P$7:$P$306,"有效输入")))))</x:f>
      </x:c>
      <x:c r="N301" s="24" t="str">
        <x:f>IF(A301="","",IF(COUNTIFS('执行日志'!$B$7:$B$306,A301)=0,"",IF(COUNTIFS('执行日志'!$B$7:$B$306,A301,'执行日志'!$L$7:$L$306,"有效",'执行日志'!$P$7:$P$306,"&lt;&gt;有效输入")&gt;0,"待核对",IF(COUNTIFS('执行日志'!$B$7:$B$306,A301,'执行日志'!$P$7:$P$306,"有效输入")=0,"",SUMIFS('执行日志'!$J$7:$J$306,'执行日志'!$B$7:$B$306,A301,'执行日志'!$P$7:$P$306,"有效输入")))))</x:f>
      </x:c>
      <x:c r="O301" s="24" t="str">
        <x:f>IF(A301="","",IF(NOT(ISNUMBER(K301)),"待定预算",IF(NOT(ISNUMBER(M301)),"暂无有效流水",K301-M301)))</x:f>
      </x:c>
      <x:c r="P301" s="24" t="str">
        <x:f>IF(A301="","",IF(NOT(ISNUMBER(L301)),"待定预算",IF(NOT(ISNUMBER(N301)),"暂无有效流水",L301-N301)))</x:f>
      </x:c>
      <x:c r="Q301" s="19" t="str">
        <x:f>IF(A301="","",IF(D301="已结案","已结案",IF(NOT(ISNUMBER(I301)),"待定复盘日",IF(NOT(ISNUMBER($B$3)),"待定评估日",IF(I301&lt;=$B$3,"应复盘","未到期")))))</x:f>
      </x:c>
      <x:c r="R301" s="19" t="str">
        <x:f>IF(A301="","",IF(COUNTIFS($A$7:$A$306,A301)&lt;&gt;1,"问题编号重复",IF(OR(B301="",C301="",D301="",G301="",S301=""),"待补基础信息",IF(AND(F301&lt;&gt;"",COUNTIFS('方案版本'!$A$7:$A$306,F301,'方案版本'!$B$7:$B$306,A301,'方案版本'!$L$7:$L$306,"已冻结")&lt;&gt;1),"当前方案引用无效",IF(AND(D301="执行中",F301=""),"执行缺方案",IF(AND(D301="已结案",OR(T301="",COUNTIFS('复盘记录'!$B$7:$B$306,A301)=0,COUNTIFS('更新日志'!$B$7:$B$306,A301)=0)),"结案资料待补","基础记录齐备"))))))</x:f>
      </x:c>
      <x:c r="S301" s="3"/>
      <x:c r="T301" s="3"/>
    </x:row>
    <x:row r="302" ht="25" customHeight="1">
      <x:c r="A302" s="3"/>
      <x:c r="B302" s="3"/>
      <x:c r="C302" s="3"/>
      <x:c r="D302" s="3"/>
      <x:c r="E302" s="3"/>
      <x:c r="F302" s="3"/>
      <x:c r="G302" s="3"/>
      <x:c r="H302" s="3"/>
      <x:c r="I302" s="20"/>
      <x:c r="J302" s="3"/>
      <x:c r="K302" s="22"/>
      <x:c r="L302" s="22"/>
      <x:c r="M302" s="24" t="str">
        <x:f>IF(A302="","",IF(COUNTIFS('执行日志'!$B$7:$B$306,A302)=0,"",IF(COUNTIFS('执行日志'!$B$7:$B$306,A302,'执行日志'!$L$7:$L$306,"有效",'执行日志'!$P$7:$P$306,"&lt;&gt;有效输入")&gt;0,"待核对",IF(COUNTIFS('执行日志'!$B$7:$B$306,A302,'执行日志'!$P$7:$P$306,"有效输入")=0,"",SUMIFS('执行日志'!$H$7:$H$306,'执行日志'!$B$7:$B$306,A302,'执行日志'!$P$7:$P$306,"有效输入")))))</x:f>
      </x:c>
      <x:c r="N302" s="24" t="str">
        <x:f>IF(A302="","",IF(COUNTIFS('执行日志'!$B$7:$B$306,A302)=0,"",IF(COUNTIFS('执行日志'!$B$7:$B$306,A302,'执行日志'!$L$7:$L$306,"有效",'执行日志'!$P$7:$P$306,"&lt;&gt;有效输入")&gt;0,"待核对",IF(COUNTIFS('执行日志'!$B$7:$B$306,A302,'执行日志'!$P$7:$P$306,"有效输入")=0,"",SUMIFS('执行日志'!$J$7:$J$306,'执行日志'!$B$7:$B$306,A302,'执行日志'!$P$7:$P$306,"有效输入")))))</x:f>
      </x:c>
      <x:c r="O302" s="24" t="str">
        <x:f>IF(A302="","",IF(NOT(ISNUMBER(K302)),"待定预算",IF(NOT(ISNUMBER(M302)),"暂无有效流水",K302-M302)))</x:f>
      </x:c>
      <x:c r="P302" s="24" t="str">
        <x:f>IF(A302="","",IF(NOT(ISNUMBER(L302)),"待定预算",IF(NOT(ISNUMBER(N302)),"暂无有效流水",L302-N302)))</x:f>
      </x:c>
      <x:c r="Q302" s="19" t="str">
        <x:f>IF(A302="","",IF(D302="已结案","已结案",IF(NOT(ISNUMBER(I302)),"待定复盘日",IF(NOT(ISNUMBER($B$3)),"待定评估日",IF(I302&lt;=$B$3,"应复盘","未到期")))))</x:f>
      </x:c>
      <x:c r="R302" s="19" t="str">
        <x:f>IF(A302="","",IF(COUNTIFS($A$7:$A$306,A302)&lt;&gt;1,"问题编号重复",IF(OR(B302="",C302="",D302="",G302="",S302=""),"待补基础信息",IF(AND(F302&lt;&gt;"",COUNTIFS('方案版本'!$A$7:$A$306,F302,'方案版本'!$B$7:$B$306,A302,'方案版本'!$L$7:$L$306,"已冻结")&lt;&gt;1),"当前方案引用无效",IF(AND(D302="执行中",F302=""),"执行缺方案",IF(AND(D302="已结案",OR(T302="",COUNTIFS('复盘记录'!$B$7:$B$306,A302)=0,COUNTIFS('更新日志'!$B$7:$B$306,A302)=0)),"结案资料待补","基础记录齐备"))))))</x:f>
      </x:c>
      <x:c r="S302" s="3"/>
      <x:c r="T302" s="3"/>
    </x:row>
    <x:row r="303" ht="25" customHeight="1">
      <x:c r="A303" s="3"/>
      <x:c r="B303" s="3"/>
      <x:c r="C303" s="3"/>
      <x:c r="D303" s="3"/>
      <x:c r="E303" s="3"/>
      <x:c r="F303" s="3"/>
      <x:c r="G303" s="3"/>
      <x:c r="H303" s="3"/>
      <x:c r="I303" s="20"/>
      <x:c r="J303" s="3"/>
      <x:c r="K303" s="22"/>
      <x:c r="L303" s="22"/>
      <x:c r="M303" s="24" t="str">
        <x:f>IF(A303="","",IF(COUNTIFS('执行日志'!$B$7:$B$306,A303)=0,"",IF(COUNTIFS('执行日志'!$B$7:$B$306,A303,'执行日志'!$L$7:$L$306,"有效",'执行日志'!$P$7:$P$306,"&lt;&gt;有效输入")&gt;0,"待核对",IF(COUNTIFS('执行日志'!$B$7:$B$306,A303,'执行日志'!$P$7:$P$306,"有效输入")=0,"",SUMIFS('执行日志'!$H$7:$H$306,'执行日志'!$B$7:$B$306,A303,'执行日志'!$P$7:$P$306,"有效输入")))))</x:f>
      </x:c>
      <x:c r="N303" s="24" t="str">
        <x:f>IF(A303="","",IF(COUNTIFS('执行日志'!$B$7:$B$306,A303)=0,"",IF(COUNTIFS('执行日志'!$B$7:$B$306,A303,'执行日志'!$L$7:$L$306,"有效",'执行日志'!$P$7:$P$306,"&lt;&gt;有效输入")&gt;0,"待核对",IF(COUNTIFS('执行日志'!$B$7:$B$306,A303,'执行日志'!$P$7:$P$306,"有效输入")=0,"",SUMIFS('执行日志'!$J$7:$J$306,'执行日志'!$B$7:$B$306,A303,'执行日志'!$P$7:$P$306,"有效输入")))))</x:f>
      </x:c>
      <x:c r="O303" s="24" t="str">
        <x:f>IF(A303="","",IF(NOT(ISNUMBER(K303)),"待定预算",IF(NOT(ISNUMBER(M303)),"暂无有效流水",K303-M303)))</x:f>
      </x:c>
      <x:c r="P303" s="24" t="str">
        <x:f>IF(A303="","",IF(NOT(ISNUMBER(L303)),"待定预算",IF(NOT(ISNUMBER(N303)),"暂无有效流水",L303-N303)))</x:f>
      </x:c>
      <x:c r="Q303" s="19" t="str">
        <x:f>IF(A303="","",IF(D303="已结案","已结案",IF(NOT(ISNUMBER(I303)),"待定复盘日",IF(NOT(ISNUMBER($B$3)),"待定评估日",IF(I303&lt;=$B$3,"应复盘","未到期")))))</x:f>
      </x:c>
      <x:c r="R303" s="19" t="str">
        <x:f>IF(A303="","",IF(COUNTIFS($A$7:$A$306,A303)&lt;&gt;1,"问题编号重复",IF(OR(B303="",C303="",D303="",G303="",S303=""),"待补基础信息",IF(AND(F303&lt;&gt;"",COUNTIFS('方案版本'!$A$7:$A$306,F303,'方案版本'!$B$7:$B$306,A303,'方案版本'!$L$7:$L$306,"已冻结")&lt;&gt;1),"当前方案引用无效",IF(AND(D303="执行中",F303=""),"执行缺方案",IF(AND(D303="已结案",OR(T303="",COUNTIFS('复盘记录'!$B$7:$B$306,A303)=0,COUNTIFS('更新日志'!$B$7:$B$306,A303)=0)),"结案资料待补","基础记录齐备"))))))</x:f>
      </x:c>
      <x:c r="S303" s="3"/>
      <x:c r="T303" s="3"/>
    </x:row>
    <x:row r="304" ht="25" customHeight="1">
      <x:c r="A304" s="3"/>
      <x:c r="B304" s="3"/>
      <x:c r="C304" s="3"/>
      <x:c r="D304" s="3"/>
      <x:c r="E304" s="3"/>
      <x:c r="F304" s="3"/>
      <x:c r="G304" s="3"/>
      <x:c r="H304" s="3"/>
      <x:c r="I304" s="20"/>
      <x:c r="J304" s="3"/>
      <x:c r="K304" s="22"/>
      <x:c r="L304" s="22"/>
      <x:c r="M304" s="24" t="str">
        <x:f>IF(A304="","",IF(COUNTIFS('执行日志'!$B$7:$B$306,A304)=0,"",IF(COUNTIFS('执行日志'!$B$7:$B$306,A304,'执行日志'!$L$7:$L$306,"有效",'执行日志'!$P$7:$P$306,"&lt;&gt;有效输入")&gt;0,"待核对",IF(COUNTIFS('执行日志'!$B$7:$B$306,A304,'执行日志'!$P$7:$P$306,"有效输入")=0,"",SUMIFS('执行日志'!$H$7:$H$306,'执行日志'!$B$7:$B$306,A304,'执行日志'!$P$7:$P$306,"有效输入")))))</x:f>
      </x:c>
      <x:c r="N304" s="24" t="str">
        <x:f>IF(A304="","",IF(COUNTIFS('执行日志'!$B$7:$B$306,A304)=0,"",IF(COUNTIFS('执行日志'!$B$7:$B$306,A304,'执行日志'!$L$7:$L$306,"有效",'执行日志'!$P$7:$P$306,"&lt;&gt;有效输入")&gt;0,"待核对",IF(COUNTIFS('执行日志'!$B$7:$B$306,A304,'执行日志'!$P$7:$P$306,"有效输入")=0,"",SUMIFS('执行日志'!$J$7:$J$306,'执行日志'!$B$7:$B$306,A304,'执行日志'!$P$7:$P$306,"有效输入")))))</x:f>
      </x:c>
      <x:c r="O304" s="24" t="str">
        <x:f>IF(A304="","",IF(NOT(ISNUMBER(K304)),"待定预算",IF(NOT(ISNUMBER(M304)),"暂无有效流水",K304-M304)))</x:f>
      </x:c>
      <x:c r="P304" s="24" t="str">
        <x:f>IF(A304="","",IF(NOT(ISNUMBER(L304)),"待定预算",IF(NOT(ISNUMBER(N304)),"暂无有效流水",L304-N304)))</x:f>
      </x:c>
      <x:c r="Q304" s="19" t="str">
        <x:f>IF(A304="","",IF(D304="已结案","已结案",IF(NOT(ISNUMBER(I304)),"待定复盘日",IF(NOT(ISNUMBER($B$3)),"待定评估日",IF(I304&lt;=$B$3,"应复盘","未到期")))))</x:f>
      </x:c>
      <x:c r="R304" s="19" t="str">
        <x:f>IF(A304="","",IF(COUNTIFS($A$7:$A$306,A304)&lt;&gt;1,"问题编号重复",IF(OR(B304="",C304="",D304="",G304="",S304=""),"待补基础信息",IF(AND(F304&lt;&gt;"",COUNTIFS('方案版本'!$A$7:$A$306,F304,'方案版本'!$B$7:$B$306,A304,'方案版本'!$L$7:$L$306,"已冻结")&lt;&gt;1),"当前方案引用无效",IF(AND(D304="执行中",F304=""),"执行缺方案",IF(AND(D304="已结案",OR(T304="",COUNTIFS('复盘记录'!$B$7:$B$306,A304)=0,COUNTIFS('更新日志'!$B$7:$B$306,A304)=0)),"结案资料待补","基础记录齐备"))))))</x:f>
      </x:c>
      <x:c r="S304" s="3"/>
      <x:c r="T304" s="3"/>
    </x:row>
    <x:row r="305" ht="25" customHeight="1">
      <x:c r="A305" s="3"/>
      <x:c r="B305" s="3"/>
      <x:c r="C305" s="3"/>
      <x:c r="D305" s="3"/>
      <x:c r="E305" s="3"/>
      <x:c r="F305" s="3"/>
      <x:c r="G305" s="3"/>
      <x:c r="H305" s="3"/>
      <x:c r="I305" s="20"/>
      <x:c r="J305" s="3"/>
      <x:c r="K305" s="22"/>
      <x:c r="L305" s="22"/>
      <x:c r="M305" s="24" t="str">
        <x:f>IF(A305="","",IF(COUNTIFS('执行日志'!$B$7:$B$306,A305)=0,"",IF(COUNTIFS('执行日志'!$B$7:$B$306,A305,'执行日志'!$L$7:$L$306,"有效",'执行日志'!$P$7:$P$306,"&lt;&gt;有效输入")&gt;0,"待核对",IF(COUNTIFS('执行日志'!$B$7:$B$306,A305,'执行日志'!$P$7:$P$306,"有效输入")=0,"",SUMIFS('执行日志'!$H$7:$H$306,'执行日志'!$B$7:$B$306,A305,'执行日志'!$P$7:$P$306,"有效输入")))))</x:f>
      </x:c>
      <x:c r="N305" s="24" t="str">
        <x:f>IF(A305="","",IF(COUNTIFS('执行日志'!$B$7:$B$306,A305)=0,"",IF(COUNTIFS('执行日志'!$B$7:$B$306,A305,'执行日志'!$L$7:$L$306,"有效",'执行日志'!$P$7:$P$306,"&lt;&gt;有效输入")&gt;0,"待核对",IF(COUNTIFS('执行日志'!$B$7:$B$306,A305,'执行日志'!$P$7:$P$306,"有效输入")=0,"",SUMIFS('执行日志'!$J$7:$J$306,'执行日志'!$B$7:$B$306,A305,'执行日志'!$P$7:$P$306,"有效输入")))))</x:f>
      </x:c>
      <x:c r="O305" s="24" t="str">
        <x:f>IF(A305="","",IF(NOT(ISNUMBER(K305)),"待定预算",IF(NOT(ISNUMBER(M305)),"暂无有效流水",K305-M305)))</x:f>
      </x:c>
      <x:c r="P305" s="24" t="str">
        <x:f>IF(A305="","",IF(NOT(ISNUMBER(L305)),"待定预算",IF(NOT(ISNUMBER(N305)),"暂无有效流水",L305-N305)))</x:f>
      </x:c>
      <x:c r="Q305" s="19" t="str">
        <x:f>IF(A305="","",IF(D305="已结案","已结案",IF(NOT(ISNUMBER(I305)),"待定复盘日",IF(NOT(ISNUMBER($B$3)),"待定评估日",IF(I305&lt;=$B$3,"应复盘","未到期")))))</x:f>
      </x:c>
      <x:c r="R305" s="19" t="str">
        <x:f>IF(A305="","",IF(COUNTIFS($A$7:$A$306,A305)&lt;&gt;1,"问题编号重复",IF(OR(B305="",C305="",D305="",G305="",S305=""),"待补基础信息",IF(AND(F305&lt;&gt;"",COUNTIFS('方案版本'!$A$7:$A$306,F305,'方案版本'!$B$7:$B$306,A305,'方案版本'!$L$7:$L$306,"已冻结")&lt;&gt;1),"当前方案引用无效",IF(AND(D305="执行中",F305=""),"执行缺方案",IF(AND(D305="已结案",OR(T305="",COUNTIFS('复盘记录'!$B$7:$B$306,A305)=0,COUNTIFS('更新日志'!$B$7:$B$306,A305)=0)),"结案资料待补","基础记录齐备"))))))</x:f>
      </x:c>
      <x:c r="S305" s="3"/>
      <x:c r="T305" s="3"/>
    </x:row>
    <x:row r="306" ht="25" customHeight="1">
      <x:c r="A306" s="3"/>
      <x:c r="B306" s="3"/>
      <x:c r="C306" s="3"/>
      <x:c r="D306" s="3"/>
      <x:c r="E306" s="3"/>
      <x:c r="F306" s="3"/>
      <x:c r="G306" s="3"/>
      <x:c r="H306" s="3"/>
      <x:c r="I306" s="20"/>
      <x:c r="J306" s="3"/>
      <x:c r="K306" s="22"/>
      <x:c r="L306" s="22"/>
      <x:c r="M306" s="24" t="str">
        <x:f>IF(A306="","",IF(COUNTIFS('执行日志'!$B$7:$B$306,A306)=0,"",IF(COUNTIFS('执行日志'!$B$7:$B$306,A306,'执行日志'!$L$7:$L$306,"有效",'执行日志'!$P$7:$P$306,"&lt;&gt;有效输入")&gt;0,"待核对",IF(COUNTIFS('执行日志'!$B$7:$B$306,A306,'执行日志'!$P$7:$P$306,"有效输入")=0,"",SUMIFS('执行日志'!$H$7:$H$306,'执行日志'!$B$7:$B$306,A306,'执行日志'!$P$7:$P$306,"有效输入")))))</x:f>
      </x:c>
      <x:c r="N306" s="24" t="str">
        <x:f>IF(A306="","",IF(COUNTIFS('执行日志'!$B$7:$B$306,A306)=0,"",IF(COUNTIFS('执行日志'!$B$7:$B$306,A306,'执行日志'!$L$7:$L$306,"有效",'执行日志'!$P$7:$P$306,"&lt;&gt;有效输入")&gt;0,"待核对",IF(COUNTIFS('执行日志'!$B$7:$B$306,A306,'执行日志'!$P$7:$P$306,"有效输入")=0,"",SUMIFS('执行日志'!$J$7:$J$306,'执行日志'!$B$7:$B$306,A306,'执行日志'!$P$7:$P$306,"有效输入")))))</x:f>
      </x:c>
      <x:c r="O306" s="24" t="str">
        <x:f>IF(A306="","",IF(NOT(ISNUMBER(K306)),"待定预算",IF(NOT(ISNUMBER(M306)),"暂无有效流水",K306-M306)))</x:f>
      </x:c>
      <x:c r="P306" s="24" t="str">
        <x:f>IF(A306="","",IF(NOT(ISNUMBER(L306)),"待定预算",IF(NOT(ISNUMBER(N306)),"暂无有效流水",L306-N306)))</x:f>
      </x:c>
      <x:c r="Q306" s="19" t="str">
        <x:f>IF(A306="","",IF(D306="已结案","已结案",IF(NOT(ISNUMBER(I306)),"待定复盘日",IF(NOT(ISNUMBER($B$3)),"待定评估日",IF(I306&lt;=$B$3,"应复盘","未到期")))))</x:f>
      </x:c>
      <x:c r="R306" s="19" t="str">
        <x:f>IF(A306="","",IF(COUNTIFS($A$7:$A$306,A306)&lt;&gt;1,"问题编号重复",IF(OR(B306="",C306="",D306="",G306="",S306=""),"待补基础信息",IF(AND(F306&lt;&gt;"",COUNTIFS('方案版本'!$A$7:$A$306,F306,'方案版本'!$B$7:$B$306,A306,'方案版本'!$L$7:$L$306,"已冻结")&lt;&gt;1),"当前方案引用无效",IF(AND(D306="执行中",F306=""),"执行缺方案",IF(AND(D306="已结案",OR(T306="",COUNTIFS('复盘记录'!$B$7:$B$306,A306)=0,COUNTIFS('更新日志'!$B$7:$B$306,A306)=0)),"结案资料待补","基础记录齐备"))))))</x:f>
      </x:c>
      <x:c r="S306" s="3"/>
      <x:c r="T306" s="3"/>
    </x:row>
  </x:sheetData>
  <x:conditionalFormatting sqref="R7:R306">
    <x:cfRule type="expression" dxfId="0" priority="1">
      <x:formula>AND($A7&lt;&gt;"",R7&lt;&gt;"基础记录齐备")</x:formula>
    </x:cfRule>
  </x:conditionalFormatting>
  <x:conditionalFormatting sqref="Q7:Q306">
    <x:cfRule type="cellIs" dxfId="8" priority="2" operator="equal">
      <x:formula>"应复盘"</x:formula>
    </x:cfRule>
  </x:conditionalFormatting>
  <x:dataValidations count="2">
    <x:dataValidation type="list" sqref="D7:D306">
      <x:formula1>"待分析,分析中,待补资料,待定案,执行中,待观测,待复盘,待更新,暂停,已结案"</x:formula1>
    </x:dataValidation>
    <x:dataValidation type="list" sqref="E7:E306">
      <x:formula1>"观察,探针,蓄势,维持,加码,撤回"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7cdc2d4cd47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0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  <x:col min="10" max="10" width="20" hidden="0" customWidth="1"/>
    <x:col min="11" max="11" width="20" hidden="0" customWidth="1"/>
    <x:col min="12" max="12" width="20" hidden="0" customWidth="1"/>
    <x:col min="13" max="13" width="29" hidden="0" customWidth="1"/>
    <x:col min="14" max="14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6" t="str">
        <x:v>方案版本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5" customHeight="1">
      <x:c r="A3" s="18" t="str">
        <x:v>每行一个方案版本。冻结后新增版本；当前有效方案由问题总览指向。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方案ID</x:v>
      </x:c>
      <x:c r="B6" s="13" t="str">
        <x:v>问题ID</x:v>
      </x:c>
      <x:c r="C6" s="13" t="str">
        <x:v>父方案ID</x:v>
      </x:c>
      <x:c r="D6" s="13" t="str">
        <x:v>分析ID</x:v>
      </x:c>
      <x:c r="E6" s="13" t="str">
        <x:v>理论版本</x:v>
      </x:c>
      <x:c r="F6" s="13" t="str">
        <x:v>协议版本</x:v>
      </x:c>
      <x:c r="G6" s="13" t="str">
        <x:v>价值与目标版本</x:v>
      </x:c>
      <x:c r="H6" s="13" t="str">
        <x:v>冻结时间</x:v>
      </x:c>
      <x:c r="I6" s="13" t="str">
        <x:v>生效时间</x:v>
      </x:c>
      <x:c r="J6" s="13" t="str">
        <x:v>决定人</x:v>
      </x:c>
      <x:c r="K6" s="13" t="str">
        <x:v>行动相位</x:v>
      </x:c>
      <x:c r="L6" s="13" t="str">
        <x:v>版本状态</x:v>
      </x:c>
      <x:c r="M6" s="13" t="str">
        <x:v>方案文件</x:v>
      </x:c>
      <x:c r="N6" s="14" t="str">
        <x:v>输入检查</x:v>
      </x:c>
    </x:row>
    <x:row r="7" ht="25" customHeight="1">
      <x:c r="A7" s="3"/>
      <x:c r="B7" s="3"/>
      <x:c r="C7" s="3"/>
      <x:c r="D7" s="3"/>
      <x:c r="E7" s="3"/>
      <x:c r="F7" s="3"/>
      <x:c r="G7" s="3"/>
      <x:c r="H7" s="25"/>
      <x:c r="I7" s="25"/>
      <x:c r="J7" s="3"/>
      <x:c r="K7" s="3"/>
      <x:c r="L7" s="3"/>
      <x:c r="M7" s="3"/>
      <x:c r="N7" s="19" t="str">
        <x:f>IF(A7="","",IF(COUNTIFS('方案版本'!$A$7:$A$306,A7)&lt;&gt;1,"编号重复",IF(COUNTIFS('问题总览'!$A$7:$A$306,B7)&lt;&gt;1,"问题引用无效",IF(OR(D7="",E7="",F7="",G7="",L7=""),"待补版本信息",IF(AND(C7&lt;&gt;"",OR(C7=A7,COUNTIFS('方案版本'!$A$7:$A$306,C7,'方案版本'!$B$7:$B$306,B7)&lt;&gt;1)),"父方案引用无效",IF(L7="草稿","草稿未冻结",IF(OR(NOT(ISNUMBER(H7)),NOT(ISNUMBER(I7)),J7="",K7="",M7=""),"待补冻结信息",IF(I7&lt;H7,"请核实事后补录","有效输入"))))))))</x:f>
      </x:c>
    </x:row>
    <x:row r="8" ht="25" customHeight="1">
      <x:c r="A8" s="3"/>
      <x:c r="B8" s="3"/>
      <x:c r="C8" s="3"/>
      <x:c r="D8" s="3"/>
      <x:c r="E8" s="3"/>
      <x:c r="F8" s="3"/>
      <x:c r="G8" s="3"/>
      <x:c r="H8" s="25"/>
      <x:c r="I8" s="25"/>
      <x:c r="J8" s="3"/>
      <x:c r="K8" s="3"/>
      <x:c r="L8" s="3"/>
      <x:c r="M8" s="3"/>
      <x:c r="N8" s="19" t="str">
        <x:f>IF(A8="","",IF(COUNTIFS('方案版本'!$A$7:$A$306,A8)&lt;&gt;1,"编号重复",IF(COUNTIFS('问题总览'!$A$7:$A$306,B8)&lt;&gt;1,"问题引用无效",IF(OR(D8="",E8="",F8="",G8="",L8=""),"待补版本信息",IF(AND(C8&lt;&gt;"",OR(C8=A8,COUNTIFS('方案版本'!$A$7:$A$306,C8,'方案版本'!$B$7:$B$306,B8)&lt;&gt;1)),"父方案引用无效",IF(L8="草稿","草稿未冻结",IF(OR(NOT(ISNUMBER(H8)),NOT(ISNUMBER(I8)),J8="",K8="",M8=""),"待补冻结信息",IF(I8&lt;H8,"请核实事后补录","有效输入"))))))))</x:f>
      </x:c>
    </x:row>
    <x:row r="9" ht="25" customHeight="1">
      <x:c r="A9" s="3"/>
      <x:c r="B9" s="3"/>
      <x:c r="C9" s="3"/>
      <x:c r="D9" s="3"/>
      <x:c r="E9" s="3"/>
      <x:c r="F9" s="3"/>
      <x:c r="G9" s="3"/>
      <x:c r="H9" s="25"/>
      <x:c r="I9" s="25"/>
      <x:c r="J9" s="3"/>
      <x:c r="K9" s="3"/>
      <x:c r="L9" s="3"/>
      <x:c r="M9" s="3"/>
      <x:c r="N9" s="19" t="str">
        <x:f>IF(A9="","",IF(COUNTIFS('方案版本'!$A$7:$A$306,A9)&lt;&gt;1,"编号重复",IF(COUNTIFS('问题总览'!$A$7:$A$306,B9)&lt;&gt;1,"问题引用无效",IF(OR(D9="",E9="",F9="",G9="",L9=""),"待补版本信息",IF(AND(C9&lt;&gt;"",OR(C9=A9,COUNTIFS('方案版本'!$A$7:$A$306,C9,'方案版本'!$B$7:$B$306,B9)&lt;&gt;1)),"父方案引用无效",IF(L9="草稿","草稿未冻结",IF(OR(NOT(ISNUMBER(H9)),NOT(ISNUMBER(I9)),J9="",K9="",M9=""),"待补冻结信息",IF(I9&lt;H9,"请核实事后补录","有效输入"))))))))</x:f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25"/>
      <x:c r="I10" s="25"/>
      <x:c r="J10" s="3"/>
      <x:c r="K10" s="3"/>
      <x:c r="L10" s="3"/>
      <x:c r="M10" s="3"/>
      <x:c r="N10" s="19" t="str">
        <x:f>IF(A10="","",IF(COUNTIFS('方案版本'!$A$7:$A$306,A10)&lt;&gt;1,"编号重复",IF(COUNTIFS('问题总览'!$A$7:$A$306,B10)&lt;&gt;1,"问题引用无效",IF(OR(D10="",E10="",F10="",G10="",L10=""),"待补版本信息",IF(AND(C10&lt;&gt;"",OR(C10=A10,COUNTIFS('方案版本'!$A$7:$A$306,C10,'方案版本'!$B$7:$B$306,B10)&lt;&gt;1)),"父方案引用无效",IF(L10="草稿","草稿未冻结",IF(OR(NOT(ISNUMBER(H10)),NOT(ISNUMBER(I10)),J10="",K10="",M10=""),"待补冻结信息",IF(I10&lt;H10,"请核实事后补录","有效输入"))))))))</x:f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25"/>
      <x:c r="I11" s="25"/>
      <x:c r="J11" s="3"/>
      <x:c r="K11" s="3"/>
      <x:c r="L11" s="3"/>
      <x:c r="M11" s="3"/>
      <x:c r="N11" s="19" t="str">
        <x:f>IF(A11="","",IF(COUNTIFS('方案版本'!$A$7:$A$306,A11)&lt;&gt;1,"编号重复",IF(COUNTIFS('问题总览'!$A$7:$A$306,B11)&lt;&gt;1,"问题引用无效",IF(OR(D11="",E11="",F11="",G11="",L11=""),"待补版本信息",IF(AND(C11&lt;&gt;"",OR(C11=A11,COUNTIFS('方案版本'!$A$7:$A$306,C11,'方案版本'!$B$7:$B$306,B11)&lt;&gt;1)),"父方案引用无效",IF(L11="草稿","草稿未冻结",IF(OR(NOT(ISNUMBER(H11)),NOT(ISNUMBER(I11)),J11="",K11="",M11=""),"待补冻结信息",IF(I11&lt;H11,"请核实事后补录","有效输入"))))))))</x:f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25"/>
      <x:c r="I12" s="25"/>
      <x:c r="J12" s="3"/>
      <x:c r="K12" s="3"/>
      <x:c r="L12" s="3"/>
      <x:c r="M12" s="3"/>
      <x:c r="N12" s="19" t="str">
        <x:f>IF(A12="","",IF(COUNTIFS('方案版本'!$A$7:$A$306,A12)&lt;&gt;1,"编号重复",IF(COUNTIFS('问题总览'!$A$7:$A$306,B12)&lt;&gt;1,"问题引用无效",IF(OR(D12="",E12="",F12="",G12="",L12=""),"待补版本信息",IF(AND(C12&lt;&gt;"",OR(C12=A12,COUNTIFS('方案版本'!$A$7:$A$306,C12,'方案版本'!$B$7:$B$306,B12)&lt;&gt;1)),"父方案引用无效",IF(L12="草稿","草稿未冻结",IF(OR(NOT(ISNUMBER(H12)),NOT(ISNUMBER(I12)),J12="",K12="",M12=""),"待补冻结信息",IF(I12&lt;H12,"请核实事后补录","有效输入"))))))))</x:f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25"/>
      <x:c r="I13" s="25"/>
      <x:c r="J13" s="3"/>
      <x:c r="K13" s="3"/>
      <x:c r="L13" s="3"/>
      <x:c r="M13" s="3"/>
      <x:c r="N13" s="19" t="str">
        <x:f>IF(A13="","",IF(COUNTIFS('方案版本'!$A$7:$A$306,A13)&lt;&gt;1,"编号重复",IF(COUNTIFS('问题总览'!$A$7:$A$306,B13)&lt;&gt;1,"问题引用无效",IF(OR(D13="",E13="",F13="",G13="",L13=""),"待补版本信息",IF(AND(C13&lt;&gt;"",OR(C13=A13,COUNTIFS('方案版本'!$A$7:$A$306,C13,'方案版本'!$B$7:$B$306,B13)&lt;&gt;1)),"父方案引用无效",IF(L13="草稿","草稿未冻结",IF(OR(NOT(ISNUMBER(H13)),NOT(ISNUMBER(I13)),J13="",K13="",M13=""),"待补冻结信息",IF(I13&lt;H13,"请核实事后补录","有效输入"))))))))</x:f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25"/>
      <x:c r="I14" s="25"/>
      <x:c r="J14" s="3"/>
      <x:c r="K14" s="3"/>
      <x:c r="L14" s="3"/>
      <x:c r="M14" s="3"/>
      <x:c r="N14" s="19" t="str">
        <x:f>IF(A14="","",IF(COUNTIFS('方案版本'!$A$7:$A$306,A14)&lt;&gt;1,"编号重复",IF(COUNTIFS('问题总览'!$A$7:$A$306,B14)&lt;&gt;1,"问题引用无效",IF(OR(D14="",E14="",F14="",G14="",L14=""),"待补版本信息",IF(AND(C14&lt;&gt;"",OR(C14=A14,COUNTIFS('方案版本'!$A$7:$A$306,C14,'方案版本'!$B$7:$B$306,B14)&lt;&gt;1)),"父方案引用无效",IF(L14="草稿","草稿未冻结",IF(OR(NOT(ISNUMBER(H14)),NOT(ISNUMBER(I14)),J14="",K14="",M14=""),"待补冻结信息",IF(I14&lt;H14,"请核实事后补录","有效输入"))))))))</x:f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25"/>
      <x:c r="I15" s="25"/>
      <x:c r="J15" s="3"/>
      <x:c r="K15" s="3"/>
      <x:c r="L15" s="3"/>
      <x:c r="M15" s="3"/>
      <x:c r="N15" s="19" t="str">
        <x:f>IF(A15="","",IF(COUNTIFS('方案版本'!$A$7:$A$306,A15)&lt;&gt;1,"编号重复",IF(COUNTIFS('问题总览'!$A$7:$A$306,B15)&lt;&gt;1,"问题引用无效",IF(OR(D15="",E15="",F15="",G15="",L15=""),"待补版本信息",IF(AND(C15&lt;&gt;"",OR(C15=A15,COUNTIFS('方案版本'!$A$7:$A$306,C15,'方案版本'!$B$7:$B$306,B15)&lt;&gt;1)),"父方案引用无效",IF(L15="草稿","草稿未冻结",IF(OR(NOT(ISNUMBER(H15)),NOT(ISNUMBER(I15)),J15="",K15="",M15=""),"待补冻结信息",IF(I15&lt;H15,"请核实事后补录","有效输入"))))))))</x:f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25"/>
      <x:c r="I16" s="25"/>
      <x:c r="J16" s="3"/>
      <x:c r="K16" s="3"/>
      <x:c r="L16" s="3"/>
      <x:c r="M16" s="3"/>
      <x:c r="N16" s="19" t="str">
        <x:f>IF(A16="","",IF(COUNTIFS('方案版本'!$A$7:$A$306,A16)&lt;&gt;1,"编号重复",IF(COUNTIFS('问题总览'!$A$7:$A$306,B16)&lt;&gt;1,"问题引用无效",IF(OR(D16="",E16="",F16="",G16="",L16=""),"待补版本信息",IF(AND(C16&lt;&gt;"",OR(C16=A16,COUNTIFS('方案版本'!$A$7:$A$306,C16,'方案版本'!$B$7:$B$306,B16)&lt;&gt;1)),"父方案引用无效",IF(L16="草稿","草稿未冻结",IF(OR(NOT(ISNUMBER(H16)),NOT(ISNUMBER(I16)),J16="",K16="",M16=""),"待补冻结信息",IF(I16&lt;H16,"请核实事后补录","有效输入"))))))))</x:f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25"/>
      <x:c r="I17" s="25"/>
      <x:c r="J17" s="3"/>
      <x:c r="K17" s="3"/>
      <x:c r="L17" s="3"/>
      <x:c r="M17" s="3"/>
      <x:c r="N17" s="19" t="str">
        <x:f>IF(A17="","",IF(COUNTIFS('方案版本'!$A$7:$A$306,A17)&lt;&gt;1,"编号重复",IF(COUNTIFS('问题总览'!$A$7:$A$306,B17)&lt;&gt;1,"问题引用无效",IF(OR(D17="",E17="",F17="",G17="",L17=""),"待补版本信息",IF(AND(C17&lt;&gt;"",OR(C17=A17,COUNTIFS('方案版本'!$A$7:$A$306,C17,'方案版本'!$B$7:$B$306,B17)&lt;&gt;1)),"父方案引用无效",IF(L17="草稿","草稿未冻结",IF(OR(NOT(ISNUMBER(H17)),NOT(ISNUMBER(I17)),J17="",K17="",M17=""),"待补冻结信息",IF(I17&lt;H17,"请核实事后补录","有效输入"))))))))</x:f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25"/>
      <x:c r="I18" s="25"/>
      <x:c r="J18" s="3"/>
      <x:c r="K18" s="3"/>
      <x:c r="L18" s="3"/>
      <x:c r="M18" s="3"/>
      <x:c r="N18" s="19" t="str">
        <x:f>IF(A18="","",IF(COUNTIFS('方案版本'!$A$7:$A$306,A18)&lt;&gt;1,"编号重复",IF(COUNTIFS('问题总览'!$A$7:$A$306,B18)&lt;&gt;1,"问题引用无效",IF(OR(D18="",E18="",F18="",G18="",L18=""),"待补版本信息",IF(AND(C18&lt;&gt;"",OR(C18=A18,COUNTIFS('方案版本'!$A$7:$A$306,C18,'方案版本'!$B$7:$B$306,B18)&lt;&gt;1)),"父方案引用无效",IF(L18="草稿","草稿未冻结",IF(OR(NOT(ISNUMBER(H18)),NOT(ISNUMBER(I18)),J18="",K18="",M18=""),"待补冻结信息",IF(I18&lt;H18,"请核实事后补录","有效输入")))))))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25"/>
      <x:c r="I19" s="25"/>
      <x:c r="J19" s="3"/>
      <x:c r="K19" s="3"/>
      <x:c r="L19" s="3"/>
      <x:c r="M19" s="3"/>
      <x:c r="N19" s="19" t="str">
        <x:f>IF(A19="","",IF(COUNTIFS('方案版本'!$A$7:$A$306,A19)&lt;&gt;1,"编号重复",IF(COUNTIFS('问题总览'!$A$7:$A$306,B19)&lt;&gt;1,"问题引用无效",IF(OR(D19="",E19="",F19="",G19="",L19=""),"待补版本信息",IF(AND(C19&lt;&gt;"",OR(C19=A19,COUNTIFS('方案版本'!$A$7:$A$306,C19,'方案版本'!$B$7:$B$306,B19)&lt;&gt;1)),"父方案引用无效",IF(L19="草稿","草稿未冻结",IF(OR(NOT(ISNUMBER(H19)),NOT(ISNUMBER(I19)),J19="",K19="",M19=""),"待补冻结信息",IF(I19&lt;H19,"请核实事后补录","有效输入"))))))))</x:f>
      </x:c>
    </x:row>
    <x:row r="20" ht="25" customHeight="1">
      <x:c r="A20" s="3"/>
      <x:c r="B20" s="3"/>
      <x:c r="C20" s="3"/>
      <x:c r="D20" s="3"/>
      <x:c r="E20" s="3"/>
      <x:c r="F20" s="3"/>
      <x:c r="G20" s="3"/>
      <x:c r="H20" s="25"/>
      <x:c r="I20" s="25"/>
      <x:c r="J20" s="3"/>
      <x:c r="K20" s="3"/>
      <x:c r="L20" s="3"/>
      <x:c r="M20" s="3"/>
      <x:c r="N20" s="19" t="str">
        <x:f>IF(A20="","",IF(COUNTIFS('方案版本'!$A$7:$A$306,A20)&lt;&gt;1,"编号重复",IF(COUNTIFS('问题总览'!$A$7:$A$306,B20)&lt;&gt;1,"问题引用无效",IF(OR(D20="",E20="",F20="",G20="",L20=""),"待补版本信息",IF(AND(C20&lt;&gt;"",OR(C20=A20,COUNTIFS('方案版本'!$A$7:$A$306,C20,'方案版本'!$B$7:$B$306,B20)&lt;&gt;1)),"父方案引用无效",IF(L20="草稿","草稿未冻结",IF(OR(NOT(ISNUMBER(H20)),NOT(ISNUMBER(I20)),J20="",K20="",M20=""),"待补冻结信息",IF(I20&lt;H20,"请核实事后补录","有效输入"))))))))</x:f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25"/>
      <x:c r="I21" s="25"/>
      <x:c r="J21" s="3"/>
      <x:c r="K21" s="3"/>
      <x:c r="L21" s="3"/>
      <x:c r="M21" s="3"/>
      <x:c r="N21" s="19" t="str">
        <x:f>IF(A21="","",IF(COUNTIFS('方案版本'!$A$7:$A$306,A21)&lt;&gt;1,"编号重复",IF(COUNTIFS('问题总览'!$A$7:$A$306,B21)&lt;&gt;1,"问题引用无效",IF(OR(D21="",E21="",F21="",G21="",L21=""),"待补版本信息",IF(AND(C21&lt;&gt;"",OR(C21=A21,COUNTIFS('方案版本'!$A$7:$A$306,C21,'方案版本'!$B$7:$B$306,B21)&lt;&gt;1)),"父方案引用无效",IF(L21="草稿","草稿未冻结",IF(OR(NOT(ISNUMBER(H21)),NOT(ISNUMBER(I21)),J21="",K21="",M21=""),"待补冻结信息",IF(I21&lt;H21,"请核实事后补录","有效输入"))))))))</x:f>
      </x:c>
    </x:row>
    <x:row r="22" ht="25" customHeight="1">
      <x:c r="A22" s="3"/>
      <x:c r="B22" s="3"/>
      <x:c r="C22" s="3"/>
      <x:c r="D22" s="3"/>
      <x:c r="E22" s="3"/>
      <x:c r="F22" s="3"/>
      <x:c r="G22" s="3"/>
      <x:c r="H22" s="25"/>
      <x:c r="I22" s="25"/>
      <x:c r="J22" s="3"/>
      <x:c r="K22" s="3"/>
      <x:c r="L22" s="3"/>
      <x:c r="M22" s="3"/>
      <x:c r="N22" s="19" t="str">
        <x:f>IF(A22="","",IF(COUNTIFS('方案版本'!$A$7:$A$306,A22)&lt;&gt;1,"编号重复",IF(COUNTIFS('问题总览'!$A$7:$A$306,B22)&lt;&gt;1,"问题引用无效",IF(OR(D22="",E22="",F22="",G22="",L22=""),"待补版本信息",IF(AND(C22&lt;&gt;"",OR(C22=A22,COUNTIFS('方案版本'!$A$7:$A$306,C22,'方案版本'!$B$7:$B$306,B22)&lt;&gt;1)),"父方案引用无效",IF(L22="草稿","草稿未冻结",IF(OR(NOT(ISNUMBER(H22)),NOT(ISNUMBER(I22)),J22="",K22="",M22=""),"待补冻结信息",IF(I22&lt;H22,"请核实事后补录","有效输入"))))))))</x:f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25"/>
      <x:c r="I23" s="25"/>
      <x:c r="J23" s="3"/>
      <x:c r="K23" s="3"/>
      <x:c r="L23" s="3"/>
      <x:c r="M23" s="3"/>
      <x:c r="N23" s="19" t="str">
        <x:f>IF(A23="","",IF(COUNTIFS('方案版本'!$A$7:$A$306,A23)&lt;&gt;1,"编号重复",IF(COUNTIFS('问题总览'!$A$7:$A$306,B23)&lt;&gt;1,"问题引用无效",IF(OR(D23="",E23="",F23="",G23="",L23=""),"待补版本信息",IF(AND(C23&lt;&gt;"",OR(C23=A23,COUNTIFS('方案版本'!$A$7:$A$306,C23,'方案版本'!$B$7:$B$306,B23)&lt;&gt;1)),"父方案引用无效",IF(L23="草稿","草稿未冻结",IF(OR(NOT(ISNUMBER(H23)),NOT(ISNUMBER(I23)),J23="",K23="",M23=""),"待补冻结信息",IF(I23&lt;H23,"请核实事后补录","有效输入"))))))))</x:f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25"/>
      <x:c r="I24" s="25"/>
      <x:c r="J24" s="3"/>
      <x:c r="K24" s="3"/>
      <x:c r="L24" s="3"/>
      <x:c r="M24" s="3"/>
      <x:c r="N24" s="19" t="str">
        <x:f>IF(A24="","",IF(COUNTIFS('方案版本'!$A$7:$A$306,A24)&lt;&gt;1,"编号重复",IF(COUNTIFS('问题总览'!$A$7:$A$306,B24)&lt;&gt;1,"问题引用无效",IF(OR(D24="",E24="",F24="",G24="",L24=""),"待补版本信息",IF(AND(C24&lt;&gt;"",OR(C24=A24,COUNTIFS('方案版本'!$A$7:$A$306,C24,'方案版本'!$B$7:$B$306,B24)&lt;&gt;1)),"父方案引用无效",IF(L24="草稿","草稿未冻结",IF(OR(NOT(ISNUMBER(H24)),NOT(ISNUMBER(I24)),J24="",K24="",M24=""),"待补冻结信息",IF(I24&lt;H24,"请核实事后补录","有效输入"))))))))</x:f>
      </x:c>
    </x:row>
    <x:row r="25" ht="25" customHeight="1">
      <x:c r="A25" s="3"/>
      <x:c r="B25" s="3"/>
      <x:c r="C25" s="3"/>
      <x:c r="D25" s="3"/>
      <x:c r="E25" s="3"/>
      <x:c r="F25" s="3"/>
      <x:c r="G25" s="3"/>
      <x:c r="H25" s="25"/>
      <x:c r="I25" s="25"/>
      <x:c r="J25" s="3"/>
      <x:c r="K25" s="3"/>
      <x:c r="L25" s="3"/>
      <x:c r="M25" s="3"/>
      <x:c r="N25" s="19" t="str">
        <x:f>IF(A25="","",IF(COUNTIFS('方案版本'!$A$7:$A$306,A25)&lt;&gt;1,"编号重复",IF(COUNTIFS('问题总览'!$A$7:$A$306,B25)&lt;&gt;1,"问题引用无效",IF(OR(D25="",E25="",F25="",G25="",L25=""),"待补版本信息",IF(AND(C25&lt;&gt;"",OR(C25=A25,COUNTIFS('方案版本'!$A$7:$A$306,C25,'方案版本'!$B$7:$B$306,B25)&lt;&gt;1)),"父方案引用无效",IF(L25="草稿","草稿未冻结",IF(OR(NOT(ISNUMBER(H25)),NOT(ISNUMBER(I25)),J25="",K25="",M25=""),"待补冻结信息",IF(I25&lt;H25,"请核实事后补录","有效输入"))))))))</x:f>
      </x:c>
    </x:row>
    <x:row r="26" ht="25" customHeight="1">
      <x:c r="A26" s="3"/>
      <x:c r="B26" s="3"/>
      <x:c r="C26" s="3"/>
      <x:c r="D26" s="3"/>
      <x:c r="E26" s="3"/>
      <x:c r="F26" s="3"/>
      <x:c r="G26" s="3"/>
      <x:c r="H26" s="25"/>
      <x:c r="I26" s="25"/>
      <x:c r="J26" s="3"/>
      <x:c r="K26" s="3"/>
      <x:c r="L26" s="3"/>
      <x:c r="M26" s="3"/>
      <x:c r="N26" s="19" t="str">
        <x:f>IF(A26="","",IF(COUNTIFS('方案版本'!$A$7:$A$306,A26)&lt;&gt;1,"编号重复",IF(COUNTIFS('问题总览'!$A$7:$A$306,B26)&lt;&gt;1,"问题引用无效",IF(OR(D26="",E26="",F26="",G26="",L26=""),"待补版本信息",IF(AND(C26&lt;&gt;"",OR(C26=A26,COUNTIFS('方案版本'!$A$7:$A$306,C26,'方案版本'!$B$7:$B$306,B26)&lt;&gt;1)),"父方案引用无效",IF(L26="草稿","草稿未冻结",IF(OR(NOT(ISNUMBER(H26)),NOT(ISNUMBER(I26)),J26="",K26="",M26=""),"待补冻结信息",IF(I26&lt;H26,"请核实事后补录","有效输入"))))))))</x:f>
      </x:c>
    </x:row>
    <x:row r="27" ht="25" customHeight="1">
      <x:c r="A27" s="3"/>
      <x:c r="B27" s="3"/>
      <x:c r="C27" s="3"/>
      <x:c r="D27" s="3"/>
      <x:c r="E27" s="3"/>
      <x:c r="F27" s="3"/>
      <x:c r="G27" s="3"/>
      <x:c r="H27" s="25"/>
      <x:c r="I27" s="25"/>
      <x:c r="J27" s="3"/>
      <x:c r="K27" s="3"/>
      <x:c r="L27" s="3"/>
      <x:c r="M27" s="3"/>
      <x:c r="N27" s="19" t="str">
        <x:f>IF(A27="","",IF(COUNTIFS('方案版本'!$A$7:$A$306,A27)&lt;&gt;1,"编号重复",IF(COUNTIFS('问题总览'!$A$7:$A$306,B27)&lt;&gt;1,"问题引用无效",IF(OR(D27="",E27="",F27="",G27="",L27=""),"待补版本信息",IF(AND(C27&lt;&gt;"",OR(C27=A27,COUNTIFS('方案版本'!$A$7:$A$306,C27,'方案版本'!$B$7:$B$306,B27)&lt;&gt;1)),"父方案引用无效",IF(L27="草稿","草稿未冻结",IF(OR(NOT(ISNUMBER(H27)),NOT(ISNUMBER(I27)),J27="",K27="",M27=""),"待补冻结信息",IF(I27&lt;H27,"请核实事后补录","有效输入"))))))))</x:f>
      </x:c>
    </x:row>
    <x:row r="28" ht="25" customHeight="1">
      <x:c r="A28" s="3"/>
      <x:c r="B28" s="3"/>
      <x:c r="C28" s="3"/>
      <x:c r="D28" s="3"/>
      <x:c r="E28" s="3"/>
      <x:c r="F28" s="3"/>
      <x:c r="G28" s="3"/>
      <x:c r="H28" s="25"/>
      <x:c r="I28" s="25"/>
      <x:c r="J28" s="3"/>
      <x:c r="K28" s="3"/>
      <x:c r="L28" s="3"/>
      <x:c r="M28" s="3"/>
      <x:c r="N28" s="19" t="str">
        <x:f>IF(A28="","",IF(COUNTIFS('方案版本'!$A$7:$A$306,A28)&lt;&gt;1,"编号重复",IF(COUNTIFS('问题总览'!$A$7:$A$306,B28)&lt;&gt;1,"问题引用无效",IF(OR(D28="",E28="",F28="",G28="",L28=""),"待补版本信息",IF(AND(C28&lt;&gt;"",OR(C28=A28,COUNTIFS('方案版本'!$A$7:$A$306,C28,'方案版本'!$B$7:$B$306,B28)&lt;&gt;1)),"父方案引用无效",IF(L28="草稿","草稿未冻结",IF(OR(NOT(ISNUMBER(H28)),NOT(ISNUMBER(I28)),J28="",K28="",M28=""),"待补冻结信息",IF(I28&lt;H28,"请核实事后补录","有效输入"))))))))</x:f>
      </x:c>
    </x:row>
    <x:row r="29" ht="25" customHeight="1">
      <x:c r="A29" s="3"/>
      <x:c r="B29" s="3"/>
      <x:c r="C29" s="3"/>
      <x:c r="D29" s="3"/>
      <x:c r="E29" s="3"/>
      <x:c r="F29" s="3"/>
      <x:c r="G29" s="3"/>
      <x:c r="H29" s="25"/>
      <x:c r="I29" s="25"/>
      <x:c r="J29" s="3"/>
      <x:c r="K29" s="3"/>
      <x:c r="L29" s="3"/>
      <x:c r="M29" s="3"/>
      <x:c r="N29" s="19" t="str">
        <x:f>IF(A29="","",IF(COUNTIFS('方案版本'!$A$7:$A$306,A29)&lt;&gt;1,"编号重复",IF(COUNTIFS('问题总览'!$A$7:$A$306,B29)&lt;&gt;1,"问题引用无效",IF(OR(D29="",E29="",F29="",G29="",L29=""),"待补版本信息",IF(AND(C29&lt;&gt;"",OR(C29=A29,COUNTIFS('方案版本'!$A$7:$A$306,C29,'方案版本'!$B$7:$B$306,B29)&lt;&gt;1)),"父方案引用无效",IF(L29="草稿","草稿未冻结",IF(OR(NOT(ISNUMBER(H29)),NOT(ISNUMBER(I29)),J29="",K29="",M29=""),"待补冻结信息",IF(I29&lt;H29,"请核实事后补录","有效输入"))))))))</x:f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25"/>
      <x:c r="I30" s="25"/>
      <x:c r="J30" s="3"/>
      <x:c r="K30" s="3"/>
      <x:c r="L30" s="3"/>
      <x:c r="M30" s="3"/>
      <x:c r="N30" s="19" t="str">
        <x:f>IF(A30="","",IF(COUNTIFS('方案版本'!$A$7:$A$306,A30)&lt;&gt;1,"编号重复",IF(COUNTIFS('问题总览'!$A$7:$A$306,B30)&lt;&gt;1,"问题引用无效",IF(OR(D30="",E30="",F30="",G30="",L30=""),"待补版本信息",IF(AND(C30&lt;&gt;"",OR(C30=A30,COUNTIFS('方案版本'!$A$7:$A$306,C30,'方案版本'!$B$7:$B$306,B30)&lt;&gt;1)),"父方案引用无效",IF(L30="草稿","草稿未冻结",IF(OR(NOT(ISNUMBER(H30)),NOT(ISNUMBER(I30)),J30="",K30="",M30=""),"待补冻结信息",IF(I30&lt;H30,"请核实事后补录","有效输入"))))))))</x:f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25"/>
      <x:c r="I31" s="25"/>
      <x:c r="J31" s="3"/>
      <x:c r="K31" s="3"/>
      <x:c r="L31" s="3"/>
      <x:c r="M31" s="3"/>
      <x:c r="N31" s="19" t="str">
        <x:f>IF(A31="","",IF(COUNTIFS('方案版本'!$A$7:$A$306,A31)&lt;&gt;1,"编号重复",IF(COUNTIFS('问题总览'!$A$7:$A$306,B31)&lt;&gt;1,"问题引用无效",IF(OR(D31="",E31="",F31="",G31="",L31=""),"待补版本信息",IF(AND(C31&lt;&gt;"",OR(C31=A31,COUNTIFS('方案版本'!$A$7:$A$306,C31,'方案版本'!$B$7:$B$306,B31)&lt;&gt;1)),"父方案引用无效",IF(L31="草稿","草稿未冻结",IF(OR(NOT(ISNUMBER(H31)),NOT(ISNUMBER(I31)),J31="",K31="",M31=""),"待补冻结信息",IF(I31&lt;H31,"请核实事后补录","有效输入"))))))))</x:f>
      </x:c>
    </x:row>
    <x:row r="32" ht="25" customHeight="1">
      <x:c r="A32" s="3"/>
      <x:c r="B32" s="3"/>
      <x:c r="C32" s="3"/>
      <x:c r="D32" s="3"/>
      <x:c r="E32" s="3"/>
      <x:c r="F32" s="3"/>
      <x:c r="G32" s="3"/>
      <x:c r="H32" s="25"/>
      <x:c r="I32" s="25"/>
      <x:c r="J32" s="3"/>
      <x:c r="K32" s="3"/>
      <x:c r="L32" s="3"/>
      <x:c r="M32" s="3"/>
      <x:c r="N32" s="19" t="str">
        <x:f>IF(A32="","",IF(COUNTIFS('方案版本'!$A$7:$A$306,A32)&lt;&gt;1,"编号重复",IF(COUNTIFS('问题总览'!$A$7:$A$306,B32)&lt;&gt;1,"问题引用无效",IF(OR(D32="",E32="",F32="",G32="",L32=""),"待补版本信息",IF(AND(C32&lt;&gt;"",OR(C32=A32,COUNTIFS('方案版本'!$A$7:$A$306,C32,'方案版本'!$B$7:$B$306,B32)&lt;&gt;1)),"父方案引用无效",IF(L32="草稿","草稿未冻结",IF(OR(NOT(ISNUMBER(H32)),NOT(ISNUMBER(I32)),J32="",K32="",M32=""),"待补冻结信息",IF(I32&lt;H32,"请核实事后补录","有效输入"))))))))</x:f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25"/>
      <x:c r="I33" s="25"/>
      <x:c r="J33" s="3"/>
      <x:c r="K33" s="3"/>
      <x:c r="L33" s="3"/>
      <x:c r="M33" s="3"/>
      <x:c r="N33" s="19" t="str">
        <x:f>IF(A33="","",IF(COUNTIFS('方案版本'!$A$7:$A$306,A33)&lt;&gt;1,"编号重复",IF(COUNTIFS('问题总览'!$A$7:$A$306,B33)&lt;&gt;1,"问题引用无效",IF(OR(D33="",E33="",F33="",G33="",L33=""),"待补版本信息",IF(AND(C33&lt;&gt;"",OR(C33=A33,COUNTIFS('方案版本'!$A$7:$A$306,C33,'方案版本'!$B$7:$B$306,B33)&lt;&gt;1)),"父方案引用无效",IF(L33="草稿","草稿未冻结",IF(OR(NOT(ISNUMBER(H33)),NOT(ISNUMBER(I33)),J33="",K33="",M33=""),"待补冻结信息",IF(I33&lt;H33,"请核实事后补录","有效输入"))))))))</x:f>
      </x:c>
    </x:row>
    <x:row r="34" ht="25" customHeight="1">
      <x:c r="A34" s="3"/>
      <x:c r="B34" s="3"/>
      <x:c r="C34" s="3"/>
      <x:c r="D34" s="3"/>
      <x:c r="E34" s="3"/>
      <x:c r="F34" s="3"/>
      <x:c r="G34" s="3"/>
      <x:c r="H34" s="25"/>
      <x:c r="I34" s="25"/>
      <x:c r="J34" s="3"/>
      <x:c r="K34" s="3"/>
      <x:c r="L34" s="3"/>
      <x:c r="M34" s="3"/>
      <x:c r="N34" s="19" t="str">
        <x:f>IF(A34="","",IF(COUNTIFS('方案版本'!$A$7:$A$306,A34)&lt;&gt;1,"编号重复",IF(COUNTIFS('问题总览'!$A$7:$A$306,B34)&lt;&gt;1,"问题引用无效",IF(OR(D34="",E34="",F34="",G34="",L34=""),"待补版本信息",IF(AND(C34&lt;&gt;"",OR(C34=A34,COUNTIFS('方案版本'!$A$7:$A$306,C34,'方案版本'!$B$7:$B$306,B34)&lt;&gt;1)),"父方案引用无效",IF(L34="草稿","草稿未冻结",IF(OR(NOT(ISNUMBER(H34)),NOT(ISNUMBER(I34)),J34="",K34="",M34=""),"待补冻结信息",IF(I34&lt;H34,"请核实事后补录","有效输入"))))))))</x:f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25"/>
      <x:c r="I35" s="25"/>
      <x:c r="J35" s="3"/>
      <x:c r="K35" s="3"/>
      <x:c r="L35" s="3"/>
      <x:c r="M35" s="3"/>
      <x:c r="N35" s="19" t="str">
        <x:f>IF(A35="","",IF(COUNTIFS('方案版本'!$A$7:$A$306,A35)&lt;&gt;1,"编号重复",IF(COUNTIFS('问题总览'!$A$7:$A$306,B35)&lt;&gt;1,"问题引用无效",IF(OR(D35="",E35="",F35="",G35="",L35=""),"待补版本信息",IF(AND(C35&lt;&gt;"",OR(C35=A35,COUNTIFS('方案版本'!$A$7:$A$306,C35,'方案版本'!$B$7:$B$306,B35)&lt;&gt;1)),"父方案引用无效",IF(L35="草稿","草稿未冻结",IF(OR(NOT(ISNUMBER(H35)),NOT(ISNUMBER(I35)),J35="",K35="",M35=""),"待补冻结信息",IF(I35&lt;H35,"请核实事后补录","有效输入"))))))))</x:f>
      </x:c>
    </x:row>
    <x:row r="36" ht="25" customHeight="1">
      <x:c r="A36" s="3"/>
      <x:c r="B36" s="3"/>
      <x:c r="C36" s="3"/>
      <x:c r="D36" s="3"/>
      <x:c r="E36" s="3"/>
      <x:c r="F36" s="3"/>
      <x:c r="G36" s="3"/>
      <x:c r="H36" s="25"/>
      <x:c r="I36" s="25"/>
      <x:c r="J36" s="3"/>
      <x:c r="K36" s="3"/>
      <x:c r="L36" s="3"/>
      <x:c r="M36" s="3"/>
      <x:c r="N36" s="19" t="str">
        <x:f>IF(A36="","",IF(COUNTIFS('方案版本'!$A$7:$A$306,A36)&lt;&gt;1,"编号重复",IF(COUNTIFS('问题总览'!$A$7:$A$306,B36)&lt;&gt;1,"问题引用无效",IF(OR(D36="",E36="",F36="",G36="",L36=""),"待补版本信息",IF(AND(C36&lt;&gt;"",OR(C36=A36,COUNTIFS('方案版本'!$A$7:$A$306,C36,'方案版本'!$B$7:$B$306,B36)&lt;&gt;1)),"父方案引用无效",IF(L36="草稿","草稿未冻结",IF(OR(NOT(ISNUMBER(H36)),NOT(ISNUMBER(I36)),J36="",K36="",M36=""),"待补冻结信息",IF(I36&lt;H36,"请核实事后补录","有效输入"))))))))</x:f>
      </x:c>
    </x:row>
    <x:row r="37" ht="25" customHeight="1">
      <x:c r="A37" s="3"/>
      <x:c r="B37" s="3"/>
      <x:c r="C37" s="3"/>
      <x:c r="D37" s="3"/>
      <x:c r="E37" s="3"/>
      <x:c r="F37" s="3"/>
      <x:c r="G37" s="3"/>
      <x:c r="H37" s="25"/>
      <x:c r="I37" s="25"/>
      <x:c r="J37" s="3"/>
      <x:c r="K37" s="3"/>
      <x:c r="L37" s="3"/>
      <x:c r="M37" s="3"/>
      <x:c r="N37" s="19" t="str">
        <x:f>IF(A37="","",IF(COUNTIFS('方案版本'!$A$7:$A$306,A37)&lt;&gt;1,"编号重复",IF(COUNTIFS('问题总览'!$A$7:$A$306,B37)&lt;&gt;1,"问题引用无效",IF(OR(D37="",E37="",F37="",G37="",L37=""),"待补版本信息",IF(AND(C37&lt;&gt;"",OR(C37=A37,COUNTIFS('方案版本'!$A$7:$A$306,C37,'方案版本'!$B$7:$B$306,B37)&lt;&gt;1)),"父方案引用无效",IF(L37="草稿","草稿未冻结",IF(OR(NOT(ISNUMBER(H37)),NOT(ISNUMBER(I37)),J37="",K37="",M37=""),"待补冻结信息",IF(I37&lt;H37,"请核实事后补录","有效输入"))))))))</x:f>
      </x:c>
    </x:row>
    <x:row r="38" ht="25" customHeight="1">
      <x:c r="A38" s="3"/>
      <x:c r="B38" s="3"/>
      <x:c r="C38" s="3"/>
      <x:c r="D38" s="3"/>
      <x:c r="E38" s="3"/>
      <x:c r="F38" s="3"/>
      <x:c r="G38" s="3"/>
      <x:c r="H38" s="25"/>
      <x:c r="I38" s="25"/>
      <x:c r="J38" s="3"/>
      <x:c r="K38" s="3"/>
      <x:c r="L38" s="3"/>
      <x:c r="M38" s="3"/>
      <x:c r="N38" s="19" t="str">
        <x:f>IF(A38="","",IF(COUNTIFS('方案版本'!$A$7:$A$306,A38)&lt;&gt;1,"编号重复",IF(COUNTIFS('问题总览'!$A$7:$A$306,B38)&lt;&gt;1,"问题引用无效",IF(OR(D38="",E38="",F38="",G38="",L38=""),"待补版本信息",IF(AND(C38&lt;&gt;"",OR(C38=A38,COUNTIFS('方案版本'!$A$7:$A$306,C38,'方案版本'!$B$7:$B$306,B38)&lt;&gt;1)),"父方案引用无效",IF(L38="草稿","草稿未冻结",IF(OR(NOT(ISNUMBER(H38)),NOT(ISNUMBER(I38)),J38="",K38="",M38=""),"待补冻结信息",IF(I38&lt;H38,"请核实事后补录","有效输入"))))))))</x:f>
      </x:c>
    </x:row>
    <x:row r="39" ht="25" customHeight="1">
      <x:c r="A39" s="3"/>
      <x:c r="B39" s="3"/>
      <x:c r="C39" s="3"/>
      <x:c r="D39" s="3"/>
      <x:c r="E39" s="3"/>
      <x:c r="F39" s="3"/>
      <x:c r="G39" s="3"/>
      <x:c r="H39" s="25"/>
      <x:c r="I39" s="25"/>
      <x:c r="J39" s="3"/>
      <x:c r="K39" s="3"/>
      <x:c r="L39" s="3"/>
      <x:c r="M39" s="3"/>
      <x:c r="N39" s="19" t="str">
        <x:f>IF(A39="","",IF(COUNTIFS('方案版本'!$A$7:$A$306,A39)&lt;&gt;1,"编号重复",IF(COUNTIFS('问题总览'!$A$7:$A$306,B39)&lt;&gt;1,"问题引用无效",IF(OR(D39="",E39="",F39="",G39="",L39=""),"待补版本信息",IF(AND(C39&lt;&gt;"",OR(C39=A39,COUNTIFS('方案版本'!$A$7:$A$306,C39,'方案版本'!$B$7:$B$306,B39)&lt;&gt;1)),"父方案引用无效",IF(L39="草稿","草稿未冻结",IF(OR(NOT(ISNUMBER(H39)),NOT(ISNUMBER(I39)),J39="",K39="",M39=""),"待补冻结信息",IF(I39&lt;H39,"请核实事后补录","有效输入"))))))))</x:f>
      </x:c>
    </x:row>
    <x:row r="40" ht="25" customHeight="1">
      <x:c r="A40" s="3"/>
      <x:c r="B40" s="3"/>
      <x:c r="C40" s="3"/>
      <x:c r="D40" s="3"/>
      <x:c r="E40" s="3"/>
      <x:c r="F40" s="3"/>
      <x:c r="G40" s="3"/>
      <x:c r="H40" s="25"/>
      <x:c r="I40" s="25"/>
      <x:c r="J40" s="3"/>
      <x:c r="K40" s="3"/>
      <x:c r="L40" s="3"/>
      <x:c r="M40" s="3"/>
      <x:c r="N40" s="19" t="str">
        <x:f>IF(A40="","",IF(COUNTIFS('方案版本'!$A$7:$A$306,A40)&lt;&gt;1,"编号重复",IF(COUNTIFS('问题总览'!$A$7:$A$306,B40)&lt;&gt;1,"问题引用无效",IF(OR(D40="",E40="",F40="",G40="",L40=""),"待补版本信息",IF(AND(C40&lt;&gt;"",OR(C40=A40,COUNTIFS('方案版本'!$A$7:$A$306,C40,'方案版本'!$B$7:$B$306,B40)&lt;&gt;1)),"父方案引用无效",IF(L40="草稿","草稿未冻结",IF(OR(NOT(ISNUMBER(H40)),NOT(ISNUMBER(I40)),J40="",K40="",M40=""),"待补冻结信息",IF(I40&lt;H40,"请核实事后补录","有效输入"))))))))</x:f>
      </x:c>
    </x:row>
    <x:row r="41" ht="25" customHeight="1">
      <x:c r="A41" s="3"/>
      <x:c r="B41" s="3"/>
      <x:c r="C41" s="3"/>
      <x:c r="D41" s="3"/>
      <x:c r="E41" s="3"/>
      <x:c r="F41" s="3"/>
      <x:c r="G41" s="3"/>
      <x:c r="H41" s="25"/>
      <x:c r="I41" s="25"/>
      <x:c r="J41" s="3"/>
      <x:c r="K41" s="3"/>
      <x:c r="L41" s="3"/>
      <x:c r="M41" s="3"/>
      <x:c r="N41" s="19" t="str">
        <x:f>IF(A41="","",IF(COUNTIFS('方案版本'!$A$7:$A$306,A41)&lt;&gt;1,"编号重复",IF(COUNTIFS('问题总览'!$A$7:$A$306,B41)&lt;&gt;1,"问题引用无效",IF(OR(D41="",E41="",F41="",G41="",L41=""),"待补版本信息",IF(AND(C41&lt;&gt;"",OR(C41=A41,COUNTIFS('方案版本'!$A$7:$A$306,C41,'方案版本'!$B$7:$B$306,B41)&lt;&gt;1)),"父方案引用无效",IF(L41="草稿","草稿未冻结",IF(OR(NOT(ISNUMBER(H41)),NOT(ISNUMBER(I41)),J41="",K41="",M41=""),"待补冻结信息",IF(I41&lt;H41,"请核实事后补录","有效输入"))))))))</x:f>
      </x:c>
    </x:row>
    <x:row r="42" ht="25" customHeight="1">
      <x:c r="A42" s="3"/>
      <x:c r="B42" s="3"/>
      <x:c r="C42" s="3"/>
      <x:c r="D42" s="3"/>
      <x:c r="E42" s="3"/>
      <x:c r="F42" s="3"/>
      <x:c r="G42" s="3"/>
      <x:c r="H42" s="25"/>
      <x:c r="I42" s="25"/>
      <x:c r="J42" s="3"/>
      <x:c r="K42" s="3"/>
      <x:c r="L42" s="3"/>
      <x:c r="M42" s="3"/>
      <x:c r="N42" s="19" t="str">
        <x:f>IF(A42="","",IF(COUNTIFS('方案版本'!$A$7:$A$306,A42)&lt;&gt;1,"编号重复",IF(COUNTIFS('问题总览'!$A$7:$A$306,B42)&lt;&gt;1,"问题引用无效",IF(OR(D42="",E42="",F42="",G42="",L42=""),"待补版本信息",IF(AND(C42&lt;&gt;"",OR(C42=A42,COUNTIFS('方案版本'!$A$7:$A$306,C42,'方案版本'!$B$7:$B$306,B42)&lt;&gt;1)),"父方案引用无效",IF(L42="草稿","草稿未冻结",IF(OR(NOT(ISNUMBER(H42)),NOT(ISNUMBER(I42)),J42="",K42="",M42=""),"待补冻结信息",IF(I42&lt;H42,"请核实事后补录","有效输入"))))))))</x:f>
      </x:c>
    </x:row>
    <x:row r="43" ht="25" customHeight="1">
      <x:c r="A43" s="3"/>
      <x:c r="B43" s="3"/>
      <x:c r="C43" s="3"/>
      <x:c r="D43" s="3"/>
      <x:c r="E43" s="3"/>
      <x:c r="F43" s="3"/>
      <x:c r="G43" s="3"/>
      <x:c r="H43" s="25"/>
      <x:c r="I43" s="25"/>
      <x:c r="J43" s="3"/>
      <x:c r="K43" s="3"/>
      <x:c r="L43" s="3"/>
      <x:c r="M43" s="3"/>
      <x:c r="N43" s="19" t="str">
        <x:f>IF(A43="","",IF(COUNTIFS('方案版本'!$A$7:$A$306,A43)&lt;&gt;1,"编号重复",IF(COUNTIFS('问题总览'!$A$7:$A$306,B43)&lt;&gt;1,"问题引用无效",IF(OR(D43="",E43="",F43="",G43="",L43=""),"待补版本信息",IF(AND(C43&lt;&gt;"",OR(C43=A43,COUNTIFS('方案版本'!$A$7:$A$306,C43,'方案版本'!$B$7:$B$306,B43)&lt;&gt;1)),"父方案引用无效",IF(L43="草稿","草稿未冻结",IF(OR(NOT(ISNUMBER(H43)),NOT(ISNUMBER(I43)),J43="",K43="",M43=""),"待补冻结信息",IF(I43&lt;H43,"请核实事后补录","有效输入"))))))))</x:f>
      </x:c>
    </x:row>
    <x:row r="44" ht="25" customHeight="1">
      <x:c r="A44" s="3"/>
      <x:c r="B44" s="3"/>
      <x:c r="C44" s="3"/>
      <x:c r="D44" s="3"/>
      <x:c r="E44" s="3"/>
      <x:c r="F44" s="3"/>
      <x:c r="G44" s="3"/>
      <x:c r="H44" s="25"/>
      <x:c r="I44" s="25"/>
      <x:c r="J44" s="3"/>
      <x:c r="K44" s="3"/>
      <x:c r="L44" s="3"/>
      <x:c r="M44" s="3"/>
      <x:c r="N44" s="19" t="str">
        <x:f>IF(A44="","",IF(COUNTIFS('方案版本'!$A$7:$A$306,A44)&lt;&gt;1,"编号重复",IF(COUNTIFS('问题总览'!$A$7:$A$306,B44)&lt;&gt;1,"问题引用无效",IF(OR(D44="",E44="",F44="",G44="",L44=""),"待补版本信息",IF(AND(C44&lt;&gt;"",OR(C44=A44,COUNTIFS('方案版本'!$A$7:$A$306,C44,'方案版本'!$B$7:$B$306,B44)&lt;&gt;1)),"父方案引用无效",IF(L44="草稿","草稿未冻结",IF(OR(NOT(ISNUMBER(H44)),NOT(ISNUMBER(I44)),J44="",K44="",M44=""),"待补冻结信息",IF(I44&lt;H44,"请核实事后补录","有效输入"))))))))</x:f>
      </x:c>
    </x:row>
    <x:row r="45" ht="25" customHeight="1">
      <x:c r="A45" s="3"/>
      <x:c r="B45" s="3"/>
      <x:c r="C45" s="3"/>
      <x:c r="D45" s="3"/>
      <x:c r="E45" s="3"/>
      <x:c r="F45" s="3"/>
      <x:c r="G45" s="3"/>
      <x:c r="H45" s="25"/>
      <x:c r="I45" s="25"/>
      <x:c r="J45" s="3"/>
      <x:c r="K45" s="3"/>
      <x:c r="L45" s="3"/>
      <x:c r="M45" s="3"/>
      <x:c r="N45" s="19" t="str">
        <x:f>IF(A45="","",IF(COUNTIFS('方案版本'!$A$7:$A$306,A45)&lt;&gt;1,"编号重复",IF(COUNTIFS('问题总览'!$A$7:$A$306,B45)&lt;&gt;1,"问题引用无效",IF(OR(D45="",E45="",F45="",G45="",L45=""),"待补版本信息",IF(AND(C45&lt;&gt;"",OR(C45=A45,COUNTIFS('方案版本'!$A$7:$A$306,C45,'方案版本'!$B$7:$B$306,B45)&lt;&gt;1)),"父方案引用无效",IF(L45="草稿","草稿未冻结",IF(OR(NOT(ISNUMBER(H45)),NOT(ISNUMBER(I45)),J45="",K45="",M45=""),"待补冻结信息",IF(I45&lt;H45,"请核实事后补录","有效输入"))))))))</x:f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25"/>
      <x:c r="I46" s="25"/>
      <x:c r="J46" s="3"/>
      <x:c r="K46" s="3"/>
      <x:c r="L46" s="3"/>
      <x:c r="M46" s="3"/>
      <x:c r="N46" s="19" t="str">
        <x:f>IF(A46="","",IF(COUNTIFS('方案版本'!$A$7:$A$306,A46)&lt;&gt;1,"编号重复",IF(COUNTIFS('问题总览'!$A$7:$A$306,B46)&lt;&gt;1,"问题引用无效",IF(OR(D46="",E46="",F46="",G46="",L46=""),"待补版本信息",IF(AND(C46&lt;&gt;"",OR(C46=A46,COUNTIFS('方案版本'!$A$7:$A$306,C46,'方案版本'!$B$7:$B$306,B46)&lt;&gt;1)),"父方案引用无效",IF(L46="草稿","草稿未冻结",IF(OR(NOT(ISNUMBER(H46)),NOT(ISNUMBER(I46)),J46="",K46="",M46=""),"待补冻结信息",IF(I46&lt;H46,"请核实事后补录","有效输入"))))))))</x:f>
      </x:c>
    </x:row>
    <x:row r="47" ht="25" customHeight="1">
      <x:c r="A47" s="3"/>
      <x:c r="B47" s="3"/>
      <x:c r="C47" s="3"/>
      <x:c r="D47" s="3"/>
      <x:c r="E47" s="3"/>
      <x:c r="F47" s="3"/>
      <x:c r="G47" s="3"/>
      <x:c r="H47" s="25"/>
      <x:c r="I47" s="25"/>
      <x:c r="J47" s="3"/>
      <x:c r="K47" s="3"/>
      <x:c r="L47" s="3"/>
      <x:c r="M47" s="3"/>
      <x:c r="N47" s="19" t="str">
        <x:f>IF(A47="","",IF(COUNTIFS('方案版本'!$A$7:$A$306,A47)&lt;&gt;1,"编号重复",IF(COUNTIFS('问题总览'!$A$7:$A$306,B47)&lt;&gt;1,"问题引用无效",IF(OR(D47="",E47="",F47="",G47="",L47=""),"待补版本信息",IF(AND(C47&lt;&gt;"",OR(C47=A47,COUNTIFS('方案版本'!$A$7:$A$306,C47,'方案版本'!$B$7:$B$306,B47)&lt;&gt;1)),"父方案引用无效",IF(L47="草稿","草稿未冻结",IF(OR(NOT(ISNUMBER(H47)),NOT(ISNUMBER(I47)),J47="",K47="",M47=""),"待补冻结信息",IF(I47&lt;H47,"请核实事后补录","有效输入"))))))))</x:f>
      </x:c>
    </x:row>
    <x:row r="48" ht="25" customHeight="1">
      <x:c r="A48" s="3"/>
      <x:c r="B48" s="3"/>
      <x:c r="C48" s="3"/>
      <x:c r="D48" s="3"/>
      <x:c r="E48" s="3"/>
      <x:c r="F48" s="3"/>
      <x:c r="G48" s="3"/>
      <x:c r="H48" s="25"/>
      <x:c r="I48" s="25"/>
      <x:c r="J48" s="3"/>
      <x:c r="K48" s="3"/>
      <x:c r="L48" s="3"/>
      <x:c r="M48" s="3"/>
      <x:c r="N48" s="19" t="str">
        <x:f>IF(A48="","",IF(COUNTIFS('方案版本'!$A$7:$A$306,A48)&lt;&gt;1,"编号重复",IF(COUNTIFS('问题总览'!$A$7:$A$306,B48)&lt;&gt;1,"问题引用无效",IF(OR(D48="",E48="",F48="",G48="",L48=""),"待补版本信息",IF(AND(C48&lt;&gt;"",OR(C48=A48,COUNTIFS('方案版本'!$A$7:$A$306,C48,'方案版本'!$B$7:$B$306,B48)&lt;&gt;1)),"父方案引用无效",IF(L48="草稿","草稿未冻结",IF(OR(NOT(ISNUMBER(H48)),NOT(ISNUMBER(I48)),J48="",K48="",M48=""),"待补冻结信息",IF(I48&lt;H48,"请核实事后补录","有效输入"))))))))</x:f>
      </x:c>
    </x:row>
    <x:row r="49" ht="25" customHeight="1">
      <x:c r="A49" s="3"/>
      <x:c r="B49" s="3"/>
      <x:c r="C49" s="3"/>
      <x:c r="D49" s="3"/>
      <x:c r="E49" s="3"/>
      <x:c r="F49" s="3"/>
      <x:c r="G49" s="3"/>
      <x:c r="H49" s="25"/>
      <x:c r="I49" s="25"/>
      <x:c r="J49" s="3"/>
      <x:c r="K49" s="3"/>
      <x:c r="L49" s="3"/>
      <x:c r="M49" s="3"/>
      <x:c r="N49" s="19" t="str">
        <x:f>IF(A49="","",IF(COUNTIFS('方案版本'!$A$7:$A$306,A49)&lt;&gt;1,"编号重复",IF(COUNTIFS('问题总览'!$A$7:$A$306,B49)&lt;&gt;1,"问题引用无效",IF(OR(D49="",E49="",F49="",G49="",L49=""),"待补版本信息",IF(AND(C49&lt;&gt;"",OR(C49=A49,COUNTIFS('方案版本'!$A$7:$A$306,C49,'方案版本'!$B$7:$B$306,B49)&lt;&gt;1)),"父方案引用无效",IF(L49="草稿","草稿未冻结",IF(OR(NOT(ISNUMBER(H49)),NOT(ISNUMBER(I49)),J49="",K49="",M49=""),"待补冻结信息",IF(I49&lt;H49,"请核实事后补录","有效输入"))))))))</x:f>
      </x:c>
    </x:row>
    <x:row r="50" ht="25" customHeight="1">
      <x:c r="A50" s="3"/>
      <x:c r="B50" s="3"/>
      <x:c r="C50" s="3"/>
      <x:c r="D50" s="3"/>
      <x:c r="E50" s="3"/>
      <x:c r="F50" s="3"/>
      <x:c r="G50" s="3"/>
      <x:c r="H50" s="25"/>
      <x:c r="I50" s="25"/>
      <x:c r="J50" s="3"/>
      <x:c r="K50" s="3"/>
      <x:c r="L50" s="3"/>
      <x:c r="M50" s="3"/>
      <x:c r="N50" s="19" t="str">
        <x:f>IF(A50="","",IF(COUNTIFS('方案版本'!$A$7:$A$306,A50)&lt;&gt;1,"编号重复",IF(COUNTIFS('问题总览'!$A$7:$A$306,B50)&lt;&gt;1,"问题引用无效",IF(OR(D50="",E50="",F50="",G50="",L50=""),"待补版本信息",IF(AND(C50&lt;&gt;"",OR(C50=A50,COUNTIFS('方案版本'!$A$7:$A$306,C50,'方案版本'!$B$7:$B$306,B50)&lt;&gt;1)),"父方案引用无效",IF(L50="草稿","草稿未冻结",IF(OR(NOT(ISNUMBER(H50)),NOT(ISNUMBER(I50)),J50="",K50="",M50=""),"待补冻结信息",IF(I50&lt;H50,"请核实事后补录","有效输入"))))))))</x:f>
      </x:c>
    </x:row>
    <x:row r="51" ht="25" customHeight="1">
      <x:c r="A51" s="3"/>
      <x:c r="B51" s="3"/>
      <x:c r="C51" s="3"/>
      <x:c r="D51" s="3"/>
      <x:c r="E51" s="3"/>
      <x:c r="F51" s="3"/>
      <x:c r="G51" s="3"/>
      <x:c r="H51" s="25"/>
      <x:c r="I51" s="25"/>
      <x:c r="J51" s="3"/>
      <x:c r="K51" s="3"/>
      <x:c r="L51" s="3"/>
      <x:c r="M51" s="3"/>
      <x:c r="N51" s="19" t="str">
        <x:f>IF(A51="","",IF(COUNTIFS('方案版本'!$A$7:$A$306,A51)&lt;&gt;1,"编号重复",IF(COUNTIFS('问题总览'!$A$7:$A$306,B51)&lt;&gt;1,"问题引用无效",IF(OR(D51="",E51="",F51="",G51="",L51=""),"待补版本信息",IF(AND(C51&lt;&gt;"",OR(C51=A51,COUNTIFS('方案版本'!$A$7:$A$306,C51,'方案版本'!$B$7:$B$306,B51)&lt;&gt;1)),"父方案引用无效",IF(L51="草稿","草稿未冻结",IF(OR(NOT(ISNUMBER(H51)),NOT(ISNUMBER(I51)),J51="",K51="",M51=""),"待补冻结信息",IF(I51&lt;H51,"请核实事后补录","有效输入"))))))))</x:f>
      </x:c>
    </x:row>
    <x:row r="52" ht="25" customHeight="1">
      <x:c r="A52" s="3"/>
      <x:c r="B52" s="3"/>
      <x:c r="C52" s="3"/>
      <x:c r="D52" s="3"/>
      <x:c r="E52" s="3"/>
      <x:c r="F52" s="3"/>
      <x:c r="G52" s="3"/>
      <x:c r="H52" s="25"/>
      <x:c r="I52" s="25"/>
      <x:c r="J52" s="3"/>
      <x:c r="K52" s="3"/>
      <x:c r="L52" s="3"/>
      <x:c r="M52" s="3"/>
      <x:c r="N52" s="19" t="str">
        <x:f>IF(A52="","",IF(COUNTIFS('方案版本'!$A$7:$A$306,A52)&lt;&gt;1,"编号重复",IF(COUNTIFS('问题总览'!$A$7:$A$306,B52)&lt;&gt;1,"问题引用无效",IF(OR(D52="",E52="",F52="",G52="",L52=""),"待补版本信息",IF(AND(C52&lt;&gt;"",OR(C52=A52,COUNTIFS('方案版本'!$A$7:$A$306,C52,'方案版本'!$B$7:$B$306,B52)&lt;&gt;1)),"父方案引用无效",IF(L52="草稿","草稿未冻结",IF(OR(NOT(ISNUMBER(H52)),NOT(ISNUMBER(I52)),J52="",K52="",M52=""),"待补冻结信息",IF(I52&lt;H52,"请核实事后补录","有效输入"))))))))</x:f>
      </x:c>
    </x:row>
    <x:row r="53" ht="25" customHeight="1">
      <x:c r="A53" s="3"/>
      <x:c r="B53" s="3"/>
      <x:c r="C53" s="3"/>
      <x:c r="D53" s="3"/>
      <x:c r="E53" s="3"/>
      <x:c r="F53" s="3"/>
      <x:c r="G53" s="3"/>
      <x:c r="H53" s="25"/>
      <x:c r="I53" s="25"/>
      <x:c r="J53" s="3"/>
      <x:c r="K53" s="3"/>
      <x:c r="L53" s="3"/>
      <x:c r="M53" s="3"/>
      <x:c r="N53" s="19" t="str">
        <x:f>IF(A53="","",IF(COUNTIFS('方案版本'!$A$7:$A$306,A53)&lt;&gt;1,"编号重复",IF(COUNTIFS('问题总览'!$A$7:$A$306,B53)&lt;&gt;1,"问题引用无效",IF(OR(D53="",E53="",F53="",G53="",L53=""),"待补版本信息",IF(AND(C53&lt;&gt;"",OR(C53=A53,COUNTIFS('方案版本'!$A$7:$A$306,C53,'方案版本'!$B$7:$B$306,B53)&lt;&gt;1)),"父方案引用无效",IF(L53="草稿","草稿未冻结",IF(OR(NOT(ISNUMBER(H53)),NOT(ISNUMBER(I53)),J53="",K53="",M53=""),"待补冻结信息",IF(I53&lt;H53,"请核实事后补录","有效输入"))))))))</x:f>
      </x:c>
    </x:row>
    <x:row r="54" ht="25" customHeight="1">
      <x:c r="A54" s="3"/>
      <x:c r="B54" s="3"/>
      <x:c r="C54" s="3"/>
      <x:c r="D54" s="3"/>
      <x:c r="E54" s="3"/>
      <x:c r="F54" s="3"/>
      <x:c r="G54" s="3"/>
      <x:c r="H54" s="25"/>
      <x:c r="I54" s="25"/>
      <x:c r="J54" s="3"/>
      <x:c r="K54" s="3"/>
      <x:c r="L54" s="3"/>
      <x:c r="M54" s="3"/>
      <x:c r="N54" s="19" t="str">
        <x:f>IF(A54="","",IF(COUNTIFS('方案版本'!$A$7:$A$306,A54)&lt;&gt;1,"编号重复",IF(COUNTIFS('问题总览'!$A$7:$A$306,B54)&lt;&gt;1,"问题引用无效",IF(OR(D54="",E54="",F54="",G54="",L54=""),"待补版本信息",IF(AND(C54&lt;&gt;"",OR(C54=A54,COUNTIFS('方案版本'!$A$7:$A$306,C54,'方案版本'!$B$7:$B$306,B54)&lt;&gt;1)),"父方案引用无效",IF(L54="草稿","草稿未冻结",IF(OR(NOT(ISNUMBER(H54)),NOT(ISNUMBER(I54)),J54="",K54="",M54=""),"待补冻结信息",IF(I54&lt;H54,"请核实事后补录","有效输入"))))))))</x:f>
      </x:c>
    </x:row>
    <x:row r="55" ht="25" customHeight="1">
      <x:c r="A55" s="3"/>
      <x:c r="B55" s="3"/>
      <x:c r="C55" s="3"/>
      <x:c r="D55" s="3"/>
      <x:c r="E55" s="3"/>
      <x:c r="F55" s="3"/>
      <x:c r="G55" s="3"/>
      <x:c r="H55" s="25"/>
      <x:c r="I55" s="25"/>
      <x:c r="J55" s="3"/>
      <x:c r="K55" s="3"/>
      <x:c r="L55" s="3"/>
      <x:c r="M55" s="3"/>
      <x:c r="N55" s="19" t="str">
        <x:f>IF(A55="","",IF(COUNTIFS('方案版本'!$A$7:$A$306,A55)&lt;&gt;1,"编号重复",IF(COUNTIFS('问题总览'!$A$7:$A$306,B55)&lt;&gt;1,"问题引用无效",IF(OR(D55="",E55="",F55="",G55="",L55=""),"待补版本信息",IF(AND(C55&lt;&gt;"",OR(C55=A55,COUNTIFS('方案版本'!$A$7:$A$306,C55,'方案版本'!$B$7:$B$306,B55)&lt;&gt;1)),"父方案引用无效",IF(L55="草稿","草稿未冻结",IF(OR(NOT(ISNUMBER(H55)),NOT(ISNUMBER(I55)),J55="",K55="",M55=""),"待补冻结信息",IF(I55&lt;H55,"请核实事后补录","有效输入"))))))))</x:f>
      </x:c>
    </x:row>
    <x:row r="56" ht="25" customHeight="1">
      <x:c r="A56" s="3"/>
      <x:c r="B56" s="3"/>
      <x:c r="C56" s="3"/>
      <x:c r="D56" s="3"/>
      <x:c r="E56" s="3"/>
      <x:c r="F56" s="3"/>
      <x:c r="G56" s="3"/>
      <x:c r="H56" s="25"/>
      <x:c r="I56" s="25"/>
      <x:c r="J56" s="3"/>
      <x:c r="K56" s="3"/>
      <x:c r="L56" s="3"/>
      <x:c r="M56" s="3"/>
      <x:c r="N56" s="19" t="str">
        <x:f>IF(A56="","",IF(COUNTIFS('方案版本'!$A$7:$A$306,A56)&lt;&gt;1,"编号重复",IF(COUNTIFS('问题总览'!$A$7:$A$306,B56)&lt;&gt;1,"问题引用无效",IF(OR(D56="",E56="",F56="",G56="",L56=""),"待补版本信息",IF(AND(C56&lt;&gt;"",OR(C56=A56,COUNTIFS('方案版本'!$A$7:$A$306,C56,'方案版本'!$B$7:$B$306,B56)&lt;&gt;1)),"父方案引用无效",IF(L56="草稿","草稿未冻结",IF(OR(NOT(ISNUMBER(H56)),NOT(ISNUMBER(I56)),J56="",K56="",M56=""),"待补冻结信息",IF(I56&lt;H56,"请核实事后补录","有效输入")))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25"/>
      <x:c r="I57" s="25"/>
      <x:c r="J57" s="3"/>
      <x:c r="K57" s="3"/>
      <x:c r="L57" s="3"/>
      <x:c r="M57" s="3"/>
      <x:c r="N57" s="19" t="str">
        <x:f>IF(A57="","",IF(COUNTIFS('方案版本'!$A$7:$A$306,A57)&lt;&gt;1,"编号重复",IF(COUNTIFS('问题总览'!$A$7:$A$306,B57)&lt;&gt;1,"问题引用无效",IF(OR(D57="",E57="",F57="",G57="",L57=""),"待补版本信息",IF(AND(C57&lt;&gt;"",OR(C57=A57,COUNTIFS('方案版本'!$A$7:$A$306,C57,'方案版本'!$B$7:$B$306,B57)&lt;&gt;1)),"父方案引用无效",IF(L57="草稿","草稿未冻结",IF(OR(NOT(ISNUMBER(H57)),NOT(ISNUMBER(I57)),J57="",K57="",M57=""),"待补冻结信息",IF(I57&lt;H57,"请核实事后补录","有效输入"))))))))</x:f>
      </x:c>
    </x:row>
    <x:row r="58" ht="25" customHeight="1">
      <x:c r="A58" s="3"/>
      <x:c r="B58" s="3"/>
      <x:c r="C58" s="3"/>
      <x:c r="D58" s="3"/>
      <x:c r="E58" s="3"/>
      <x:c r="F58" s="3"/>
      <x:c r="G58" s="3"/>
      <x:c r="H58" s="25"/>
      <x:c r="I58" s="25"/>
      <x:c r="J58" s="3"/>
      <x:c r="K58" s="3"/>
      <x:c r="L58" s="3"/>
      <x:c r="M58" s="3"/>
      <x:c r="N58" s="19" t="str">
        <x:f>IF(A58="","",IF(COUNTIFS('方案版本'!$A$7:$A$306,A58)&lt;&gt;1,"编号重复",IF(COUNTIFS('问题总览'!$A$7:$A$306,B58)&lt;&gt;1,"问题引用无效",IF(OR(D58="",E58="",F58="",G58="",L58=""),"待补版本信息",IF(AND(C58&lt;&gt;"",OR(C58=A58,COUNTIFS('方案版本'!$A$7:$A$306,C58,'方案版本'!$B$7:$B$306,B58)&lt;&gt;1)),"父方案引用无效",IF(L58="草稿","草稿未冻结",IF(OR(NOT(ISNUMBER(H58)),NOT(ISNUMBER(I58)),J58="",K58="",M58=""),"待补冻结信息",IF(I58&lt;H58,"请核实事后补录","有效输入"))))))))</x:f>
      </x:c>
    </x:row>
    <x:row r="59" ht="25" customHeight="1">
      <x:c r="A59" s="3"/>
      <x:c r="B59" s="3"/>
      <x:c r="C59" s="3"/>
      <x:c r="D59" s="3"/>
      <x:c r="E59" s="3"/>
      <x:c r="F59" s="3"/>
      <x:c r="G59" s="3"/>
      <x:c r="H59" s="25"/>
      <x:c r="I59" s="25"/>
      <x:c r="J59" s="3"/>
      <x:c r="K59" s="3"/>
      <x:c r="L59" s="3"/>
      <x:c r="M59" s="3"/>
      <x:c r="N59" s="19" t="str">
        <x:f>IF(A59="","",IF(COUNTIFS('方案版本'!$A$7:$A$306,A59)&lt;&gt;1,"编号重复",IF(COUNTIFS('问题总览'!$A$7:$A$306,B59)&lt;&gt;1,"问题引用无效",IF(OR(D59="",E59="",F59="",G59="",L59=""),"待补版本信息",IF(AND(C59&lt;&gt;"",OR(C59=A59,COUNTIFS('方案版本'!$A$7:$A$306,C59,'方案版本'!$B$7:$B$306,B59)&lt;&gt;1)),"父方案引用无效",IF(L59="草稿","草稿未冻结",IF(OR(NOT(ISNUMBER(H59)),NOT(ISNUMBER(I59)),J59="",K59="",M59=""),"待补冻结信息",IF(I59&lt;H59,"请核实事后补录","有效输入"))))))))</x:f>
      </x:c>
    </x:row>
    <x:row r="60" ht="25" customHeight="1">
      <x:c r="A60" s="3"/>
      <x:c r="B60" s="3"/>
      <x:c r="C60" s="3"/>
      <x:c r="D60" s="3"/>
      <x:c r="E60" s="3"/>
      <x:c r="F60" s="3"/>
      <x:c r="G60" s="3"/>
      <x:c r="H60" s="25"/>
      <x:c r="I60" s="25"/>
      <x:c r="J60" s="3"/>
      <x:c r="K60" s="3"/>
      <x:c r="L60" s="3"/>
      <x:c r="M60" s="3"/>
      <x:c r="N60" s="19" t="str">
        <x:f>IF(A60="","",IF(COUNTIFS('方案版本'!$A$7:$A$306,A60)&lt;&gt;1,"编号重复",IF(COUNTIFS('问题总览'!$A$7:$A$306,B60)&lt;&gt;1,"问题引用无效",IF(OR(D60="",E60="",F60="",G60="",L60=""),"待补版本信息",IF(AND(C60&lt;&gt;"",OR(C60=A60,COUNTIFS('方案版本'!$A$7:$A$306,C60,'方案版本'!$B$7:$B$306,B60)&lt;&gt;1)),"父方案引用无效",IF(L60="草稿","草稿未冻结",IF(OR(NOT(ISNUMBER(H60)),NOT(ISNUMBER(I60)),J60="",K60="",M60=""),"待补冻结信息",IF(I60&lt;H60,"请核实事后补录","有效输入"))))))))</x:f>
      </x:c>
    </x:row>
    <x:row r="61" ht="25" customHeight="1">
      <x:c r="A61" s="3"/>
      <x:c r="B61" s="3"/>
      <x:c r="C61" s="3"/>
      <x:c r="D61" s="3"/>
      <x:c r="E61" s="3"/>
      <x:c r="F61" s="3"/>
      <x:c r="G61" s="3"/>
      <x:c r="H61" s="25"/>
      <x:c r="I61" s="25"/>
      <x:c r="J61" s="3"/>
      <x:c r="K61" s="3"/>
      <x:c r="L61" s="3"/>
      <x:c r="M61" s="3"/>
      <x:c r="N61" s="19" t="str">
        <x:f>IF(A61="","",IF(COUNTIFS('方案版本'!$A$7:$A$306,A61)&lt;&gt;1,"编号重复",IF(COUNTIFS('问题总览'!$A$7:$A$306,B61)&lt;&gt;1,"问题引用无效",IF(OR(D61="",E61="",F61="",G61="",L61=""),"待补版本信息",IF(AND(C61&lt;&gt;"",OR(C61=A61,COUNTIFS('方案版本'!$A$7:$A$306,C61,'方案版本'!$B$7:$B$306,B61)&lt;&gt;1)),"父方案引用无效",IF(L61="草稿","草稿未冻结",IF(OR(NOT(ISNUMBER(H61)),NOT(ISNUMBER(I61)),J61="",K61="",M61=""),"待补冻结信息",IF(I61&lt;H61,"请核实事后补录","有效输入"))))))))</x:f>
      </x:c>
    </x:row>
    <x:row r="62" ht="25" customHeight="1">
      <x:c r="A62" s="3"/>
      <x:c r="B62" s="3"/>
      <x:c r="C62" s="3"/>
      <x:c r="D62" s="3"/>
      <x:c r="E62" s="3"/>
      <x:c r="F62" s="3"/>
      <x:c r="G62" s="3"/>
      <x:c r="H62" s="25"/>
      <x:c r="I62" s="25"/>
      <x:c r="J62" s="3"/>
      <x:c r="K62" s="3"/>
      <x:c r="L62" s="3"/>
      <x:c r="M62" s="3"/>
      <x:c r="N62" s="19" t="str">
        <x:f>IF(A62="","",IF(COUNTIFS('方案版本'!$A$7:$A$306,A62)&lt;&gt;1,"编号重复",IF(COUNTIFS('问题总览'!$A$7:$A$306,B62)&lt;&gt;1,"问题引用无效",IF(OR(D62="",E62="",F62="",G62="",L62=""),"待补版本信息",IF(AND(C62&lt;&gt;"",OR(C62=A62,COUNTIFS('方案版本'!$A$7:$A$306,C62,'方案版本'!$B$7:$B$306,B62)&lt;&gt;1)),"父方案引用无效",IF(L62="草稿","草稿未冻结",IF(OR(NOT(ISNUMBER(H62)),NOT(ISNUMBER(I62)),J62="",K62="",M62=""),"待补冻结信息",IF(I62&lt;H62,"请核实事后补录","有效输入"))))))))</x:f>
      </x:c>
    </x:row>
    <x:row r="63" ht="25" customHeight="1">
      <x:c r="A63" s="3"/>
      <x:c r="B63" s="3"/>
      <x:c r="C63" s="3"/>
      <x:c r="D63" s="3"/>
      <x:c r="E63" s="3"/>
      <x:c r="F63" s="3"/>
      <x:c r="G63" s="3"/>
      <x:c r="H63" s="25"/>
      <x:c r="I63" s="25"/>
      <x:c r="J63" s="3"/>
      <x:c r="K63" s="3"/>
      <x:c r="L63" s="3"/>
      <x:c r="M63" s="3"/>
      <x:c r="N63" s="19" t="str">
        <x:f>IF(A63="","",IF(COUNTIFS('方案版本'!$A$7:$A$306,A63)&lt;&gt;1,"编号重复",IF(COUNTIFS('问题总览'!$A$7:$A$306,B63)&lt;&gt;1,"问题引用无效",IF(OR(D63="",E63="",F63="",G63="",L63=""),"待补版本信息",IF(AND(C63&lt;&gt;"",OR(C63=A63,COUNTIFS('方案版本'!$A$7:$A$306,C63,'方案版本'!$B$7:$B$306,B63)&lt;&gt;1)),"父方案引用无效",IF(L63="草稿","草稿未冻结",IF(OR(NOT(ISNUMBER(H63)),NOT(ISNUMBER(I63)),J63="",K63="",M63=""),"待补冻结信息",IF(I63&lt;H63,"请核实事后补录","有效输入"))))))))</x:f>
      </x:c>
    </x:row>
    <x:row r="64" ht="25" customHeight="1">
      <x:c r="A64" s="3"/>
      <x:c r="B64" s="3"/>
      <x:c r="C64" s="3"/>
      <x:c r="D64" s="3"/>
      <x:c r="E64" s="3"/>
      <x:c r="F64" s="3"/>
      <x:c r="G64" s="3"/>
      <x:c r="H64" s="25"/>
      <x:c r="I64" s="25"/>
      <x:c r="J64" s="3"/>
      <x:c r="K64" s="3"/>
      <x:c r="L64" s="3"/>
      <x:c r="M64" s="3"/>
      <x:c r="N64" s="19" t="str">
        <x:f>IF(A64="","",IF(COUNTIFS('方案版本'!$A$7:$A$306,A64)&lt;&gt;1,"编号重复",IF(COUNTIFS('问题总览'!$A$7:$A$306,B64)&lt;&gt;1,"问题引用无效",IF(OR(D64="",E64="",F64="",G64="",L64=""),"待补版本信息",IF(AND(C64&lt;&gt;"",OR(C64=A64,COUNTIFS('方案版本'!$A$7:$A$306,C64,'方案版本'!$B$7:$B$306,B64)&lt;&gt;1)),"父方案引用无效",IF(L64="草稿","草稿未冻结",IF(OR(NOT(ISNUMBER(H64)),NOT(ISNUMBER(I64)),J64="",K64="",M64=""),"待补冻结信息",IF(I64&lt;H64,"请核实事后补录","有效输入"))))))))</x:f>
      </x:c>
    </x:row>
    <x:row r="65" ht="25" customHeight="1">
      <x:c r="A65" s="3"/>
      <x:c r="B65" s="3"/>
      <x:c r="C65" s="3"/>
      <x:c r="D65" s="3"/>
      <x:c r="E65" s="3"/>
      <x:c r="F65" s="3"/>
      <x:c r="G65" s="3"/>
      <x:c r="H65" s="25"/>
      <x:c r="I65" s="25"/>
      <x:c r="J65" s="3"/>
      <x:c r="K65" s="3"/>
      <x:c r="L65" s="3"/>
      <x:c r="M65" s="3"/>
      <x:c r="N65" s="19" t="str">
        <x:f>IF(A65="","",IF(COUNTIFS('方案版本'!$A$7:$A$306,A65)&lt;&gt;1,"编号重复",IF(COUNTIFS('问题总览'!$A$7:$A$306,B65)&lt;&gt;1,"问题引用无效",IF(OR(D65="",E65="",F65="",G65="",L65=""),"待补版本信息",IF(AND(C65&lt;&gt;"",OR(C65=A65,COUNTIFS('方案版本'!$A$7:$A$306,C65,'方案版本'!$B$7:$B$306,B65)&lt;&gt;1)),"父方案引用无效",IF(L65="草稿","草稿未冻结",IF(OR(NOT(ISNUMBER(H65)),NOT(ISNUMBER(I65)),J65="",K65="",M65=""),"待补冻结信息",IF(I65&lt;H65,"请核实事后补录","有效输入"))))))))</x:f>
      </x:c>
    </x:row>
    <x:row r="66" ht="25" customHeight="1">
      <x:c r="A66" s="3"/>
      <x:c r="B66" s="3"/>
      <x:c r="C66" s="3"/>
      <x:c r="D66" s="3"/>
      <x:c r="E66" s="3"/>
      <x:c r="F66" s="3"/>
      <x:c r="G66" s="3"/>
      <x:c r="H66" s="25"/>
      <x:c r="I66" s="25"/>
      <x:c r="J66" s="3"/>
      <x:c r="K66" s="3"/>
      <x:c r="L66" s="3"/>
      <x:c r="M66" s="3"/>
      <x:c r="N66" s="19" t="str">
        <x:f>IF(A66="","",IF(COUNTIFS('方案版本'!$A$7:$A$306,A66)&lt;&gt;1,"编号重复",IF(COUNTIFS('问题总览'!$A$7:$A$306,B66)&lt;&gt;1,"问题引用无效",IF(OR(D66="",E66="",F66="",G66="",L66=""),"待补版本信息",IF(AND(C66&lt;&gt;"",OR(C66=A66,COUNTIFS('方案版本'!$A$7:$A$306,C66,'方案版本'!$B$7:$B$306,B66)&lt;&gt;1)),"父方案引用无效",IF(L66="草稿","草稿未冻结",IF(OR(NOT(ISNUMBER(H66)),NOT(ISNUMBER(I66)),J66="",K66="",M66=""),"待补冻结信息",IF(I66&lt;H66,"请核实事后补录","有效输入"))))))))</x:f>
      </x:c>
    </x:row>
    <x:row r="67" ht="25" customHeight="1">
      <x:c r="A67" s="3"/>
      <x:c r="B67" s="3"/>
      <x:c r="C67" s="3"/>
      <x:c r="D67" s="3"/>
      <x:c r="E67" s="3"/>
      <x:c r="F67" s="3"/>
      <x:c r="G67" s="3"/>
      <x:c r="H67" s="25"/>
      <x:c r="I67" s="25"/>
      <x:c r="J67" s="3"/>
      <x:c r="K67" s="3"/>
      <x:c r="L67" s="3"/>
      <x:c r="M67" s="3"/>
      <x:c r="N67" s="19" t="str">
        <x:f>IF(A67="","",IF(COUNTIFS('方案版本'!$A$7:$A$306,A67)&lt;&gt;1,"编号重复",IF(COUNTIFS('问题总览'!$A$7:$A$306,B67)&lt;&gt;1,"问题引用无效",IF(OR(D67="",E67="",F67="",G67="",L67=""),"待补版本信息",IF(AND(C67&lt;&gt;"",OR(C67=A67,COUNTIFS('方案版本'!$A$7:$A$306,C67,'方案版本'!$B$7:$B$306,B67)&lt;&gt;1)),"父方案引用无效",IF(L67="草稿","草稿未冻结",IF(OR(NOT(ISNUMBER(H67)),NOT(ISNUMBER(I67)),J67="",K67="",M67=""),"待补冻结信息",IF(I67&lt;H67,"请核实事后补录","有效输入"))))))))</x:f>
      </x:c>
    </x:row>
    <x:row r="68" ht="25" customHeight="1">
      <x:c r="A68" s="3"/>
      <x:c r="B68" s="3"/>
      <x:c r="C68" s="3"/>
      <x:c r="D68" s="3"/>
      <x:c r="E68" s="3"/>
      <x:c r="F68" s="3"/>
      <x:c r="G68" s="3"/>
      <x:c r="H68" s="25"/>
      <x:c r="I68" s="25"/>
      <x:c r="J68" s="3"/>
      <x:c r="K68" s="3"/>
      <x:c r="L68" s="3"/>
      <x:c r="M68" s="3"/>
      <x:c r="N68" s="19" t="str">
        <x:f>IF(A68="","",IF(COUNTIFS('方案版本'!$A$7:$A$306,A68)&lt;&gt;1,"编号重复",IF(COUNTIFS('问题总览'!$A$7:$A$306,B68)&lt;&gt;1,"问题引用无效",IF(OR(D68="",E68="",F68="",G68="",L68=""),"待补版本信息",IF(AND(C68&lt;&gt;"",OR(C68=A68,COUNTIFS('方案版本'!$A$7:$A$306,C68,'方案版本'!$B$7:$B$306,B68)&lt;&gt;1)),"父方案引用无效",IF(L68="草稿","草稿未冻结",IF(OR(NOT(ISNUMBER(H68)),NOT(ISNUMBER(I68)),J68="",K68="",M68=""),"待补冻结信息",IF(I68&lt;H68,"请核实事后补录","有效输入"))))))))</x:f>
      </x:c>
    </x:row>
    <x:row r="69" ht="25" customHeight="1">
      <x:c r="A69" s="3"/>
      <x:c r="B69" s="3"/>
      <x:c r="C69" s="3"/>
      <x:c r="D69" s="3"/>
      <x:c r="E69" s="3"/>
      <x:c r="F69" s="3"/>
      <x:c r="G69" s="3"/>
      <x:c r="H69" s="25"/>
      <x:c r="I69" s="25"/>
      <x:c r="J69" s="3"/>
      <x:c r="K69" s="3"/>
      <x:c r="L69" s="3"/>
      <x:c r="M69" s="3"/>
      <x:c r="N69" s="19" t="str">
        <x:f>IF(A69="","",IF(COUNTIFS('方案版本'!$A$7:$A$306,A69)&lt;&gt;1,"编号重复",IF(COUNTIFS('问题总览'!$A$7:$A$306,B69)&lt;&gt;1,"问题引用无效",IF(OR(D69="",E69="",F69="",G69="",L69=""),"待补版本信息",IF(AND(C69&lt;&gt;"",OR(C69=A69,COUNTIFS('方案版本'!$A$7:$A$306,C69,'方案版本'!$B$7:$B$306,B69)&lt;&gt;1)),"父方案引用无效",IF(L69="草稿","草稿未冻结",IF(OR(NOT(ISNUMBER(H69)),NOT(ISNUMBER(I69)),J69="",K69="",M69=""),"待补冻结信息",IF(I69&lt;H69,"请核实事后补录","有效输入"))))))))</x:f>
      </x:c>
    </x:row>
    <x:row r="70" ht="25" customHeight="1">
      <x:c r="A70" s="3"/>
      <x:c r="B70" s="3"/>
      <x:c r="C70" s="3"/>
      <x:c r="D70" s="3"/>
      <x:c r="E70" s="3"/>
      <x:c r="F70" s="3"/>
      <x:c r="G70" s="3"/>
      <x:c r="H70" s="25"/>
      <x:c r="I70" s="25"/>
      <x:c r="J70" s="3"/>
      <x:c r="K70" s="3"/>
      <x:c r="L70" s="3"/>
      <x:c r="M70" s="3"/>
      <x:c r="N70" s="19" t="str">
        <x:f>IF(A70="","",IF(COUNTIFS('方案版本'!$A$7:$A$306,A70)&lt;&gt;1,"编号重复",IF(COUNTIFS('问题总览'!$A$7:$A$306,B70)&lt;&gt;1,"问题引用无效",IF(OR(D70="",E70="",F70="",G70="",L70=""),"待补版本信息",IF(AND(C70&lt;&gt;"",OR(C70=A70,COUNTIFS('方案版本'!$A$7:$A$306,C70,'方案版本'!$B$7:$B$306,B70)&lt;&gt;1)),"父方案引用无效",IF(L70="草稿","草稿未冻结",IF(OR(NOT(ISNUMBER(H70)),NOT(ISNUMBER(I70)),J70="",K70="",M70=""),"待补冻结信息",IF(I70&lt;H70,"请核实事后补录","有效输入"))))))))</x:f>
      </x:c>
    </x:row>
    <x:row r="71" ht="25" customHeight="1">
      <x:c r="A71" s="3"/>
      <x:c r="B71" s="3"/>
      <x:c r="C71" s="3"/>
      <x:c r="D71" s="3"/>
      <x:c r="E71" s="3"/>
      <x:c r="F71" s="3"/>
      <x:c r="G71" s="3"/>
      <x:c r="H71" s="25"/>
      <x:c r="I71" s="25"/>
      <x:c r="J71" s="3"/>
      <x:c r="K71" s="3"/>
      <x:c r="L71" s="3"/>
      <x:c r="M71" s="3"/>
      <x:c r="N71" s="19" t="str">
        <x:f>IF(A71="","",IF(COUNTIFS('方案版本'!$A$7:$A$306,A71)&lt;&gt;1,"编号重复",IF(COUNTIFS('问题总览'!$A$7:$A$306,B71)&lt;&gt;1,"问题引用无效",IF(OR(D71="",E71="",F71="",G71="",L71=""),"待补版本信息",IF(AND(C71&lt;&gt;"",OR(C71=A71,COUNTIFS('方案版本'!$A$7:$A$306,C71,'方案版本'!$B$7:$B$306,B71)&lt;&gt;1)),"父方案引用无效",IF(L71="草稿","草稿未冻结",IF(OR(NOT(ISNUMBER(H71)),NOT(ISNUMBER(I71)),J71="",K71="",M71=""),"待补冻结信息",IF(I71&lt;H71,"请核实事后补录","有效输入"))))))))</x:f>
      </x:c>
    </x:row>
    <x:row r="72" ht="25" customHeight="1">
      <x:c r="A72" s="3"/>
      <x:c r="B72" s="3"/>
      <x:c r="C72" s="3"/>
      <x:c r="D72" s="3"/>
      <x:c r="E72" s="3"/>
      <x:c r="F72" s="3"/>
      <x:c r="G72" s="3"/>
      <x:c r="H72" s="25"/>
      <x:c r="I72" s="25"/>
      <x:c r="J72" s="3"/>
      <x:c r="K72" s="3"/>
      <x:c r="L72" s="3"/>
      <x:c r="M72" s="3"/>
      <x:c r="N72" s="19" t="str">
        <x:f>IF(A72="","",IF(COUNTIFS('方案版本'!$A$7:$A$306,A72)&lt;&gt;1,"编号重复",IF(COUNTIFS('问题总览'!$A$7:$A$306,B72)&lt;&gt;1,"问题引用无效",IF(OR(D72="",E72="",F72="",G72="",L72=""),"待补版本信息",IF(AND(C72&lt;&gt;"",OR(C72=A72,COUNTIFS('方案版本'!$A$7:$A$306,C72,'方案版本'!$B$7:$B$306,B72)&lt;&gt;1)),"父方案引用无效",IF(L72="草稿","草稿未冻结",IF(OR(NOT(ISNUMBER(H72)),NOT(ISNUMBER(I72)),J72="",K72="",M72=""),"待补冻结信息",IF(I72&lt;H72,"请核实事后补录","有效输入"))))))))</x:f>
      </x:c>
    </x:row>
    <x:row r="73" ht="25" customHeight="1">
      <x:c r="A73" s="3"/>
      <x:c r="B73" s="3"/>
      <x:c r="C73" s="3"/>
      <x:c r="D73" s="3"/>
      <x:c r="E73" s="3"/>
      <x:c r="F73" s="3"/>
      <x:c r="G73" s="3"/>
      <x:c r="H73" s="25"/>
      <x:c r="I73" s="25"/>
      <x:c r="J73" s="3"/>
      <x:c r="K73" s="3"/>
      <x:c r="L73" s="3"/>
      <x:c r="M73" s="3"/>
      <x:c r="N73" s="19" t="str">
        <x:f>IF(A73="","",IF(COUNTIFS('方案版本'!$A$7:$A$306,A73)&lt;&gt;1,"编号重复",IF(COUNTIFS('问题总览'!$A$7:$A$306,B73)&lt;&gt;1,"问题引用无效",IF(OR(D73="",E73="",F73="",G73="",L73=""),"待补版本信息",IF(AND(C73&lt;&gt;"",OR(C73=A73,COUNTIFS('方案版本'!$A$7:$A$306,C73,'方案版本'!$B$7:$B$306,B73)&lt;&gt;1)),"父方案引用无效",IF(L73="草稿","草稿未冻结",IF(OR(NOT(ISNUMBER(H73)),NOT(ISNUMBER(I73)),J73="",K73="",M73=""),"待补冻结信息",IF(I73&lt;H73,"请核实事后补录","有效输入"))))))))</x:f>
      </x:c>
    </x:row>
    <x:row r="74" ht="25" customHeight="1">
      <x:c r="A74" s="3"/>
      <x:c r="B74" s="3"/>
      <x:c r="C74" s="3"/>
      <x:c r="D74" s="3"/>
      <x:c r="E74" s="3"/>
      <x:c r="F74" s="3"/>
      <x:c r="G74" s="3"/>
      <x:c r="H74" s="25"/>
      <x:c r="I74" s="25"/>
      <x:c r="J74" s="3"/>
      <x:c r="K74" s="3"/>
      <x:c r="L74" s="3"/>
      <x:c r="M74" s="3"/>
      <x:c r="N74" s="19" t="str">
        <x:f>IF(A74="","",IF(COUNTIFS('方案版本'!$A$7:$A$306,A74)&lt;&gt;1,"编号重复",IF(COUNTIFS('问题总览'!$A$7:$A$306,B74)&lt;&gt;1,"问题引用无效",IF(OR(D74="",E74="",F74="",G74="",L74=""),"待补版本信息",IF(AND(C74&lt;&gt;"",OR(C74=A74,COUNTIFS('方案版本'!$A$7:$A$306,C74,'方案版本'!$B$7:$B$306,B74)&lt;&gt;1)),"父方案引用无效",IF(L74="草稿","草稿未冻结",IF(OR(NOT(ISNUMBER(H74)),NOT(ISNUMBER(I74)),J74="",K74="",M74=""),"待补冻结信息",IF(I74&lt;H74,"请核实事后补录","有效输入"))))))))</x:f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25"/>
      <x:c r="I75" s="25"/>
      <x:c r="J75" s="3"/>
      <x:c r="K75" s="3"/>
      <x:c r="L75" s="3"/>
      <x:c r="M75" s="3"/>
      <x:c r="N75" s="19" t="str">
        <x:f>IF(A75="","",IF(COUNTIFS('方案版本'!$A$7:$A$306,A75)&lt;&gt;1,"编号重复",IF(COUNTIFS('问题总览'!$A$7:$A$306,B75)&lt;&gt;1,"问题引用无效",IF(OR(D75="",E75="",F75="",G75="",L75=""),"待补版本信息",IF(AND(C75&lt;&gt;"",OR(C75=A75,COUNTIFS('方案版本'!$A$7:$A$306,C75,'方案版本'!$B$7:$B$306,B75)&lt;&gt;1)),"父方案引用无效",IF(L75="草稿","草稿未冻结",IF(OR(NOT(ISNUMBER(H75)),NOT(ISNUMBER(I75)),J75="",K75="",M75=""),"待补冻结信息",IF(I75&lt;H75,"请核实事后补录","有效输入"))))))))</x:f>
      </x:c>
    </x:row>
    <x:row r="76" ht="25" customHeight="1">
      <x:c r="A76" s="3"/>
      <x:c r="B76" s="3"/>
      <x:c r="C76" s="3"/>
      <x:c r="D76" s="3"/>
      <x:c r="E76" s="3"/>
      <x:c r="F76" s="3"/>
      <x:c r="G76" s="3"/>
      <x:c r="H76" s="25"/>
      <x:c r="I76" s="25"/>
      <x:c r="J76" s="3"/>
      <x:c r="K76" s="3"/>
      <x:c r="L76" s="3"/>
      <x:c r="M76" s="3"/>
      <x:c r="N76" s="19" t="str">
        <x:f>IF(A76="","",IF(COUNTIFS('方案版本'!$A$7:$A$306,A76)&lt;&gt;1,"编号重复",IF(COUNTIFS('问题总览'!$A$7:$A$306,B76)&lt;&gt;1,"问题引用无效",IF(OR(D76="",E76="",F76="",G76="",L76=""),"待补版本信息",IF(AND(C76&lt;&gt;"",OR(C76=A76,COUNTIFS('方案版本'!$A$7:$A$306,C76,'方案版本'!$B$7:$B$306,B76)&lt;&gt;1)),"父方案引用无效",IF(L76="草稿","草稿未冻结",IF(OR(NOT(ISNUMBER(H76)),NOT(ISNUMBER(I76)),J76="",K76="",M76=""),"待补冻结信息",IF(I76&lt;H76,"请核实事后补录","有效输入"))))))))</x:f>
      </x:c>
    </x:row>
    <x:row r="77" ht="25" customHeight="1">
      <x:c r="A77" s="3"/>
      <x:c r="B77" s="3"/>
      <x:c r="C77" s="3"/>
      <x:c r="D77" s="3"/>
      <x:c r="E77" s="3"/>
      <x:c r="F77" s="3"/>
      <x:c r="G77" s="3"/>
      <x:c r="H77" s="25"/>
      <x:c r="I77" s="25"/>
      <x:c r="J77" s="3"/>
      <x:c r="K77" s="3"/>
      <x:c r="L77" s="3"/>
      <x:c r="M77" s="3"/>
      <x:c r="N77" s="19" t="str">
        <x:f>IF(A77="","",IF(COUNTIFS('方案版本'!$A$7:$A$306,A77)&lt;&gt;1,"编号重复",IF(COUNTIFS('问题总览'!$A$7:$A$306,B77)&lt;&gt;1,"问题引用无效",IF(OR(D77="",E77="",F77="",G77="",L77=""),"待补版本信息",IF(AND(C77&lt;&gt;"",OR(C77=A77,COUNTIFS('方案版本'!$A$7:$A$306,C77,'方案版本'!$B$7:$B$306,B77)&lt;&gt;1)),"父方案引用无效",IF(L77="草稿","草稿未冻结",IF(OR(NOT(ISNUMBER(H77)),NOT(ISNUMBER(I77)),J77="",K77="",M77=""),"待补冻结信息",IF(I77&lt;H77,"请核实事后补录","有效输入"))))))))</x:f>
      </x:c>
    </x:row>
    <x:row r="78" ht="25" customHeight="1">
      <x:c r="A78" s="3"/>
      <x:c r="B78" s="3"/>
      <x:c r="C78" s="3"/>
      <x:c r="D78" s="3"/>
      <x:c r="E78" s="3"/>
      <x:c r="F78" s="3"/>
      <x:c r="G78" s="3"/>
      <x:c r="H78" s="25"/>
      <x:c r="I78" s="25"/>
      <x:c r="J78" s="3"/>
      <x:c r="K78" s="3"/>
      <x:c r="L78" s="3"/>
      <x:c r="M78" s="3"/>
      <x:c r="N78" s="19" t="str">
        <x:f>IF(A78="","",IF(COUNTIFS('方案版本'!$A$7:$A$306,A78)&lt;&gt;1,"编号重复",IF(COUNTIFS('问题总览'!$A$7:$A$306,B78)&lt;&gt;1,"问题引用无效",IF(OR(D78="",E78="",F78="",G78="",L78=""),"待补版本信息",IF(AND(C78&lt;&gt;"",OR(C78=A78,COUNTIFS('方案版本'!$A$7:$A$306,C78,'方案版本'!$B$7:$B$306,B78)&lt;&gt;1)),"父方案引用无效",IF(L78="草稿","草稿未冻结",IF(OR(NOT(ISNUMBER(H78)),NOT(ISNUMBER(I78)),J78="",K78="",M78=""),"待补冻结信息",IF(I78&lt;H78,"请核实事后补录","有效输入"))))))))</x:f>
      </x:c>
    </x:row>
    <x:row r="79" ht="25" customHeight="1">
      <x:c r="A79" s="3"/>
      <x:c r="B79" s="3"/>
      <x:c r="C79" s="3"/>
      <x:c r="D79" s="3"/>
      <x:c r="E79" s="3"/>
      <x:c r="F79" s="3"/>
      <x:c r="G79" s="3"/>
      <x:c r="H79" s="25"/>
      <x:c r="I79" s="25"/>
      <x:c r="J79" s="3"/>
      <x:c r="K79" s="3"/>
      <x:c r="L79" s="3"/>
      <x:c r="M79" s="3"/>
      <x:c r="N79" s="19" t="str">
        <x:f>IF(A79="","",IF(COUNTIFS('方案版本'!$A$7:$A$306,A79)&lt;&gt;1,"编号重复",IF(COUNTIFS('问题总览'!$A$7:$A$306,B79)&lt;&gt;1,"问题引用无效",IF(OR(D79="",E79="",F79="",G79="",L79=""),"待补版本信息",IF(AND(C79&lt;&gt;"",OR(C79=A79,COUNTIFS('方案版本'!$A$7:$A$306,C79,'方案版本'!$B$7:$B$306,B79)&lt;&gt;1)),"父方案引用无效",IF(L79="草稿","草稿未冻结",IF(OR(NOT(ISNUMBER(H79)),NOT(ISNUMBER(I79)),J79="",K79="",M79=""),"待补冻结信息",IF(I79&lt;H79,"请核实事后补录","有效输入"))))))))</x:f>
      </x:c>
    </x:row>
    <x:row r="80" ht="25" customHeight="1">
      <x:c r="A80" s="3"/>
      <x:c r="B80" s="3"/>
      <x:c r="C80" s="3"/>
      <x:c r="D80" s="3"/>
      <x:c r="E80" s="3"/>
      <x:c r="F80" s="3"/>
      <x:c r="G80" s="3"/>
      <x:c r="H80" s="25"/>
      <x:c r="I80" s="25"/>
      <x:c r="J80" s="3"/>
      <x:c r="K80" s="3"/>
      <x:c r="L80" s="3"/>
      <x:c r="M80" s="3"/>
      <x:c r="N80" s="19" t="str">
        <x:f>IF(A80="","",IF(COUNTIFS('方案版本'!$A$7:$A$306,A80)&lt;&gt;1,"编号重复",IF(COUNTIFS('问题总览'!$A$7:$A$306,B80)&lt;&gt;1,"问题引用无效",IF(OR(D80="",E80="",F80="",G80="",L80=""),"待补版本信息",IF(AND(C80&lt;&gt;"",OR(C80=A80,COUNTIFS('方案版本'!$A$7:$A$306,C80,'方案版本'!$B$7:$B$306,B80)&lt;&gt;1)),"父方案引用无效",IF(L80="草稿","草稿未冻结",IF(OR(NOT(ISNUMBER(H80)),NOT(ISNUMBER(I80)),J80="",K80="",M80=""),"待补冻结信息",IF(I80&lt;H80,"请核实事后补录","有效输入"))))))))</x:f>
      </x:c>
    </x:row>
    <x:row r="81" ht="25" customHeight="1">
      <x:c r="A81" s="3"/>
      <x:c r="B81" s="3"/>
      <x:c r="C81" s="3"/>
      <x:c r="D81" s="3"/>
      <x:c r="E81" s="3"/>
      <x:c r="F81" s="3"/>
      <x:c r="G81" s="3"/>
      <x:c r="H81" s="25"/>
      <x:c r="I81" s="25"/>
      <x:c r="J81" s="3"/>
      <x:c r="K81" s="3"/>
      <x:c r="L81" s="3"/>
      <x:c r="M81" s="3"/>
      <x:c r="N81" s="19" t="str">
        <x:f>IF(A81="","",IF(COUNTIFS('方案版本'!$A$7:$A$306,A81)&lt;&gt;1,"编号重复",IF(COUNTIFS('问题总览'!$A$7:$A$306,B81)&lt;&gt;1,"问题引用无效",IF(OR(D81="",E81="",F81="",G81="",L81=""),"待补版本信息",IF(AND(C81&lt;&gt;"",OR(C81=A81,COUNTIFS('方案版本'!$A$7:$A$306,C81,'方案版本'!$B$7:$B$306,B81)&lt;&gt;1)),"父方案引用无效",IF(L81="草稿","草稿未冻结",IF(OR(NOT(ISNUMBER(H81)),NOT(ISNUMBER(I81)),J81="",K81="",M81=""),"待补冻结信息",IF(I81&lt;H81,"请核实事后补录","有效输入"))))))))</x:f>
      </x:c>
    </x:row>
    <x:row r="82" ht="25" customHeight="1">
      <x:c r="A82" s="3"/>
      <x:c r="B82" s="3"/>
      <x:c r="C82" s="3"/>
      <x:c r="D82" s="3"/>
      <x:c r="E82" s="3"/>
      <x:c r="F82" s="3"/>
      <x:c r="G82" s="3"/>
      <x:c r="H82" s="25"/>
      <x:c r="I82" s="25"/>
      <x:c r="J82" s="3"/>
      <x:c r="K82" s="3"/>
      <x:c r="L82" s="3"/>
      <x:c r="M82" s="3"/>
      <x:c r="N82" s="19" t="str">
        <x:f>IF(A82="","",IF(COUNTIFS('方案版本'!$A$7:$A$306,A82)&lt;&gt;1,"编号重复",IF(COUNTIFS('问题总览'!$A$7:$A$306,B82)&lt;&gt;1,"问题引用无效",IF(OR(D82="",E82="",F82="",G82="",L82=""),"待补版本信息",IF(AND(C82&lt;&gt;"",OR(C82=A82,COUNTIFS('方案版本'!$A$7:$A$306,C82,'方案版本'!$B$7:$B$306,B82)&lt;&gt;1)),"父方案引用无效",IF(L82="草稿","草稿未冻结",IF(OR(NOT(ISNUMBER(H82)),NOT(ISNUMBER(I82)),J82="",K82="",M82=""),"待补冻结信息",IF(I82&lt;H82,"请核实事后补录","有效输入"))))))))</x:f>
      </x:c>
    </x:row>
    <x:row r="83" ht="25" customHeight="1">
      <x:c r="A83" s="3"/>
      <x:c r="B83" s="3"/>
      <x:c r="C83" s="3"/>
      <x:c r="D83" s="3"/>
      <x:c r="E83" s="3"/>
      <x:c r="F83" s="3"/>
      <x:c r="G83" s="3"/>
      <x:c r="H83" s="25"/>
      <x:c r="I83" s="25"/>
      <x:c r="J83" s="3"/>
      <x:c r="K83" s="3"/>
      <x:c r="L83" s="3"/>
      <x:c r="M83" s="3"/>
      <x:c r="N83" s="19" t="str">
        <x:f>IF(A83="","",IF(COUNTIFS('方案版本'!$A$7:$A$306,A83)&lt;&gt;1,"编号重复",IF(COUNTIFS('问题总览'!$A$7:$A$306,B83)&lt;&gt;1,"问题引用无效",IF(OR(D83="",E83="",F83="",G83="",L83=""),"待补版本信息",IF(AND(C83&lt;&gt;"",OR(C83=A83,COUNTIFS('方案版本'!$A$7:$A$306,C83,'方案版本'!$B$7:$B$306,B83)&lt;&gt;1)),"父方案引用无效",IF(L83="草稿","草稿未冻结",IF(OR(NOT(ISNUMBER(H83)),NOT(ISNUMBER(I83)),J83="",K83="",M83=""),"待补冻结信息",IF(I83&lt;H83,"请核实事后补录","有效输入"))))))))</x:f>
      </x:c>
    </x:row>
    <x:row r="84" ht="25" customHeight="1">
      <x:c r="A84" s="3"/>
      <x:c r="B84" s="3"/>
      <x:c r="C84" s="3"/>
      <x:c r="D84" s="3"/>
      <x:c r="E84" s="3"/>
      <x:c r="F84" s="3"/>
      <x:c r="G84" s="3"/>
      <x:c r="H84" s="25"/>
      <x:c r="I84" s="25"/>
      <x:c r="J84" s="3"/>
      <x:c r="K84" s="3"/>
      <x:c r="L84" s="3"/>
      <x:c r="M84" s="3"/>
      <x:c r="N84" s="19" t="str">
        <x:f>IF(A84="","",IF(COUNTIFS('方案版本'!$A$7:$A$306,A84)&lt;&gt;1,"编号重复",IF(COUNTIFS('问题总览'!$A$7:$A$306,B84)&lt;&gt;1,"问题引用无效",IF(OR(D84="",E84="",F84="",G84="",L84=""),"待补版本信息",IF(AND(C84&lt;&gt;"",OR(C84=A84,COUNTIFS('方案版本'!$A$7:$A$306,C84,'方案版本'!$B$7:$B$306,B84)&lt;&gt;1)),"父方案引用无效",IF(L84="草稿","草稿未冻结",IF(OR(NOT(ISNUMBER(H84)),NOT(ISNUMBER(I84)),J84="",K84="",M84=""),"待补冻结信息",IF(I84&lt;H84,"请核实事后补录","有效输入"))))))))</x:f>
      </x:c>
    </x:row>
    <x:row r="85" ht="25" customHeight="1">
      <x:c r="A85" s="3"/>
      <x:c r="B85" s="3"/>
      <x:c r="C85" s="3"/>
      <x:c r="D85" s="3"/>
      <x:c r="E85" s="3"/>
      <x:c r="F85" s="3"/>
      <x:c r="G85" s="3"/>
      <x:c r="H85" s="25"/>
      <x:c r="I85" s="25"/>
      <x:c r="J85" s="3"/>
      <x:c r="K85" s="3"/>
      <x:c r="L85" s="3"/>
      <x:c r="M85" s="3"/>
      <x:c r="N85" s="19" t="str">
        <x:f>IF(A85="","",IF(COUNTIFS('方案版本'!$A$7:$A$306,A85)&lt;&gt;1,"编号重复",IF(COUNTIFS('问题总览'!$A$7:$A$306,B85)&lt;&gt;1,"问题引用无效",IF(OR(D85="",E85="",F85="",G85="",L85=""),"待补版本信息",IF(AND(C85&lt;&gt;"",OR(C85=A85,COUNTIFS('方案版本'!$A$7:$A$306,C85,'方案版本'!$B$7:$B$306,B85)&lt;&gt;1)),"父方案引用无效",IF(L85="草稿","草稿未冻结",IF(OR(NOT(ISNUMBER(H85)),NOT(ISNUMBER(I85)),J85="",K85="",M85=""),"待补冻结信息",IF(I85&lt;H85,"请核实事后补录","有效输入"))))))))</x:f>
      </x:c>
    </x:row>
    <x:row r="86" ht="25" customHeight="1">
      <x:c r="A86" s="3"/>
      <x:c r="B86" s="3"/>
      <x:c r="C86" s="3"/>
      <x:c r="D86" s="3"/>
      <x:c r="E86" s="3"/>
      <x:c r="F86" s="3"/>
      <x:c r="G86" s="3"/>
      <x:c r="H86" s="25"/>
      <x:c r="I86" s="25"/>
      <x:c r="J86" s="3"/>
      <x:c r="K86" s="3"/>
      <x:c r="L86" s="3"/>
      <x:c r="M86" s="3"/>
      <x:c r="N86" s="19" t="str">
        <x:f>IF(A86="","",IF(COUNTIFS('方案版本'!$A$7:$A$306,A86)&lt;&gt;1,"编号重复",IF(COUNTIFS('问题总览'!$A$7:$A$306,B86)&lt;&gt;1,"问题引用无效",IF(OR(D86="",E86="",F86="",G86="",L86=""),"待补版本信息",IF(AND(C86&lt;&gt;"",OR(C86=A86,COUNTIFS('方案版本'!$A$7:$A$306,C86,'方案版本'!$B$7:$B$306,B86)&lt;&gt;1)),"父方案引用无效",IF(L86="草稿","草稿未冻结",IF(OR(NOT(ISNUMBER(H86)),NOT(ISNUMBER(I86)),J86="",K86="",M86=""),"待补冻结信息",IF(I86&lt;H86,"请核实事后补录","有效输入"))))))))</x:f>
      </x:c>
    </x:row>
    <x:row r="87" ht="25" customHeight="1">
      <x:c r="A87" s="3"/>
      <x:c r="B87" s="3"/>
      <x:c r="C87" s="3"/>
      <x:c r="D87" s="3"/>
      <x:c r="E87" s="3"/>
      <x:c r="F87" s="3"/>
      <x:c r="G87" s="3"/>
      <x:c r="H87" s="25"/>
      <x:c r="I87" s="25"/>
      <x:c r="J87" s="3"/>
      <x:c r="K87" s="3"/>
      <x:c r="L87" s="3"/>
      <x:c r="M87" s="3"/>
      <x:c r="N87" s="19" t="str">
        <x:f>IF(A87="","",IF(COUNTIFS('方案版本'!$A$7:$A$306,A87)&lt;&gt;1,"编号重复",IF(COUNTIFS('问题总览'!$A$7:$A$306,B87)&lt;&gt;1,"问题引用无效",IF(OR(D87="",E87="",F87="",G87="",L87=""),"待补版本信息",IF(AND(C87&lt;&gt;"",OR(C87=A87,COUNTIFS('方案版本'!$A$7:$A$306,C87,'方案版本'!$B$7:$B$306,B87)&lt;&gt;1)),"父方案引用无效",IF(L87="草稿","草稿未冻结",IF(OR(NOT(ISNUMBER(H87)),NOT(ISNUMBER(I87)),J87="",K87="",M87=""),"待补冻结信息",IF(I87&lt;H87,"请核实事后补录","有效输入"))))))))</x:f>
      </x:c>
    </x:row>
    <x:row r="88" ht="25" customHeight="1">
      <x:c r="A88" s="3"/>
      <x:c r="B88" s="3"/>
      <x:c r="C88" s="3"/>
      <x:c r="D88" s="3"/>
      <x:c r="E88" s="3"/>
      <x:c r="F88" s="3"/>
      <x:c r="G88" s="3"/>
      <x:c r="H88" s="25"/>
      <x:c r="I88" s="25"/>
      <x:c r="J88" s="3"/>
      <x:c r="K88" s="3"/>
      <x:c r="L88" s="3"/>
      <x:c r="M88" s="3"/>
      <x:c r="N88" s="19" t="str">
        <x:f>IF(A88="","",IF(COUNTIFS('方案版本'!$A$7:$A$306,A88)&lt;&gt;1,"编号重复",IF(COUNTIFS('问题总览'!$A$7:$A$306,B88)&lt;&gt;1,"问题引用无效",IF(OR(D88="",E88="",F88="",G88="",L88=""),"待补版本信息",IF(AND(C88&lt;&gt;"",OR(C88=A88,COUNTIFS('方案版本'!$A$7:$A$306,C88,'方案版本'!$B$7:$B$306,B88)&lt;&gt;1)),"父方案引用无效",IF(L88="草稿","草稿未冻结",IF(OR(NOT(ISNUMBER(H88)),NOT(ISNUMBER(I88)),J88="",K88="",M88=""),"待补冻结信息",IF(I88&lt;H88,"请核实事后补录","有效输入"))))))))</x:f>
      </x:c>
    </x:row>
    <x:row r="89" ht="25" customHeight="1">
      <x:c r="A89" s="3"/>
      <x:c r="B89" s="3"/>
      <x:c r="C89" s="3"/>
      <x:c r="D89" s="3"/>
      <x:c r="E89" s="3"/>
      <x:c r="F89" s="3"/>
      <x:c r="G89" s="3"/>
      <x:c r="H89" s="25"/>
      <x:c r="I89" s="25"/>
      <x:c r="J89" s="3"/>
      <x:c r="K89" s="3"/>
      <x:c r="L89" s="3"/>
      <x:c r="M89" s="3"/>
      <x:c r="N89" s="19" t="str">
        <x:f>IF(A89="","",IF(COUNTIFS('方案版本'!$A$7:$A$306,A89)&lt;&gt;1,"编号重复",IF(COUNTIFS('问题总览'!$A$7:$A$306,B89)&lt;&gt;1,"问题引用无效",IF(OR(D89="",E89="",F89="",G89="",L89=""),"待补版本信息",IF(AND(C89&lt;&gt;"",OR(C89=A89,COUNTIFS('方案版本'!$A$7:$A$306,C89,'方案版本'!$B$7:$B$306,B89)&lt;&gt;1)),"父方案引用无效",IF(L89="草稿","草稿未冻结",IF(OR(NOT(ISNUMBER(H89)),NOT(ISNUMBER(I89)),J89="",K89="",M89=""),"待补冻结信息",IF(I89&lt;H89,"请核实事后补录","有效输入"))))))))</x:f>
      </x:c>
    </x:row>
    <x:row r="90" ht="25" customHeight="1">
      <x:c r="A90" s="3"/>
      <x:c r="B90" s="3"/>
      <x:c r="C90" s="3"/>
      <x:c r="D90" s="3"/>
      <x:c r="E90" s="3"/>
      <x:c r="F90" s="3"/>
      <x:c r="G90" s="3"/>
      <x:c r="H90" s="25"/>
      <x:c r="I90" s="25"/>
      <x:c r="J90" s="3"/>
      <x:c r="K90" s="3"/>
      <x:c r="L90" s="3"/>
      <x:c r="M90" s="3"/>
      <x:c r="N90" s="19" t="str">
        <x:f>IF(A90="","",IF(COUNTIFS('方案版本'!$A$7:$A$306,A90)&lt;&gt;1,"编号重复",IF(COUNTIFS('问题总览'!$A$7:$A$306,B90)&lt;&gt;1,"问题引用无效",IF(OR(D90="",E90="",F90="",G90="",L90=""),"待补版本信息",IF(AND(C90&lt;&gt;"",OR(C90=A90,COUNTIFS('方案版本'!$A$7:$A$306,C90,'方案版本'!$B$7:$B$306,B90)&lt;&gt;1)),"父方案引用无效",IF(L90="草稿","草稿未冻结",IF(OR(NOT(ISNUMBER(H90)),NOT(ISNUMBER(I90)),J90="",K90="",M90=""),"待补冻结信息",IF(I90&lt;H90,"请核实事后补录","有效输入"))))))))</x:f>
      </x:c>
    </x:row>
    <x:row r="91" ht="25" customHeight="1">
      <x:c r="A91" s="3"/>
      <x:c r="B91" s="3"/>
      <x:c r="C91" s="3"/>
      <x:c r="D91" s="3"/>
      <x:c r="E91" s="3"/>
      <x:c r="F91" s="3"/>
      <x:c r="G91" s="3"/>
      <x:c r="H91" s="25"/>
      <x:c r="I91" s="25"/>
      <x:c r="J91" s="3"/>
      <x:c r="K91" s="3"/>
      <x:c r="L91" s="3"/>
      <x:c r="M91" s="3"/>
      <x:c r="N91" s="19" t="str">
        <x:f>IF(A91="","",IF(COUNTIFS('方案版本'!$A$7:$A$306,A91)&lt;&gt;1,"编号重复",IF(COUNTIFS('问题总览'!$A$7:$A$306,B91)&lt;&gt;1,"问题引用无效",IF(OR(D91="",E91="",F91="",G91="",L91=""),"待补版本信息",IF(AND(C91&lt;&gt;"",OR(C91=A91,COUNTIFS('方案版本'!$A$7:$A$306,C91,'方案版本'!$B$7:$B$306,B91)&lt;&gt;1)),"父方案引用无效",IF(L91="草稿","草稿未冻结",IF(OR(NOT(ISNUMBER(H91)),NOT(ISNUMBER(I91)),J91="",K91="",M91=""),"待补冻结信息",IF(I91&lt;H91,"请核实事后补录","有效输入"))))))))</x:f>
      </x:c>
    </x:row>
    <x:row r="92" ht="25" customHeight="1">
      <x:c r="A92" s="3"/>
      <x:c r="B92" s="3"/>
      <x:c r="C92" s="3"/>
      <x:c r="D92" s="3"/>
      <x:c r="E92" s="3"/>
      <x:c r="F92" s="3"/>
      <x:c r="G92" s="3"/>
      <x:c r="H92" s="25"/>
      <x:c r="I92" s="25"/>
      <x:c r="J92" s="3"/>
      <x:c r="K92" s="3"/>
      <x:c r="L92" s="3"/>
      <x:c r="M92" s="3"/>
      <x:c r="N92" s="19" t="str">
        <x:f>IF(A92="","",IF(COUNTIFS('方案版本'!$A$7:$A$306,A92)&lt;&gt;1,"编号重复",IF(COUNTIFS('问题总览'!$A$7:$A$306,B92)&lt;&gt;1,"问题引用无效",IF(OR(D92="",E92="",F92="",G92="",L92=""),"待补版本信息",IF(AND(C92&lt;&gt;"",OR(C92=A92,COUNTIFS('方案版本'!$A$7:$A$306,C92,'方案版本'!$B$7:$B$306,B92)&lt;&gt;1)),"父方案引用无效",IF(L92="草稿","草稿未冻结",IF(OR(NOT(ISNUMBER(H92)),NOT(ISNUMBER(I92)),J92="",K92="",M92=""),"待补冻结信息",IF(I92&lt;H92,"请核实事后补录","有效输入"))))))))</x:f>
      </x:c>
    </x:row>
    <x:row r="93" ht="25" customHeight="1">
      <x:c r="A93" s="3"/>
      <x:c r="B93" s="3"/>
      <x:c r="C93" s="3"/>
      <x:c r="D93" s="3"/>
      <x:c r="E93" s="3"/>
      <x:c r="F93" s="3"/>
      <x:c r="G93" s="3"/>
      <x:c r="H93" s="25"/>
      <x:c r="I93" s="25"/>
      <x:c r="J93" s="3"/>
      <x:c r="K93" s="3"/>
      <x:c r="L93" s="3"/>
      <x:c r="M93" s="3"/>
      <x:c r="N93" s="19" t="str">
        <x:f>IF(A93="","",IF(COUNTIFS('方案版本'!$A$7:$A$306,A93)&lt;&gt;1,"编号重复",IF(COUNTIFS('问题总览'!$A$7:$A$306,B93)&lt;&gt;1,"问题引用无效",IF(OR(D93="",E93="",F93="",G93="",L93=""),"待补版本信息",IF(AND(C93&lt;&gt;"",OR(C93=A93,COUNTIFS('方案版本'!$A$7:$A$306,C93,'方案版本'!$B$7:$B$306,B93)&lt;&gt;1)),"父方案引用无效",IF(L93="草稿","草稿未冻结",IF(OR(NOT(ISNUMBER(H93)),NOT(ISNUMBER(I93)),J93="",K93="",M93=""),"待补冻结信息",IF(I93&lt;H93,"请核实事后补录","有效输入"))))))))</x:f>
      </x:c>
    </x:row>
    <x:row r="94" ht="25" customHeight="1">
      <x:c r="A94" s="3"/>
      <x:c r="B94" s="3"/>
      <x:c r="C94" s="3"/>
      <x:c r="D94" s="3"/>
      <x:c r="E94" s="3"/>
      <x:c r="F94" s="3"/>
      <x:c r="G94" s="3"/>
      <x:c r="H94" s="25"/>
      <x:c r="I94" s="25"/>
      <x:c r="J94" s="3"/>
      <x:c r="K94" s="3"/>
      <x:c r="L94" s="3"/>
      <x:c r="M94" s="3"/>
      <x:c r="N94" s="19" t="str">
        <x:f>IF(A94="","",IF(COUNTIFS('方案版本'!$A$7:$A$306,A94)&lt;&gt;1,"编号重复",IF(COUNTIFS('问题总览'!$A$7:$A$306,B94)&lt;&gt;1,"问题引用无效",IF(OR(D94="",E94="",F94="",G94="",L94=""),"待补版本信息",IF(AND(C94&lt;&gt;"",OR(C94=A94,COUNTIFS('方案版本'!$A$7:$A$306,C94,'方案版本'!$B$7:$B$306,B94)&lt;&gt;1)),"父方案引用无效",IF(L94="草稿","草稿未冻结",IF(OR(NOT(ISNUMBER(H94)),NOT(ISNUMBER(I94)),J94="",K94="",M94=""),"待补冻结信息",IF(I94&lt;H94,"请核实事后补录","有效输入"))))))))</x:f>
      </x:c>
    </x:row>
    <x:row r="95" ht="25" customHeight="1">
      <x:c r="A95" s="3"/>
      <x:c r="B95" s="3"/>
      <x:c r="C95" s="3"/>
      <x:c r="D95" s="3"/>
      <x:c r="E95" s="3"/>
      <x:c r="F95" s="3"/>
      <x:c r="G95" s="3"/>
      <x:c r="H95" s="25"/>
      <x:c r="I95" s="25"/>
      <x:c r="J95" s="3"/>
      <x:c r="K95" s="3"/>
      <x:c r="L95" s="3"/>
      <x:c r="M95" s="3"/>
      <x:c r="N95" s="19" t="str">
        <x:f>IF(A95="","",IF(COUNTIFS('方案版本'!$A$7:$A$306,A95)&lt;&gt;1,"编号重复",IF(COUNTIFS('问题总览'!$A$7:$A$306,B95)&lt;&gt;1,"问题引用无效",IF(OR(D95="",E95="",F95="",G95="",L95=""),"待补版本信息",IF(AND(C95&lt;&gt;"",OR(C95=A95,COUNTIFS('方案版本'!$A$7:$A$306,C95,'方案版本'!$B$7:$B$306,B95)&lt;&gt;1)),"父方案引用无效",IF(L95="草稿","草稿未冻结",IF(OR(NOT(ISNUMBER(H95)),NOT(ISNUMBER(I95)),J95="",K95="",M95=""),"待补冻结信息",IF(I95&lt;H95,"请核实事后补录","有效输入"))))))))</x:f>
      </x:c>
    </x:row>
    <x:row r="96" ht="25" customHeight="1">
      <x:c r="A96" s="3"/>
      <x:c r="B96" s="3"/>
      <x:c r="C96" s="3"/>
      <x:c r="D96" s="3"/>
      <x:c r="E96" s="3"/>
      <x:c r="F96" s="3"/>
      <x:c r="G96" s="3"/>
      <x:c r="H96" s="25"/>
      <x:c r="I96" s="25"/>
      <x:c r="J96" s="3"/>
      <x:c r="K96" s="3"/>
      <x:c r="L96" s="3"/>
      <x:c r="M96" s="3"/>
      <x:c r="N96" s="19" t="str">
        <x:f>IF(A96="","",IF(COUNTIFS('方案版本'!$A$7:$A$306,A96)&lt;&gt;1,"编号重复",IF(COUNTIFS('问题总览'!$A$7:$A$306,B96)&lt;&gt;1,"问题引用无效",IF(OR(D96="",E96="",F96="",G96="",L96=""),"待补版本信息",IF(AND(C96&lt;&gt;"",OR(C96=A96,COUNTIFS('方案版本'!$A$7:$A$306,C96,'方案版本'!$B$7:$B$306,B96)&lt;&gt;1)),"父方案引用无效",IF(L96="草稿","草稿未冻结",IF(OR(NOT(ISNUMBER(H96)),NOT(ISNUMBER(I96)),J96="",K96="",M96=""),"待补冻结信息",IF(I96&lt;H96,"请核实事后补录","有效输入"))))))))</x:f>
      </x:c>
    </x:row>
    <x:row r="97" ht="25" customHeight="1">
      <x:c r="A97" s="3"/>
      <x:c r="B97" s="3"/>
      <x:c r="C97" s="3"/>
      <x:c r="D97" s="3"/>
      <x:c r="E97" s="3"/>
      <x:c r="F97" s="3"/>
      <x:c r="G97" s="3"/>
      <x:c r="H97" s="25"/>
      <x:c r="I97" s="25"/>
      <x:c r="J97" s="3"/>
      <x:c r="K97" s="3"/>
      <x:c r="L97" s="3"/>
      <x:c r="M97" s="3"/>
      <x:c r="N97" s="19" t="str">
        <x:f>IF(A97="","",IF(COUNTIFS('方案版本'!$A$7:$A$306,A97)&lt;&gt;1,"编号重复",IF(COUNTIFS('问题总览'!$A$7:$A$306,B97)&lt;&gt;1,"问题引用无效",IF(OR(D97="",E97="",F97="",G97="",L97=""),"待补版本信息",IF(AND(C97&lt;&gt;"",OR(C97=A97,COUNTIFS('方案版本'!$A$7:$A$306,C97,'方案版本'!$B$7:$B$306,B97)&lt;&gt;1)),"父方案引用无效",IF(L97="草稿","草稿未冻结",IF(OR(NOT(ISNUMBER(H97)),NOT(ISNUMBER(I97)),J97="",K97="",M97=""),"待补冻结信息",IF(I97&lt;H97,"请核实事后补录","有效输入"))))))))</x:f>
      </x:c>
    </x:row>
    <x:row r="98" ht="25" customHeight="1">
      <x:c r="A98" s="3"/>
      <x:c r="B98" s="3"/>
      <x:c r="C98" s="3"/>
      <x:c r="D98" s="3"/>
      <x:c r="E98" s="3"/>
      <x:c r="F98" s="3"/>
      <x:c r="G98" s="3"/>
      <x:c r="H98" s="25"/>
      <x:c r="I98" s="25"/>
      <x:c r="J98" s="3"/>
      <x:c r="K98" s="3"/>
      <x:c r="L98" s="3"/>
      <x:c r="M98" s="3"/>
      <x:c r="N98" s="19" t="str">
        <x:f>IF(A98="","",IF(COUNTIFS('方案版本'!$A$7:$A$306,A98)&lt;&gt;1,"编号重复",IF(COUNTIFS('问题总览'!$A$7:$A$306,B98)&lt;&gt;1,"问题引用无效",IF(OR(D98="",E98="",F98="",G98="",L98=""),"待补版本信息",IF(AND(C98&lt;&gt;"",OR(C98=A98,COUNTIFS('方案版本'!$A$7:$A$306,C98,'方案版本'!$B$7:$B$306,B98)&lt;&gt;1)),"父方案引用无效",IF(L98="草稿","草稿未冻结",IF(OR(NOT(ISNUMBER(H98)),NOT(ISNUMBER(I98)),J98="",K98="",M98=""),"待补冻结信息",IF(I98&lt;H98,"请核实事后补录","有效输入"))))))))</x:f>
      </x:c>
    </x:row>
    <x:row r="99" ht="25" customHeight="1">
      <x:c r="A99" s="3"/>
      <x:c r="B99" s="3"/>
      <x:c r="C99" s="3"/>
      <x:c r="D99" s="3"/>
      <x:c r="E99" s="3"/>
      <x:c r="F99" s="3"/>
      <x:c r="G99" s="3"/>
      <x:c r="H99" s="25"/>
      <x:c r="I99" s="25"/>
      <x:c r="J99" s="3"/>
      <x:c r="K99" s="3"/>
      <x:c r="L99" s="3"/>
      <x:c r="M99" s="3"/>
      <x:c r="N99" s="19" t="str">
        <x:f>IF(A99="","",IF(COUNTIFS('方案版本'!$A$7:$A$306,A99)&lt;&gt;1,"编号重复",IF(COUNTIFS('问题总览'!$A$7:$A$306,B99)&lt;&gt;1,"问题引用无效",IF(OR(D99="",E99="",F99="",G99="",L99=""),"待补版本信息",IF(AND(C99&lt;&gt;"",OR(C99=A99,COUNTIFS('方案版本'!$A$7:$A$306,C99,'方案版本'!$B$7:$B$306,B99)&lt;&gt;1)),"父方案引用无效",IF(L99="草稿","草稿未冻结",IF(OR(NOT(ISNUMBER(H99)),NOT(ISNUMBER(I99)),J99="",K99="",M99=""),"待补冻结信息",IF(I99&lt;H99,"请核实事后补录","有效输入"))))))))</x:f>
      </x:c>
    </x:row>
    <x:row r="100" ht="25" customHeight="1">
      <x:c r="A100" s="3"/>
      <x:c r="B100" s="3"/>
      <x:c r="C100" s="3"/>
      <x:c r="D100" s="3"/>
      <x:c r="E100" s="3"/>
      <x:c r="F100" s="3"/>
      <x:c r="G100" s="3"/>
      <x:c r="H100" s="25"/>
      <x:c r="I100" s="25"/>
      <x:c r="J100" s="3"/>
      <x:c r="K100" s="3"/>
      <x:c r="L100" s="3"/>
      <x:c r="M100" s="3"/>
      <x:c r="N100" s="19" t="str">
        <x:f>IF(A100="","",IF(COUNTIFS('方案版本'!$A$7:$A$306,A100)&lt;&gt;1,"编号重复",IF(COUNTIFS('问题总览'!$A$7:$A$306,B100)&lt;&gt;1,"问题引用无效",IF(OR(D100="",E100="",F100="",G100="",L100=""),"待补版本信息",IF(AND(C100&lt;&gt;"",OR(C100=A100,COUNTIFS('方案版本'!$A$7:$A$306,C100,'方案版本'!$B$7:$B$306,B100)&lt;&gt;1)),"父方案引用无效",IF(L100="草稿","草稿未冻结",IF(OR(NOT(ISNUMBER(H100)),NOT(ISNUMBER(I100)),J100="",K100="",M100=""),"待补冻结信息",IF(I100&lt;H100,"请核实事后补录","有效输入"))))))))</x:f>
      </x:c>
    </x:row>
    <x:row r="101" ht="25" customHeight="1">
      <x:c r="A101" s="3"/>
      <x:c r="B101" s="3"/>
      <x:c r="C101" s="3"/>
      <x:c r="D101" s="3"/>
      <x:c r="E101" s="3"/>
      <x:c r="F101" s="3"/>
      <x:c r="G101" s="3"/>
      <x:c r="H101" s="25"/>
      <x:c r="I101" s="25"/>
      <x:c r="J101" s="3"/>
      <x:c r="K101" s="3"/>
      <x:c r="L101" s="3"/>
      <x:c r="M101" s="3"/>
      <x:c r="N101" s="19" t="str">
        <x:f>IF(A101="","",IF(COUNTIFS('方案版本'!$A$7:$A$306,A101)&lt;&gt;1,"编号重复",IF(COUNTIFS('问题总览'!$A$7:$A$306,B101)&lt;&gt;1,"问题引用无效",IF(OR(D101="",E101="",F101="",G101="",L101=""),"待补版本信息",IF(AND(C101&lt;&gt;"",OR(C101=A101,COUNTIFS('方案版本'!$A$7:$A$306,C101,'方案版本'!$B$7:$B$306,B101)&lt;&gt;1)),"父方案引用无效",IF(L101="草稿","草稿未冻结",IF(OR(NOT(ISNUMBER(H101)),NOT(ISNUMBER(I101)),J101="",K101="",M101=""),"待补冻结信息",IF(I101&lt;H101,"请核实事后补录","有效输入"))))))))</x:f>
      </x:c>
    </x:row>
    <x:row r="102" ht="25" customHeight="1">
      <x:c r="A102" s="3"/>
      <x:c r="B102" s="3"/>
      <x:c r="C102" s="3"/>
      <x:c r="D102" s="3"/>
      <x:c r="E102" s="3"/>
      <x:c r="F102" s="3"/>
      <x:c r="G102" s="3"/>
      <x:c r="H102" s="25"/>
      <x:c r="I102" s="25"/>
      <x:c r="J102" s="3"/>
      <x:c r="K102" s="3"/>
      <x:c r="L102" s="3"/>
      <x:c r="M102" s="3"/>
      <x:c r="N102" s="19" t="str">
        <x:f>IF(A102="","",IF(COUNTIFS('方案版本'!$A$7:$A$306,A102)&lt;&gt;1,"编号重复",IF(COUNTIFS('问题总览'!$A$7:$A$306,B102)&lt;&gt;1,"问题引用无效",IF(OR(D102="",E102="",F102="",G102="",L102=""),"待补版本信息",IF(AND(C102&lt;&gt;"",OR(C102=A102,COUNTIFS('方案版本'!$A$7:$A$306,C102,'方案版本'!$B$7:$B$306,B102)&lt;&gt;1)),"父方案引用无效",IF(L102="草稿","草稿未冻结",IF(OR(NOT(ISNUMBER(H102)),NOT(ISNUMBER(I102)),J102="",K102="",M102=""),"待补冻结信息",IF(I102&lt;H102,"请核实事后补录","有效输入"))))))))</x:f>
      </x:c>
    </x:row>
    <x:row r="103" ht="25" customHeight="1">
      <x:c r="A103" s="3"/>
      <x:c r="B103" s="3"/>
      <x:c r="C103" s="3"/>
      <x:c r="D103" s="3"/>
      <x:c r="E103" s="3"/>
      <x:c r="F103" s="3"/>
      <x:c r="G103" s="3"/>
      <x:c r="H103" s="25"/>
      <x:c r="I103" s="25"/>
      <x:c r="J103" s="3"/>
      <x:c r="K103" s="3"/>
      <x:c r="L103" s="3"/>
      <x:c r="M103" s="3"/>
      <x:c r="N103" s="19" t="str">
        <x:f>IF(A103="","",IF(COUNTIFS('方案版本'!$A$7:$A$306,A103)&lt;&gt;1,"编号重复",IF(COUNTIFS('问题总览'!$A$7:$A$306,B103)&lt;&gt;1,"问题引用无效",IF(OR(D103="",E103="",F103="",G103="",L103=""),"待补版本信息",IF(AND(C103&lt;&gt;"",OR(C103=A103,COUNTIFS('方案版本'!$A$7:$A$306,C103,'方案版本'!$B$7:$B$306,B103)&lt;&gt;1)),"父方案引用无效",IF(L103="草稿","草稿未冻结",IF(OR(NOT(ISNUMBER(H103)),NOT(ISNUMBER(I103)),J103="",K103="",M103=""),"待补冻结信息",IF(I103&lt;H103,"请核实事后补录","有效输入"))))))))</x:f>
      </x:c>
    </x:row>
    <x:row r="104" ht="25" customHeight="1">
      <x:c r="A104" s="3"/>
      <x:c r="B104" s="3"/>
      <x:c r="C104" s="3"/>
      <x:c r="D104" s="3"/>
      <x:c r="E104" s="3"/>
      <x:c r="F104" s="3"/>
      <x:c r="G104" s="3"/>
      <x:c r="H104" s="25"/>
      <x:c r="I104" s="25"/>
      <x:c r="J104" s="3"/>
      <x:c r="K104" s="3"/>
      <x:c r="L104" s="3"/>
      <x:c r="M104" s="3"/>
      <x:c r="N104" s="19" t="str">
        <x:f>IF(A104="","",IF(COUNTIFS('方案版本'!$A$7:$A$306,A104)&lt;&gt;1,"编号重复",IF(COUNTIFS('问题总览'!$A$7:$A$306,B104)&lt;&gt;1,"问题引用无效",IF(OR(D104="",E104="",F104="",G104="",L104=""),"待补版本信息",IF(AND(C104&lt;&gt;"",OR(C104=A104,COUNTIFS('方案版本'!$A$7:$A$306,C104,'方案版本'!$B$7:$B$306,B104)&lt;&gt;1)),"父方案引用无效",IF(L104="草稿","草稿未冻结",IF(OR(NOT(ISNUMBER(H104)),NOT(ISNUMBER(I104)),J104="",K104="",M104=""),"待补冻结信息",IF(I104&lt;H104,"请核实事后补录","有效输入"))))))))</x:f>
      </x:c>
    </x:row>
    <x:row r="105" ht="25" customHeight="1">
      <x:c r="A105" s="3"/>
      <x:c r="B105" s="3"/>
      <x:c r="C105" s="3"/>
      <x:c r="D105" s="3"/>
      <x:c r="E105" s="3"/>
      <x:c r="F105" s="3"/>
      <x:c r="G105" s="3"/>
      <x:c r="H105" s="25"/>
      <x:c r="I105" s="25"/>
      <x:c r="J105" s="3"/>
      <x:c r="K105" s="3"/>
      <x:c r="L105" s="3"/>
      <x:c r="M105" s="3"/>
      <x:c r="N105" s="19" t="str">
        <x:f>IF(A105="","",IF(COUNTIFS('方案版本'!$A$7:$A$306,A105)&lt;&gt;1,"编号重复",IF(COUNTIFS('问题总览'!$A$7:$A$306,B105)&lt;&gt;1,"问题引用无效",IF(OR(D105="",E105="",F105="",G105="",L105=""),"待补版本信息",IF(AND(C105&lt;&gt;"",OR(C105=A105,COUNTIFS('方案版本'!$A$7:$A$306,C105,'方案版本'!$B$7:$B$306,B105)&lt;&gt;1)),"父方案引用无效",IF(L105="草稿","草稿未冻结",IF(OR(NOT(ISNUMBER(H105)),NOT(ISNUMBER(I105)),J105="",K105="",M105=""),"待补冻结信息",IF(I105&lt;H105,"请核实事后补录","有效输入"))))))))</x:f>
      </x:c>
    </x:row>
    <x:row r="106" ht="25" customHeight="1">
      <x:c r="A106" s="3"/>
      <x:c r="B106" s="3"/>
      <x:c r="C106" s="3"/>
      <x:c r="D106" s="3"/>
      <x:c r="E106" s="3"/>
      <x:c r="F106" s="3"/>
      <x:c r="G106" s="3"/>
      <x:c r="H106" s="25"/>
      <x:c r="I106" s="25"/>
      <x:c r="J106" s="3"/>
      <x:c r="K106" s="3"/>
      <x:c r="L106" s="3"/>
      <x:c r="M106" s="3"/>
      <x:c r="N106" s="19" t="str">
        <x:f>IF(A106="","",IF(COUNTIFS('方案版本'!$A$7:$A$306,A106)&lt;&gt;1,"编号重复",IF(COUNTIFS('问题总览'!$A$7:$A$306,B106)&lt;&gt;1,"问题引用无效",IF(OR(D106="",E106="",F106="",G106="",L106=""),"待补版本信息",IF(AND(C106&lt;&gt;"",OR(C106=A106,COUNTIFS('方案版本'!$A$7:$A$306,C106,'方案版本'!$B$7:$B$306,B106)&lt;&gt;1)),"父方案引用无效",IF(L106="草稿","草稿未冻结",IF(OR(NOT(ISNUMBER(H106)),NOT(ISNUMBER(I106)),J106="",K106="",M106=""),"待补冻结信息",IF(I106&lt;H106,"请核实事后补录","有效输入"))))))))</x:f>
      </x:c>
    </x:row>
    <x:row r="107" ht="25" customHeight="1">
      <x:c r="A107" s="3"/>
      <x:c r="B107" s="3"/>
      <x:c r="C107" s="3"/>
      <x:c r="D107" s="3"/>
      <x:c r="E107" s="3"/>
      <x:c r="F107" s="3"/>
      <x:c r="G107" s="3"/>
      <x:c r="H107" s="25"/>
      <x:c r="I107" s="25"/>
      <x:c r="J107" s="3"/>
      <x:c r="K107" s="3"/>
      <x:c r="L107" s="3"/>
      <x:c r="M107" s="3"/>
      <x:c r="N107" s="19" t="str">
        <x:f>IF(A107="","",IF(COUNTIFS('方案版本'!$A$7:$A$306,A107)&lt;&gt;1,"编号重复",IF(COUNTIFS('问题总览'!$A$7:$A$306,B107)&lt;&gt;1,"问题引用无效",IF(OR(D107="",E107="",F107="",G107="",L107=""),"待补版本信息",IF(AND(C107&lt;&gt;"",OR(C107=A107,COUNTIFS('方案版本'!$A$7:$A$306,C107,'方案版本'!$B$7:$B$306,B107)&lt;&gt;1)),"父方案引用无效",IF(L107="草稿","草稿未冻结",IF(OR(NOT(ISNUMBER(H107)),NOT(ISNUMBER(I107)),J107="",K107="",M107=""),"待补冻结信息",IF(I107&lt;H107,"请核实事后补录","有效输入"))))))))</x:f>
      </x:c>
    </x:row>
    <x:row r="108" ht="25" customHeight="1">
      <x:c r="A108" s="3"/>
      <x:c r="B108" s="3"/>
      <x:c r="C108" s="3"/>
      <x:c r="D108" s="3"/>
      <x:c r="E108" s="3"/>
      <x:c r="F108" s="3"/>
      <x:c r="G108" s="3"/>
      <x:c r="H108" s="25"/>
      <x:c r="I108" s="25"/>
      <x:c r="J108" s="3"/>
      <x:c r="K108" s="3"/>
      <x:c r="L108" s="3"/>
      <x:c r="M108" s="3"/>
      <x:c r="N108" s="19" t="str">
        <x:f>IF(A108="","",IF(COUNTIFS('方案版本'!$A$7:$A$306,A108)&lt;&gt;1,"编号重复",IF(COUNTIFS('问题总览'!$A$7:$A$306,B108)&lt;&gt;1,"问题引用无效",IF(OR(D108="",E108="",F108="",G108="",L108=""),"待补版本信息",IF(AND(C108&lt;&gt;"",OR(C108=A108,COUNTIFS('方案版本'!$A$7:$A$306,C108,'方案版本'!$B$7:$B$306,B108)&lt;&gt;1)),"父方案引用无效",IF(L108="草稿","草稿未冻结",IF(OR(NOT(ISNUMBER(H108)),NOT(ISNUMBER(I108)),J108="",K108="",M108=""),"待补冻结信息",IF(I108&lt;H108,"请核实事后补录","有效输入"))))))))</x:f>
      </x:c>
    </x:row>
    <x:row r="109" ht="25" customHeight="1">
      <x:c r="A109" s="3"/>
      <x:c r="B109" s="3"/>
      <x:c r="C109" s="3"/>
      <x:c r="D109" s="3"/>
      <x:c r="E109" s="3"/>
      <x:c r="F109" s="3"/>
      <x:c r="G109" s="3"/>
      <x:c r="H109" s="25"/>
      <x:c r="I109" s="25"/>
      <x:c r="J109" s="3"/>
      <x:c r="K109" s="3"/>
      <x:c r="L109" s="3"/>
      <x:c r="M109" s="3"/>
      <x:c r="N109" s="19" t="str">
        <x:f>IF(A109="","",IF(COUNTIFS('方案版本'!$A$7:$A$306,A109)&lt;&gt;1,"编号重复",IF(COUNTIFS('问题总览'!$A$7:$A$306,B109)&lt;&gt;1,"问题引用无效",IF(OR(D109="",E109="",F109="",G109="",L109=""),"待补版本信息",IF(AND(C109&lt;&gt;"",OR(C109=A109,COUNTIFS('方案版本'!$A$7:$A$306,C109,'方案版本'!$B$7:$B$306,B109)&lt;&gt;1)),"父方案引用无效",IF(L109="草稿","草稿未冻结",IF(OR(NOT(ISNUMBER(H109)),NOT(ISNUMBER(I109)),J109="",K109="",M109=""),"待补冻结信息",IF(I109&lt;H109,"请核实事后补录","有效输入"))))))))</x:f>
      </x:c>
    </x:row>
    <x:row r="110" ht="25" customHeight="1">
      <x:c r="A110" s="3"/>
      <x:c r="B110" s="3"/>
      <x:c r="C110" s="3"/>
      <x:c r="D110" s="3"/>
      <x:c r="E110" s="3"/>
      <x:c r="F110" s="3"/>
      <x:c r="G110" s="3"/>
      <x:c r="H110" s="25"/>
      <x:c r="I110" s="25"/>
      <x:c r="J110" s="3"/>
      <x:c r="K110" s="3"/>
      <x:c r="L110" s="3"/>
      <x:c r="M110" s="3"/>
      <x:c r="N110" s="19" t="str">
        <x:f>IF(A110="","",IF(COUNTIFS('方案版本'!$A$7:$A$306,A110)&lt;&gt;1,"编号重复",IF(COUNTIFS('问题总览'!$A$7:$A$306,B110)&lt;&gt;1,"问题引用无效",IF(OR(D110="",E110="",F110="",G110="",L110=""),"待补版本信息",IF(AND(C110&lt;&gt;"",OR(C110=A110,COUNTIFS('方案版本'!$A$7:$A$306,C110,'方案版本'!$B$7:$B$306,B110)&lt;&gt;1)),"父方案引用无效",IF(L110="草稿","草稿未冻结",IF(OR(NOT(ISNUMBER(H110)),NOT(ISNUMBER(I110)),J110="",K110="",M110=""),"待补冻结信息",IF(I110&lt;H110,"请核实事后补录","有效输入"))))))))</x:f>
      </x:c>
    </x:row>
    <x:row r="111" ht="25" customHeight="1">
      <x:c r="A111" s="3"/>
      <x:c r="B111" s="3"/>
      <x:c r="C111" s="3"/>
      <x:c r="D111" s="3"/>
      <x:c r="E111" s="3"/>
      <x:c r="F111" s="3"/>
      <x:c r="G111" s="3"/>
      <x:c r="H111" s="25"/>
      <x:c r="I111" s="25"/>
      <x:c r="J111" s="3"/>
      <x:c r="K111" s="3"/>
      <x:c r="L111" s="3"/>
      <x:c r="M111" s="3"/>
      <x:c r="N111" s="19" t="str">
        <x:f>IF(A111="","",IF(COUNTIFS('方案版本'!$A$7:$A$306,A111)&lt;&gt;1,"编号重复",IF(COUNTIFS('问题总览'!$A$7:$A$306,B111)&lt;&gt;1,"问题引用无效",IF(OR(D111="",E111="",F111="",G111="",L111=""),"待补版本信息",IF(AND(C111&lt;&gt;"",OR(C111=A111,COUNTIFS('方案版本'!$A$7:$A$306,C111,'方案版本'!$B$7:$B$306,B111)&lt;&gt;1)),"父方案引用无效",IF(L111="草稿","草稿未冻结",IF(OR(NOT(ISNUMBER(H111)),NOT(ISNUMBER(I111)),J111="",K111="",M111=""),"待补冻结信息",IF(I111&lt;H111,"请核实事后补录","有效输入"))))))))</x:f>
      </x:c>
    </x:row>
    <x:row r="112" ht="25" customHeight="1">
      <x:c r="A112" s="3"/>
      <x:c r="B112" s="3"/>
      <x:c r="C112" s="3"/>
      <x:c r="D112" s="3"/>
      <x:c r="E112" s="3"/>
      <x:c r="F112" s="3"/>
      <x:c r="G112" s="3"/>
      <x:c r="H112" s="25"/>
      <x:c r="I112" s="25"/>
      <x:c r="J112" s="3"/>
      <x:c r="K112" s="3"/>
      <x:c r="L112" s="3"/>
      <x:c r="M112" s="3"/>
      <x:c r="N112" s="19" t="str">
        <x:f>IF(A112="","",IF(COUNTIFS('方案版本'!$A$7:$A$306,A112)&lt;&gt;1,"编号重复",IF(COUNTIFS('问题总览'!$A$7:$A$306,B112)&lt;&gt;1,"问题引用无效",IF(OR(D112="",E112="",F112="",G112="",L112=""),"待补版本信息",IF(AND(C112&lt;&gt;"",OR(C112=A112,COUNTIFS('方案版本'!$A$7:$A$306,C112,'方案版本'!$B$7:$B$306,B112)&lt;&gt;1)),"父方案引用无效",IF(L112="草稿","草稿未冻结",IF(OR(NOT(ISNUMBER(H112)),NOT(ISNUMBER(I112)),J112="",K112="",M112=""),"待补冻结信息",IF(I112&lt;H112,"请核实事后补录","有效输入"))))))))</x:f>
      </x:c>
    </x:row>
    <x:row r="113" ht="25" customHeight="1">
      <x:c r="A113" s="3"/>
      <x:c r="B113" s="3"/>
      <x:c r="C113" s="3"/>
      <x:c r="D113" s="3"/>
      <x:c r="E113" s="3"/>
      <x:c r="F113" s="3"/>
      <x:c r="G113" s="3"/>
      <x:c r="H113" s="25"/>
      <x:c r="I113" s="25"/>
      <x:c r="J113" s="3"/>
      <x:c r="K113" s="3"/>
      <x:c r="L113" s="3"/>
      <x:c r="M113" s="3"/>
      <x:c r="N113" s="19" t="str">
        <x:f>IF(A113="","",IF(COUNTIFS('方案版本'!$A$7:$A$306,A113)&lt;&gt;1,"编号重复",IF(COUNTIFS('问题总览'!$A$7:$A$306,B113)&lt;&gt;1,"问题引用无效",IF(OR(D113="",E113="",F113="",G113="",L113=""),"待补版本信息",IF(AND(C113&lt;&gt;"",OR(C113=A113,COUNTIFS('方案版本'!$A$7:$A$306,C113,'方案版本'!$B$7:$B$306,B113)&lt;&gt;1)),"父方案引用无效",IF(L113="草稿","草稿未冻结",IF(OR(NOT(ISNUMBER(H113)),NOT(ISNUMBER(I113)),J113="",K113="",M113=""),"待补冻结信息",IF(I113&lt;H113,"请核实事后补录","有效输入"))))))))</x:f>
      </x:c>
    </x:row>
    <x:row r="114" ht="25" customHeight="1">
      <x:c r="A114" s="3"/>
      <x:c r="B114" s="3"/>
      <x:c r="C114" s="3"/>
      <x:c r="D114" s="3"/>
      <x:c r="E114" s="3"/>
      <x:c r="F114" s="3"/>
      <x:c r="G114" s="3"/>
      <x:c r="H114" s="25"/>
      <x:c r="I114" s="25"/>
      <x:c r="J114" s="3"/>
      <x:c r="K114" s="3"/>
      <x:c r="L114" s="3"/>
      <x:c r="M114" s="3"/>
      <x:c r="N114" s="19" t="str">
        <x:f>IF(A114="","",IF(COUNTIFS('方案版本'!$A$7:$A$306,A114)&lt;&gt;1,"编号重复",IF(COUNTIFS('问题总览'!$A$7:$A$306,B114)&lt;&gt;1,"问题引用无效",IF(OR(D114="",E114="",F114="",G114="",L114=""),"待补版本信息",IF(AND(C114&lt;&gt;"",OR(C114=A114,COUNTIFS('方案版本'!$A$7:$A$306,C114,'方案版本'!$B$7:$B$306,B114)&lt;&gt;1)),"父方案引用无效",IF(L114="草稿","草稿未冻结",IF(OR(NOT(ISNUMBER(H114)),NOT(ISNUMBER(I114)),J114="",K114="",M114=""),"待补冻结信息",IF(I114&lt;H114,"请核实事后补录","有效输入"))))))))</x:f>
      </x:c>
    </x:row>
    <x:row r="115" ht="25" customHeight="1">
      <x:c r="A115" s="3"/>
      <x:c r="B115" s="3"/>
      <x:c r="C115" s="3"/>
      <x:c r="D115" s="3"/>
      <x:c r="E115" s="3"/>
      <x:c r="F115" s="3"/>
      <x:c r="G115" s="3"/>
      <x:c r="H115" s="25"/>
      <x:c r="I115" s="25"/>
      <x:c r="J115" s="3"/>
      <x:c r="K115" s="3"/>
      <x:c r="L115" s="3"/>
      <x:c r="M115" s="3"/>
      <x:c r="N115" s="19" t="str">
        <x:f>IF(A115="","",IF(COUNTIFS('方案版本'!$A$7:$A$306,A115)&lt;&gt;1,"编号重复",IF(COUNTIFS('问题总览'!$A$7:$A$306,B115)&lt;&gt;1,"问题引用无效",IF(OR(D115="",E115="",F115="",G115="",L115=""),"待补版本信息",IF(AND(C115&lt;&gt;"",OR(C115=A115,COUNTIFS('方案版本'!$A$7:$A$306,C115,'方案版本'!$B$7:$B$306,B115)&lt;&gt;1)),"父方案引用无效",IF(L115="草稿","草稿未冻结",IF(OR(NOT(ISNUMBER(H115)),NOT(ISNUMBER(I115)),J115="",K115="",M115=""),"待补冻结信息",IF(I115&lt;H115,"请核实事后补录","有效输入"))))))))</x:f>
      </x:c>
    </x:row>
    <x:row r="116" ht="25" customHeight="1">
      <x:c r="A116" s="3"/>
      <x:c r="B116" s="3"/>
      <x:c r="C116" s="3"/>
      <x:c r="D116" s="3"/>
      <x:c r="E116" s="3"/>
      <x:c r="F116" s="3"/>
      <x:c r="G116" s="3"/>
      <x:c r="H116" s="25"/>
      <x:c r="I116" s="25"/>
      <x:c r="J116" s="3"/>
      <x:c r="K116" s="3"/>
      <x:c r="L116" s="3"/>
      <x:c r="M116" s="3"/>
      <x:c r="N116" s="19" t="str">
        <x:f>IF(A116="","",IF(COUNTIFS('方案版本'!$A$7:$A$306,A116)&lt;&gt;1,"编号重复",IF(COUNTIFS('问题总览'!$A$7:$A$306,B116)&lt;&gt;1,"问题引用无效",IF(OR(D116="",E116="",F116="",G116="",L116=""),"待补版本信息",IF(AND(C116&lt;&gt;"",OR(C116=A116,COUNTIFS('方案版本'!$A$7:$A$306,C116,'方案版本'!$B$7:$B$306,B116)&lt;&gt;1)),"父方案引用无效",IF(L116="草稿","草稿未冻结",IF(OR(NOT(ISNUMBER(H116)),NOT(ISNUMBER(I116)),J116="",K116="",M116=""),"待补冻结信息",IF(I116&lt;H116,"请核实事后补录","有效输入"))))))))</x:f>
      </x:c>
    </x:row>
    <x:row r="117" ht="25" customHeight="1">
      <x:c r="A117" s="3"/>
      <x:c r="B117" s="3"/>
      <x:c r="C117" s="3"/>
      <x:c r="D117" s="3"/>
      <x:c r="E117" s="3"/>
      <x:c r="F117" s="3"/>
      <x:c r="G117" s="3"/>
      <x:c r="H117" s="25"/>
      <x:c r="I117" s="25"/>
      <x:c r="J117" s="3"/>
      <x:c r="K117" s="3"/>
      <x:c r="L117" s="3"/>
      <x:c r="M117" s="3"/>
      <x:c r="N117" s="19" t="str">
        <x:f>IF(A117="","",IF(COUNTIFS('方案版本'!$A$7:$A$306,A117)&lt;&gt;1,"编号重复",IF(COUNTIFS('问题总览'!$A$7:$A$306,B117)&lt;&gt;1,"问题引用无效",IF(OR(D117="",E117="",F117="",G117="",L117=""),"待补版本信息",IF(AND(C117&lt;&gt;"",OR(C117=A117,COUNTIFS('方案版本'!$A$7:$A$306,C117,'方案版本'!$B$7:$B$306,B117)&lt;&gt;1)),"父方案引用无效",IF(L117="草稿","草稿未冻结",IF(OR(NOT(ISNUMBER(H117)),NOT(ISNUMBER(I117)),J117="",K117="",M117=""),"待补冻结信息",IF(I117&lt;H117,"请核实事后补录","有效输入"))))))))</x:f>
      </x:c>
    </x:row>
    <x:row r="118" ht="25" customHeight="1">
      <x:c r="A118" s="3"/>
      <x:c r="B118" s="3"/>
      <x:c r="C118" s="3"/>
      <x:c r="D118" s="3"/>
      <x:c r="E118" s="3"/>
      <x:c r="F118" s="3"/>
      <x:c r="G118" s="3"/>
      <x:c r="H118" s="25"/>
      <x:c r="I118" s="25"/>
      <x:c r="J118" s="3"/>
      <x:c r="K118" s="3"/>
      <x:c r="L118" s="3"/>
      <x:c r="M118" s="3"/>
      <x:c r="N118" s="19" t="str">
        <x:f>IF(A118="","",IF(COUNTIFS('方案版本'!$A$7:$A$306,A118)&lt;&gt;1,"编号重复",IF(COUNTIFS('问题总览'!$A$7:$A$306,B118)&lt;&gt;1,"问题引用无效",IF(OR(D118="",E118="",F118="",G118="",L118=""),"待补版本信息",IF(AND(C118&lt;&gt;"",OR(C118=A118,COUNTIFS('方案版本'!$A$7:$A$306,C118,'方案版本'!$B$7:$B$306,B118)&lt;&gt;1)),"父方案引用无效",IF(L118="草稿","草稿未冻结",IF(OR(NOT(ISNUMBER(H118)),NOT(ISNUMBER(I118)),J118="",K118="",M118=""),"待补冻结信息",IF(I118&lt;H118,"请核实事后补录","有效输入"))))))))</x:f>
      </x:c>
    </x:row>
    <x:row r="119" ht="25" customHeight="1">
      <x:c r="A119" s="3"/>
      <x:c r="B119" s="3"/>
      <x:c r="C119" s="3"/>
      <x:c r="D119" s="3"/>
      <x:c r="E119" s="3"/>
      <x:c r="F119" s="3"/>
      <x:c r="G119" s="3"/>
      <x:c r="H119" s="25"/>
      <x:c r="I119" s="25"/>
      <x:c r="J119" s="3"/>
      <x:c r="K119" s="3"/>
      <x:c r="L119" s="3"/>
      <x:c r="M119" s="3"/>
      <x:c r="N119" s="19" t="str">
        <x:f>IF(A119="","",IF(COUNTIFS('方案版本'!$A$7:$A$306,A119)&lt;&gt;1,"编号重复",IF(COUNTIFS('问题总览'!$A$7:$A$306,B119)&lt;&gt;1,"问题引用无效",IF(OR(D119="",E119="",F119="",G119="",L119=""),"待补版本信息",IF(AND(C119&lt;&gt;"",OR(C119=A119,COUNTIFS('方案版本'!$A$7:$A$306,C119,'方案版本'!$B$7:$B$306,B119)&lt;&gt;1)),"父方案引用无效",IF(L119="草稿","草稿未冻结",IF(OR(NOT(ISNUMBER(H119)),NOT(ISNUMBER(I119)),J119="",K119="",M119=""),"待补冻结信息",IF(I119&lt;H119,"请核实事后补录","有效输入"))))))))</x:f>
      </x:c>
    </x:row>
    <x:row r="120" ht="25" customHeight="1">
      <x:c r="A120" s="3"/>
      <x:c r="B120" s="3"/>
      <x:c r="C120" s="3"/>
      <x:c r="D120" s="3"/>
      <x:c r="E120" s="3"/>
      <x:c r="F120" s="3"/>
      <x:c r="G120" s="3"/>
      <x:c r="H120" s="25"/>
      <x:c r="I120" s="25"/>
      <x:c r="J120" s="3"/>
      <x:c r="K120" s="3"/>
      <x:c r="L120" s="3"/>
      <x:c r="M120" s="3"/>
      <x:c r="N120" s="19" t="str">
        <x:f>IF(A120="","",IF(COUNTIFS('方案版本'!$A$7:$A$306,A120)&lt;&gt;1,"编号重复",IF(COUNTIFS('问题总览'!$A$7:$A$306,B120)&lt;&gt;1,"问题引用无效",IF(OR(D120="",E120="",F120="",G120="",L120=""),"待补版本信息",IF(AND(C120&lt;&gt;"",OR(C120=A120,COUNTIFS('方案版本'!$A$7:$A$306,C120,'方案版本'!$B$7:$B$306,B120)&lt;&gt;1)),"父方案引用无效",IF(L120="草稿","草稿未冻结",IF(OR(NOT(ISNUMBER(H120)),NOT(ISNUMBER(I120)),J120="",K120="",M120=""),"待补冻结信息",IF(I120&lt;H120,"请核实事后补录","有效输入"))))))))</x:f>
      </x:c>
    </x:row>
    <x:row r="121" ht="25" customHeight="1">
      <x:c r="A121" s="3"/>
      <x:c r="B121" s="3"/>
      <x:c r="C121" s="3"/>
      <x:c r="D121" s="3"/>
      <x:c r="E121" s="3"/>
      <x:c r="F121" s="3"/>
      <x:c r="G121" s="3"/>
      <x:c r="H121" s="25"/>
      <x:c r="I121" s="25"/>
      <x:c r="J121" s="3"/>
      <x:c r="K121" s="3"/>
      <x:c r="L121" s="3"/>
      <x:c r="M121" s="3"/>
      <x:c r="N121" s="19" t="str">
        <x:f>IF(A121="","",IF(COUNTIFS('方案版本'!$A$7:$A$306,A121)&lt;&gt;1,"编号重复",IF(COUNTIFS('问题总览'!$A$7:$A$306,B121)&lt;&gt;1,"问题引用无效",IF(OR(D121="",E121="",F121="",G121="",L121=""),"待补版本信息",IF(AND(C121&lt;&gt;"",OR(C121=A121,COUNTIFS('方案版本'!$A$7:$A$306,C121,'方案版本'!$B$7:$B$306,B121)&lt;&gt;1)),"父方案引用无效",IF(L121="草稿","草稿未冻结",IF(OR(NOT(ISNUMBER(H121)),NOT(ISNUMBER(I121)),J121="",K121="",M121=""),"待补冻结信息",IF(I121&lt;H121,"请核实事后补录","有效输入"))))))))</x:f>
      </x:c>
    </x:row>
    <x:row r="122" ht="25" customHeight="1">
      <x:c r="A122" s="3"/>
      <x:c r="B122" s="3"/>
      <x:c r="C122" s="3"/>
      <x:c r="D122" s="3"/>
      <x:c r="E122" s="3"/>
      <x:c r="F122" s="3"/>
      <x:c r="G122" s="3"/>
      <x:c r="H122" s="25"/>
      <x:c r="I122" s="25"/>
      <x:c r="J122" s="3"/>
      <x:c r="K122" s="3"/>
      <x:c r="L122" s="3"/>
      <x:c r="M122" s="3"/>
      <x:c r="N122" s="19" t="str">
        <x:f>IF(A122="","",IF(COUNTIFS('方案版本'!$A$7:$A$306,A122)&lt;&gt;1,"编号重复",IF(COUNTIFS('问题总览'!$A$7:$A$306,B122)&lt;&gt;1,"问题引用无效",IF(OR(D122="",E122="",F122="",G122="",L122=""),"待补版本信息",IF(AND(C122&lt;&gt;"",OR(C122=A122,COUNTIFS('方案版本'!$A$7:$A$306,C122,'方案版本'!$B$7:$B$306,B122)&lt;&gt;1)),"父方案引用无效",IF(L122="草稿","草稿未冻结",IF(OR(NOT(ISNUMBER(H122)),NOT(ISNUMBER(I122)),J122="",K122="",M122=""),"待补冻结信息",IF(I122&lt;H122,"请核实事后补录","有效输入"))))))))</x:f>
      </x:c>
    </x:row>
    <x:row r="123" ht="25" customHeight="1">
      <x:c r="A123" s="3"/>
      <x:c r="B123" s="3"/>
      <x:c r="C123" s="3"/>
      <x:c r="D123" s="3"/>
      <x:c r="E123" s="3"/>
      <x:c r="F123" s="3"/>
      <x:c r="G123" s="3"/>
      <x:c r="H123" s="25"/>
      <x:c r="I123" s="25"/>
      <x:c r="J123" s="3"/>
      <x:c r="K123" s="3"/>
      <x:c r="L123" s="3"/>
      <x:c r="M123" s="3"/>
      <x:c r="N123" s="19" t="str">
        <x:f>IF(A123="","",IF(COUNTIFS('方案版本'!$A$7:$A$306,A123)&lt;&gt;1,"编号重复",IF(COUNTIFS('问题总览'!$A$7:$A$306,B123)&lt;&gt;1,"问题引用无效",IF(OR(D123="",E123="",F123="",G123="",L123=""),"待补版本信息",IF(AND(C123&lt;&gt;"",OR(C123=A123,COUNTIFS('方案版本'!$A$7:$A$306,C123,'方案版本'!$B$7:$B$306,B123)&lt;&gt;1)),"父方案引用无效",IF(L123="草稿","草稿未冻结",IF(OR(NOT(ISNUMBER(H123)),NOT(ISNUMBER(I123)),J123="",K123="",M123=""),"待补冻结信息",IF(I123&lt;H123,"请核实事后补录","有效输入"))))))))</x:f>
      </x:c>
    </x:row>
    <x:row r="124" ht="25" customHeight="1">
      <x:c r="A124" s="3"/>
      <x:c r="B124" s="3"/>
      <x:c r="C124" s="3"/>
      <x:c r="D124" s="3"/>
      <x:c r="E124" s="3"/>
      <x:c r="F124" s="3"/>
      <x:c r="G124" s="3"/>
      <x:c r="H124" s="25"/>
      <x:c r="I124" s="25"/>
      <x:c r="J124" s="3"/>
      <x:c r="K124" s="3"/>
      <x:c r="L124" s="3"/>
      <x:c r="M124" s="3"/>
      <x:c r="N124" s="19" t="str">
        <x:f>IF(A124="","",IF(COUNTIFS('方案版本'!$A$7:$A$306,A124)&lt;&gt;1,"编号重复",IF(COUNTIFS('问题总览'!$A$7:$A$306,B124)&lt;&gt;1,"问题引用无效",IF(OR(D124="",E124="",F124="",G124="",L124=""),"待补版本信息",IF(AND(C124&lt;&gt;"",OR(C124=A124,COUNTIFS('方案版本'!$A$7:$A$306,C124,'方案版本'!$B$7:$B$306,B124)&lt;&gt;1)),"父方案引用无效",IF(L124="草稿","草稿未冻结",IF(OR(NOT(ISNUMBER(H124)),NOT(ISNUMBER(I124)),J124="",K124="",M124=""),"待补冻结信息",IF(I124&lt;H124,"请核实事后补录","有效输入"))))))))</x:f>
      </x:c>
    </x:row>
    <x:row r="125" ht="25" customHeight="1">
      <x:c r="A125" s="3"/>
      <x:c r="B125" s="3"/>
      <x:c r="C125" s="3"/>
      <x:c r="D125" s="3"/>
      <x:c r="E125" s="3"/>
      <x:c r="F125" s="3"/>
      <x:c r="G125" s="3"/>
      <x:c r="H125" s="25"/>
      <x:c r="I125" s="25"/>
      <x:c r="J125" s="3"/>
      <x:c r="K125" s="3"/>
      <x:c r="L125" s="3"/>
      <x:c r="M125" s="3"/>
      <x:c r="N125" s="19" t="str">
        <x:f>IF(A125="","",IF(COUNTIFS('方案版本'!$A$7:$A$306,A125)&lt;&gt;1,"编号重复",IF(COUNTIFS('问题总览'!$A$7:$A$306,B125)&lt;&gt;1,"问题引用无效",IF(OR(D125="",E125="",F125="",G125="",L125=""),"待补版本信息",IF(AND(C125&lt;&gt;"",OR(C125=A125,COUNTIFS('方案版本'!$A$7:$A$306,C125,'方案版本'!$B$7:$B$306,B125)&lt;&gt;1)),"父方案引用无效",IF(L125="草稿","草稿未冻结",IF(OR(NOT(ISNUMBER(H125)),NOT(ISNUMBER(I125)),J125="",K125="",M125=""),"待补冻结信息",IF(I125&lt;H125,"请核实事后补录","有效输入"))))))))</x:f>
      </x:c>
    </x:row>
    <x:row r="126" ht="25" customHeight="1">
      <x:c r="A126" s="3"/>
      <x:c r="B126" s="3"/>
      <x:c r="C126" s="3"/>
      <x:c r="D126" s="3"/>
      <x:c r="E126" s="3"/>
      <x:c r="F126" s="3"/>
      <x:c r="G126" s="3"/>
      <x:c r="H126" s="25"/>
      <x:c r="I126" s="25"/>
      <x:c r="J126" s="3"/>
      <x:c r="K126" s="3"/>
      <x:c r="L126" s="3"/>
      <x:c r="M126" s="3"/>
      <x:c r="N126" s="19" t="str">
        <x:f>IF(A126="","",IF(COUNTIFS('方案版本'!$A$7:$A$306,A126)&lt;&gt;1,"编号重复",IF(COUNTIFS('问题总览'!$A$7:$A$306,B126)&lt;&gt;1,"问题引用无效",IF(OR(D126="",E126="",F126="",G126="",L126=""),"待补版本信息",IF(AND(C126&lt;&gt;"",OR(C126=A126,COUNTIFS('方案版本'!$A$7:$A$306,C126,'方案版本'!$B$7:$B$306,B126)&lt;&gt;1)),"父方案引用无效",IF(L126="草稿","草稿未冻结",IF(OR(NOT(ISNUMBER(H126)),NOT(ISNUMBER(I126)),J126="",K126="",M126=""),"待补冻结信息",IF(I126&lt;H126,"请核实事后补录","有效输入"))))))))</x:f>
      </x:c>
    </x:row>
    <x:row r="127" ht="25" customHeight="1">
      <x:c r="A127" s="3"/>
      <x:c r="B127" s="3"/>
      <x:c r="C127" s="3"/>
      <x:c r="D127" s="3"/>
      <x:c r="E127" s="3"/>
      <x:c r="F127" s="3"/>
      <x:c r="G127" s="3"/>
      <x:c r="H127" s="25"/>
      <x:c r="I127" s="25"/>
      <x:c r="J127" s="3"/>
      <x:c r="K127" s="3"/>
      <x:c r="L127" s="3"/>
      <x:c r="M127" s="3"/>
      <x:c r="N127" s="19" t="str">
        <x:f>IF(A127="","",IF(COUNTIFS('方案版本'!$A$7:$A$306,A127)&lt;&gt;1,"编号重复",IF(COUNTIFS('问题总览'!$A$7:$A$306,B127)&lt;&gt;1,"问题引用无效",IF(OR(D127="",E127="",F127="",G127="",L127=""),"待补版本信息",IF(AND(C127&lt;&gt;"",OR(C127=A127,COUNTIFS('方案版本'!$A$7:$A$306,C127,'方案版本'!$B$7:$B$306,B127)&lt;&gt;1)),"父方案引用无效",IF(L127="草稿","草稿未冻结",IF(OR(NOT(ISNUMBER(H127)),NOT(ISNUMBER(I127)),J127="",K127="",M127=""),"待补冻结信息",IF(I127&lt;H127,"请核实事后补录","有效输入"))))))))</x:f>
      </x:c>
    </x:row>
    <x:row r="128" ht="25" customHeight="1">
      <x:c r="A128" s="3"/>
      <x:c r="B128" s="3"/>
      <x:c r="C128" s="3"/>
      <x:c r="D128" s="3"/>
      <x:c r="E128" s="3"/>
      <x:c r="F128" s="3"/>
      <x:c r="G128" s="3"/>
      <x:c r="H128" s="25"/>
      <x:c r="I128" s="25"/>
      <x:c r="J128" s="3"/>
      <x:c r="K128" s="3"/>
      <x:c r="L128" s="3"/>
      <x:c r="M128" s="3"/>
      <x:c r="N128" s="19" t="str">
        <x:f>IF(A128="","",IF(COUNTIFS('方案版本'!$A$7:$A$306,A128)&lt;&gt;1,"编号重复",IF(COUNTIFS('问题总览'!$A$7:$A$306,B128)&lt;&gt;1,"问题引用无效",IF(OR(D128="",E128="",F128="",G128="",L128=""),"待补版本信息",IF(AND(C128&lt;&gt;"",OR(C128=A128,COUNTIFS('方案版本'!$A$7:$A$306,C128,'方案版本'!$B$7:$B$306,B128)&lt;&gt;1)),"父方案引用无效",IF(L128="草稿","草稿未冻结",IF(OR(NOT(ISNUMBER(H128)),NOT(ISNUMBER(I128)),J128="",K128="",M128=""),"待补冻结信息",IF(I128&lt;H128,"请核实事后补录","有效输入"))))))))</x:f>
      </x:c>
    </x:row>
    <x:row r="129" ht="25" customHeight="1">
      <x:c r="A129" s="3"/>
      <x:c r="B129" s="3"/>
      <x:c r="C129" s="3"/>
      <x:c r="D129" s="3"/>
      <x:c r="E129" s="3"/>
      <x:c r="F129" s="3"/>
      <x:c r="G129" s="3"/>
      <x:c r="H129" s="25"/>
      <x:c r="I129" s="25"/>
      <x:c r="J129" s="3"/>
      <x:c r="K129" s="3"/>
      <x:c r="L129" s="3"/>
      <x:c r="M129" s="3"/>
      <x:c r="N129" s="19" t="str">
        <x:f>IF(A129="","",IF(COUNTIFS('方案版本'!$A$7:$A$306,A129)&lt;&gt;1,"编号重复",IF(COUNTIFS('问题总览'!$A$7:$A$306,B129)&lt;&gt;1,"问题引用无效",IF(OR(D129="",E129="",F129="",G129="",L129=""),"待补版本信息",IF(AND(C129&lt;&gt;"",OR(C129=A129,COUNTIFS('方案版本'!$A$7:$A$306,C129,'方案版本'!$B$7:$B$306,B129)&lt;&gt;1)),"父方案引用无效",IF(L129="草稿","草稿未冻结",IF(OR(NOT(ISNUMBER(H129)),NOT(ISNUMBER(I129)),J129="",K129="",M129=""),"待补冻结信息",IF(I129&lt;H129,"请核实事后补录","有效输入"))))))))</x:f>
      </x:c>
    </x:row>
    <x:row r="130" ht="25" customHeight="1">
      <x:c r="A130" s="3"/>
      <x:c r="B130" s="3"/>
      <x:c r="C130" s="3"/>
      <x:c r="D130" s="3"/>
      <x:c r="E130" s="3"/>
      <x:c r="F130" s="3"/>
      <x:c r="G130" s="3"/>
      <x:c r="H130" s="25"/>
      <x:c r="I130" s="25"/>
      <x:c r="J130" s="3"/>
      <x:c r="K130" s="3"/>
      <x:c r="L130" s="3"/>
      <x:c r="M130" s="3"/>
      <x:c r="N130" s="19" t="str">
        <x:f>IF(A130="","",IF(COUNTIFS('方案版本'!$A$7:$A$306,A130)&lt;&gt;1,"编号重复",IF(COUNTIFS('问题总览'!$A$7:$A$306,B130)&lt;&gt;1,"问题引用无效",IF(OR(D130="",E130="",F130="",G130="",L130=""),"待补版本信息",IF(AND(C130&lt;&gt;"",OR(C130=A130,COUNTIFS('方案版本'!$A$7:$A$306,C130,'方案版本'!$B$7:$B$306,B130)&lt;&gt;1)),"父方案引用无效",IF(L130="草稿","草稿未冻结",IF(OR(NOT(ISNUMBER(H130)),NOT(ISNUMBER(I130)),J130="",K130="",M130=""),"待补冻结信息",IF(I130&lt;H130,"请核实事后补录","有效输入"))))))))</x:f>
      </x:c>
    </x:row>
    <x:row r="131" ht="25" customHeight="1">
      <x:c r="A131" s="3"/>
      <x:c r="B131" s="3"/>
      <x:c r="C131" s="3"/>
      <x:c r="D131" s="3"/>
      <x:c r="E131" s="3"/>
      <x:c r="F131" s="3"/>
      <x:c r="G131" s="3"/>
      <x:c r="H131" s="25"/>
      <x:c r="I131" s="25"/>
      <x:c r="J131" s="3"/>
      <x:c r="K131" s="3"/>
      <x:c r="L131" s="3"/>
      <x:c r="M131" s="3"/>
      <x:c r="N131" s="19" t="str">
        <x:f>IF(A131="","",IF(COUNTIFS('方案版本'!$A$7:$A$306,A131)&lt;&gt;1,"编号重复",IF(COUNTIFS('问题总览'!$A$7:$A$306,B131)&lt;&gt;1,"问题引用无效",IF(OR(D131="",E131="",F131="",G131="",L131=""),"待补版本信息",IF(AND(C131&lt;&gt;"",OR(C131=A131,COUNTIFS('方案版本'!$A$7:$A$306,C131,'方案版本'!$B$7:$B$306,B131)&lt;&gt;1)),"父方案引用无效",IF(L131="草稿","草稿未冻结",IF(OR(NOT(ISNUMBER(H131)),NOT(ISNUMBER(I131)),J131="",K131="",M131=""),"待补冻结信息",IF(I131&lt;H131,"请核实事后补录","有效输入"))))))))</x:f>
      </x:c>
    </x:row>
    <x:row r="132" ht="25" customHeight="1">
      <x:c r="A132" s="3"/>
      <x:c r="B132" s="3"/>
      <x:c r="C132" s="3"/>
      <x:c r="D132" s="3"/>
      <x:c r="E132" s="3"/>
      <x:c r="F132" s="3"/>
      <x:c r="G132" s="3"/>
      <x:c r="H132" s="25"/>
      <x:c r="I132" s="25"/>
      <x:c r="J132" s="3"/>
      <x:c r="K132" s="3"/>
      <x:c r="L132" s="3"/>
      <x:c r="M132" s="3"/>
      <x:c r="N132" s="19" t="str">
        <x:f>IF(A132="","",IF(COUNTIFS('方案版本'!$A$7:$A$306,A132)&lt;&gt;1,"编号重复",IF(COUNTIFS('问题总览'!$A$7:$A$306,B132)&lt;&gt;1,"问题引用无效",IF(OR(D132="",E132="",F132="",G132="",L132=""),"待补版本信息",IF(AND(C132&lt;&gt;"",OR(C132=A132,COUNTIFS('方案版本'!$A$7:$A$306,C132,'方案版本'!$B$7:$B$306,B132)&lt;&gt;1)),"父方案引用无效",IF(L132="草稿","草稿未冻结",IF(OR(NOT(ISNUMBER(H132)),NOT(ISNUMBER(I132)),J132="",K132="",M132=""),"待补冻结信息",IF(I132&lt;H132,"请核实事后补录","有效输入"))))))))</x:f>
      </x:c>
    </x:row>
    <x:row r="133" ht="25" customHeight="1">
      <x:c r="A133" s="3"/>
      <x:c r="B133" s="3"/>
      <x:c r="C133" s="3"/>
      <x:c r="D133" s="3"/>
      <x:c r="E133" s="3"/>
      <x:c r="F133" s="3"/>
      <x:c r="G133" s="3"/>
      <x:c r="H133" s="25"/>
      <x:c r="I133" s="25"/>
      <x:c r="J133" s="3"/>
      <x:c r="K133" s="3"/>
      <x:c r="L133" s="3"/>
      <x:c r="M133" s="3"/>
      <x:c r="N133" s="19" t="str">
        <x:f>IF(A133="","",IF(COUNTIFS('方案版本'!$A$7:$A$306,A133)&lt;&gt;1,"编号重复",IF(COUNTIFS('问题总览'!$A$7:$A$306,B133)&lt;&gt;1,"问题引用无效",IF(OR(D133="",E133="",F133="",G133="",L133=""),"待补版本信息",IF(AND(C133&lt;&gt;"",OR(C133=A133,COUNTIFS('方案版本'!$A$7:$A$306,C133,'方案版本'!$B$7:$B$306,B133)&lt;&gt;1)),"父方案引用无效",IF(L133="草稿","草稿未冻结",IF(OR(NOT(ISNUMBER(H133)),NOT(ISNUMBER(I133)),J133="",K133="",M133=""),"待补冻结信息",IF(I133&lt;H133,"请核实事后补录","有效输入"))))))))</x:f>
      </x:c>
    </x:row>
    <x:row r="134" ht="25" customHeight="1">
      <x:c r="A134" s="3"/>
      <x:c r="B134" s="3"/>
      <x:c r="C134" s="3"/>
      <x:c r="D134" s="3"/>
      <x:c r="E134" s="3"/>
      <x:c r="F134" s="3"/>
      <x:c r="G134" s="3"/>
      <x:c r="H134" s="25"/>
      <x:c r="I134" s="25"/>
      <x:c r="J134" s="3"/>
      <x:c r="K134" s="3"/>
      <x:c r="L134" s="3"/>
      <x:c r="M134" s="3"/>
      <x:c r="N134" s="19" t="str">
        <x:f>IF(A134="","",IF(COUNTIFS('方案版本'!$A$7:$A$306,A134)&lt;&gt;1,"编号重复",IF(COUNTIFS('问题总览'!$A$7:$A$306,B134)&lt;&gt;1,"问题引用无效",IF(OR(D134="",E134="",F134="",G134="",L134=""),"待补版本信息",IF(AND(C134&lt;&gt;"",OR(C134=A134,COUNTIFS('方案版本'!$A$7:$A$306,C134,'方案版本'!$B$7:$B$306,B134)&lt;&gt;1)),"父方案引用无效",IF(L134="草稿","草稿未冻结",IF(OR(NOT(ISNUMBER(H134)),NOT(ISNUMBER(I134)),J134="",K134="",M134=""),"待补冻结信息",IF(I134&lt;H134,"请核实事后补录","有效输入"))))))))</x:f>
      </x:c>
    </x:row>
    <x:row r="135" ht="25" customHeight="1">
      <x:c r="A135" s="3"/>
      <x:c r="B135" s="3"/>
      <x:c r="C135" s="3"/>
      <x:c r="D135" s="3"/>
      <x:c r="E135" s="3"/>
      <x:c r="F135" s="3"/>
      <x:c r="G135" s="3"/>
      <x:c r="H135" s="25"/>
      <x:c r="I135" s="25"/>
      <x:c r="J135" s="3"/>
      <x:c r="K135" s="3"/>
      <x:c r="L135" s="3"/>
      <x:c r="M135" s="3"/>
      <x:c r="N135" s="19" t="str">
        <x:f>IF(A135="","",IF(COUNTIFS('方案版本'!$A$7:$A$306,A135)&lt;&gt;1,"编号重复",IF(COUNTIFS('问题总览'!$A$7:$A$306,B135)&lt;&gt;1,"问题引用无效",IF(OR(D135="",E135="",F135="",G135="",L135=""),"待补版本信息",IF(AND(C135&lt;&gt;"",OR(C135=A135,COUNTIFS('方案版本'!$A$7:$A$306,C135,'方案版本'!$B$7:$B$306,B135)&lt;&gt;1)),"父方案引用无效",IF(L135="草稿","草稿未冻结",IF(OR(NOT(ISNUMBER(H135)),NOT(ISNUMBER(I135)),J135="",K135="",M135=""),"待补冻结信息",IF(I135&lt;H135,"请核实事后补录","有效输入"))))))))</x:f>
      </x:c>
    </x:row>
    <x:row r="136" ht="25" customHeight="1">
      <x:c r="A136" s="3"/>
      <x:c r="B136" s="3"/>
      <x:c r="C136" s="3"/>
      <x:c r="D136" s="3"/>
      <x:c r="E136" s="3"/>
      <x:c r="F136" s="3"/>
      <x:c r="G136" s="3"/>
      <x:c r="H136" s="25"/>
      <x:c r="I136" s="25"/>
      <x:c r="J136" s="3"/>
      <x:c r="K136" s="3"/>
      <x:c r="L136" s="3"/>
      <x:c r="M136" s="3"/>
      <x:c r="N136" s="19" t="str">
        <x:f>IF(A136="","",IF(COUNTIFS('方案版本'!$A$7:$A$306,A136)&lt;&gt;1,"编号重复",IF(COUNTIFS('问题总览'!$A$7:$A$306,B136)&lt;&gt;1,"问题引用无效",IF(OR(D136="",E136="",F136="",G136="",L136=""),"待补版本信息",IF(AND(C136&lt;&gt;"",OR(C136=A136,COUNTIFS('方案版本'!$A$7:$A$306,C136,'方案版本'!$B$7:$B$306,B136)&lt;&gt;1)),"父方案引用无效",IF(L136="草稿","草稿未冻结",IF(OR(NOT(ISNUMBER(H136)),NOT(ISNUMBER(I136)),J136="",K136="",M136=""),"待补冻结信息",IF(I136&lt;H136,"请核实事后补录","有效输入"))))))))</x:f>
      </x:c>
    </x:row>
    <x:row r="137" ht="25" customHeight="1">
      <x:c r="A137" s="3"/>
      <x:c r="B137" s="3"/>
      <x:c r="C137" s="3"/>
      <x:c r="D137" s="3"/>
      <x:c r="E137" s="3"/>
      <x:c r="F137" s="3"/>
      <x:c r="G137" s="3"/>
      <x:c r="H137" s="25"/>
      <x:c r="I137" s="25"/>
      <x:c r="J137" s="3"/>
      <x:c r="K137" s="3"/>
      <x:c r="L137" s="3"/>
      <x:c r="M137" s="3"/>
      <x:c r="N137" s="19" t="str">
        <x:f>IF(A137="","",IF(COUNTIFS('方案版本'!$A$7:$A$306,A137)&lt;&gt;1,"编号重复",IF(COUNTIFS('问题总览'!$A$7:$A$306,B137)&lt;&gt;1,"问题引用无效",IF(OR(D137="",E137="",F137="",G137="",L137=""),"待补版本信息",IF(AND(C137&lt;&gt;"",OR(C137=A137,COUNTIFS('方案版本'!$A$7:$A$306,C137,'方案版本'!$B$7:$B$306,B137)&lt;&gt;1)),"父方案引用无效",IF(L137="草稿","草稿未冻结",IF(OR(NOT(ISNUMBER(H137)),NOT(ISNUMBER(I137)),J137="",K137="",M137=""),"待补冻结信息",IF(I137&lt;H137,"请核实事后补录","有效输入"))))))))</x:f>
      </x:c>
    </x:row>
    <x:row r="138" ht="25" customHeight="1">
      <x:c r="A138" s="3"/>
      <x:c r="B138" s="3"/>
      <x:c r="C138" s="3"/>
      <x:c r="D138" s="3"/>
      <x:c r="E138" s="3"/>
      <x:c r="F138" s="3"/>
      <x:c r="G138" s="3"/>
      <x:c r="H138" s="25"/>
      <x:c r="I138" s="25"/>
      <x:c r="J138" s="3"/>
      <x:c r="K138" s="3"/>
      <x:c r="L138" s="3"/>
      <x:c r="M138" s="3"/>
      <x:c r="N138" s="19" t="str">
        <x:f>IF(A138="","",IF(COUNTIFS('方案版本'!$A$7:$A$306,A138)&lt;&gt;1,"编号重复",IF(COUNTIFS('问题总览'!$A$7:$A$306,B138)&lt;&gt;1,"问题引用无效",IF(OR(D138="",E138="",F138="",G138="",L138=""),"待补版本信息",IF(AND(C138&lt;&gt;"",OR(C138=A138,COUNTIFS('方案版本'!$A$7:$A$306,C138,'方案版本'!$B$7:$B$306,B138)&lt;&gt;1)),"父方案引用无效",IF(L138="草稿","草稿未冻结",IF(OR(NOT(ISNUMBER(H138)),NOT(ISNUMBER(I138)),J138="",K138="",M138=""),"待补冻结信息",IF(I138&lt;H138,"请核实事后补录","有效输入"))))))))</x:f>
      </x:c>
    </x:row>
    <x:row r="139" ht="25" customHeight="1">
      <x:c r="A139" s="3"/>
      <x:c r="B139" s="3"/>
      <x:c r="C139" s="3"/>
      <x:c r="D139" s="3"/>
      <x:c r="E139" s="3"/>
      <x:c r="F139" s="3"/>
      <x:c r="G139" s="3"/>
      <x:c r="H139" s="25"/>
      <x:c r="I139" s="25"/>
      <x:c r="J139" s="3"/>
      <x:c r="K139" s="3"/>
      <x:c r="L139" s="3"/>
      <x:c r="M139" s="3"/>
      <x:c r="N139" s="19" t="str">
        <x:f>IF(A139="","",IF(COUNTIFS('方案版本'!$A$7:$A$306,A139)&lt;&gt;1,"编号重复",IF(COUNTIFS('问题总览'!$A$7:$A$306,B139)&lt;&gt;1,"问题引用无效",IF(OR(D139="",E139="",F139="",G139="",L139=""),"待补版本信息",IF(AND(C139&lt;&gt;"",OR(C139=A139,COUNTIFS('方案版本'!$A$7:$A$306,C139,'方案版本'!$B$7:$B$306,B139)&lt;&gt;1)),"父方案引用无效",IF(L139="草稿","草稿未冻结",IF(OR(NOT(ISNUMBER(H139)),NOT(ISNUMBER(I139)),J139="",K139="",M139=""),"待补冻结信息",IF(I139&lt;H139,"请核实事后补录","有效输入"))))))))</x:f>
      </x:c>
    </x:row>
    <x:row r="140" ht="25" customHeight="1">
      <x:c r="A140" s="3"/>
      <x:c r="B140" s="3"/>
      <x:c r="C140" s="3"/>
      <x:c r="D140" s="3"/>
      <x:c r="E140" s="3"/>
      <x:c r="F140" s="3"/>
      <x:c r="G140" s="3"/>
      <x:c r="H140" s="25"/>
      <x:c r="I140" s="25"/>
      <x:c r="J140" s="3"/>
      <x:c r="K140" s="3"/>
      <x:c r="L140" s="3"/>
      <x:c r="M140" s="3"/>
      <x:c r="N140" s="19" t="str">
        <x:f>IF(A140="","",IF(COUNTIFS('方案版本'!$A$7:$A$306,A140)&lt;&gt;1,"编号重复",IF(COUNTIFS('问题总览'!$A$7:$A$306,B140)&lt;&gt;1,"问题引用无效",IF(OR(D140="",E140="",F140="",G140="",L140=""),"待补版本信息",IF(AND(C140&lt;&gt;"",OR(C140=A140,COUNTIFS('方案版本'!$A$7:$A$306,C140,'方案版本'!$B$7:$B$306,B140)&lt;&gt;1)),"父方案引用无效",IF(L140="草稿","草稿未冻结",IF(OR(NOT(ISNUMBER(H140)),NOT(ISNUMBER(I140)),J140="",K140="",M140=""),"待补冻结信息",IF(I140&lt;H140,"请核实事后补录","有效输入"))))))))</x:f>
      </x:c>
    </x:row>
    <x:row r="141" ht="25" customHeight="1">
      <x:c r="A141" s="3"/>
      <x:c r="B141" s="3"/>
      <x:c r="C141" s="3"/>
      <x:c r="D141" s="3"/>
      <x:c r="E141" s="3"/>
      <x:c r="F141" s="3"/>
      <x:c r="G141" s="3"/>
      <x:c r="H141" s="25"/>
      <x:c r="I141" s="25"/>
      <x:c r="J141" s="3"/>
      <x:c r="K141" s="3"/>
      <x:c r="L141" s="3"/>
      <x:c r="M141" s="3"/>
      <x:c r="N141" s="19" t="str">
        <x:f>IF(A141="","",IF(COUNTIFS('方案版本'!$A$7:$A$306,A141)&lt;&gt;1,"编号重复",IF(COUNTIFS('问题总览'!$A$7:$A$306,B141)&lt;&gt;1,"问题引用无效",IF(OR(D141="",E141="",F141="",G141="",L141=""),"待补版本信息",IF(AND(C141&lt;&gt;"",OR(C141=A141,COUNTIFS('方案版本'!$A$7:$A$306,C141,'方案版本'!$B$7:$B$306,B141)&lt;&gt;1)),"父方案引用无效",IF(L141="草稿","草稿未冻结",IF(OR(NOT(ISNUMBER(H141)),NOT(ISNUMBER(I141)),J141="",K141="",M141=""),"待补冻结信息",IF(I141&lt;H141,"请核实事后补录","有效输入"))))))))</x:f>
      </x:c>
    </x:row>
    <x:row r="142" ht="25" customHeight="1">
      <x:c r="A142" s="3"/>
      <x:c r="B142" s="3"/>
      <x:c r="C142" s="3"/>
      <x:c r="D142" s="3"/>
      <x:c r="E142" s="3"/>
      <x:c r="F142" s="3"/>
      <x:c r="G142" s="3"/>
      <x:c r="H142" s="25"/>
      <x:c r="I142" s="25"/>
      <x:c r="J142" s="3"/>
      <x:c r="K142" s="3"/>
      <x:c r="L142" s="3"/>
      <x:c r="M142" s="3"/>
      <x:c r="N142" s="19" t="str">
        <x:f>IF(A142="","",IF(COUNTIFS('方案版本'!$A$7:$A$306,A142)&lt;&gt;1,"编号重复",IF(COUNTIFS('问题总览'!$A$7:$A$306,B142)&lt;&gt;1,"问题引用无效",IF(OR(D142="",E142="",F142="",G142="",L142=""),"待补版本信息",IF(AND(C142&lt;&gt;"",OR(C142=A142,COUNTIFS('方案版本'!$A$7:$A$306,C142,'方案版本'!$B$7:$B$306,B142)&lt;&gt;1)),"父方案引用无效",IF(L142="草稿","草稿未冻结",IF(OR(NOT(ISNUMBER(H142)),NOT(ISNUMBER(I142)),J142="",K142="",M142=""),"待补冻结信息",IF(I142&lt;H142,"请核实事后补录","有效输入"))))))))</x:f>
      </x:c>
    </x:row>
    <x:row r="143" ht="25" customHeight="1">
      <x:c r="A143" s="3"/>
      <x:c r="B143" s="3"/>
      <x:c r="C143" s="3"/>
      <x:c r="D143" s="3"/>
      <x:c r="E143" s="3"/>
      <x:c r="F143" s="3"/>
      <x:c r="G143" s="3"/>
      <x:c r="H143" s="25"/>
      <x:c r="I143" s="25"/>
      <x:c r="J143" s="3"/>
      <x:c r="K143" s="3"/>
      <x:c r="L143" s="3"/>
      <x:c r="M143" s="3"/>
      <x:c r="N143" s="19" t="str">
        <x:f>IF(A143="","",IF(COUNTIFS('方案版本'!$A$7:$A$306,A143)&lt;&gt;1,"编号重复",IF(COUNTIFS('问题总览'!$A$7:$A$306,B143)&lt;&gt;1,"问题引用无效",IF(OR(D143="",E143="",F143="",G143="",L143=""),"待补版本信息",IF(AND(C143&lt;&gt;"",OR(C143=A143,COUNTIFS('方案版本'!$A$7:$A$306,C143,'方案版本'!$B$7:$B$306,B143)&lt;&gt;1)),"父方案引用无效",IF(L143="草稿","草稿未冻结",IF(OR(NOT(ISNUMBER(H143)),NOT(ISNUMBER(I143)),J143="",K143="",M143=""),"待补冻结信息",IF(I143&lt;H143,"请核实事后补录","有效输入"))))))))</x:f>
      </x:c>
    </x:row>
    <x:row r="144" ht="25" customHeight="1">
      <x:c r="A144" s="3"/>
      <x:c r="B144" s="3"/>
      <x:c r="C144" s="3"/>
      <x:c r="D144" s="3"/>
      <x:c r="E144" s="3"/>
      <x:c r="F144" s="3"/>
      <x:c r="G144" s="3"/>
      <x:c r="H144" s="25"/>
      <x:c r="I144" s="25"/>
      <x:c r="J144" s="3"/>
      <x:c r="K144" s="3"/>
      <x:c r="L144" s="3"/>
      <x:c r="M144" s="3"/>
      <x:c r="N144" s="19" t="str">
        <x:f>IF(A144="","",IF(COUNTIFS('方案版本'!$A$7:$A$306,A144)&lt;&gt;1,"编号重复",IF(COUNTIFS('问题总览'!$A$7:$A$306,B144)&lt;&gt;1,"问题引用无效",IF(OR(D144="",E144="",F144="",G144="",L144=""),"待补版本信息",IF(AND(C144&lt;&gt;"",OR(C144=A144,COUNTIFS('方案版本'!$A$7:$A$306,C144,'方案版本'!$B$7:$B$306,B144)&lt;&gt;1)),"父方案引用无效",IF(L144="草稿","草稿未冻结",IF(OR(NOT(ISNUMBER(H144)),NOT(ISNUMBER(I144)),J144="",K144="",M144=""),"待补冻结信息",IF(I144&lt;H144,"请核实事后补录","有效输入"))))))))</x:f>
      </x:c>
    </x:row>
    <x:row r="145" ht="25" customHeight="1">
      <x:c r="A145" s="3"/>
      <x:c r="B145" s="3"/>
      <x:c r="C145" s="3"/>
      <x:c r="D145" s="3"/>
      <x:c r="E145" s="3"/>
      <x:c r="F145" s="3"/>
      <x:c r="G145" s="3"/>
      <x:c r="H145" s="25"/>
      <x:c r="I145" s="25"/>
      <x:c r="J145" s="3"/>
      <x:c r="K145" s="3"/>
      <x:c r="L145" s="3"/>
      <x:c r="M145" s="3"/>
      <x:c r="N145" s="19" t="str">
        <x:f>IF(A145="","",IF(COUNTIFS('方案版本'!$A$7:$A$306,A145)&lt;&gt;1,"编号重复",IF(COUNTIFS('问题总览'!$A$7:$A$306,B145)&lt;&gt;1,"问题引用无效",IF(OR(D145="",E145="",F145="",G145="",L145=""),"待补版本信息",IF(AND(C145&lt;&gt;"",OR(C145=A145,COUNTIFS('方案版本'!$A$7:$A$306,C145,'方案版本'!$B$7:$B$306,B145)&lt;&gt;1)),"父方案引用无效",IF(L145="草稿","草稿未冻结",IF(OR(NOT(ISNUMBER(H145)),NOT(ISNUMBER(I145)),J145="",K145="",M145=""),"待补冻结信息",IF(I145&lt;H145,"请核实事后补录","有效输入"))))))))</x:f>
      </x:c>
    </x:row>
    <x:row r="146" ht="25" customHeight="1">
      <x:c r="A146" s="3"/>
      <x:c r="B146" s="3"/>
      <x:c r="C146" s="3"/>
      <x:c r="D146" s="3"/>
      <x:c r="E146" s="3"/>
      <x:c r="F146" s="3"/>
      <x:c r="G146" s="3"/>
      <x:c r="H146" s="25"/>
      <x:c r="I146" s="25"/>
      <x:c r="J146" s="3"/>
      <x:c r="K146" s="3"/>
      <x:c r="L146" s="3"/>
      <x:c r="M146" s="3"/>
      <x:c r="N146" s="19" t="str">
        <x:f>IF(A146="","",IF(COUNTIFS('方案版本'!$A$7:$A$306,A146)&lt;&gt;1,"编号重复",IF(COUNTIFS('问题总览'!$A$7:$A$306,B146)&lt;&gt;1,"问题引用无效",IF(OR(D146="",E146="",F146="",G146="",L146=""),"待补版本信息",IF(AND(C146&lt;&gt;"",OR(C146=A146,COUNTIFS('方案版本'!$A$7:$A$306,C146,'方案版本'!$B$7:$B$306,B146)&lt;&gt;1)),"父方案引用无效",IF(L146="草稿","草稿未冻结",IF(OR(NOT(ISNUMBER(H146)),NOT(ISNUMBER(I146)),J146="",K146="",M146=""),"待补冻结信息",IF(I146&lt;H146,"请核实事后补录","有效输入"))))))))</x:f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25"/>
      <x:c r="I147" s="25"/>
      <x:c r="J147" s="3"/>
      <x:c r="K147" s="3"/>
      <x:c r="L147" s="3"/>
      <x:c r="M147" s="3"/>
      <x:c r="N147" s="19" t="str">
        <x:f>IF(A147="","",IF(COUNTIFS('方案版本'!$A$7:$A$306,A147)&lt;&gt;1,"编号重复",IF(COUNTIFS('问题总览'!$A$7:$A$306,B147)&lt;&gt;1,"问题引用无效",IF(OR(D147="",E147="",F147="",G147="",L147=""),"待补版本信息",IF(AND(C147&lt;&gt;"",OR(C147=A147,COUNTIFS('方案版本'!$A$7:$A$306,C147,'方案版本'!$B$7:$B$306,B147)&lt;&gt;1)),"父方案引用无效",IF(L147="草稿","草稿未冻结",IF(OR(NOT(ISNUMBER(H147)),NOT(ISNUMBER(I147)),J147="",K147="",M147=""),"待补冻结信息",IF(I147&lt;H147,"请核实事后补录","有效输入"))))))))</x:f>
      </x:c>
    </x:row>
    <x:row r="148" ht="25" customHeight="1">
      <x:c r="A148" s="3"/>
      <x:c r="B148" s="3"/>
      <x:c r="C148" s="3"/>
      <x:c r="D148" s="3"/>
      <x:c r="E148" s="3"/>
      <x:c r="F148" s="3"/>
      <x:c r="G148" s="3"/>
      <x:c r="H148" s="25"/>
      <x:c r="I148" s="25"/>
      <x:c r="J148" s="3"/>
      <x:c r="K148" s="3"/>
      <x:c r="L148" s="3"/>
      <x:c r="M148" s="3"/>
      <x:c r="N148" s="19" t="str">
        <x:f>IF(A148="","",IF(COUNTIFS('方案版本'!$A$7:$A$306,A148)&lt;&gt;1,"编号重复",IF(COUNTIFS('问题总览'!$A$7:$A$306,B148)&lt;&gt;1,"问题引用无效",IF(OR(D148="",E148="",F148="",G148="",L148=""),"待补版本信息",IF(AND(C148&lt;&gt;"",OR(C148=A148,COUNTIFS('方案版本'!$A$7:$A$306,C148,'方案版本'!$B$7:$B$306,B148)&lt;&gt;1)),"父方案引用无效",IF(L148="草稿","草稿未冻结",IF(OR(NOT(ISNUMBER(H148)),NOT(ISNUMBER(I148)),J148="",K148="",M148=""),"待补冻结信息",IF(I148&lt;H148,"请核实事后补录","有效输入"))))))))</x:f>
      </x:c>
    </x:row>
    <x:row r="149" ht="25" customHeight="1">
      <x:c r="A149" s="3"/>
      <x:c r="B149" s="3"/>
      <x:c r="C149" s="3"/>
      <x:c r="D149" s="3"/>
      <x:c r="E149" s="3"/>
      <x:c r="F149" s="3"/>
      <x:c r="G149" s="3"/>
      <x:c r="H149" s="25"/>
      <x:c r="I149" s="25"/>
      <x:c r="J149" s="3"/>
      <x:c r="K149" s="3"/>
      <x:c r="L149" s="3"/>
      <x:c r="M149" s="3"/>
      <x:c r="N149" s="19" t="str">
        <x:f>IF(A149="","",IF(COUNTIFS('方案版本'!$A$7:$A$306,A149)&lt;&gt;1,"编号重复",IF(COUNTIFS('问题总览'!$A$7:$A$306,B149)&lt;&gt;1,"问题引用无效",IF(OR(D149="",E149="",F149="",G149="",L149=""),"待补版本信息",IF(AND(C149&lt;&gt;"",OR(C149=A149,COUNTIFS('方案版本'!$A$7:$A$306,C149,'方案版本'!$B$7:$B$306,B149)&lt;&gt;1)),"父方案引用无效",IF(L149="草稿","草稿未冻结",IF(OR(NOT(ISNUMBER(H149)),NOT(ISNUMBER(I149)),J149="",K149="",M149=""),"待补冻结信息",IF(I149&lt;H149,"请核实事后补录","有效输入"))))))))</x:f>
      </x:c>
    </x:row>
    <x:row r="150" ht="25" customHeight="1">
      <x:c r="A150" s="3"/>
      <x:c r="B150" s="3"/>
      <x:c r="C150" s="3"/>
      <x:c r="D150" s="3"/>
      <x:c r="E150" s="3"/>
      <x:c r="F150" s="3"/>
      <x:c r="G150" s="3"/>
      <x:c r="H150" s="25"/>
      <x:c r="I150" s="25"/>
      <x:c r="J150" s="3"/>
      <x:c r="K150" s="3"/>
      <x:c r="L150" s="3"/>
      <x:c r="M150" s="3"/>
      <x:c r="N150" s="19" t="str">
        <x:f>IF(A150="","",IF(COUNTIFS('方案版本'!$A$7:$A$306,A150)&lt;&gt;1,"编号重复",IF(COUNTIFS('问题总览'!$A$7:$A$306,B150)&lt;&gt;1,"问题引用无效",IF(OR(D150="",E150="",F150="",G150="",L150=""),"待补版本信息",IF(AND(C150&lt;&gt;"",OR(C150=A150,COUNTIFS('方案版本'!$A$7:$A$306,C150,'方案版本'!$B$7:$B$306,B150)&lt;&gt;1)),"父方案引用无效",IF(L150="草稿","草稿未冻结",IF(OR(NOT(ISNUMBER(H150)),NOT(ISNUMBER(I150)),J150="",K150="",M150=""),"待补冻结信息",IF(I150&lt;H150,"请核实事后补录","有效输入"))))))))</x:f>
      </x:c>
    </x:row>
    <x:row r="151" ht="25" customHeight="1">
      <x:c r="A151" s="3"/>
      <x:c r="B151" s="3"/>
      <x:c r="C151" s="3"/>
      <x:c r="D151" s="3"/>
      <x:c r="E151" s="3"/>
      <x:c r="F151" s="3"/>
      <x:c r="G151" s="3"/>
      <x:c r="H151" s="25"/>
      <x:c r="I151" s="25"/>
      <x:c r="J151" s="3"/>
      <x:c r="K151" s="3"/>
      <x:c r="L151" s="3"/>
      <x:c r="M151" s="3"/>
      <x:c r="N151" s="19" t="str">
        <x:f>IF(A151="","",IF(COUNTIFS('方案版本'!$A$7:$A$306,A151)&lt;&gt;1,"编号重复",IF(COUNTIFS('问题总览'!$A$7:$A$306,B151)&lt;&gt;1,"问题引用无效",IF(OR(D151="",E151="",F151="",G151="",L151=""),"待补版本信息",IF(AND(C151&lt;&gt;"",OR(C151=A151,COUNTIFS('方案版本'!$A$7:$A$306,C151,'方案版本'!$B$7:$B$306,B151)&lt;&gt;1)),"父方案引用无效",IF(L151="草稿","草稿未冻结",IF(OR(NOT(ISNUMBER(H151)),NOT(ISNUMBER(I151)),J151="",K151="",M151=""),"待补冻结信息",IF(I151&lt;H151,"请核实事后补录","有效输入"))))))))</x:f>
      </x:c>
    </x:row>
    <x:row r="152" ht="25" customHeight="1">
      <x:c r="A152" s="3"/>
      <x:c r="B152" s="3"/>
      <x:c r="C152" s="3"/>
      <x:c r="D152" s="3"/>
      <x:c r="E152" s="3"/>
      <x:c r="F152" s="3"/>
      <x:c r="G152" s="3"/>
      <x:c r="H152" s="25"/>
      <x:c r="I152" s="25"/>
      <x:c r="J152" s="3"/>
      <x:c r="K152" s="3"/>
      <x:c r="L152" s="3"/>
      <x:c r="M152" s="3"/>
      <x:c r="N152" s="19" t="str">
        <x:f>IF(A152="","",IF(COUNTIFS('方案版本'!$A$7:$A$306,A152)&lt;&gt;1,"编号重复",IF(COUNTIFS('问题总览'!$A$7:$A$306,B152)&lt;&gt;1,"问题引用无效",IF(OR(D152="",E152="",F152="",G152="",L152=""),"待补版本信息",IF(AND(C152&lt;&gt;"",OR(C152=A152,COUNTIFS('方案版本'!$A$7:$A$306,C152,'方案版本'!$B$7:$B$306,B152)&lt;&gt;1)),"父方案引用无效",IF(L152="草稿","草稿未冻结",IF(OR(NOT(ISNUMBER(H152)),NOT(ISNUMBER(I152)),J152="",K152="",M152=""),"待补冻结信息",IF(I152&lt;H152,"请核实事后补录","有效输入"))))))))</x:f>
      </x:c>
    </x:row>
    <x:row r="153" ht="25" customHeight="1">
      <x:c r="A153" s="3"/>
      <x:c r="B153" s="3"/>
      <x:c r="C153" s="3"/>
      <x:c r="D153" s="3"/>
      <x:c r="E153" s="3"/>
      <x:c r="F153" s="3"/>
      <x:c r="G153" s="3"/>
      <x:c r="H153" s="25"/>
      <x:c r="I153" s="25"/>
      <x:c r="J153" s="3"/>
      <x:c r="K153" s="3"/>
      <x:c r="L153" s="3"/>
      <x:c r="M153" s="3"/>
      <x:c r="N153" s="19" t="str">
        <x:f>IF(A153="","",IF(COUNTIFS('方案版本'!$A$7:$A$306,A153)&lt;&gt;1,"编号重复",IF(COUNTIFS('问题总览'!$A$7:$A$306,B153)&lt;&gt;1,"问题引用无效",IF(OR(D153="",E153="",F153="",G153="",L153=""),"待补版本信息",IF(AND(C153&lt;&gt;"",OR(C153=A153,COUNTIFS('方案版本'!$A$7:$A$306,C153,'方案版本'!$B$7:$B$306,B153)&lt;&gt;1)),"父方案引用无效",IF(L153="草稿","草稿未冻结",IF(OR(NOT(ISNUMBER(H153)),NOT(ISNUMBER(I153)),J153="",K153="",M153=""),"待补冻结信息",IF(I153&lt;H153,"请核实事后补录","有效输入"))))))))</x:f>
      </x:c>
    </x:row>
    <x:row r="154" ht="25" customHeight="1">
      <x:c r="A154" s="3"/>
      <x:c r="B154" s="3"/>
      <x:c r="C154" s="3"/>
      <x:c r="D154" s="3"/>
      <x:c r="E154" s="3"/>
      <x:c r="F154" s="3"/>
      <x:c r="G154" s="3"/>
      <x:c r="H154" s="25"/>
      <x:c r="I154" s="25"/>
      <x:c r="J154" s="3"/>
      <x:c r="K154" s="3"/>
      <x:c r="L154" s="3"/>
      <x:c r="M154" s="3"/>
      <x:c r="N154" s="19" t="str">
        <x:f>IF(A154="","",IF(COUNTIFS('方案版本'!$A$7:$A$306,A154)&lt;&gt;1,"编号重复",IF(COUNTIFS('问题总览'!$A$7:$A$306,B154)&lt;&gt;1,"问题引用无效",IF(OR(D154="",E154="",F154="",G154="",L154=""),"待补版本信息",IF(AND(C154&lt;&gt;"",OR(C154=A154,COUNTIFS('方案版本'!$A$7:$A$306,C154,'方案版本'!$B$7:$B$306,B154)&lt;&gt;1)),"父方案引用无效",IF(L154="草稿","草稿未冻结",IF(OR(NOT(ISNUMBER(H154)),NOT(ISNUMBER(I154)),J154="",K154="",M154=""),"待补冻结信息",IF(I154&lt;H154,"请核实事后补录","有效输入"))))))))</x:f>
      </x:c>
    </x:row>
    <x:row r="155" ht="25" customHeight="1">
      <x:c r="A155" s="3"/>
      <x:c r="B155" s="3"/>
      <x:c r="C155" s="3"/>
      <x:c r="D155" s="3"/>
      <x:c r="E155" s="3"/>
      <x:c r="F155" s="3"/>
      <x:c r="G155" s="3"/>
      <x:c r="H155" s="25"/>
      <x:c r="I155" s="25"/>
      <x:c r="J155" s="3"/>
      <x:c r="K155" s="3"/>
      <x:c r="L155" s="3"/>
      <x:c r="M155" s="3"/>
      <x:c r="N155" s="19" t="str">
        <x:f>IF(A155="","",IF(COUNTIFS('方案版本'!$A$7:$A$306,A155)&lt;&gt;1,"编号重复",IF(COUNTIFS('问题总览'!$A$7:$A$306,B155)&lt;&gt;1,"问题引用无效",IF(OR(D155="",E155="",F155="",G155="",L155=""),"待补版本信息",IF(AND(C155&lt;&gt;"",OR(C155=A155,COUNTIFS('方案版本'!$A$7:$A$306,C155,'方案版本'!$B$7:$B$306,B155)&lt;&gt;1)),"父方案引用无效",IF(L155="草稿","草稿未冻结",IF(OR(NOT(ISNUMBER(H155)),NOT(ISNUMBER(I155)),J155="",K155="",M155=""),"待补冻结信息",IF(I155&lt;H155,"请核实事后补录","有效输入"))))))))</x:f>
      </x:c>
    </x:row>
    <x:row r="156" ht="25" customHeight="1">
      <x:c r="A156" s="3"/>
      <x:c r="B156" s="3"/>
      <x:c r="C156" s="3"/>
      <x:c r="D156" s="3"/>
      <x:c r="E156" s="3"/>
      <x:c r="F156" s="3"/>
      <x:c r="G156" s="3"/>
      <x:c r="H156" s="25"/>
      <x:c r="I156" s="25"/>
      <x:c r="J156" s="3"/>
      <x:c r="K156" s="3"/>
      <x:c r="L156" s="3"/>
      <x:c r="M156" s="3"/>
      <x:c r="N156" s="19" t="str">
        <x:f>IF(A156="","",IF(COUNTIFS('方案版本'!$A$7:$A$306,A156)&lt;&gt;1,"编号重复",IF(COUNTIFS('问题总览'!$A$7:$A$306,B156)&lt;&gt;1,"问题引用无效",IF(OR(D156="",E156="",F156="",G156="",L156=""),"待补版本信息",IF(AND(C156&lt;&gt;"",OR(C156=A156,COUNTIFS('方案版本'!$A$7:$A$306,C156,'方案版本'!$B$7:$B$306,B156)&lt;&gt;1)),"父方案引用无效",IF(L156="草稿","草稿未冻结",IF(OR(NOT(ISNUMBER(H156)),NOT(ISNUMBER(I156)),J156="",K156="",M156=""),"待补冻结信息",IF(I156&lt;H156,"请核实事后补录","有效输入"))))))))</x:f>
      </x:c>
    </x:row>
    <x:row r="157" ht="25" customHeight="1">
      <x:c r="A157" s="3"/>
      <x:c r="B157" s="3"/>
      <x:c r="C157" s="3"/>
      <x:c r="D157" s="3"/>
      <x:c r="E157" s="3"/>
      <x:c r="F157" s="3"/>
      <x:c r="G157" s="3"/>
      <x:c r="H157" s="25"/>
      <x:c r="I157" s="25"/>
      <x:c r="J157" s="3"/>
      <x:c r="K157" s="3"/>
      <x:c r="L157" s="3"/>
      <x:c r="M157" s="3"/>
      <x:c r="N157" s="19" t="str">
        <x:f>IF(A157="","",IF(COUNTIFS('方案版本'!$A$7:$A$306,A157)&lt;&gt;1,"编号重复",IF(COUNTIFS('问题总览'!$A$7:$A$306,B157)&lt;&gt;1,"问题引用无效",IF(OR(D157="",E157="",F157="",G157="",L157=""),"待补版本信息",IF(AND(C157&lt;&gt;"",OR(C157=A157,COUNTIFS('方案版本'!$A$7:$A$306,C157,'方案版本'!$B$7:$B$306,B157)&lt;&gt;1)),"父方案引用无效",IF(L157="草稿","草稿未冻结",IF(OR(NOT(ISNUMBER(H157)),NOT(ISNUMBER(I157)),J157="",K157="",M157=""),"待补冻结信息",IF(I157&lt;H157,"请核实事后补录","有效输入"))))))))</x:f>
      </x:c>
    </x:row>
    <x:row r="158" ht="25" customHeight="1">
      <x:c r="A158" s="3"/>
      <x:c r="B158" s="3"/>
      <x:c r="C158" s="3"/>
      <x:c r="D158" s="3"/>
      <x:c r="E158" s="3"/>
      <x:c r="F158" s="3"/>
      <x:c r="G158" s="3"/>
      <x:c r="H158" s="25"/>
      <x:c r="I158" s="25"/>
      <x:c r="J158" s="3"/>
      <x:c r="K158" s="3"/>
      <x:c r="L158" s="3"/>
      <x:c r="M158" s="3"/>
      <x:c r="N158" s="19" t="str">
        <x:f>IF(A158="","",IF(COUNTIFS('方案版本'!$A$7:$A$306,A158)&lt;&gt;1,"编号重复",IF(COUNTIFS('问题总览'!$A$7:$A$306,B158)&lt;&gt;1,"问题引用无效",IF(OR(D158="",E158="",F158="",G158="",L158=""),"待补版本信息",IF(AND(C158&lt;&gt;"",OR(C158=A158,COUNTIFS('方案版本'!$A$7:$A$306,C158,'方案版本'!$B$7:$B$306,B158)&lt;&gt;1)),"父方案引用无效",IF(L158="草稿","草稿未冻结",IF(OR(NOT(ISNUMBER(H158)),NOT(ISNUMBER(I158)),J158="",K158="",M158=""),"待补冻结信息",IF(I158&lt;H158,"请核实事后补录","有效输入"))))))))</x:f>
      </x:c>
    </x:row>
    <x:row r="159" ht="25" customHeight="1">
      <x:c r="A159" s="3"/>
      <x:c r="B159" s="3"/>
      <x:c r="C159" s="3"/>
      <x:c r="D159" s="3"/>
      <x:c r="E159" s="3"/>
      <x:c r="F159" s="3"/>
      <x:c r="G159" s="3"/>
      <x:c r="H159" s="25"/>
      <x:c r="I159" s="25"/>
      <x:c r="J159" s="3"/>
      <x:c r="K159" s="3"/>
      <x:c r="L159" s="3"/>
      <x:c r="M159" s="3"/>
      <x:c r="N159" s="19" t="str">
        <x:f>IF(A159="","",IF(COUNTIFS('方案版本'!$A$7:$A$306,A159)&lt;&gt;1,"编号重复",IF(COUNTIFS('问题总览'!$A$7:$A$306,B159)&lt;&gt;1,"问题引用无效",IF(OR(D159="",E159="",F159="",G159="",L159=""),"待补版本信息",IF(AND(C159&lt;&gt;"",OR(C159=A159,COUNTIFS('方案版本'!$A$7:$A$306,C159,'方案版本'!$B$7:$B$306,B159)&lt;&gt;1)),"父方案引用无效",IF(L159="草稿","草稿未冻结",IF(OR(NOT(ISNUMBER(H159)),NOT(ISNUMBER(I159)),J159="",K159="",M159=""),"待补冻结信息",IF(I159&lt;H159,"请核实事后补录","有效输入"))))))))</x:f>
      </x:c>
    </x:row>
    <x:row r="160" ht="25" customHeight="1">
      <x:c r="A160" s="3"/>
      <x:c r="B160" s="3"/>
      <x:c r="C160" s="3"/>
      <x:c r="D160" s="3"/>
      <x:c r="E160" s="3"/>
      <x:c r="F160" s="3"/>
      <x:c r="G160" s="3"/>
      <x:c r="H160" s="25"/>
      <x:c r="I160" s="25"/>
      <x:c r="J160" s="3"/>
      <x:c r="K160" s="3"/>
      <x:c r="L160" s="3"/>
      <x:c r="M160" s="3"/>
      <x:c r="N160" s="19" t="str">
        <x:f>IF(A160="","",IF(COUNTIFS('方案版本'!$A$7:$A$306,A160)&lt;&gt;1,"编号重复",IF(COUNTIFS('问题总览'!$A$7:$A$306,B160)&lt;&gt;1,"问题引用无效",IF(OR(D160="",E160="",F160="",G160="",L160=""),"待补版本信息",IF(AND(C160&lt;&gt;"",OR(C160=A160,COUNTIFS('方案版本'!$A$7:$A$306,C160,'方案版本'!$B$7:$B$306,B160)&lt;&gt;1)),"父方案引用无效",IF(L160="草稿","草稿未冻结",IF(OR(NOT(ISNUMBER(H160)),NOT(ISNUMBER(I160)),J160="",K160="",M160=""),"待补冻结信息",IF(I160&lt;H160,"请核实事后补录","有效输入"))))))))</x:f>
      </x:c>
    </x:row>
    <x:row r="161" ht="25" customHeight="1">
      <x:c r="A161" s="3"/>
      <x:c r="B161" s="3"/>
      <x:c r="C161" s="3"/>
      <x:c r="D161" s="3"/>
      <x:c r="E161" s="3"/>
      <x:c r="F161" s="3"/>
      <x:c r="G161" s="3"/>
      <x:c r="H161" s="25"/>
      <x:c r="I161" s="25"/>
      <x:c r="J161" s="3"/>
      <x:c r="K161" s="3"/>
      <x:c r="L161" s="3"/>
      <x:c r="M161" s="3"/>
      <x:c r="N161" s="19" t="str">
        <x:f>IF(A161="","",IF(COUNTIFS('方案版本'!$A$7:$A$306,A161)&lt;&gt;1,"编号重复",IF(COUNTIFS('问题总览'!$A$7:$A$306,B161)&lt;&gt;1,"问题引用无效",IF(OR(D161="",E161="",F161="",G161="",L161=""),"待补版本信息",IF(AND(C161&lt;&gt;"",OR(C161=A161,COUNTIFS('方案版本'!$A$7:$A$306,C161,'方案版本'!$B$7:$B$306,B161)&lt;&gt;1)),"父方案引用无效",IF(L161="草稿","草稿未冻结",IF(OR(NOT(ISNUMBER(H161)),NOT(ISNUMBER(I161)),J161="",K161="",M161=""),"待补冻结信息",IF(I161&lt;H161,"请核实事后补录","有效输入"))))))))</x:f>
      </x:c>
    </x:row>
    <x:row r="162" ht="25" customHeight="1">
      <x:c r="A162" s="3"/>
      <x:c r="B162" s="3"/>
      <x:c r="C162" s="3"/>
      <x:c r="D162" s="3"/>
      <x:c r="E162" s="3"/>
      <x:c r="F162" s="3"/>
      <x:c r="G162" s="3"/>
      <x:c r="H162" s="25"/>
      <x:c r="I162" s="25"/>
      <x:c r="J162" s="3"/>
      <x:c r="K162" s="3"/>
      <x:c r="L162" s="3"/>
      <x:c r="M162" s="3"/>
      <x:c r="N162" s="19" t="str">
        <x:f>IF(A162="","",IF(COUNTIFS('方案版本'!$A$7:$A$306,A162)&lt;&gt;1,"编号重复",IF(COUNTIFS('问题总览'!$A$7:$A$306,B162)&lt;&gt;1,"问题引用无效",IF(OR(D162="",E162="",F162="",G162="",L162=""),"待补版本信息",IF(AND(C162&lt;&gt;"",OR(C162=A162,COUNTIFS('方案版本'!$A$7:$A$306,C162,'方案版本'!$B$7:$B$306,B162)&lt;&gt;1)),"父方案引用无效",IF(L162="草稿","草稿未冻结",IF(OR(NOT(ISNUMBER(H162)),NOT(ISNUMBER(I162)),J162="",K162="",M162=""),"待补冻结信息",IF(I162&lt;H162,"请核实事后补录","有效输入"))))))))</x:f>
      </x:c>
    </x:row>
    <x:row r="163" ht="25" customHeight="1">
      <x:c r="A163" s="3"/>
      <x:c r="B163" s="3"/>
      <x:c r="C163" s="3"/>
      <x:c r="D163" s="3"/>
      <x:c r="E163" s="3"/>
      <x:c r="F163" s="3"/>
      <x:c r="G163" s="3"/>
      <x:c r="H163" s="25"/>
      <x:c r="I163" s="25"/>
      <x:c r="J163" s="3"/>
      <x:c r="K163" s="3"/>
      <x:c r="L163" s="3"/>
      <x:c r="M163" s="3"/>
      <x:c r="N163" s="19" t="str">
        <x:f>IF(A163="","",IF(COUNTIFS('方案版本'!$A$7:$A$306,A163)&lt;&gt;1,"编号重复",IF(COUNTIFS('问题总览'!$A$7:$A$306,B163)&lt;&gt;1,"问题引用无效",IF(OR(D163="",E163="",F163="",G163="",L163=""),"待补版本信息",IF(AND(C163&lt;&gt;"",OR(C163=A163,COUNTIFS('方案版本'!$A$7:$A$306,C163,'方案版本'!$B$7:$B$306,B163)&lt;&gt;1)),"父方案引用无效",IF(L163="草稿","草稿未冻结",IF(OR(NOT(ISNUMBER(H163)),NOT(ISNUMBER(I163)),J163="",K163="",M163=""),"待补冻结信息",IF(I163&lt;H163,"请核实事后补录","有效输入"))))))))</x:f>
      </x:c>
    </x:row>
    <x:row r="164" ht="25" customHeight="1">
      <x:c r="A164" s="3"/>
      <x:c r="B164" s="3"/>
      <x:c r="C164" s="3"/>
      <x:c r="D164" s="3"/>
      <x:c r="E164" s="3"/>
      <x:c r="F164" s="3"/>
      <x:c r="G164" s="3"/>
      <x:c r="H164" s="25"/>
      <x:c r="I164" s="25"/>
      <x:c r="J164" s="3"/>
      <x:c r="K164" s="3"/>
      <x:c r="L164" s="3"/>
      <x:c r="M164" s="3"/>
      <x:c r="N164" s="19" t="str">
        <x:f>IF(A164="","",IF(COUNTIFS('方案版本'!$A$7:$A$306,A164)&lt;&gt;1,"编号重复",IF(COUNTIFS('问题总览'!$A$7:$A$306,B164)&lt;&gt;1,"问题引用无效",IF(OR(D164="",E164="",F164="",G164="",L164=""),"待补版本信息",IF(AND(C164&lt;&gt;"",OR(C164=A164,COUNTIFS('方案版本'!$A$7:$A$306,C164,'方案版本'!$B$7:$B$306,B164)&lt;&gt;1)),"父方案引用无效",IF(L164="草稿","草稿未冻结",IF(OR(NOT(ISNUMBER(H164)),NOT(ISNUMBER(I164)),J164="",K164="",M164=""),"待补冻结信息",IF(I164&lt;H164,"请核实事后补录","有效输入"))))))))</x:f>
      </x:c>
    </x:row>
    <x:row r="165" ht="25" customHeight="1">
      <x:c r="A165" s="3"/>
      <x:c r="B165" s="3"/>
      <x:c r="C165" s="3"/>
      <x:c r="D165" s="3"/>
      <x:c r="E165" s="3"/>
      <x:c r="F165" s="3"/>
      <x:c r="G165" s="3"/>
      <x:c r="H165" s="25"/>
      <x:c r="I165" s="25"/>
      <x:c r="J165" s="3"/>
      <x:c r="K165" s="3"/>
      <x:c r="L165" s="3"/>
      <x:c r="M165" s="3"/>
      <x:c r="N165" s="19" t="str">
        <x:f>IF(A165="","",IF(COUNTIFS('方案版本'!$A$7:$A$306,A165)&lt;&gt;1,"编号重复",IF(COUNTIFS('问题总览'!$A$7:$A$306,B165)&lt;&gt;1,"问题引用无效",IF(OR(D165="",E165="",F165="",G165="",L165=""),"待补版本信息",IF(AND(C165&lt;&gt;"",OR(C165=A165,COUNTIFS('方案版本'!$A$7:$A$306,C165,'方案版本'!$B$7:$B$306,B165)&lt;&gt;1)),"父方案引用无效",IF(L165="草稿","草稿未冻结",IF(OR(NOT(ISNUMBER(H165)),NOT(ISNUMBER(I165)),J165="",K165="",M165=""),"待补冻结信息",IF(I165&lt;H165,"请核实事后补录","有效输入"))))))))</x:f>
      </x:c>
    </x:row>
    <x:row r="166" ht="25" customHeight="1">
      <x:c r="A166" s="3"/>
      <x:c r="B166" s="3"/>
      <x:c r="C166" s="3"/>
      <x:c r="D166" s="3"/>
      <x:c r="E166" s="3"/>
      <x:c r="F166" s="3"/>
      <x:c r="G166" s="3"/>
      <x:c r="H166" s="25"/>
      <x:c r="I166" s="25"/>
      <x:c r="J166" s="3"/>
      <x:c r="K166" s="3"/>
      <x:c r="L166" s="3"/>
      <x:c r="M166" s="3"/>
      <x:c r="N166" s="19" t="str">
        <x:f>IF(A166="","",IF(COUNTIFS('方案版本'!$A$7:$A$306,A166)&lt;&gt;1,"编号重复",IF(COUNTIFS('问题总览'!$A$7:$A$306,B166)&lt;&gt;1,"问题引用无效",IF(OR(D166="",E166="",F166="",G166="",L166=""),"待补版本信息",IF(AND(C166&lt;&gt;"",OR(C166=A166,COUNTIFS('方案版本'!$A$7:$A$306,C166,'方案版本'!$B$7:$B$306,B166)&lt;&gt;1)),"父方案引用无效",IF(L166="草稿","草稿未冻结",IF(OR(NOT(ISNUMBER(H166)),NOT(ISNUMBER(I166)),J166="",K166="",M166=""),"待补冻结信息",IF(I166&lt;H166,"请核实事后补录","有效输入"))))))))</x:f>
      </x:c>
    </x:row>
    <x:row r="167" ht="25" customHeight="1">
      <x:c r="A167" s="3"/>
      <x:c r="B167" s="3"/>
      <x:c r="C167" s="3"/>
      <x:c r="D167" s="3"/>
      <x:c r="E167" s="3"/>
      <x:c r="F167" s="3"/>
      <x:c r="G167" s="3"/>
      <x:c r="H167" s="25"/>
      <x:c r="I167" s="25"/>
      <x:c r="J167" s="3"/>
      <x:c r="K167" s="3"/>
      <x:c r="L167" s="3"/>
      <x:c r="M167" s="3"/>
      <x:c r="N167" s="19" t="str">
        <x:f>IF(A167="","",IF(COUNTIFS('方案版本'!$A$7:$A$306,A167)&lt;&gt;1,"编号重复",IF(COUNTIFS('问题总览'!$A$7:$A$306,B167)&lt;&gt;1,"问题引用无效",IF(OR(D167="",E167="",F167="",G167="",L167=""),"待补版本信息",IF(AND(C167&lt;&gt;"",OR(C167=A167,COUNTIFS('方案版本'!$A$7:$A$306,C167,'方案版本'!$B$7:$B$306,B167)&lt;&gt;1)),"父方案引用无效",IF(L167="草稿","草稿未冻结",IF(OR(NOT(ISNUMBER(H167)),NOT(ISNUMBER(I167)),J167="",K167="",M167=""),"待补冻结信息",IF(I167&lt;H167,"请核实事后补录","有效输入"))))))))</x:f>
      </x:c>
    </x:row>
    <x:row r="168" ht="25" customHeight="1">
      <x:c r="A168" s="3"/>
      <x:c r="B168" s="3"/>
      <x:c r="C168" s="3"/>
      <x:c r="D168" s="3"/>
      <x:c r="E168" s="3"/>
      <x:c r="F168" s="3"/>
      <x:c r="G168" s="3"/>
      <x:c r="H168" s="25"/>
      <x:c r="I168" s="25"/>
      <x:c r="J168" s="3"/>
      <x:c r="K168" s="3"/>
      <x:c r="L168" s="3"/>
      <x:c r="M168" s="3"/>
      <x:c r="N168" s="19" t="str">
        <x:f>IF(A168="","",IF(COUNTIFS('方案版本'!$A$7:$A$306,A168)&lt;&gt;1,"编号重复",IF(COUNTIFS('问题总览'!$A$7:$A$306,B168)&lt;&gt;1,"问题引用无效",IF(OR(D168="",E168="",F168="",G168="",L168=""),"待补版本信息",IF(AND(C168&lt;&gt;"",OR(C168=A168,COUNTIFS('方案版本'!$A$7:$A$306,C168,'方案版本'!$B$7:$B$306,B168)&lt;&gt;1)),"父方案引用无效",IF(L168="草稿","草稿未冻结",IF(OR(NOT(ISNUMBER(H168)),NOT(ISNUMBER(I168)),J168="",K168="",M168=""),"待补冻结信息",IF(I168&lt;H168,"请核实事后补录","有效输入"))))))))</x:f>
      </x:c>
    </x:row>
    <x:row r="169" ht="25" customHeight="1">
      <x:c r="A169" s="3"/>
      <x:c r="B169" s="3"/>
      <x:c r="C169" s="3"/>
      <x:c r="D169" s="3"/>
      <x:c r="E169" s="3"/>
      <x:c r="F169" s="3"/>
      <x:c r="G169" s="3"/>
      <x:c r="H169" s="25"/>
      <x:c r="I169" s="25"/>
      <x:c r="J169" s="3"/>
      <x:c r="K169" s="3"/>
      <x:c r="L169" s="3"/>
      <x:c r="M169" s="3"/>
      <x:c r="N169" s="19" t="str">
        <x:f>IF(A169="","",IF(COUNTIFS('方案版本'!$A$7:$A$306,A169)&lt;&gt;1,"编号重复",IF(COUNTIFS('问题总览'!$A$7:$A$306,B169)&lt;&gt;1,"问题引用无效",IF(OR(D169="",E169="",F169="",G169="",L169=""),"待补版本信息",IF(AND(C169&lt;&gt;"",OR(C169=A169,COUNTIFS('方案版本'!$A$7:$A$306,C169,'方案版本'!$B$7:$B$306,B169)&lt;&gt;1)),"父方案引用无效",IF(L169="草稿","草稿未冻结",IF(OR(NOT(ISNUMBER(H169)),NOT(ISNUMBER(I169)),J169="",K169="",M169=""),"待补冻结信息",IF(I169&lt;H169,"请核实事后补录","有效输入"))))))))</x:f>
      </x:c>
    </x:row>
    <x:row r="170" ht="25" customHeight="1">
      <x:c r="A170" s="3"/>
      <x:c r="B170" s="3"/>
      <x:c r="C170" s="3"/>
      <x:c r="D170" s="3"/>
      <x:c r="E170" s="3"/>
      <x:c r="F170" s="3"/>
      <x:c r="G170" s="3"/>
      <x:c r="H170" s="25"/>
      <x:c r="I170" s="25"/>
      <x:c r="J170" s="3"/>
      <x:c r="K170" s="3"/>
      <x:c r="L170" s="3"/>
      <x:c r="M170" s="3"/>
      <x:c r="N170" s="19" t="str">
        <x:f>IF(A170="","",IF(COUNTIFS('方案版本'!$A$7:$A$306,A170)&lt;&gt;1,"编号重复",IF(COUNTIFS('问题总览'!$A$7:$A$306,B170)&lt;&gt;1,"问题引用无效",IF(OR(D170="",E170="",F170="",G170="",L170=""),"待补版本信息",IF(AND(C170&lt;&gt;"",OR(C170=A170,COUNTIFS('方案版本'!$A$7:$A$306,C170,'方案版本'!$B$7:$B$306,B170)&lt;&gt;1)),"父方案引用无效",IF(L170="草稿","草稿未冻结",IF(OR(NOT(ISNUMBER(H170)),NOT(ISNUMBER(I170)),J170="",K170="",M170=""),"待补冻结信息",IF(I170&lt;H170,"请核实事后补录","有效输入"))))))))</x:f>
      </x:c>
    </x:row>
    <x:row r="171" ht="25" customHeight="1">
      <x:c r="A171" s="3"/>
      <x:c r="B171" s="3"/>
      <x:c r="C171" s="3"/>
      <x:c r="D171" s="3"/>
      <x:c r="E171" s="3"/>
      <x:c r="F171" s="3"/>
      <x:c r="G171" s="3"/>
      <x:c r="H171" s="25"/>
      <x:c r="I171" s="25"/>
      <x:c r="J171" s="3"/>
      <x:c r="K171" s="3"/>
      <x:c r="L171" s="3"/>
      <x:c r="M171" s="3"/>
      <x:c r="N171" s="19" t="str">
        <x:f>IF(A171="","",IF(COUNTIFS('方案版本'!$A$7:$A$306,A171)&lt;&gt;1,"编号重复",IF(COUNTIFS('问题总览'!$A$7:$A$306,B171)&lt;&gt;1,"问题引用无效",IF(OR(D171="",E171="",F171="",G171="",L171=""),"待补版本信息",IF(AND(C171&lt;&gt;"",OR(C171=A171,COUNTIFS('方案版本'!$A$7:$A$306,C171,'方案版本'!$B$7:$B$306,B171)&lt;&gt;1)),"父方案引用无效",IF(L171="草稿","草稿未冻结",IF(OR(NOT(ISNUMBER(H171)),NOT(ISNUMBER(I171)),J171="",K171="",M171=""),"待补冻结信息",IF(I171&lt;H171,"请核实事后补录","有效输入"))))))))</x:f>
      </x:c>
    </x:row>
    <x:row r="172" ht="25" customHeight="1">
      <x:c r="A172" s="3"/>
      <x:c r="B172" s="3"/>
      <x:c r="C172" s="3"/>
      <x:c r="D172" s="3"/>
      <x:c r="E172" s="3"/>
      <x:c r="F172" s="3"/>
      <x:c r="G172" s="3"/>
      <x:c r="H172" s="25"/>
      <x:c r="I172" s="25"/>
      <x:c r="J172" s="3"/>
      <x:c r="K172" s="3"/>
      <x:c r="L172" s="3"/>
      <x:c r="M172" s="3"/>
      <x:c r="N172" s="19" t="str">
        <x:f>IF(A172="","",IF(COUNTIFS('方案版本'!$A$7:$A$306,A172)&lt;&gt;1,"编号重复",IF(COUNTIFS('问题总览'!$A$7:$A$306,B172)&lt;&gt;1,"问题引用无效",IF(OR(D172="",E172="",F172="",G172="",L172=""),"待补版本信息",IF(AND(C172&lt;&gt;"",OR(C172=A172,COUNTIFS('方案版本'!$A$7:$A$306,C172,'方案版本'!$B$7:$B$306,B172)&lt;&gt;1)),"父方案引用无效",IF(L172="草稿","草稿未冻结",IF(OR(NOT(ISNUMBER(H172)),NOT(ISNUMBER(I172)),J172="",K172="",M172=""),"待补冻结信息",IF(I172&lt;H172,"请核实事后补录","有效输入"))))))))</x:f>
      </x:c>
    </x:row>
    <x:row r="173" ht="25" customHeight="1">
      <x:c r="A173" s="3"/>
      <x:c r="B173" s="3"/>
      <x:c r="C173" s="3"/>
      <x:c r="D173" s="3"/>
      <x:c r="E173" s="3"/>
      <x:c r="F173" s="3"/>
      <x:c r="G173" s="3"/>
      <x:c r="H173" s="25"/>
      <x:c r="I173" s="25"/>
      <x:c r="J173" s="3"/>
      <x:c r="K173" s="3"/>
      <x:c r="L173" s="3"/>
      <x:c r="M173" s="3"/>
      <x:c r="N173" s="19" t="str">
        <x:f>IF(A173="","",IF(COUNTIFS('方案版本'!$A$7:$A$306,A173)&lt;&gt;1,"编号重复",IF(COUNTIFS('问题总览'!$A$7:$A$306,B173)&lt;&gt;1,"问题引用无效",IF(OR(D173="",E173="",F173="",G173="",L173=""),"待补版本信息",IF(AND(C173&lt;&gt;"",OR(C173=A173,COUNTIFS('方案版本'!$A$7:$A$306,C173,'方案版本'!$B$7:$B$306,B173)&lt;&gt;1)),"父方案引用无效",IF(L173="草稿","草稿未冻结",IF(OR(NOT(ISNUMBER(H173)),NOT(ISNUMBER(I173)),J173="",K173="",M173=""),"待补冻结信息",IF(I173&lt;H173,"请核实事后补录","有效输入"))))))))</x:f>
      </x:c>
    </x:row>
    <x:row r="174" ht="25" customHeight="1">
      <x:c r="A174" s="3"/>
      <x:c r="B174" s="3"/>
      <x:c r="C174" s="3"/>
      <x:c r="D174" s="3"/>
      <x:c r="E174" s="3"/>
      <x:c r="F174" s="3"/>
      <x:c r="G174" s="3"/>
      <x:c r="H174" s="25"/>
      <x:c r="I174" s="25"/>
      <x:c r="J174" s="3"/>
      <x:c r="K174" s="3"/>
      <x:c r="L174" s="3"/>
      <x:c r="M174" s="3"/>
      <x:c r="N174" s="19" t="str">
        <x:f>IF(A174="","",IF(COUNTIFS('方案版本'!$A$7:$A$306,A174)&lt;&gt;1,"编号重复",IF(COUNTIFS('问题总览'!$A$7:$A$306,B174)&lt;&gt;1,"问题引用无效",IF(OR(D174="",E174="",F174="",G174="",L174=""),"待补版本信息",IF(AND(C174&lt;&gt;"",OR(C174=A174,COUNTIFS('方案版本'!$A$7:$A$306,C174,'方案版本'!$B$7:$B$306,B174)&lt;&gt;1)),"父方案引用无效",IF(L174="草稿","草稿未冻结",IF(OR(NOT(ISNUMBER(H174)),NOT(ISNUMBER(I174)),J174="",K174="",M174=""),"待补冻结信息",IF(I174&lt;H174,"请核实事后补录","有效输入"))))))))</x:f>
      </x:c>
    </x:row>
    <x:row r="175" ht="25" customHeight="1">
      <x:c r="A175" s="3"/>
      <x:c r="B175" s="3"/>
      <x:c r="C175" s="3"/>
      <x:c r="D175" s="3"/>
      <x:c r="E175" s="3"/>
      <x:c r="F175" s="3"/>
      <x:c r="G175" s="3"/>
      <x:c r="H175" s="25"/>
      <x:c r="I175" s="25"/>
      <x:c r="J175" s="3"/>
      <x:c r="K175" s="3"/>
      <x:c r="L175" s="3"/>
      <x:c r="M175" s="3"/>
      <x:c r="N175" s="19" t="str">
        <x:f>IF(A175="","",IF(COUNTIFS('方案版本'!$A$7:$A$306,A175)&lt;&gt;1,"编号重复",IF(COUNTIFS('问题总览'!$A$7:$A$306,B175)&lt;&gt;1,"问题引用无效",IF(OR(D175="",E175="",F175="",G175="",L175=""),"待补版本信息",IF(AND(C175&lt;&gt;"",OR(C175=A175,COUNTIFS('方案版本'!$A$7:$A$306,C175,'方案版本'!$B$7:$B$306,B175)&lt;&gt;1)),"父方案引用无效",IF(L175="草稿","草稿未冻结",IF(OR(NOT(ISNUMBER(H175)),NOT(ISNUMBER(I175)),J175="",K175="",M175=""),"待补冻结信息",IF(I175&lt;H175,"请核实事后补录","有效输入"))))))))</x:f>
      </x:c>
    </x:row>
    <x:row r="176" ht="25" customHeight="1">
      <x:c r="A176" s="3"/>
      <x:c r="B176" s="3"/>
      <x:c r="C176" s="3"/>
      <x:c r="D176" s="3"/>
      <x:c r="E176" s="3"/>
      <x:c r="F176" s="3"/>
      <x:c r="G176" s="3"/>
      <x:c r="H176" s="25"/>
      <x:c r="I176" s="25"/>
      <x:c r="J176" s="3"/>
      <x:c r="K176" s="3"/>
      <x:c r="L176" s="3"/>
      <x:c r="M176" s="3"/>
      <x:c r="N176" s="19" t="str">
        <x:f>IF(A176="","",IF(COUNTIFS('方案版本'!$A$7:$A$306,A176)&lt;&gt;1,"编号重复",IF(COUNTIFS('问题总览'!$A$7:$A$306,B176)&lt;&gt;1,"问题引用无效",IF(OR(D176="",E176="",F176="",G176="",L176=""),"待补版本信息",IF(AND(C176&lt;&gt;"",OR(C176=A176,COUNTIFS('方案版本'!$A$7:$A$306,C176,'方案版本'!$B$7:$B$306,B176)&lt;&gt;1)),"父方案引用无效",IF(L176="草稿","草稿未冻结",IF(OR(NOT(ISNUMBER(H176)),NOT(ISNUMBER(I176)),J176="",K176="",M176=""),"待补冻结信息",IF(I176&lt;H176,"请核实事后补录","有效输入"))))))))</x:f>
      </x:c>
    </x:row>
    <x:row r="177" ht="25" customHeight="1">
      <x:c r="A177" s="3"/>
      <x:c r="B177" s="3"/>
      <x:c r="C177" s="3"/>
      <x:c r="D177" s="3"/>
      <x:c r="E177" s="3"/>
      <x:c r="F177" s="3"/>
      <x:c r="G177" s="3"/>
      <x:c r="H177" s="25"/>
      <x:c r="I177" s="25"/>
      <x:c r="J177" s="3"/>
      <x:c r="K177" s="3"/>
      <x:c r="L177" s="3"/>
      <x:c r="M177" s="3"/>
      <x:c r="N177" s="19" t="str">
        <x:f>IF(A177="","",IF(COUNTIFS('方案版本'!$A$7:$A$306,A177)&lt;&gt;1,"编号重复",IF(COUNTIFS('问题总览'!$A$7:$A$306,B177)&lt;&gt;1,"问题引用无效",IF(OR(D177="",E177="",F177="",G177="",L177=""),"待补版本信息",IF(AND(C177&lt;&gt;"",OR(C177=A177,COUNTIFS('方案版本'!$A$7:$A$306,C177,'方案版本'!$B$7:$B$306,B177)&lt;&gt;1)),"父方案引用无效",IF(L177="草稿","草稿未冻结",IF(OR(NOT(ISNUMBER(H177)),NOT(ISNUMBER(I177)),J177="",K177="",M177=""),"待补冻结信息",IF(I177&lt;H177,"请核实事后补录","有效输入"))))))))</x:f>
      </x:c>
    </x:row>
    <x:row r="178" ht="25" customHeight="1">
      <x:c r="A178" s="3"/>
      <x:c r="B178" s="3"/>
      <x:c r="C178" s="3"/>
      <x:c r="D178" s="3"/>
      <x:c r="E178" s="3"/>
      <x:c r="F178" s="3"/>
      <x:c r="G178" s="3"/>
      <x:c r="H178" s="25"/>
      <x:c r="I178" s="25"/>
      <x:c r="J178" s="3"/>
      <x:c r="K178" s="3"/>
      <x:c r="L178" s="3"/>
      <x:c r="M178" s="3"/>
      <x:c r="N178" s="19" t="str">
        <x:f>IF(A178="","",IF(COUNTIFS('方案版本'!$A$7:$A$306,A178)&lt;&gt;1,"编号重复",IF(COUNTIFS('问题总览'!$A$7:$A$306,B178)&lt;&gt;1,"问题引用无效",IF(OR(D178="",E178="",F178="",G178="",L178=""),"待补版本信息",IF(AND(C178&lt;&gt;"",OR(C178=A178,COUNTIFS('方案版本'!$A$7:$A$306,C178,'方案版本'!$B$7:$B$306,B178)&lt;&gt;1)),"父方案引用无效",IF(L178="草稿","草稿未冻结",IF(OR(NOT(ISNUMBER(H178)),NOT(ISNUMBER(I178)),J178="",K178="",M178=""),"待补冻结信息",IF(I178&lt;H178,"请核实事后补录","有效输入"))))))))</x:f>
      </x:c>
    </x:row>
    <x:row r="179" ht="25" customHeight="1">
      <x:c r="A179" s="3"/>
      <x:c r="B179" s="3"/>
      <x:c r="C179" s="3"/>
      <x:c r="D179" s="3"/>
      <x:c r="E179" s="3"/>
      <x:c r="F179" s="3"/>
      <x:c r="G179" s="3"/>
      <x:c r="H179" s="25"/>
      <x:c r="I179" s="25"/>
      <x:c r="J179" s="3"/>
      <x:c r="K179" s="3"/>
      <x:c r="L179" s="3"/>
      <x:c r="M179" s="3"/>
      <x:c r="N179" s="19" t="str">
        <x:f>IF(A179="","",IF(COUNTIFS('方案版本'!$A$7:$A$306,A179)&lt;&gt;1,"编号重复",IF(COUNTIFS('问题总览'!$A$7:$A$306,B179)&lt;&gt;1,"问题引用无效",IF(OR(D179="",E179="",F179="",G179="",L179=""),"待补版本信息",IF(AND(C179&lt;&gt;"",OR(C179=A179,COUNTIFS('方案版本'!$A$7:$A$306,C179,'方案版本'!$B$7:$B$306,B179)&lt;&gt;1)),"父方案引用无效",IF(L179="草稿","草稿未冻结",IF(OR(NOT(ISNUMBER(H179)),NOT(ISNUMBER(I179)),J179="",K179="",M179=""),"待补冻结信息",IF(I179&lt;H179,"请核实事后补录","有效输入"))))))))</x:f>
      </x:c>
    </x:row>
    <x:row r="180" ht="25" customHeight="1">
      <x:c r="A180" s="3"/>
      <x:c r="B180" s="3"/>
      <x:c r="C180" s="3"/>
      <x:c r="D180" s="3"/>
      <x:c r="E180" s="3"/>
      <x:c r="F180" s="3"/>
      <x:c r="G180" s="3"/>
      <x:c r="H180" s="25"/>
      <x:c r="I180" s="25"/>
      <x:c r="J180" s="3"/>
      <x:c r="K180" s="3"/>
      <x:c r="L180" s="3"/>
      <x:c r="M180" s="3"/>
      <x:c r="N180" s="19" t="str">
        <x:f>IF(A180="","",IF(COUNTIFS('方案版本'!$A$7:$A$306,A180)&lt;&gt;1,"编号重复",IF(COUNTIFS('问题总览'!$A$7:$A$306,B180)&lt;&gt;1,"问题引用无效",IF(OR(D180="",E180="",F180="",G180="",L180=""),"待补版本信息",IF(AND(C180&lt;&gt;"",OR(C180=A180,COUNTIFS('方案版本'!$A$7:$A$306,C180,'方案版本'!$B$7:$B$306,B180)&lt;&gt;1)),"父方案引用无效",IF(L180="草稿","草稿未冻结",IF(OR(NOT(ISNUMBER(H180)),NOT(ISNUMBER(I180)),J180="",K180="",M180=""),"待补冻结信息",IF(I180&lt;H180,"请核实事后补录","有效输入"))))))))</x:f>
      </x:c>
    </x:row>
    <x:row r="181" ht="25" customHeight="1">
      <x:c r="A181" s="3"/>
      <x:c r="B181" s="3"/>
      <x:c r="C181" s="3"/>
      <x:c r="D181" s="3"/>
      <x:c r="E181" s="3"/>
      <x:c r="F181" s="3"/>
      <x:c r="G181" s="3"/>
      <x:c r="H181" s="25"/>
      <x:c r="I181" s="25"/>
      <x:c r="J181" s="3"/>
      <x:c r="K181" s="3"/>
      <x:c r="L181" s="3"/>
      <x:c r="M181" s="3"/>
      <x:c r="N181" s="19" t="str">
        <x:f>IF(A181="","",IF(COUNTIFS('方案版本'!$A$7:$A$306,A181)&lt;&gt;1,"编号重复",IF(COUNTIFS('问题总览'!$A$7:$A$306,B181)&lt;&gt;1,"问题引用无效",IF(OR(D181="",E181="",F181="",G181="",L181=""),"待补版本信息",IF(AND(C181&lt;&gt;"",OR(C181=A181,COUNTIFS('方案版本'!$A$7:$A$306,C181,'方案版本'!$B$7:$B$306,B181)&lt;&gt;1)),"父方案引用无效",IF(L181="草稿","草稿未冻结",IF(OR(NOT(ISNUMBER(H181)),NOT(ISNUMBER(I181)),J181="",K181="",M181=""),"待补冻结信息",IF(I181&lt;H181,"请核实事后补录","有效输入"))))))))</x:f>
      </x:c>
    </x:row>
    <x:row r="182" ht="25" customHeight="1">
      <x:c r="A182" s="3"/>
      <x:c r="B182" s="3"/>
      <x:c r="C182" s="3"/>
      <x:c r="D182" s="3"/>
      <x:c r="E182" s="3"/>
      <x:c r="F182" s="3"/>
      <x:c r="G182" s="3"/>
      <x:c r="H182" s="25"/>
      <x:c r="I182" s="25"/>
      <x:c r="J182" s="3"/>
      <x:c r="K182" s="3"/>
      <x:c r="L182" s="3"/>
      <x:c r="M182" s="3"/>
      <x:c r="N182" s="19" t="str">
        <x:f>IF(A182="","",IF(COUNTIFS('方案版本'!$A$7:$A$306,A182)&lt;&gt;1,"编号重复",IF(COUNTIFS('问题总览'!$A$7:$A$306,B182)&lt;&gt;1,"问题引用无效",IF(OR(D182="",E182="",F182="",G182="",L182=""),"待补版本信息",IF(AND(C182&lt;&gt;"",OR(C182=A182,COUNTIFS('方案版本'!$A$7:$A$306,C182,'方案版本'!$B$7:$B$306,B182)&lt;&gt;1)),"父方案引用无效",IF(L182="草稿","草稿未冻结",IF(OR(NOT(ISNUMBER(H182)),NOT(ISNUMBER(I182)),J182="",K182="",M182=""),"待补冻结信息",IF(I182&lt;H182,"请核实事后补录","有效输入"))))))))</x:f>
      </x:c>
    </x:row>
    <x:row r="183" ht="25" customHeight="1">
      <x:c r="A183" s="3"/>
      <x:c r="B183" s="3"/>
      <x:c r="C183" s="3"/>
      <x:c r="D183" s="3"/>
      <x:c r="E183" s="3"/>
      <x:c r="F183" s="3"/>
      <x:c r="G183" s="3"/>
      <x:c r="H183" s="25"/>
      <x:c r="I183" s="25"/>
      <x:c r="J183" s="3"/>
      <x:c r="K183" s="3"/>
      <x:c r="L183" s="3"/>
      <x:c r="M183" s="3"/>
      <x:c r="N183" s="19" t="str">
        <x:f>IF(A183="","",IF(COUNTIFS('方案版本'!$A$7:$A$306,A183)&lt;&gt;1,"编号重复",IF(COUNTIFS('问题总览'!$A$7:$A$306,B183)&lt;&gt;1,"问题引用无效",IF(OR(D183="",E183="",F183="",G183="",L183=""),"待补版本信息",IF(AND(C183&lt;&gt;"",OR(C183=A183,COUNTIFS('方案版本'!$A$7:$A$306,C183,'方案版本'!$B$7:$B$306,B183)&lt;&gt;1)),"父方案引用无效",IF(L183="草稿","草稿未冻结",IF(OR(NOT(ISNUMBER(H183)),NOT(ISNUMBER(I183)),J183="",K183="",M183=""),"待补冻结信息",IF(I183&lt;H183,"请核实事后补录","有效输入"))))))))</x:f>
      </x:c>
    </x:row>
    <x:row r="184" ht="25" customHeight="1">
      <x:c r="A184" s="3"/>
      <x:c r="B184" s="3"/>
      <x:c r="C184" s="3"/>
      <x:c r="D184" s="3"/>
      <x:c r="E184" s="3"/>
      <x:c r="F184" s="3"/>
      <x:c r="G184" s="3"/>
      <x:c r="H184" s="25"/>
      <x:c r="I184" s="25"/>
      <x:c r="J184" s="3"/>
      <x:c r="K184" s="3"/>
      <x:c r="L184" s="3"/>
      <x:c r="M184" s="3"/>
      <x:c r="N184" s="19" t="str">
        <x:f>IF(A184="","",IF(COUNTIFS('方案版本'!$A$7:$A$306,A184)&lt;&gt;1,"编号重复",IF(COUNTIFS('问题总览'!$A$7:$A$306,B184)&lt;&gt;1,"问题引用无效",IF(OR(D184="",E184="",F184="",G184="",L184=""),"待补版本信息",IF(AND(C184&lt;&gt;"",OR(C184=A184,COUNTIFS('方案版本'!$A$7:$A$306,C184,'方案版本'!$B$7:$B$306,B184)&lt;&gt;1)),"父方案引用无效",IF(L184="草稿","草稿未冻结",IF(OR(NOT(ISNUMBER(H184)),NOT(ISNUMBER(I184)),J184="",K184="",M184=""),"待补冻结信息",IF(I184&lt;H184,"请核实事后补录","有效输入"))))))))</x:f>
      </x:c>
    </x:row>
    <x:row r="185" ht="25" customHeight="1">
      <x:c r="A185" s="3"/>
      <x:c r="B185" s="3"/>
      <x:c r="C185" s="3"/>
      <x:c r="D185" s="3"/>
      <x:c r="E185" s="3"/>
      <x:c r="F185" s="3"/>
      <x:c r="G185" s="3"/>
      <x:c r="H185" s="25"/>
      <x:c r="I185" s="25"/>
      <x:c r="J185" s="3"/>
      <x:c r="K185" s="3"/>
      <x:c r="L185" s="3"/>
      <x:c r="M185" s="3"/>
      <x:c r="N185" s="19" t="str">
        <x:f>IF(A185="","",IF(COUNTIFS('方案版本'!$A$7:$A$306,A185)&lt;&gt;1,"编号重复",IF(COUNTIFS('问题总览'!$A$7:$A$306,B185)&lt;&gt;1,"问题引用无效",IF(OR(D185="",E185="",F185="",G185="",L185=""),"待补版本信息",IF(AND(C185&lt;&gt;"",OR(C185=A185,COUNTIFS('方案版本'!$A$7:$A$306,C185,'方案版本'!$B$7:$B$306,B185)&lt;&gt;1)),"父方案引用无效",IF(L185="草稿","草稿未冻结",IF(OR(NOT(ISNUMBER(H185)),NOT(ISNUMBER(I185)),J185="",K185="",M185=""),"待补冻结信息",IF(I185&lt;H185,"请核实事后补录","有效输入"))))))))</x:f>
      </x:c>
    </x:row>
    <x:row r="186" ht="25" customHeight="1">
      <x:c r="A186" s="3"/>
      <x:c r="B186" s="3"/>
      <x:c r="C186" s="3"/>
      <x:c r="D186" s="3"/>
      <x:c r="E186" s="3"/>
      <x:c r="F186" s="3"/>
      <x:c r="G186" s="3"/>
      <x:c r="H186" s="25"/>
      <x:c r="I186" s="25"/>
      <x:c r="J186" s="3"/>
      <x:c r="K186" s="3"/>
      <x:c r="L186" s="3"/>
      <x:c r="M186" s="3"/>
      <x:c r="N186" s="19" t="str">
        <x:f>IF(A186="","",IF(COUNTIFS('方案版本'!$A$7:$A$306,A186)&lt;&gt;1,"编号重复",IF(COUNTIFS('问题总览'!$A$7:$A$306,B186)&lt;&gt;1,"问题引用无效",IF(OR(D186="",E186="",F186="",G186="",L186=""),"待补版本信息",IF(AND(C186&lt;&gt;"",OR(C186=A186,COUNTIFS('方案版本'!$A$7:$A$306,C186,'方案版本'!$B$7:$B$306,B186)&lt;&gt;1)),"父方案引用无效",IF(L186="草稿","草稿未冻结",IF(OR(NOT(ISNUMBER(H186)),NOT(ISNUMBER(I186)),J186="",K186="",M186=""),"待补冻结信息",IF(I186&lt;H186,"请核实事后补录","有效输入"))))))))</x:f>
      </x:c>
    </x:row>
    <x:row r="187" ht="25" customHeight="1">
      <x:c r="A187" s="3"/>
      <x:c r="B187" s="3"/>
      <x:c r="C187" s="3"/>
      <x:c r="D187" s="3"/>
      <x:c r="E187" s="3"/>
      <x:c r="F187" s="3"/>
      <x:c r="G187" s="3"/>
      <x:c r="H187" s="25"/>
      <x:c r="I187" s="25"/>
      <x:c r="J187" s="3"/>
      <x:c r="K187" s="3"/>
      <x:c r="L187" s="3"/>
      <x:c r="M187" s="3"/>
      <x:c r="N187" s="19" t="str">
        <x:f>IF(A187="","",IF(COUNTIFS('方案版本'!$A$7:$A$306,A187)&lt;&gt;1,"编号重复",IF(COUNTIFS('问题总览'!$A$7:$A$306,B187)&lt;&gt;1,"问题引用无效",IF(OR(D187="",E187="",F187="",G187="",L187=""),"待补版本信息",IF(AND(C187&lt;&gt;"",OR(C187=A187,COUNTIFS('方案版本'!$A$7:$A$306,C187,'方案版本'!$B$7:$B$306,B187)&lt;&gt;1)),"父方案引用无效",IF(L187="草稿","草稿未冻结",IF(OR(NOT(ISNUMBER(H187)),NOT(ISNUMBER(I187)),J187="",K187="",M187=""),"待补冻结信息",IF(I187&lt;H187,"请核实事后补录","有效输入"))))))))</x:f>
      </x:c>
    </x:row>
    <x:row r="188" ht="25" customHeight="1">
      <x:c r="A188" s="3"/>
      <x:c r="B188" s="3"/>
      <x:c r="C188" s="3"/>
      <x:c r="D188" s="3"/>
      <x:c r="E188" s="3"/>
      <x:c r="F188" s="3"/>
      <x:c r="G188" s="3"/>
      <x:c r="H188" s="25"/>
      <x:c r="I188" s="25"/>
      <x:c r="J188" s="3"/>
      <x:c r="K188" s="3"/>
      <x:c r="L188" s="3"/>
      <x:c r="M188" s="3"/>
      <x:c r="N188" s="19" t="str">
        <x:f>IF(A188="","",IF(COUNTIFS('方案版本'!$A$7:$A$306,A188)&lt;&gt;1,"编号重复",IF(COUNTIFS('问题总览'!$A$7:$A$306,B188)&lt;&gt;1,"问题引用无效",IF(OR(D188="",E188="",F188="",G188="",L188=""),"待补版本信息",IF(AND(C188&lt;&gt;"",OR(C188=A188,COUNTIFS('方案版本'!$A$7:$A$306,C188,'方案版本'!$B$7:$B$306,B188)&lt;&gt;1)),"父方案引用无效",IF(L188="草稿","草稿未冻结",IF(OR(NOT(ISNUMBER(H188)),NOT(ISNUMBER(I188)),J188="",K188="",M188=""),"待补冻结信息",IF(I188&lt;H188,"请核实事后补录","有效输入"))))))))</x:f>
      </x:c>
    </x:row>
    <x:row r="189" ht="25" customHeight="1">
      <x:c r="A189" s="3"/>
      <x:c r="B189" s="3"/>
      <x:c r="C189" s="3"/>
      <x:c r="D189" s="3"/>
      <x:c r="E189" s="3"/>
      <x:c r="F189" s="3"/>
      <x:c r="G189" s="3"/>
      <x:c r="H189" s="25"/>
      <x:c r="I189" s="25"/>
      <x:c r="J189" s="3"/>
      <x:c r="K189" s="3"/>
      <x:c r="L189" s="3"/>
      <x:c r="M189" s="3"/>
      <x:c r="N189" s="19" t="str">
        <x:f>IF(A189="","",IF(COUNTIFS('方案版本'!$A$7:$A$306,A189)&lt;&gt;1,"编号重复",IF(COUNTIFS('问题总览'!$A$7:$A$306,B189)&lt;&gt;1,"问题引用无效",IF(OR(D189="",E189="",F189="",G189="",L189=""),"待补版本信息",IF(AND(C189&lt;&gt;"",OR(C189=A189,COUNTIFS('方案版本'!$A$7:$A$306,C189,'方案版本'!$B$7:$B$306,B189)&lt;&gt;1)),"父方案引用无效",IF(L189="草稿","草稿未冻结",IF(OR(NOT(ISNUMBER(H189)),NOT(ISNUMBER(I189)),J189="",K189="",M189=""),"待补冻结信息",IF(I189&lt;H189,"请核实事后补录","有效输入"))))))))</x:f>
      </x:c>
    </x:row>
    <x:row r="190" ht="25" customHeight="1">
      <x:c r="A190" s="3"/>
      <x:c r="B190" s="3"/>
      <x:c r="C190" s="3"/>
      <x:c r="D190" s="3"/>
      <x:c r="E190" s="3"/>
      <x:c r="F190" s="3"/>
      <x:c r="G190" s="3"/>
      <x:c r="H190" s="25"/>
      <x:c r="I190" s="25"/>
      <x:c r="J190" s="3"/>
      <x:c r="K190" s="3"/>
      <x:c r="L190" s="3"/>
      <x:c r="M190" s="3"/>
      <x:c r="N190" s="19" t="str">
        <x:f>IF(A190="","",IF(COUNTIFS('方案版本'!$A$7:$A$306,A190)&lt;&gt;1,"编号重复",IF(COUNTIFS('问题总览'!$A$7:$A$306,B190)&lt;&gt;1,"问题引用无效",IF(OR(D190="",E190="",F190="",G190="",L190=""),"待补版本信息",IF(AND(C190&lt;&gt;"",OR(C190=A190,COUNTIFS('方案版本'!$A$7:$A$306,C190,'方案版本'!$B$7:$B$306,B190)&lt;&gt;1)),"父方案引用无效",IF(L190="草稿","草稿未冻结",IF(OR(NOT(ISNUMBER(H190)),NOT(ISNUMBER(I190)),J190="",K190="",M190=""),"待补冻结信息",IF(I190&lt;H190,"请核实事后补录","有效输入"))))))))</x:f>
      </x:c>
    </x:row>
    <x:row r="191" ht="25" customHeight="1">
      <x:c r="A191" s="3"/>
      <x:c r="B191" s="3"/>
      <x:c r="C191" s="3"/>
      <x:c r="D191" s="3"/>
      <x:c r="E191" s="3"/>
      <x:c r="F191" s="3"/>
      <x:c r="G191" s="3"/>
      <x:c r="H191" s="25"/>
      <x:c r="I191" s="25"/>
      <x:c r="J191" s="3"/>
      <x:c r="K191" s="3"/>
      <x:c r="L191" s="3"/>
      <x:c r="M191" s="3"/>
      <x:c r="N191" s="19" t="str">
        <x:f>IF(A191="","",IF(COUNTIFS('方案版本'!$A$7:$A$306,A191)&lt;&gt;1,"编号重复",IF(COUNTIFS('问题总览'!$A$7:$A$306,B191)&lt;&gt;1,"问题引用无效",IF(OR(D191="",E191="",F191="",G191="",L191=""),"待补版本信息",IF(AND(C191&lt;&gt;"",OR(C191=A191,COUNTIFS('方案版本'!$A$7:$A$306,C191,'方案版本'!$B$7:$B$306,B191)&lt;&gt;1)),"父方案引用无效",IF(L191="草稿","草稿未冻结",IF(OR(NOT(ISNUMBER(H191)),NOT(ISNUMBER(I191)),J191="",K191="",M191=""),"待补冻结信息",IF(I191&lt;H191,"请核实事后补录","有效输入"))))))))</x:f>
      </x:c>
    </x:row>
    <x:row r="192" ht="25" customHeight="1">
      <x:c r="A192" s="3"/>
      <x:c r="B192" s="3"/>
      <x:c r="C192" s="3"/>
      <x:c r="D192" s="3"/>
      <x:c r="E192" s="3"/>
      <x:c r="F192" s="3"/>
      <x:c r="G192" s="3"/>
      <x:c r="H192" s="25"/>
      <x:c r="I192" s="25"/>
      <x:c r="J192" s="3"/>
      <x:c r="K192" s="3"/>
      <x:c r="L192" s="3"/>
      <x:c r="M192" s="3"/>
      <x:c r="N192" s="19" t="str">
        <x:f>IF(A192="","",IF(COUNTIFS('方案版本'!$A$7:$A$306,A192)&lt;&gt;1,"编号重复",IF(COUNTIFS('问题总览'!$A$7:$A$306,B192)&lt;&gt;1,"问题引用无效",IF(OR(D192="",E192="",F192="",G192="",L192=""),"待补版本信息",IF(AND(C192&lt;&gt;"",OR(C192=A192,COUNTIFS('方案版本'!$A$7:$A$306,C192,'方案版本'!$B$7:$B$306,B192)&lt;&gt;1)),"父方案引用无效",IF(L192="草稿","草稿未冻结",IF(OR(NOT(ISNUMBER(H192)),NOT(ISNUMBER(I192)),J192="",K192="",M192=""),"待补冻结信息",IF(I192&lt;H192,"请核实事后补录","有效输入"))))))))</x:f>
      </x:c>
    </x:row>
    <x:row r="193" ht="25" customHeight="1">
      <x:c r="A193" s="3"/>
      <x:c r="B193" s="3"/>
      <x:c r="C193" s="3"/>
      <x:c r="D193" s="3"/>
      <x:c r="E193" s="3"/>
      <x:c r="F193" s="3"/>
      <x:c r="G193" s="3"/>
      <x:c r="H193" s="25"/>
      <x:c r="I193" s="25"/>
      <x:c r="J193" s="3"/>
      <x:c r="K193" s="3"/>
      <x:c r="L193" s="3"/>
      <x:c r="M193" s="3"/>
      <x:c r="N193" s="19" t="str">
        <x:f>IF(A193="","",IF(COUNTIFS('方案版本'!$A$7:$A$306,A193)&lt;&gt;1,"编号重复",IF(COUNTIFS('问题总览'!$A$7:$A$306,B193)&lt;&gt;1,"问题引用无效",IF(OR(D193="",E193="",F193="",G193="",L193=""),"待补版本信息",IF(AND(C193&lt;&gt;"",OR(C193=A193,COUNTIFS('方案版本'!$A$7:$A$306,C193,'方案版本'!$B$7:$B$306,B193)&lt;&gt;1)),"父方案引用无效",IF(L193="草稿","草稿未冻结",IF(OR(NOT(ISNUMBER(H193)),NOT(ISNUMBER(I193)),J193="",K193="",M193=""),"待补冻结信息",IF(I193&lt;H193,"请核实事后补录","有效输入"))))))))</x:f>
      </x:c>
    </x:row>
    <x:row r="194" ht="25" customHeight="1">
      <x:c r="A194" s="3"/>
      <x:c r="B194" s="3"/>
      <x:c r="C194" s="3"/>
      <x:c r="D194" s="3"/>
      <x:c r="E194" s="3"/>
      <x:c r="F194" s="3"/>
      <x:c r="G194" s="3"/>
      <x:c r="H194" s="25"/>
      <x:c r="I194" s="25"/>
      <x:c r="J194" s="3"/>
      <x:c r="K194" s="3"/>
      <x:c r="L194" s="3"/>
      <x:c r="M194" s="3"/>
      <x:c r="N194" s="19" t="str">
        <x:f>IF(A194="","",IF(COUNTIFS('方案版本'!$A$7:$A$306,A194)&lt;&gt;1,"编号重复",IF(COUNTIFS('问题总览'!$A$7:$A$306,B194)&lt;&gt;1,"问题引用无效",IF(OR(D194="",E194="",F194="",G194="",L194=""),"待补版本信息",IF(AND(C194&lt;&gt;"",OR(C194=A194,COUNTIFS('方案版本'!$A$7:$A$306,C194,'方案版本'!$B$7:$B$306,B194)&lt;&gt;1)),"父方案引用无效",IF(L194="草稿","草稿未冻结",IF(OR(NOT(ISNUMBER(H194)),NOT(ISNUMBER(I194)),J194="",K194="",M194=""),"待补冻结信息",IF(I194&lt;H194,"请核实事后补录","有效输入"))))))))</x:f>
      </x:c>
    </x:row>
    <x:row r="195" ht="25" customHeight="1">
      <x:c r="A195" s="3"/>
      <x:c r="B195" s="3"/>
      <x:c r="C195" s="3"/>
      <x:c r="D195" s="3"/>
      <x:c r="E195" s="3"/>
      <x:c r="F195" s="3"/>
      <x:c r="G195" s="3"/>
      <x:c r="H195" s="25"/>
      <x:c r="I195" s="25"/>
      <x:c r="J195" s="3"/>
      <x:c r="K195" s="3"/>
      <x:c r="L195" s="3"/>
      <x:c r="M195" s="3"/>
      <x:c r="N195" s="19" t="str">
        <x:f>IF(A195="","",IF(COUNTIFS('方案版本'!$A$7:$A$306,A195)&lt;&gt;1,"编号重复",IF(COUNTIFS('问题总览'!$A$7:$A$306,B195)&lt;&gt;1,"问题引用无效",IF(OR(D195="",E195="",F195="",G195="",L195=""),"待补版本信息",IF(AND(C195&lt;&gt;"",OR(C195=A195,COUNTIFS('方案版本'!$A$7:$A$306,C195,'方案版本'!$B$7:$B$306,B195)&lt;&gt;1)),"父方案引用无效",IF(L195="草稿","草稿未冻结",IF(OR(NOT(ISNUMBER(H195)),NOT(ISNUMBER(I195)),J195="",K195="",M195=""),"待补冻结信息",IF(I195&lt;H195,"请核实事后补录","有效输入"))))))))</x:f>
      </x:c>
    </x:row>
    <x:row r="196" ht="25" customHeight="1">
      <x:c r="A196" s="3"/>
      <x:c r="B196" s="3"/>
      <x:c r="C196" s="3"/>
      <x:c r="D196" s="3"/>
      <x:c r="E196" s="3"/>
      <x:c r="F196" s="3"/>
      <x:c r="G196" s="3"/>
      <x:c r="H196" s="25"/>
      <x:c r="I196" s="25"/>
      <x:c r="J196" s="3"/>
      <x:c r="K196" s="3"/>
      <x:c r="L196" s="3"/>
      <x:c r="M196" s="3"/>
      <x:c r="N196" s="19" t="str">
        <x:f>IF(A196="","",IF(COUNTIFS('方案版本'!$A$7:$A$306,A196)&lt;&gt;1,"编号重复",IF(COUNTIFS('问题总览'!$A$7:$A$306,B196)&lt;&gt;1,"问题引用无效",IF(OR(D196="",E196="",F196="",G196="",L196=""),"待补版本信息",IF(AND(C196&lt;&gt;"",OR(C196=A196,COUNTIFS('方案版本'!$A$7:$A$306,C196,'方案版本'!$B$7:$B$306,B196)&lt;&gt;1)),"父方案引用无效",IF(L196="草稿","草稿未冻结",IF(OR(NOT(ISNUMBER(H196)),NOT(ISNUMBER(I196)),J196="",K196="",M196=""),"待补冻结信息",IF(I196&lt;H196,"请核实事后补录","有效输入"))))))))</x:f>
      </x:c>
    </x:row>
    <x:row r="197" ht="25" customHeight="1">
      <x:c r="A197" s="3"/>
      <x:c r="B197" s="3"/>
      <x:c r="C197" s="3"/>
      <x:c r="D197" s="3"/>
      <x:c r="E197" s="3"/>
      <x:c r="F197" s="3"/>
      <x:c r="G197" s="3"/>
      <x:c r="H197" s="25"/>
      <x:c r="I197" s="25"/>
      <x:c r="J197" s="3"/>
      <x:c r="K197" s="3"/>
      <x:c r="L197" s="3"/>
      <x:c r="M197" s="3"/>
      <x:c r="N197" s="19" t="str">
        <x:f>IF(A197="","",IF(COUNTIFS('方案版本'!$A$7:$A$306,A197)&lt;&gt;1,"编号重复",IF(COUNTIFS('问题总览'!$A$7:$A$306,B197)&lt;&gt;1,"问题引用无效",IF(OR(D197="",E197="",F197="",G197="",L197=""),"待补版本信息",IF(AND(C197&lt;&gt;"",OR(C197=A197,COUNTIFS('方案版本'!$A$7:$A$306,C197,'方案版本'!$B$7:$B$306,B197)&lt;&gt;1)),"父方案引用无效",IF(L197="草稿","草稿未冻结",IF(OR(NOT(ISNUMBER(H197)),NOT(ISNUMBER(I197)),J197="",K197="",M197=""),"待补冻结信息",IF(I197&lt;H197,"请核实事后补录","有效输入"))))))))</x:f>
      </x:c>
    </x:row>
    <x:row r="198" ht="25" customHeight="1">
      <x:c r="A198" s="3"/>
      <x:c r="B198" s="3"/>
      <x:c r="C198" s="3"/>
      <x:c r="D198" s="3"/>
      <x:c r="E198" s="3"/>
      <x:c r="F198" s="3"/>
      <x:c r="G198" s="3"/>
      <x:c r="H198" s="25"/>
      <x:c r="I198" s="25"/>
      <x:c r="J198" s="3"/>
      <x:c r="K198" s="3"/>
      <x:c r="L198" s="3"/>
      <x:c r="M198" s="3"/>
      <x:c r="N198" s="19" t="str">
        <x:f>IF(A198="","",IF(COUNTIFS('方案版本'!$A$7:$A$306,A198)&lt;&gt;1,"编号重复",IF(COUNTIFS('问题总览'!$A$7:$A$306,B198)&lt;&gt;1,"问题引用无效",IF(OR(D198="",E198="",F198="",G198="",L198=""),"待补版本信息",IF(AND(C198&lt;&gt;"",OR(C198=A198,COUNTIFS('方案版本'!$A$7:$A$306,C198,'方案版本'!$B$7:$B$306,B198)&lt;&gt;1)),"父方案引用无效",IF(L198="草稿","草稿未冻结",IF(OR(NOT(ISNUMBER(H198)),NOT(ISNUMBER(I198)),J198="",K198="",M198=""),"待补冻结信息",IF(I198&lt;H198,"请核实事后补录","有效输入"))))))))</x:f>
      </x:c>
    </x:row>
    <x:row r="199" ht="25" customHeight="1">
      <x:c r="A199" s="3"/>
      <x:c r="B199" s="3"/>
      <x:c r="C199" s="3"/>
      <x:c r="D199" s="3"/>
      <x:c r="E199" s="3"/>
      <x:c r="F199" s="3"/>
      <x:c r="G199" s="3"/>
      <x:c r="H199" s="25"/>
      <x:c r="I199" s="25"/>
      <x:c r="J199" s="3"/>
      <x:c r="K199" s="3"/>
      <x:c r="L199" s="3"/>
      <x:c r="M199" s="3"/>
      <x:c r="N199" s="19" t="str">
        <x:f>IF(A199="","",IF(COUNTIFS('方案版本'!$A$7:$A$306,A199)&lt;&gt;1,"编号重复",IF(COUNTIFS('问题总览'!$A$7:$A$306,B199)&lt;&gt;1,"问题引用无效",IF(OR(D199="",E199="",F199="",G199="",L199=""),"待补版本信息",IF(AND(C199&lt;&gt;"",OR(C199=A199,COUNTIFS('方案版本'!$A$7:$A$306,C199,'方案版本'!$B$7:$B$306,B199)&lt;&gt;1)),"父方案引用无效",IF(L199="草稿","草稿未冻结",IF(OR(NOT(ISNUMBER(H199)),NOT(ISNUMBER(I199)),J199="",K199="",M199=""),"待补冻结信息",IF(I199&lt;H199,"请核实事后补录","有效输入"))))))))</x:f>
      </x:c>
    </x:row>
    <x:row r="200" ht="25" customHeight="1">
      <x:c r="A200" s="3"/>
      <x:c r="B200" s="3"/>
      <x:c r="C200" s="3"/>
      <x:c r="D200" s="3"/>
      <x:c r="E200" s="3"/>
      <x:c r="F200" s="3"/>
      <x:c r="G200" s="3"/>
      <x:c r="H200" s="25"/>
      <x:c r="I200" s="25"/>
      <x:c r="J200" s="3"/>
      <x:c r="K200" s="3"/>
      <x:c r="L200" s="3"/>
      <x:c r="M200" s="3"/>
      <x:c r="N200" s="19" t="str">
        <x:f>IF(A200="","",IF(COUNTIFS('方案版本'!$A$7:$A$306,A200)&lt;&gt;1,"编号重复",IF(COUNTIFS('问题总览'!$A$7:$A$306,B200)&lt;&gt;1,"问题引用无效",IF(OR(D200="",E200="",F200="",G200="",L200=""),"待补版本信息",IF(AND(C200&lt;&gt;"",OR(C200=A200,COUNTIFS('方案版本'!$A$7:$A$306,C200,'方案版本'!$B$7:$B$306,B200)&lt;&gt;1)),"父方案引用无效",IF(L200="草稿","草稿未冻结",IF(OR(NOT(ISNUMBER(H200)),NOT(ISNUMBER(I200)),J200="",K200="",M200=""),"待补冻结信息",IF(I200&lt;H200,"请核实事后补录","有效输入"))))))))</x:f>
      </x:c>
    </x:row>
    <x:row r="201" ht="25" customHeight="1">
      <x:c r="A201" s="3"/>
      <x:c r="B201" s="3"/>
      <x:c r="C201" s="3"/>
      <x:c r="D201" s="3"/>
      <x:c r="E201" s="3"/>
      <x:c r="F201" s="3"/>
      <x:c r="G201" s="3"/>
      <x:c r="H201" s="25"/>
      <x:c r="I201" s="25"/>
      <x:c r="J201" s="3"/>
      <x:c r="K201" s="3"/>
      <x:c r="L201" s="3"/>
      <x:c r="M201" s="3"/>
      <x:c r="N201" s="19" t="str">
        <x:f>IF(A201="","",IF(COUNTIFS('方案版本'!$A$7:$A$306,A201)&lt;&gt;1,"编号重复",IF(COUNTIFS('问题总览'!$A$7:$A$306,B201)&lt;&gt;1,"问题引用无效",IF(OR(D201="",E201="",F201="",G201="",L201=""),"待补版本信息",IF(AND(C201&lt;&gt;"",OR(C201=A201,COUNTIFS('方案版本'!$A$7:$A$306,C201,'方案版本'!$B$7:$B$306,B201)&lt;&gt;1)),"父方案引用无效",IF(L201="草稿","草稿未冻结",IF(OR(NOT(ISNUMBER(H201)),NOT(ISNUMBER(I201)),J201="",K201="",M201=""),"待补冻结信息",IF(I201&lt;H201,"请核实事后补录","有效输入"))))))))</x:f>
      </x:c>
    </x:row>
    <x:row r="202" ht="25" customHeight="1">
      <x:c r="A202" s="3"/>
      <x:c r="B202" s="3"/>
      <x:c r="C202" s="3"/>
      <x:c r="D202" s="3"/>
      <x:c r="E202" s="3"/>
      <x:c r="F202" s="3"/>
      <x:c r="G202" s="3"/>
      <x:c r="H202" s="25"/>
      <x:c r="I202" s="25"/>
      <x:c r="J202" s="3"/>
      <x:c r="K202" s="3"/>
      <x:c r="L202" s="3"/>
      <x:c r="M202" s="3"/>
      <x:c r="N202" s="19" t="str">
        <x:f>IF(A202="","",IF(COUNTIFS('方案版本'!$A$7:$A$306,A202)&lt;&gt;1,"编号重复",IF(COUNTIFS('问题总览'!$A$7:$A$306,B202)&lt;&gt;1,"问题引用无效",IF(OR(D202="",E202="",F202="",G202="",L202=""),"待补版本信息",IF(AND(C202&lt;&gt;"",OR(C202=A202,COUNTIFS('方案版本'!$A$7:$A$306,C202,'方案版本'!$B$7:$B$306,B202)&lt;&gt;1)),"父方案引用无效",IF(L202="草稿","草稿未冻结",IF(OR(NOT(ISNUMBER(H202)),NOT(ISNUMBER(I202)),J202="",K202="",M202=""),"待补冻结信息",IF(I202&lt;H202,"请核实事后补录","有效输入"))))))))</x:f>
      </x:c>
    </x:row>
    <x:row r="203" ht="25" customHeight="1">
      <x:c r="A203" s="3"/>
      <x:c r="B203" s="3"/>
      <x:c r="C203" s="3"/>
      <x:c r="D203" s="3"/>
      <x:c r="E203" s="3"/>
      <x:c r="F203" s="3"/>
      <x:c r="G203" s="3"/>
      <x:c r="H203" s="25"/>
      <x:c r="I203" s="25"/>
      <x:c r="J203" s="3"/>
      <x:c r="K203" s="3"/>
      <x:c r="L203" s="3"/>
      <x:c r="M203" s="3"/>
      <x:c r="N203" s="19" t="str">
        <x:f>IF(A203="","",IF(COUNTIFS('方案版本'!$A$7:$A$306,A203)&lt;&gt;1,"编号重复",IF(COUNTIFS('问题总览'!$A$7:$A$306,B203)&lt;&gt;1,"问题引用无效",IF(OR(D203="",E203="",F203="",G203="",L203=""),"待补版本信息",IF(AND(C203&lt;&gt;"",OR(C203=A203,COUNTIFS('方案版本'!$A$7:$A$306,C203,'方案版本'!$B$7:$B$306,B203)&lt;&gt;1)),"父方案引用无效",IF(L203="草稿","草稿未冻结",IF(OR(NOT(ISNUMBER(H203)),NOT(ISNUMBER(I203)),J203="",K203="",M203=""),"待补冻结信息",IF(I203&lt;H203,"请核实事后补录","有效输入"))))))))</x:f>
      </x:c>
    </x:row>
    <x:row r="204" ht="25" customHeight="1">
      <x:c r="A204" s="3"/>
      <x:c r="B204" s="3"/>
      <x:c r="C204" s="3"/>
      <x:c r="D204" s="3"/>
      <x:c r="E204" s="3"/>
      <x:c r="F204" s="3"/>
      <x:c r="G204" s="3"/>
      <x:c r="H204" s="25"/>
      <x:c r="I204" s="25"/>
      <x:c r="J204" s="3"/>
      <x:c r="K204" s="3"/>
      <x:c r="L204" s="3"/>
      <x:c r="M204" s="3"/>
      <x:c r="N204" s="19" t="str">
        <x:f>IF(A204="","",IF(COUNTIFS('方案版本'!$A$7:$A$306,A204)&lt;&gt;1,"编号重复",IF(COUNTIFS('问题总览'!$A$7:$A$306,B204)&lt;&gt;1,"问题引用无效",IF(OR(D204="",E204="",F204="",G204="",L204=""),"待补版本信息",IF(AND(C204&lt;&gt;"",OR(C204=A204,COUNTIFS('方案版本'!$A$7:$A$306,C204,'方案版本'!$B$7:$B$306,B204)&lt;&gt;1)),"父方案引用无效",IF(L204="草稿","草稿未冻结",IF(OR(NOT(ISNUMBER(H204)),NOT(ISNUMBER(I204)),J204="",K204="",M204=""),"待补冻结信息",IF(I204&lt;H204,"请核实事后补录","有效输入"))))))))</x:f>
      </x:c>
    </x:row>
    <x:row r="205" ht="25" customHeight="1">
      <x:c r="A205" s="3"/>
      <x:c r="B205" s="3"/>
      <x:c r="C205" s="3"/>
      <x:c r="D205" s="3"/>
      <x:c r="E205" s="3"/>
      <x:c r="F205" s="3"/>
      <x:c r="G205" s="3"/>
      <x:c r="H205" s="25"/>
      <x:c r="I205" s="25"/>
      <x:c r="J205" s="3"/>
      <x:c r="K205" s="3"/>
      <x:c r="L205" s="3"/>
      <x:c r="M205" s="3"/>
      <x:c r="N205" s="19" t="str">
        <x:f>IF(A205="","",IF(COUNTIFS('方案版本'!$A$7:$A$306,A205)&lt;&gt;1,"编号重复",IF(COUNTIFS('问题总览'!$A$7:$A$306,B205)&lt;&gt;1,"问题引用无效",IF(OR(D205="",E205="",F205="",G205="",L205=""),"待补版本信息",IF(AND(C205&lt;&gt;"",OR(C205=A205,COUNTIFS('方案版本'!$A$7:$A$306,C205,'方案版本'!$B$7:$B$306,B205)&lt;&gt;1)),"父方案引用无效",IF(L205="草稿","草稿未冻结",IF(OR(NOT(ISNUMBER(H205)),NOT(ISNUMBER(I205)),J205="",K205="",M205=""),"待补冻结信息",IF(I205&lt;H205,"请核实事后补录","有效输入"))))))))</x:f>
      </x:c>
    </x:row>
    <x:row r="206" ht="25" customHeight="1">
      <x:c r="A206" s="3"/>
      <x:c r="B206" s="3"/>
      <x:c r="C206" s="3"/>
      <x:c r="D206" s="3"/>
      <x:c r="E206" s="3"/>
      <x:c r="F206" s="3"/>
      <x:c r="G206" s="3"/>
      <x:c r="H206" s="25"/>
      <x:c r="I206" s="25"/>
      <x:c r="J206" s="3"/>
      <x:c r="K206" s="3"/>
      <x:c r="L206" s="3"/>
      <x:c r="M206" s="3"/>
      <x:c r="N206" s="19" t="str">
        <x:f>IF(A206="","",IF(COUNTIFS('方案版本'!$A$7:$A$306,A206)&lt;&gt;1,"编号重复",IF(COUNTIFS('问题总览'!$A$7:$A$306,B206)&lt;&gt;1,"问题引用无效",IF(OR(D206="",E206="",F206="",G206="",L206=""),"待补版本信息",IF(AND(C206&lt;&gt;"",OR(C206=A206,COUNTIFS('方案版本'!$A$7:$A$306,C206,'方案版本'!$B$7:$B$306,B206)&lt;&gt;1)),"父方案引用无效",IF(L206="草稿","草稿未冻结",IF(OR(NOT(ISNUMBER(H206)),NOT(ISNUMBER(I206)),J206="",K206="",M206=""),"待补冻结信息",IF(I206&lt;H206,"请核实事后补录","有效输入"))))))))</x:f>
      </x:c>
    </x:row>
    <x:row r="207" ht="25" customHeight="1">
      <x:c r="A207" s="3"/>
      <x:c r="B207" s="3"/>
      <x:c r="C207" s="3"/>
      <x:c r="D207" s="3"/>
      <x:c r="E207" s="3"/>
      <x:c r="F207" s="3"/>
      <x:c r="G207" s="3"/>
      <x:c r="H207" s="25"/>
      <x:c r="I207" s="25"/>
      <x:c r="J207" s="3"/>
      <x:c r="K207" s="3"/>
      <x:c r="L207" s="3"/>
      <x:c r="M207" s="3"/>
      <x:c r="N207" s="19" t="str">
        <x:f>IF(A207="","",IF(COUNTIFS('方案版本'!$A$7:$A$306,A207)&lt;&gt;1,"编号重复",IF(COUNTIFS('问题总览'!$A$7:$A$306,B207)&lt;&gt;1,"问题引用无效",IF(OR(D207="",E207="",F207="",G207="",L207=""),"待补版本信息",IF(AND(C207&lt;&gt;"",OR(C207=A207,COUNTIFS('方案版本'!$A$7:$A$306,C207,'方案版本'!$B$7:$B$306,B207)&lt;&gt;1)),"父方案引用无效",IF(L207="草稿","草稿未冻结",IF(OR(NOT(ISNUMBER(H207)),NOT(ISNUMBER(I207)),J207="",K207="",M207=""),"待补冻结信息",IF(I207&lt;H207,"请核实事后补录","有效输入"))))))))</x:f>
      </x:c>
    </x:row>
    <x:row r="208" ht="25" customHeight="1">
      <x:c r="A208" s="3"/>
      <x:c r="B208" s="3"/>
      <x:c r="C208" s="3"/>
      <x:c r="D208" s="3"/>
      <x:c r="E208" s="3"/>
      <x:c r="F208" s="3"/>
      <x:c r="G208" s="3"/>
      <x:c r="H208" s="25"/>
      <x:c r="I208" s="25"/>
      <x:c r="J208" s="3"/>
      <x:c r="K208" s="3"/>
      <x:c r="L208" s="3"/>
      <x:c r="M208" s="3"/>
      <x:c r="N208" s="19" t="str">
        <x:f>IF(A208="","",IF(COUNTIFS('方案版本'!$A$7:$A$306,A208)&lt;&gt;1,"编号重复",IF(COUNTIFS('问题总览'!$A$7:$A$306,B208)&lt;&gt;1,"问题引用无效",IF(OR(D208="",E208="",F208="",G208="",L208=""),"待补版本信息",IF(AND(C208&lt;&gt;"",OR(C208=A208,COUNTIFS('方案版本'!$A$7:$A$306,C208,'方案版本'!$B$7:$B$306,B208)&lt;&gt;1)),"父方案引用无效",IF(L208="草稿","草稿未冻结",IF(OR(NOT(ISNUMBER(H208)),NOT(ISNUMBER(I208)),J208="",K208="",M208=""),"待补冻结信息",IF(I208&lt;H208,"请核实事后补录","有效输入"))))))))</x:f>
      </x:c>
    </x:row>
    <x:row r="209" ht="25" customHeight="1">
      <x:c r="A209" s="3"/>
      <x:c r="B209" s="3"/>
      <x:c r="C209" s="3"/>
      <x:c r="D209" s="3"/>
      <x:c r="E209" s="3"/>
      <x:c r="F209" s="3"/>
      <x:c r="G209" s="3"/>
      <x:c r="H209" s="25"/>
      <x:c r="I209" s="25"/>
      <x:c r="J209" s="3"/>
      <x:c r="K209" s="3"/>
      <x:c r="L209" s="3"/>
      <x:c r="M209" s="3"/>
      <x:c r="N209" s="19" t="str">
        <x:f>IF(A209="","",IF(COUNTIFS('方案版本'!$A$7:$A$306,A209)&lt;&gt;1,"编号重复",IF(COUNTIFS('问题总览'!$A$7:$A$306,B209)&lt;&gt;1,"问题引用无效",IF(OR(D209="",E209="",F209="",G209="",L209=""),"待补版本信息",IF(AND(C209&lt;&gt;"",OR(C209=A209,COUNTIFS('方案版本'!$A$7:$A$306,C209,'方案版本'!$B$7:$B$306,B209)&lt;&gt;1)),"父方案引用无效",IF(L209="草稿","草稿未冻结",IF(OR(NOT(ISNUMBER(H209)),NOT(ISNUMBER(I209)),J209="",K209="",M209=""),"待补冻结信息",IF(I209&lt;H209,"请核实事后补录","有效输入"))))))))</x:f>
      </x:c>
    </x:row>
    <x:row r="210" ht="25" customHeight="1">
      <x:c r="A210" s="3"/>
      <x:c r="B210" s="3"/>
      <x:c r="C210" s="3"/>
      <x:c r="D210" s="3"/>
      <x:c r="E210" s="3"/>
      <x:c r="F210" s="3"/>
      <x:c r="G210" s="3"/>
      <x:c r="H210" s="25"/>
      <x:c r="I210" s="25"/>
      <x:c r="J210" s="3"/>
      <x:c r="K210" s="3"/>
      <x:c r="L210" s="3"/>
      <x:c r="M210" s="3"/>
      <x:c r="N210" s="19" t="str">
        <x:f>IF(A210="","",IF(COUNTIFS('方案版本'!$A$7:$A$306,A210)&lt;&gt;1,"编号重复",IF(COUNTIFS('问题总览'!$A$7:$A$306,B210)&lt;&gt;1,"问题引用无效",IF(OR(D210="",E210="",F210="",G210="",L210=""),"待补版本信息",IF(AND(C210&lt;&gt;"",OR(C210=A210,COUNTIFS('方案版本'!$A$7:$A$306,C210,'方案版本'!$B$7:$B$306,B210)&lt;&gt;1)),"父方案引用无效",IF(L210="草稿","草稿未冻结",IF(OR(NOT(ISNUMBER(H210)),NOT(ISNUMBER(I210)),J210="",K210="",M210=""),"待补冻结信息",IF(I210&lt;H210,"请核实事后补录","有效输入"))))))))</x:f>
      </x:c>
    </x:row>
    <x:row r="211" ht="25" customHeight="1">
      <x:c r="A211" s="3"/>
      <x:c r="B211" s="3"/>
      <x:c r="C211" s="3"/>
      <x:c r="D211" s="3"/>
      <x:c r="E211" s="3"/>
      <x:c r="F211" s="3"/>
      <x:c r="G211" s="3"/>
      <x:c r="H211" s="25"/>
      <x:c r="I211" s="25"/>
      <x:c r="J211" s="3"/>
      <x:c r="K211" s="3"/>
      <x:c r="L211" s="3"/>
      <x:c r="M211" s="3"/>
      <x:c r="N211" s="19" t="str">
        <x:f>IF(A211="","",IF(COUNTIFS('方案版本'!$A$7:$A$306,A211)&lt;&gt;1,"编号重复",IF(COUNTIFS('问题总览'!$A$7:$A$306,B211)&lt;&gt;1,"问题引用无效",IF(OR(D211="",E211="",F211="",G211="",L211=""),"待补版本信息",IF(AND(C211&lt;&gt;"",OR(C211=A211,COUNTIFS('方案版本'!$A$7:$A$306,C211,'方案版本'!$B$7:$B$306,B211)&lt;&gt;1)),"父方案引用无效",IF(L211="草稿","草稿未冻结",IF(OR(NOT(ISNUMBER(H211)),NOT(ISNUMBER(I211)),J211="",K211="",M211=""),"待补冻结信息",IF(I211&lt;H211,"请核实事后补录","有效输入"))))))))</x:f>
      </x:c>
    </x:row>
    <x:row r="212" ht="25" customHeight="1">
      <x:c r="A212" s="3"/>
      <x:c r="B212" s="3"/>
      <x:c r="C212" s="3"/>
      <x:c r="D212" s="3"/>
      <x:c r="E212" s="3"/>
      <x:c r="F212" s="3"/>
      <x:c r="G212" s="3"/>
      <x:c r="H212" s="25"/>
      <x:c r="I212" s="25"/>
      <x:c r="J212" s="3"/>
      <x:c r="K212" s="3"/>
      <x:c r="L212" s="3"/>
      <x:c r="M212" s="3"/>
      <x:c r="N212" s="19" t="str">
        <x:f>IF(A212="","",IF(COUNTIFS('方案版本'!$A$7:$A$306,A212)&lt;&gt;1,"编号重复",IF(COUNTIFS('问题总览'!$A$7:$A$306,B212)&lt;&gt;1,"问题引用无效",IF(OR(D212="",E212="",F212="",G212="",L212=""),"待补版本信息",IF(AND(C212&lt;&gt;"",OR(C212=A212,COUNTIFS('方案版本'!$A$7:$A$306,C212,'方案版本'!$B$7:$B$306,B212)&lt;&gt;1)),"父方案引用无效",IF(L212="草稿","草稿未冻结",IF(OR(NOT(ISNUMBER(H212)),NOT(ISNUMBER(I212)),J212="",K212="",M212=""),"待补冻结信息",IF(I212&lt;H212,"请核实事后补录","有效输入"))))))))</x:f>
      </x:c>
    </x:row>
    <x:row r="213" ht="25" customHeight="1">
      <x:c r="A213" s="3"/>
      <x:c r="B213" s="3"/>
      <x:c r="C213" s="3"/>
      <x:c r="D213" s="3"/>
      <x:c r="E213" s="3"/>
      <x:c r="F213" s="3"/>
      <x:c r="G213" s="3"/>
      <x:c r="H213" s="25"/>
      <x:c r="I213" s="25"/>
      <x:c r="J213" s="3"/>
      <x:c r="K213" s="3"/>
      <x:c r="L213" s="3"/>
      <x:c r="M213" s="3"/>
      <x:c r="N213" s="19" t="str">
        <x:f>IF(A213="","",IF(COUNTIFS('方案版本'!$A$7:$A$306,A213)&lt;&gt;1,"编号重复",IF(COUNTIFS('问题总览'!$A$7:$A$306,B213)&lt;&gt;1,"问题引用无效",IF(OR(D213="",E213="",F213="",G213="",L213=""),"待补版本信息",IF(AND(C213&lt;&gt;"",OR(C213=A213,COUNTIFS('方案版本'!$A$7:$A$306,C213,'方案版本'!$B$7:$B$306,B213)&lt;&gt;1)),"父方案引用无效",IF(L213="草稿","草稿未冻结",IF(OR(NOT(ISNUMBER(H213)),NOT(ISNUMBER(I213)),J213="",K213="",M213=""),"待补冻结信息",IF(I213&lt;H213,"请核实事后补录","有效输入"))))))))</x:f>
      </x:c>
    </x:row>
    <x:row r="214" ht="25" customHeight="1">
      <x:c r="A214" s="3"/>
      <x:c r="B214" s="3"/>
      <x:c r="C214" s="3"/>
      <x:c r="D214" s="3"/>
      <x:c r="E214" s="3"/>
      <x:c r="F214" s="3"/>
      <x:c r="G214" s="3"/>
      <x:c r="H214" s="25"/>
      <x:c r="I214" s="25"/>
      <x:c r="J214" s="3"/>
      <x:c r="K214" s="3"/>
      <x:c r="L214" s="3"/>
      <x:c r="M214" s="3"/>
      <x:c r="N214" s="19" t="str">
        <x:f>IF(A214="","",IF(COUNTIFS('方案版本'!$A$7:$A$306,A214)&lt;&gt;1,"编号重复",IF(COUNTIFS('问题总览'!$A$7:$A$306,B214)&lt;&gt;1,"问题引用无效",IF(OR(D214="",E214="",F214="",G214="",L214=""),"待补版本信息",IF(AND(C214&lt;&gt;"",OR(C214=A214,COUNTIFS('方案版本'!$A$7:$A$306,C214,'方案版本'!$B$7:$B$306,B214)&lt;&gt;1)),"父方案引用无效",IF(L214="草稿","草稿未冻结",IF(OR(NOT(ISNUMBER(H214)),NOT(ISNUMBER(I214)),J214="",K214="",M214=""),"待补冻结信息",IF(I214&lt;H214,"请核实事后补录","有效输入"))))))))</x:f>
      </x:c>
    </x:row>
    <x:row r="215" ht="25" customHeight="1">
      <x:c r="A215" s="3"/>
      <x:c r="B215" s="3"/>
      <x:c r="C215" s="3"/>
      <x:c r="D215" s="3"/>
      <x:c r="E215" s="3"/>
      <x:c r="F215" s="3"/>
      <x:c r="G215" s="3"/>
      <x:c r="H215" s="25"/>
      <x:c r="I215" s="25"/>
      <x:c r="J215" s="3"/>
      <x:c r="K215" s="3"/>
      <x:c r="L215" s="3"/>
      <x:c r="M215" s="3"/>
      <x:c r="N215" s="19" t="str">
        <x:f>IF(A215="","",IF(COUNTIFS('方案版本'!$A$7:$A$306,A215)&lt;&gt;1,"编号重复",IF(COUNTIFS('问题总览'!$A$7:$A$306,B215)&lt;&gt;1,"问题引用无效",IF(OR(D215="",E215="",F215="",G215="",L215=""),"待补版本信息",IF(AND(C215&lt;&gt;"",OR(C215=A215,COUNTIFS('方案版本'!$A$7:$A$306,C215,'方案版本'!$B$7:$B$306,B215)&lt;&gt;1)),"父方案引用无效",IF(L215="草稿","草稿未冻结",IF(OR(NOT(ISNUMBER(H215)),NOT(ISNUMBER(I215)),J215="",K215="",M215=""),"待补冻结信息",IF(I215&lt;H215,"请核实事后补录","有效输入"))))))))</x:f>
      </x:c>
    </x:row>
    <x:row r="216" ht="25" customHeight="1">
      <x:c r="A216" s="3"/>
      <x:c r="B216" s="3"/>
      <x:c r="C216" s="3"/>
      <x:c r="D216" s="3"/>
      <x:c r="E216" s="3"/>
      <x:c r="F216" s="3"/>
      <x:c r="G216" s="3"/>
      <x:c r="H216" s="25"/>
      <x:c r="I216" s="25"/>
      <x:c r="J216" s="3"/>
      <x:c r="K216" s="3"/>
      <x:c r="L216" s="3"/>
      <x:c r="M216" s="3"/>
      <x:c r="N216" s="19" t="str">
        <x:f>IF(A216="","",IF(COUNTIFS('方案版本'!$A$7:$A$306,A216)&lt;&gt;1,"编号重复",IF(COUNTIFS('问题总览'!$A$7:$A$306,B216)&lt;&gt;1,"问题引用无效",IF(OR(D216="",E216="",F216="",G216="",L216=""),"待补版本信息",IF(AND(C216&lt;&gt;"",OR(C216=A216,COUNTIFS('方案版本'!$A$7:$A$306,C216,'方案版本'!$B$7:$B$306,B216)&lt;&gt;1)),"父方案引用无效",IF(L216="草稿","草稿未冻结",IF(OR(NOT(ISNUMBER(H216)),NOT(ISNUMBER(I216)),J216="",K216="",M216=""),"待补冻结信息",IF(I216&lt;H216,"请核实事后补录","有效输入"))))))))</x:f>
      </x:c>
    </x:row>
    <x:row r="217" ht="25" customHeight="1">
      <x:c r="A217" s="3"/>
      <x:c r="B217" s="3"/>
      <x:c r="C217" s="3"/>
      <x:c r="D217" s="3"/>
      <x:c r="E217" s="3"/>
      <x:c r="F217" s="3"/>
      <x:c r="G217" s="3"/>
      <x:c r="H217" s="25"/>
      <x:c r="I217" s="25"/>
      <x:c r="J217" s="3"/>
      <x:c r="K217" s="3"/>
      <x:c r="L217" s="3"/>
      <x:c r="M217" s="3"/>
      <x:c r="N217" s="19" t="str">
        <x:f>IF(A217="","",IF(COUNTIFS('方案版本'!$A$7:$A$306,A217)&lt;&gt;1,"编号重复",IF(COUNTIFS('问题总览'!$A$7:$A$306,B217)&lt;&gt;1,"问题引用无效",IF(OR(D217="",E217="",F217="",G217="",L217=""),"待补版本信息",IF(AND(C217&lt;&gt;"",OR(C217=A217,COUNTIFS('方案版本'!$A$7:$A$306,C217,'方案版本'!$B$7:$B$306,B217)&lt;&gt;1)),"父方案引用无效",IF(L217="草稿","草稿未冻结",IF(OR(NOT(ISNUMBER(H217)),NOT(ISNUMBER(I217)),J217="",K217="",M217=""),"待补冻结信息",IF(I217&lt;H217,"请核实事后补录","有效输入"))))))))</x:f>
      </x:c>
    </x:row>
    <x:row r="218" ht="25" customHeight="1">
      <x:c r="A218" s="3"/>
      <x:c r="B218" s="3"/>
      <x:c r="C218" s="3"/>
      <x:c r="D218" s="3"/>
      <x:c r="E218" s="3"/>
      <x:c r="F218" s="3"/>
      <x:c r="G218" s="3"/>
      <x:c r="H218" s="25"/>
      <x:c r="I218" s="25"/>
      <x:c r="J218" s="3"/>
      <x:c r="K218" s="3"/>
      <x:c r="L218" s="3"/>
      <x:c r="M218" s="3"/>
      <x:c r="N218" s="19" t="str">
        <x:f>IF(A218="","",IF(COUNTIFS('方案版本'!$A$7:$A$306,A218)&lt;&gt;1,"编号重复",IF(COUNTIFS('问题总览'!$A$7:$A$306,B218)&lt;&gt;1,"问题引用无效",IF(OR(D218="",E218="",F218="",G218="",L218=""),"待补版本信息",IF(AND(C218&lt;&gt;"",OR(C218=A218,COUNTIFS('方案版本'!$A$7:$A$306,C218,'方案版本'!$B$7:$B$306,B218)&lt;&gt;1)),"父方案引用无效",IF(L218="草稿","草稿未冻结",IF(OR(NOT(ISNUMBER(H218)),NOT(ISNUMBER(I218)),J218="",K218="",M218=""),"待补冻结信息",IF(I218&lt;H218,"请核实事后补录","有效输入"))))))))</x:f>
      </x:c>
    </x:row>
    <x:row r="219" ht="25" customHeight="1">
      <x:c r="A219" s="3"/>
      <x:c r="B219" s="3"/>
      <x:c r="C219" s="3"/>
      <x:c r="D219" s="3"/>
      <x:c r="E219" s="3"/>
      <x:c r="F219" s="3"/>
      <x:c r="G219" s="3"/>
      <x:c r="H219" s="25"/>
      <x:c r="I219" s="25"/>
      <x:c r="J219" s="3"/>
      <x:c r="K219" s="3"/>
      <x:c r="L219" s="3"/>
      <x:c r="M219" s="3"/>
      <x:c r="N219" s="19" t="str">
        <x:f>IF(A219="","",IF(COUNTIFS('方案版本'!$A$7:$A$306,A219)&lt;&gt;1,"编号重复",IF(COUNTIFS('问题总览'!$A$7:$A$306,B219)&lt;&gt;1,"问题引用无效",IF(OR(D219="",E219="",F219="",G219="",L219=""),"待补版本信息",IF(AND(C219&lt;&gt;"",OR(C219=A219,COUNTIFS('方案版本'!$A$7:$A$306,C219,'方案版本'!$B$7:$B$306,B219)&lt;&gt;1)),"父方案引用无效",IF(L219="草稿","草稿未冻结",IF(OR(NOT(ISNUMBER(H219)),NOT(ISNUMBER(I219)),J219="",K219="",M219=""),"待补冻结信息",IF(I219&lt;H219,"请核实事后补录","有效输入"))))))))</x:f>
      </x:c>
    </x:row>
    <x:row r="220" ht="25" customHeight="1">
      <x:c r="A220" s="3"/>
      <x:c r="B220" s="3"/>
      <x:c r="C220" s="3"/>
      <x:c r="D220" s="3"/>
      <x:c r="E220" s="3"/>
      <x:c r="F220" s="3"/>
      <x:c r="G220" s="3"/>
      <x:c r="H220" s="25"/>
      <x:c r="I220" s="25"/>
      <x:c r="J220" s="3"/>
      <x:c r="K220" s="3"/>
      <x:c r="L220" s="3"/>
      <x:c r="M220" s="3"/>
      <x:c r="N220" s="19" t="str">
        <x:f>IF(A220="","",IF(COUNTIFS('方案版本'!$A$7:$A$306,A220)&lt;&gt;1,"编号重复",IF(COUNTIFS('问题总览'!$A$7:$A$306,B220)&lt;&gt;1,"问题引用无效",IF(OR(D220="",E220="",F220="",G220="",L220=""),"待补版本信息",IF(AND(C220&lt;&gt;"",OR(C220=A220,COUNTIFS('方案版本'!$A$7:$A$306,C220,'方案版本'!$B$7:$B$306,B220)&lt;&gt;1)),"父方案引用无效",IF(L220="草稿","草稿未冻结",IF(OR(NOT(ISNUMBER(H220)),NOT(ISNUMBER(I220)),J220="",K220="",M220=""),"待补冻结信息",IF(I220&lt;H220,"请核实事后补录","有效输入"))))))))</x:f>
      </x:c>
    </x:row>
    <x:row r="221" ht="25" customHeight="1">
      <x:c r="A221" s="3"/>
      <x:c r="B221" s="3"/>
      <x:c r="C221" s="3"/>
      <x:c r="D221" s="3"/>
      <x:c r="E221" s="3"/>
      <x:c r="F221" s="3"/>
      <x:c r="G221" s="3"/>
      <x:c r="H221" s="25"/>
      <x:c r="I221" s="25"/>
      <x:c r="J221" s="3"/>
      <x:c r="K221" s="3"/>
      <x:c r="L221" s="3"/>
      <x:c r="M221" s="3"/>
      <x:c r="N221" s="19" t="str">
        <x:f>IF(A221="","",IF(COUNTIFS('方案版本'!$A$7:$A$306,A221)&lt;&gt;1,"编号重复",IF(COUNTIFS('问题总览'!$A$7:$A$306,B221)&lt;&gt;1,"问题引用无效",IF(OR(D221="",E221="",F221="",G221="",L221=""),"待补版本信息",IF(AND(C221&lt;&gt;"",OR(C221=A221,COUNTIFS('方案版本'!$A$7:$A$306,C221,'方案版本'!$B$7:$B$306,B221)&lt;&gt;1)),"父方案引用无效",IF(L221="草稿","草稿未冻结",IF(OR(NOT(ISNUMBER(H221)),NOT(ISNUMBER(I221)),J221="",K221="",M221=""),"待补冻结信息",IF(I221&lt;H221,"请核实事后补录","有效输入"))))))))</x:f>
      </x:c>
    </x:row>
    <x:row r="222" ht="25" customHeight="1">
      <x:c r="A222" s="3"/>
      <x:c r="B222" s="3"/>
      <x:c r="C222" s="3"/>
      <x:c r="D222" s="3"/>
      <x:c r="E222" s="3"/>
      <x:c r="F222" s="3"/>
      <x:c r="G222" s="3"/>
      <x:c r="H222" s="25"/>
      <x:c r="I222" s="25"/>
      <x:c r="J222" s="3"/>
      <x:c r="K222" s="3"/>
      <x:c r="L222" s="3"/>
      <x:c r="M222" s="3"/>
      <x:c r="N222" s="19" t="str">
        <x:f>IF(A222="","",IF(COUNTIFS('方案版本'!$A$7:$A$306,A222)&lt;&gt;1,"编号重复",IF(COUNTIFS('问题总览'!$A$7:$A$306,B222)&lt;&gt;1,"问题引用无效",IF(OR(D222="",E222="",F222="",G222="",L222=""),"待补版本信息",IF(AND(C222&lt;&gt;"",OR(C222=A222,COUNTIFS('方案版本'!$A$7:$A$306,C222,'方案版本'!$B$7:$B$306,B222)&lt;&gt;1)),"父方案引用无效",IF(L222="草稿","草稿未冻结",IF(OR(NOT(ISNUMBER(H222)),NOT(ISNUMBER(I222)),J222="",K222="",M222=""),"待补冻结信息",IF(I222&lt;H222,"请核实事后补录","有效输入"))))))))</x:f>
      </x:c>
    </x:row>
    <x:row r="223" ht="25" customHeight="1">
      <x:c r="A223" s="3"/>
      <x:c r="B223" s="3"/>
      <x:c r="C223" s="3"/>
      <x:c r="D223" s="3"/>
      <x:c r="E223" s="3"/>
      <x:c r="F223" s="3"/>
      <x:c r="G223" s="3"/>
      <x:c r="H223" s="25"/>
      <x:c r="I223" s="25"/>
      <x:c r="J223" s="3"/>
      <x:c r="K223" s="3"/>
      <x:c r="L223" s="3"/>
      <x:c r="M223" s="3"/>
      <x:c r="N223" s="19" t="str">
        <x:f>IF(A223="","",IF(COUNTIFS('方案版本'!$A$7:$A$306,A223)&lt;&gt;1,"编号重复",IF(COUNTIFS('问题总览'!$A$7:$A$306,B223)&lt;&gt;1,"问题引用无效",IF(OR(D223="",E223="",F223="",G223="",L223=""),"待补版本信息",IF(AND(C223&lt;&gt;"",OR(C223=A223,COUNTIFS('方案版本'!$A$7:$A$306,C223,'方案版本'!$B$7:$B$306,B223)&lt;&gt;1)),"父方案引用无效",IF(L223="草稿","草稿未冻结",IF(OR(NOT(ISNUMBER(H223)),NOT(ISNUMBER(I223)),J223="",K223="",M223=""),"待补冻结信息",IF(I223&lt;H223,"请核实事后补录","有效输入"))))))))</x:f>
      </x:c>
    </x:row>
    <x:row r="224" ht="25" customHeight="1">
      <x:c r="A224" s="3"/>
      <x:c r="B224" s="3"/>
      <x:c r="C224" s="3"/>
      <x:c r="D224" s="3"/>
      <x:c r="E224" s="3"/>
      <x:c r="F224" s="3"/>
      <x:c r="G224" s="3"/>
      <x:c r="H224" s="25"/>
      <x:c r="I224" s="25"/>
      <x:c r="J224" s="3"/>
      <x:c r="K224" s="3"/>
      <x:c r="L224" s="3"/>
      <x:c r="M224" s="3"/>
      <x:c r="N224" s="19" t="str">
        <x:f>IF(A224="","",IF(COUNTIFS('方案版本'!$A$7:$A$306,A224)&lt;&gt;1,"编号重复",IF(COUNTIFS('问题总览'!$A$7:$A$306,B224)&lt;&gt;1,"问题引用无效",IF(OR(D224="",E224="",F224="",G224="",L224=""),"待补版本信息",IF(AND(C224&lt;&gt;"",OR(C224=A224,COUNTIFS('方案版本'!$A$7:$A$306,C224,'方案版本'!$B$7:$B$306,B224)&lt;&gt;1)),"父方案引用无效",IF(L224="草稿","草稿未冻结",IF(OR(NOT(ISNUMBER(H224)),NOT(ISNUMBER(I224)),J224="",K224="",M224=""),"待补冻结信息",IF(I224&lt;H224,"请核实事后补录","有效输入"))))))))</x:f>
      </x:c>
    </x:row>
    <x:row r="225" ht="25" customHeight="1">
      <x:c r="A225" s="3"/>
      <x:c r="B225" s="3"/>
      <x:c r="C225" s="3"/>
      <x:c r="D225" s="3"/>
      <x:c r="E225" s="3"/>
      <x:c r="F225" s="3"/>
      <x:c r="G225" s="3"/>
      <x:c r="H225" s="25"/>
      <x:c r="I225" s="25"/>
      <x:c r="J225" s="3"/>
      <x:c r="K225" s="3"/>
      <x:c r="L225" s="3"/>
      <x:c r="M225" s="3"/>
      <x:c r="N225" s="19" t="str">
        <x:f>IF(A225="","",IF(COUNTIFS('方案版本'!$A$7:$A$306,A225)&lt;&gt;1,"编号重复",IF(COUNTIFS('问题总览'!$A$7:$A$306,B225)&lt;&gt;1,"问题引用无效",IF(OR(D225="",E225="",F225="",G225="",L225=""),"待补版本信息",IF(AND(C225&lt;&gt;"",OR(C225=A225,COUNTIFS('方案版本'!$A$7:$A$306,C225,'方案版本'!$B$7:$B$306,B225)&lt;&gt;1)),"父方案引用无效",IF(L225="草稿","草稿未冻结",IF(OR(NOT(ISNUMBER(H225)),NOT(ISNUMBER(I225)),J225="",K225="",M225=""),"待补冻结信息",IF(I225&lt;H225,"请核实事后补录","有效输入"))))))))</x:f>
      </x:c>
    </x:row>
    <x:row r="226" ht="25" customHeight="1">
      <x:c r="A226" s="3"/>
      <x:c r="B226" s="3"/>
      <x:c r="C226" s="3"/>
      <x:c r="D226" s="3"/>
      <x:c r="E226" s="3"/>
      <x:c r="F226" s="3"/>
      <x:c r="G226" s="3"/>
      <x:c r="H226" s="25"/>
      <x:c r="I226" s="25"/>
      <x:c r="J226" s="3"/>
      <x:c r="K226" s="3"/>
      <x:c r="L226" s="3"/>
      <x:c r="M226" s="3"/>
      <x:c r="N226" s="19" t="str">
        <x:f>IF(A226="","",IF(COUNTIFS('方案版本'!$A$7:$A$306,A226)&lt;&gt;1,"编号重复",IF(COUNTIFS('问题总览'!$A$7:$A$306,B226)&lt;&gt;1,"问题引用无效",IF(OR(D226="",E226="",F226="",G226="",L226=""),"待补版本信息",IF(AND(C226&lt;&gt;"",OR(C226=A226,COUNTIFS('方案版本'!$A$7:$A$306,C226,'方案版本'!$B$7:$B$306,B226)&lt;&gt;1)),"父方案引用无效",IF(L226="草稿","草稿未冻结",IF(OR(NOT(ISNUMBER(H226)),NOT(ISNUMBER(I226)),J226="",K226="",M226=""),"待补冻结信息",IF(I226&lt;H226,"请核实事后补录","有效输入"))))))))</x:f>
      </x:c>
    </x:row>
    <x:row r="227" ht="25" customHeight="1">
      <x:c r="A227" s="3"/>
      <x:c r="B227" s="3"/>
      <x:c r="C227" s="3"/>
      <x:c r="D227" s="3"/>
      <x:c r="E227" s="3"/>
      <x:c r="F227" s="3"/>
      <x:c r="G227" s="3"/>
      <x:c r="H227" s="25"/>
      <x:c r="I227" s="25"/>
      <x:c r="J227" s="3"/>
      <x:c r="K227" s="3"/>
      <x:c r="L227" s="3"/>
      <x:c r="M227" s="3"/>
      <x:c r="N227" s="19" t="str">
        <x:f>IF(A227="","",IF(COUNTIFS('方案版本'!$A$7:$A$306,A227)&lt;&gt;1,"编号重复",IF(COUNTIFS('问题总览'!$A$7:$A$306,B227)&lt;&gt;1,"问题引用无效",IF(OR(D227="",E227="",F227="",G227="",L227=""),"待补版本信息",IF(AND(C227&lt;&gt;"",OR(C227=A227,COUNTIFS('方案版本'!$A$7:$A$306,C227,'方案版本'!$B$7:$B$306,B227)&lt;&gt;1)),"父方案引用无效",IF(L227="草稿","草稿未冻结",IF(OR(NOT(ISNUMBER(H227)),NOT(ISNUMBER(I227)),J227="",K227="",M227=""),"待补冻结信息",IF(I227&lt;H227,"请核实事后补录","有效输入"))))))))</x:f>
      </x:c>
    </x:row>
    <x:row r="228" ht="25" customHeight="1">
      <x:c r="A228" s="3"/>
      <x:c r="B228" s="3"/>
      <x:c r="C228" s="3"/>
      <x:c r="D228" s="3"/>
      <x:c r="E228" s="3"/>
      <x:c r="F228" s="3"/>
      <x:c r="G228" s="3"/>
      <x:c r="H228" s="25"/>
      <x:c r="I228" s="25"/>
      <x:c r="J228" s="3"/>
      <x:c r="K228" s="3"/>
      <x:c r="L228" s="3"/>
      <x:c r="M228" s="3"/>
      <x:c r="N228" s="19" t="str">
        <x:f>IF(A228="","",IF(COUNTIFS('方案版本'!$A$7:$A$306,A228)&lt;&gt;1,"编号重复",IF(COUNTIFS('问题总览'!$A$7:$A$306,B228)&lt;&gt;1,"问题引用无效",IF(OR(D228="",E228="",F228="",G228="",L228=""),"待补版本信息",IF(AND(C228&lt;&gt;"",OR(C228=A228,COUNTIFS('方案版本'!$A$7:$A$306,C228,'方案版本'!$B$7:$B$306,B228)&lt;&gt;1)),"父方案引用无效",IF(L228="草稿","草稿未冻结",IF(OR(NOT(ISNUMBER(H228)),NOT(ISNUMBER(I228)),J228="",K228="",M228=""),"待补冻结信息",IF(I228&lt;H228,"请核实事后补录","有效输入"))))))))</x:f>
      </x:c>
    </x:row>
    <x:row r="229" ht="25" customHeight="1">
      <x:c r="A229" s="3"/>
      <x:c r="B229" s="3"/>
      <x:c r="C229" s="3"/>
      <x:c r="D229" s="3"/>
      <x:c r="E229" s="3"/>
      <x:c r="F229" s="3"/>
      <x:c r="G229" s="3"/>
      <x:c r="H229" s="25"/>
      <x:c r="I229" s="25"/>
      <x:c r="J229" s="3"/>
      <x:c r="K229" s="3"/>
      <x:c r="L229" s="3"/>
      <x:c r="M229" s="3"/>
      <x:c r="N229" s="19" t="str">
        <x:f>IF(A229="","",IF(COUNTIFS('方案版本'!$A$7:$A$306,A229)&lt;&gt;1,"编号重复",IF(COUNTIFS('问题总览'!$A$7:$A$306,B229)&lt;&gt;1,"问题引用无效",IF(OR(D229="",E229="",F229="",G229="",L229=""),"待补版本信息",IF(AND(C229&lt;&gt;"",OR(C229=A229,COUNTIFS('方案版本'!$A$7:$A$306,C229,'方案版本'!$B$7:$B$306,B229)&lt;&gt;1)),"父方案引用无效",IF(L229="草稿","草稿未冻结",IF(OR(NOT(ISNUMBER(H229)),NOT(ISNUMBER(I229)),J229="",K229="",M229=""),"待补冻结信息",IF(I229&lt;H229,"请核实事后补录","有效输入"))))))))</x:f>
      </x:c>
    </x:row>
    <x:row r="230" ht="25" customHeight="1">
      <x:c r="A230" s="3"/>
      <x:c r="B230" s="3"/>
      <x:c r="C230" s="3"/>
      <x:c r="D230" s="3"/>
      <x:c r="E230" s="3"/>
      <x:c r="F230" s="3"/>
      <x:c r="G230" s="3"/>
      <x:c r="H230" s="25"/>
      <x:c r="I230" s="25"/>
      <x:c r="J230" s="3"/>
      <x:c r="K230" s="3"/>
      <x:c r="L230" s="3"/>
      <x:c r="M230" s="3"/>
      <x:c r="N230" s="19" t="str">
        <x:f>IF(A230="","",IF(COUNTIFS('方案版本'!$A$7:$A$306,A230)&lt;&gt;1,"编号重复",IF(COUNTIFS('问题总览'!$A$7:$A$306,B230)&lt;&gt;1,"问题引用无效",IF(OR(D230="",E230="",F230="",G230="",L230=""),"待补版本信息",IF(AND(C230&lt;&gt;"",OR(C230=A230,COUNTIFS('方案版本'!$A$7:$A$306,C230,'方案版本'!$B$7:$B$306,B230)&lt;&gt;1)),"父方案引用无效",IF(L230="草稿","草稿未冻结",IF(OR(NOT(ISNUMBER(H230)),NOT(ISNUMBER(I230)),J230="",K230="",M230=""),"待补冻结信息",IF(I230&lt;H230,"请核实事后补录","有效输入"))))))))</x:f>
      </x:c>
    </x:row>
    <x:row r="231" ht="25" customHeight="1">
      <x:c r="A231" s="3"/>
      <x:c r="B231" s="3"/>
      <x:c r="C231" s="3"/>
      <x:c r="D231" s="3"/>
      <x:c r="E231" s="3"/>
      <x:c r="F231" s="3"/>
      <x:c r="G231" s="3"/>
      <x:c r="H231" s="25"/>
      <x:c r="I231" s="25"/>
      <x:c r="J231" s="3"/>
      <x:c r="K231" s="3"/>
      <x:c r="L231" s="3"/>
      <x:c r="M231" s="3"/>
      <x:c r="N231" s="19" t="str">
        <x:f>IF(A231="","",IF(COUNTIFS('方案版本'!$A$7:$A$306,A231)&lt;&gt;1,"编号重复",IF(COUNTIFS('问题总览'!$A$7:$A$306,B231)&lt;&gt;1,"问题引用无效",IF(OR(D231="",E231="",F231="",G231="",L231=""),"待补版本信息",IF(AND(C231&lt;&gt;"",OR(C231=A231,COUNTIFS('方案版本'!$A$7:$A$306,C231,'方案版本'!$B$7:$B$306,B231)&lt;&gt;1)),"父方案引用无效",IF(L231="草稿","草稿未冻结",IF(OR(NOT(ISNUMBER(H231)),NOT(ISNUMBER(I231)),J231="",K231="",M231=""),"待补冻结信息",IF(I231&lt;H231,"请核实事后补录","有效输入"))))))))</x:f>
      </x:c>
    </x:row>
    <x:row r="232" ht="25" customHeight="1">
      <x:c r="A232" s="3"/>
      <x:c r="B232" s="3"/>
      <x:c r="C232" s="3"/>
      <x:c r="D232" s="3"/>
      <x:c r="E232" s="3"/>
      <x:c r="F232" s="3"/>
      <x:c r="G232" s="3"/>
      <x:c r="H232" s="25"/>
      <x:c r="I232" s="25"/>
      <x:c r="J232" s="3"/>
      <x:c r="K232" s="3"/>
      <x:c r="L232" s="3"/>
      <x:c r="M232" s="3"/>
      <x:c r="N232" s="19" t="str">
        <x:f>IF(A232="","",IF(COUNTIFS('方案版本'!$A$7:$A$306,A232)&lt;&gt;1,"编号重复",IF(COUNTIFS('问题总览'!$A$7:$A$306,B232)&lt;&gt;1,"问题引用无效",IF(OR(D232="",E232="",F232="",G232="",L232=""),"待补版本信息",IF(AND(C232&lt;&gt;"",OR(C232=A232,COUNTIFS('方案版本'!$A$7:$A$306,C232,'方案版本'!$B$7:$B$306,B232)&lt;&gt;1)),"父方案引用无效",IF(L232="草稿","草稿未冻结",IF(OR(NOT(ISNUMBER(H232)),NOT(ISNUMBER(I232)),J232="",K232="",M232=""),"待补冻结信息",IF(I232&lt;H232,"请核实事后补录","有效输入"))))))))</x:f>
      </x:c>
    </x:row>
    <x:row r="233" ht="25" customHeight="1">
      <x:c r="A233" s="3"/>
      <x:c r="B233" s="3"/>
      <x:c r="C233" s="3"/>
      <x:c r="D233" s="3"/>
      <x:c r="E233" s="3"/>
      <x:c r="F233" s="3"/>
      <x:c r="G233" s="3"/>
      <x:c r="H233" s="25"/>
      <x:c r="I233" s="25"/>
      <x:c r="J233" s="3"/>
      <x:c r="K233" s="3"/>
      <x:c r="L233" s="3"/>
      <x:c r="M233" s="3"/>
      <x:c r="N233" s="19" t="str">
        <x:f>IF(A233="","",IF(COUNTIFS('方案版本'!$A$7:$A$306,A233)&lt;&gt;1,"编号重复",IF(COUNTIFS('问题总览'!$A$7:$A$306,B233)&lt;&gt;1,"问题引用无效",IF(OR(D233="",E233="",F233="",G233="",L233=""),"待补版本信息",IF(AND(C233&lt;&gt;"",OR(C233=A233,COUNTIFS('方案版本'!$A$7:$A$306,C233,'方案版本'!$B$7:$B$306,B233)&lt;&gt;1)),"父方案引用无效",IF(L233="草稿","草稿未冻结",IF(OR(NOT(ISNUMBER(H233)),NOT(ISNUMBER(I233)),J233="",K233="",M233=""),"待补冻结信息",IF(I233&lt;H233,"请核实事后补录","有效输入"))))))))</x:f>
      </x:c>
    </x:row>
    <x:row r="234" ht="25" customHeight="1">
      <x:c r="A234" s="3"/>
      <x:c r="B234" s="3"/>
      <x:c r="C234" s="3"/>
      <x:c r="D234" s="3"/>
      <x:c r="E234" s="3"/>
      <x:c r="F234" s="3"/>
      <x:c r="G234" s="3"/>
      <x:c r="H234" s="25"/>
      <x:c r="I234" s="25"/>
      <x:c r="J234" s="3"/>
      <x:c r="K234" s="3"/>
      <x:c r="L234" s="3"/>
      <x:c r="M234" s="3"/>
      <x:c r="N234" s="19" t="str">
        <x:f>IF(A234="","",IF(COUNTIFS('方案版本'!$A$7:$A$306,A234)&lt;&gt;1,"编号重复",IF(COUNTIFS('问题总览'!$A$7:$A$306,B234)&lt;&gt;1,"问题引用无效",IF(OR(D234="",E234="",F234="",G234="",L234=""),"待补版本信息",IF(AND(C234&lt;&gt;"",OR(C234=A234,COUNTIFS('方案版本'!$A$7:$A$306,C234,'方案版本'!$B$7:$B$306,B234)&lt;&gt;1)),"父方案引用无效",IF(L234="草稿","草稿未冻结",IF(OR(NOT(ISNUMBER(H234)),NOT(ISNUMBER(I234)),J234="",K234="",M234=""),"待补冻结信息",IF(I234&lt;H234,"请核实事后补录","有效输入"))))))))</x:f>
      </x:c>
    </x:row>
    <x:row r="235" ht="25" customHeight="1">
      <x:c r="A235" s="3"/>
      <x:c r="B235" s="3"/>
      <x:c r="C235" s="3"/>
      <x:c r="D235" s="3"/>
      <x:c r="E235" s="3"/>
      <x:c r="F235" s="3"/>
      <x:c r="G235" s="3"/>
      <x:c r="H235" s="25"/>
      <x:c r="I235" s="25"/>
      <x:c r="J235" s="3"/>
      <x:c r="K235" s="3"/>
      <x:c r="L235" s="3"/>
      <x:c r="M235" s="3"/>
      <x:c r="N235" s="19" t="str">
        <x:f>IF(A235="","",IF(COUNTIFS('方案版本'!$A$7:$A$306,A235)&lt;&gt;1,"编号重复",IF(COUNTIFS('问题总览'!$A$7:$A$306,B235)&lt;&gt;1,"问题引用无效",IF(OR(D235="",E235="",F235="",G235="",L235=""),"待补版本信息",IF(AND(C235&lt;&gt;"",OR(C235=A235,COUNTIFS('方案版本'!$A$7:$A$306,C235,'方案版本'!$B$7:$B$306,B235)&lt;&gt;1)),"父方案引用无效",IF(L235="草稿","草稿未冻结",IF(OR(NOT(ISNUMBER(H235)),NOT(ISNUMBER(I235)),J235="",K235="",M235=""),"待补冻结信息",IF(I235&lt;H235,"请核实事后补录","有效输入"))))))))</x:f>
      </x:c>
    </x:row>
    <x:row r="236" ht="25" customHeight="1">
      <x:c r="A236" s="3"/>
      <x:c r="B236" s="3"/>
      <x:c r="C236" s="3"/>
      <x:c r="D236" s="3"/>
      <x:c r="E236" s="3"/>
      <x:c r="F236" s="3"/>
      <x:c r="G236" s="3"/>
      <x:c r="H236" s="25"/>
      <x:c r="I236" s="25"/>
      <x:c r="J236" s="3"/>
      <x:c r="K236" s="3"/>
      <x:c r="L236" s="3"/>
      <x:c r="M236" s="3"/>
      <x:c r="N236" s="19" t="str">
        <x:f>IF(A236="","",IF(COUNTIFS('方案版本'!$A$7:$A$306,A236)&lt;&gt;1,"编号重复",IF(COUNTIFS('问题总览'!$A$7:$A$306,B236)&lt;&gt;1,"问题引用无效",IF(OR(D236="",E236="",F236="",G236="",L236=""),"待补版本信息",IF(AND(C236&lt;&gt;"",OR(C236=A236,COUNTIFS('方案版本'!$A$7:$A$306,C236,'方案版本'!$B$7:$B$306,B236)&lt;&gt;1)),"父方案引用无效",IF(L236="草稿","草稿未冻结",IF(OR(NOT(ISNUMBER(H236)),NOT(ISNUMBER(I236)),J236="",K236="",M236=""),"待补冻结信息",IF(I236&lt;H236,"请核实事后补录","有效输入"))))))))</x:f>
      </x:c>
    </x:row>
    <x:row r="237" ht="25" customHeight="1">
      <x:c r="A237" s="3"/>
      <x:c r="B237" s="3"/>
      <x:c r="C237" s="3"/>
      <x:c r="D237" s="3"/>
      <x:c r="E237" s="3"/>
      <x:c r="F237" s="3"/>
      <x:c r="G237" s="3"/>
      <x:c r="H237" s="25"/>
      <x:c r="I237" s="25"/>
      <x:c r="J237" s="3"/>
      <x:c r="K237" s="3"/>
      <x:c r="L237" s="3"/>
      <x:c r="M237" s="3"/>
      <x:c r="N237" s="19" t="str">
        <x:f>IF(A237="","",IF(COUNTIFS('方案版本'!$A$7:$A$306,A237)&lt;&gt;1,"编号重复",IF(COUNTIFS('问题总览'!$A$7:$A$306,B237)&lt;&gt;1,"问题引用无效",IF(OR(D237="",E237="",F237="",G237="",L237=""),"待补版本信息",IF(AND(C237&lt;&gt;"",OR(C237=A237,COUNTIFS('方案版本'!$A$7:$A$306,C237,'方案版本'!$B$7:$B$306,B237)&lt;&gt;1)),"父方案引用无效",IF(L237="草稿","草稿未冻结",IF(OR(NOT(ISNUMBER(H237)),NOT(ISNUMBER(I237)),J237="",K237="",M237=""),"待补冻结信息",IF(I237&lt;H237,"请核实事后补录","有效输入"))))))))</x:f>
      </x:c>
    </x:row>
    <x:row r="238" ht="25" customHeight="1">
      <x:c r="A238" s="3"/>
      <x:c r="B238" s="3"/>
      <x:c r="C238" s="3"/>
      <x:c r="D238" s="3"/>
      <x:c r="E238" s="3"/>
      <x:c r="F238" s="3"/>
      <x:c r="G238" s="3"/>
      <x:c r="H238" s="25"/>
      <x:c r="I238" s="25"/>
      <x:c r="J238" s="3"/>
      <x:c r="K238" s="3"/>
      <x:c r="L238" s="3"/>
      <x:c r="M238" s="3"/>
      <x:c r="N238" s="19" t="str">
        <x:f>IF(A238="","",IF(COUNTIFS('方案版本'!$A$7:$A$306,A238)&lt;&gt;1,"编号重复",IF(COUNTIFS('问题总览'!$A$7:$A$306,B238)&lt;&gt;1,"问题引用无效",IF(OR(D238="",E238="",F238="",G238="",L238=""),"待补版本信息",IF(AND(C238&lt;&gt;"",OR(C238=A238,COUNTIFS('方案版本'!$A$7:$A$306,C238,'方案版本'!$B$7:$B$306,B238)&lt;&gt;1)),"父方案引用无效",IF(L238="草稿","草稿未冻结",IF(OR(NOT(ISNUMBER(H238)),NOT(ISNUMBER(I238)),J238="",K238="",M238=""),"待补冻结信息",IF(I238&lt;H238,"请核实事后补录","有效输入"))))))))</x:f>
      </x:c>
    </x:row>
    <x:row r="239" ht="25" customHeight="1">
      <x:c r="A239" s="3"/>
      <x:c r="B239" s="3"/>
      <x:c r="C239" s="3"/>
      <x:c r="D239" s="3"/>
      <x:c r="E239" s="3"/>
      <x:c r="F239" s="3"/>
      <x:c r="G239" s="3"/>
      <x:c r="H239" s="25"/>
      <x:c r="I239" s="25"/>
      <x:c r="J239" s="3"/>
      <x:c r="K239" s="3"/>
      <x:c r="L239" s="3"/>
      <x:c r="M239" s="3"/>
      <x:c r="N239" s="19" t="str">
        <x:f>IF(A239="","",IF(COUNTIFS('方案版本'!$A$7:$A$306,A239)&lt;&gt;1,"编号重复",IF(COUNTIFS('问题总览'!$A$7:$A$306,B239)&lt;&gt;1,"问题引用无效",IF(OR(D239="",E239="",F239="",G239="",L239=""),"待补版本信息",IF(AND(C239&lt;&gt;"",OR(C239=A239,COUNTIFS('方案版本'!$A$7:$A$306,C239,'方案版本'!$B$7:$B$306,B239)&lt;&gt;1)),"父方案引用无效",IF(L239="草稿","草稿未冻结",IF(OR(NOT(ISNUMBER(H239)),NOT(ISNUMBER(I239)),J239="",K239="",M239=""),"待补冻结信息",IF(I239&lt;H239,"请核实事后补录","有效输入"))))))))</x:f>
      </x:c>
    </x:row>
    <x:row r="240" ht="25" customHeight="1">
      <x:c r="A240" s="3"/>
      <x:c r="B240" s="3"/>
      <x:c r="C240" s="3"/>
      <x:c r="D240" s="3"/>
      <x:c r="E240" s="3"/>
      <x:c r="F240" s="3"/>
      <x:c r="G240" s="3"/>
      <x:c r="H240" s="25"/>
      <x:c r="I240" s="25"/>
      <x:c r="J240" s="3"/>
      <x:c r="K240" s="3"/>
      <x:c r="L240" s="3"/>
      <x:c r="M240" s="3"/>
      <x:c r="N240" s="19" t="str">
        <x:f>IF(A240="","",IF(COUNTIFS('方案版本'!$A$7:$A$306,A240)&lt;&gt;1,"编号重复",IF(COUNTIFS('问题总览'!$A$7:$A$306,B240)&lt;&gt;1,"问题引用无效",IF(OR(D240="",E240="",F240="",G240="",L240=""),"待补版本信息",IF(AND(C240&lt;&gt;"",OR(C240=A240,COUNTIFS('方案版本'!$A$7:$A$306,C240,'方案版本'!$B$7:$B$306,B240)&lt;&gt;1)),"父方案引用无效",IF(L240="草稿","草稿未冻结",IF(OR(NOT(ISNUMBER(H240)),NOT(ISNUMBER(I240)),J240="",K240="",M240=""),"待补冻结信息",IF(I240&lt;H240,"请核实事后补录","有效输入"))))))))</x:f>
      </x:c>
    </x:row>
    <x:row r="241" ht="25" customHeight="1">
      <x:c r="A241" s="3"/>
      <x:c r="B241" s="3"/>
      <x:c r="C241" s="3"/>
      <x:c r="D241" s="3"/>
      <x:c r="E241" s="3"/>
      <x:c r="F241" s="3"/>
      <x:c r="G241" s="3"/>
      <x:c r="H241" s="25"/>
      <x:c r="I241" s="25"/>
      <x:c r="J241" s="3"/>
      <x:c r="K241" s="3"/>
      <x:c r="L241" s="3"/>
      <x:c r="M241" s="3"/>
      <x:c r="N241" s="19" t="str">
        <x:f>IF(A241="","",IF(COUNTIFS('方案版本'!$A$7:$A$306,A241)&lt;&gt;1,"编号重复",IF(COUNTIFS('问题总览'!$A$7:$A$306,B241)&lt;&gt;1,"问题引用无效",IF(OR(D241="",E241="",F241="",G241="",L241=""),"待补版本信息",IF(AND(C241&lt;&gt;"",OR(C241=A241,COUNTIFS('方案版本'!$A$7:$A$306,C241,'方案版本'!$B$7:$B$306,B241)&lt;&gt;1)),"父方案引用无效",IF(L241="草稿","草稿未冻结",IF(OR(NOT(ISNUMBER(H241)),NOT(ISNUMBER(I241)),J241="",K241="",M241=""),"待补冻结信息",IF(I241&lt;H241,"请核实事后补录","有效输入"))))))))</x:f>
      </x:c>
    </x:row>
    <x:row r="242" ht="25" customHeight="1">
      <x:c r="A242" s="3"/>
      <x:c r="B242" s="3"/>
      <x:c r="C242" s="3"/>
      <x:c r="D242" s="3"/>
      <x:c r="E242" s="3"/>
      <x:c r="F242" s="3"/>
      <x:c r="G242" s="3"/>
      <x:c r="H242" s="25"/>
      <x:c r="I242" s="25"/>
      <x:c r="J242" s="3"/>
      <x:c r="K242" s="3"/>
      <x:c r="L242" s="3"/>
      <x:c r="M242" s="3"/>
      <x:c r="N242" s="19" t="str">
        <x:f>IF(A242="","",IF(COUNTIFS('方案版本'!$A$7:$A$306,A242)&lt;&gt;1,"编号重复",IF(COUNTIFS('问题总览'!$A$7:$A$306,B242)&lt;&gt;1,"问题引用无效",IF(OR(D242="",E242="",F242="",G242="",L242=""),"待补版本信息",IF(AND(C242&lt;&gt;"",OR(C242=A242,COUNTIFS('方案版本'!$A$7:$A$306,C242,'方案版本'!$B$7:$B$306,B242)&lt;&gt;1)),"父方案引用无效",IF(L242="草稿","草稿未冻结",IF(OR(NOT(ISNUMBER(H242)),NOT(ISNUMBER(I242)),J242="",K242="",M242=""),"待补冻结信息",IF(I242&lt;H242,"请核实事后补录","有效输入"))))))))</x:f>
      </x:c>
    </x:row>
    <x:row r="243" ht="25" customHeight="1">
      <x:c r="A243" s="3"/>
      <x:c r="B243" s="3"/>
      <x:c r="C243" s="3"/>
      <x:c r="D243" s="3"/>
      <x:c r="E243" s="3"/>
      <x:c r="F243" s="3"/>
      <x:c r="G243" s="3"/>
      <x:c r="H243" s="25"/>
      <x:c r="I243" s="25"/>
      <x:c r="J243" s="3"/>
      <x:c r="K243" s="3"/>
      <x:c r="L243" s="3"/>
      <x:c r="M243" s="3"/>
      <x:c r="N243" s="19" t="str">
        <x:f>IF(A243="","",IF(COUNTIFS('方案版本'!$A$7:$A$306,A243)&lt;&gt;1,"编号重复",IF(COUNTIFS('问题总览'!$A$7:$A$306,B243)&lt;&gt;1,"问题引用无效",IF(OR(D243="",E243="",F243="",G243="",L243=""),"待补版本信息",IF(AND(C243&lt;&gt;"",OR(C243=A243,COUNTIFS('方案版本'!$A$7:$A$306,C243,'方案版本'!$B$7:$B$306,B243)&lt;&gt;1)),"父方案引用无效",IF(L243="草稿","草稿未冻结",IF(OR(NOT(ISNUMBER(H243)),NOT(ISNUMBER(I243)),J243="",K243="",M243=""),"待补冻结信息",IF(I243&lt;H243,"请核实事后补录","有效输入"))))))))</x:f>
      </x:c>
    </x:row>
    <x:row r="244" ht="25" customHeight="1">
      <x:c r="A244" s="3"/>
      <x:c r="B244" s="3"/>
      <x:c r="C244" s="3"/>
      <x:c r="D244" s="3"/>
      <x:c r="E244" s="3"/>
      <x:c r="F244" s="3"/>
      <x:c r="G244" s="3"/>
      <x:c r="H244" s="25"/>
      <x:c r="I244" s="25"/>
      <x:c r="J244" s="3"/>
      <x:c r="K244" s="3"/>
      <x:c r="L244" s="3"/>
      <x:c r="M244" s="3"/>
      <x:c r="N244" s="19" t="str">
        <x:f>IF(A244="","",IF(COUNTIFS('方案版本'!$A$7:$A$306,A244)&lt;&gt;1,"编号重复",IF(COUNTIFS('问题总览'!$A$7:$A$306,B244)&lt;&gt;1,"问题引用无效",IF(OR(D244="",E244="",F244="",G244="",L244=""),"待补版本信息",IF(AND(C244&lt;&gt;"",OR(C244=A244,COUNTIFS('方案版本'!$A$7:$A$306,C244,'方案版本'!$B$7:$B$306,B244)&lt;&gt;1)),"父方案引用无效",IF(L244="草稿","草稿未冻结",IF(OR(NOT(ISNUMBER(H244)),NOT(ISNUMBER(I244)),J244="",K244="",M244=""),"待补冻结信息",IF(I244&lt;H244,"请核实事后补录","有效输入"))))))))</x:f>
      </x:c>
    </x:row>
    <x:row r="245" ht="25" customHeight="1">
      <x:c r="A245" s="3"/>
      <x:c r="B245" s="3"/>
      <x:c r="C245" s="3"/>
      <x:c r="D245" s="3"/>
      <x:c r="E245" s="3"/>
      <x:c r="F245" s="3"/>
      <x:c r="G245" s="3"/>
      <x:c r="H245" s="25"/>
      <x:c r="I245" s="25"/>
      <x:c r="J245" s="3"/>
      <x:c r="K245" s="3"/>
      <x:c r="L245" s="3"/>
      <x:c r="M245" s="3"/>
      <x:c r="N245" s="19" t="str">
        <x:f>IF(A245="","",IF(COUNTIFS('方案版本'!$A$7:$A$306,A245)&lt;&gt;1,"编号重复",IF(COUNTIFS('问题总览'!$A$7:$A$306,B245)&lt;&gt;1,"问题引用无效",IF(OR(D245="",E245="",F245="",G245="",L245=""),"待补版本信息",IF(AND(C245&lt;&gt;"",OR(C245=A245,COUNTIFS('方案版本'!$A$7:$A$306,C245,'方案版本'!$B$7:$B$306,B245)&lt;&gt;1)),"父方案引用无效",IF(L245="草稿","草稿未冻结",IF(OR(NOT(ISNUMBER(H245)),NOT(ISNUMBER(I245)),J245="",K245="",M245=""),"待补冻结信息",IF(I245&lt;H245,"请核实事后补录","有效输入"))))))))</x:f>
      </x:c>
    </x:row>
    <x:row r="246" ht="25" customHeight="1">
      <x:c r="A246" s="3"/>
      <x:c r="B246" s="3"/>
      <x:c r="C246" s="3"/>
      <x:c r="D246" s="3"/>
      <x:c r="E246" s="3"/>
      <x:c r="F246" s="3"/>
      <x:c r="G246" s="3"/>
      <x:c r="H246" s="25"/>
      <x:c r="I246" s="25"/>
      <x:c r="J246" s="3"/>
      <x:c r="K246" s="3"/>
      <x:c r="L246" s="3"/>
      <x:c r="M246" s="3"/>
      <x:c r="N246" s="19" t="str">
        <x:f>IF(A246="","",IF(COUNTIFS('方案版本'!$A$7:$A$306,A246)&lt;&gt;1,"编号重复",IF(COUNTIFS('问题总览'!$A$7:$A$306,B246)&lt;&gt;1,"问题引用无效",IF(OR(D246="",E246="",F246="",G246="",L246=""),"待补版本信息",IF(AND(C246&lt;&gt;"",OR(C246=A246,COUNTIFS('方案版本'!$A$7:$A$306,C246,'方案版本'!$B$7:$B$306,B246)&lt;&gt;1)),"父方案引用无效",IF(L246="草稿","草稿未冻结",IF(OR(NOT(ISNUMBER(H246)),NOT(ISNUMBER(I246)),J246="",K246="",M246=""),"待补冻结信息",IF(I246&lt;H246,"请核实事后补录","有效输入"))))))))</x:f>
      </x:c>
    </x:row>
    <x:row r="247" ht="25" customHeight="1">
      <x:c r="A247" s="3"/>
      <x:c r="B247" s="3"/>
      <x:c r="C247" s="3"/>
      <x:c r="D247" s="3"/>
      <x:c r="E247" s="3"/>
      <x:c r="F247" s="3"/>
      <x:c r="G247" s="3"/>
      <x:c r="H247" s="25"/>
      <x:c r="I247" s="25"/>
      <x:c r="J247" s="3"/>
      <x:c r="K247" s="3"/>
      <x:c r="L247" s="3"/>
      <x:c r="M247" s="3"/>
      <x:c r="N247" s="19" t="str">
        <x:f>IF(A247="","",IF(COUNTIFS('方案版本'!$A$7:$A$306,A247)&lt;&gt;1,"编号重复",IF(COUNTIFS('问题总览'!$A$7:$A$306,B247)&lt;&gt;1,"问题引用无效",IF(OR(D247="",E247="",F247="",G247="",L247=""),"待补版本信息",IF(AND(C247&lt;&gt;"",OR(C247=A247,COUNTIFS('方案版本'!$A$7:$A$306,C247,'方案版本'!$B$7:$B$306,B247)&lt;&gt;1)),"父方案引用无效",IF(L247="草稿","草稿未冻结",IF(OR(NOT(ISNUMBER(H247)),NOT(ISNUMBER(I247)),J247="",K247="",M247=""),"待补冻结信息",IF(I247&lt;H247,"请核实事后补录","有效输入"))))))))</x:f>
      </x:c>
    </x:row>
    <x:row r="248" ht="25" customHeight="1">
      <x:c r="A248" s="3"/>
      <x:c r="B248" s="3"/>
      <x:c r="C248" s="3"/>
      <x:c r="D248" s="3"/>
      <x:c r="E248" s="3"/>
      <x:c r="F248" s="3"/>
      <x:c r="G248" s="3"/>
      <x:c r="H248" s="25"/>
      <x:c r="I248" s="25"/>
      <x:c r="J248" s="3"/>
      <x:c r="K248" s="3"/>
      <x:c r="L248" s="3"/>
      <x:c r="M248" s="3"/>
      <x:c r="N248" s="19" t="str">
        <x:f>IF(A248="","",IF(COUNTIFS('方案版本'!$A$7:$A$306,A248)&lt;&gt;1,"编号重复",IF(COUNTIFS('问题总览'!$A$7:$A$306,B248)&lt;&gt;1,"问题引用无效",IF(OR(D248="",E248="",F248="",G248="",L248=""),"待补版本信息",IF(AND(C248&lt;&gt;"",OR(C248=A248,COUNTIFS('方案版本'!$A$7:$A$306,C248,'方案版本'!$B$7:$B$306,B248)&lt;&gt;1)),"父方案引用无效",IF(L248="草稿","草稿未冻结",IF(OR(NOT(ISNUMBER(H248)),NOT(ISNUMBER(I248)),J248="",K248="",M248=""),"待补冻结信息",IF(I248&lt;H248,"请核实事后补录","有效输入"))))))))</x:f>
      </x:c>
    </x:row>
    <x:row r="249" ht="25" customHeight="1">
      <x:c r="A249" s="3"/>
      <x:c r="B249" s="3"/>
      <x:c r="C249" s="3"/>
      <x:c r="D249" s="3"/>
      <x:c r="E249" s="3"/>
      <x:c r="F249" s="3"/>
      <x:c r="G249" s="3"/>
      <x:c r="H249" s="25"/>
      <x:c r="I249" s="25"/>
      <x:c r="J249" s="3"/>
      <x:c r="K249" s="3"/>
      <x:c r="L249" s="3"/>
      <x:c r="M249" s="3"/>
      <x:c r="N249" s="19" t="str">
        <x:f>IF(A249="","",IF(COUNTIFS('方案版本'!$A$7:$A$306,A249)&lt;&gt;1,"编号重复",IF(COUNTIFS('问题总览'!$A$7:$A$306,B249)&lt;&gt;1,"问题引用无效",IF(OR(D249="",E249="",F249="",G249="",L249=""),"待补版本信息",IF(AND(C249&lt;&gt;"",OR(C249=A249,COUNTIFS('方案版本'!$A$7:$A$306,C249,'方案版本'!$B$7:$B$306,B249)&lt;&gt;1)),"父方案引用无效",IF(L249="草稿","草稿未冻结",IF(OR(NOT(ISNUMBER(H249)),NOT(ISNUMBER(I249)),J249="",K249="",M249=""),"待补冻结信息",IF(I249&lt;H249,"请核实事后补录","有效输入"))))))))</x:f>
      </x:c>
    </x:row>
    <x:row r="250" ht="25" customHeight="1">
      <x:c r="A250" s="3"/>
      <x:c r="B250" s="3"/>
      <x:c r="C250" s="3"/>
      <x:c r="D250" s="3"/>
      <x:c r="E250" s="3"/>
      <x:c r="F250" s="3"/>
      <x:c r="G250" s="3"/>
      <x:c r="H250" s="25"/>
      <x:c r="I250" s="25"/>
      <x:c r="J250" s="3"/>
      <x:c r="K250" s="3"/>
      <x:c r="L250" s="3"/>
      <x:c r="M250" s="3"/>
      <x:c r="N250" s="19" t="str">
        <x:f>IF(A250="","",IF(COUNTIFS('方案版本'!$A$7:$A$306,A250)&lt;&gt;1,"编号重复",IF(COUNTIFS('问题总览'!$A$7:$A$306,B250)&lt;&gt;1,"问题引用无效",IF(OR(D250="",E250="",F250="",G250="",L250=""),"待补版本信息",IF(AND(C250&lt;&gt;"",OR(C250=A250,COUNTIFS('方案版本'!$A$7:$A$306,C250,'方案版本'!$B$7:$B$306,B250)&lt;&gt;1)),"父方案引用无效",IF(L250="草稿","草稿未冻结",IF(OR(NOT(ISNUMBER(H250)),NOT(ISNUMBER(I250)),J250="",K250="",M250=""),"待补冻结信息",IF(I250&lt;H250,"请核实事后补录","有效输入"))))))))</x:f>
      </x:c>
    </x:row>
    <x:row r="251" ht="25" customHeight="1">
      <x:c r="A251" s="3"/>
      <x:c r="B251" s="3"/>
      <x:c r="C251" s="3"/>
      <x:c r="D251" s="3"/>
      <x:c r="E251" s="3"/>
      <x:c r="F251" s="3"/>
      <x:c r="G251" s="3"/>
      <x:c r="H251" s="25"/>
      <x:c r="I251" s="25"/>
      <x:c r="J251" s="3"/>
      <x:c r="K251" s="3"/>
      <x:c r="L251" s="3"/>
      <x:c r="M251" s="3"/>
      <x:c r="N251" s="19" t="str">
        <x:f>IF(A251="","",IF(COUNTIFS('方案版本'!$A$7:$A$306,A251)&lt;&gt;1,"编号重复",IF(COUNTIFS('问题总览'!$A$7:$A$306,B251)&lt;&gt;1,"问题引用无效",IF(OR(D251="",E251="",F251="",G251="",L251=""),"待补版本信息",IF(AND(C251&lt;&gt;"",OR(C251=A251,COUNTIFS('方案版本'!$A$7:$A$306,C251,'方案版本'!$B$7:$B$306,B251)&lt;&gt;1)),"父方案引用无效",IF(L251="草稿","草稿未冻结",IF(OR(NOT(ISNUMBER(H251)),NOT(ISNUMBER(I251)),J251="",K251="",M251=""),"待补冻结信息",IF(I251&lt;H251,"请核实事后补录","有效输入"))))))))</x:f>
      </x:c>
    </x:row>
    <x:row r="252" ht="25" customHeight="1">
      <x:c r="A252" s="3"/>
      <x:c r="B252" s="3"/>
      <x:c r="C252" s="3"/>
      <x:c r="D252" s="3"/>
      <x:c r="E252" s="3"/>
      <x:c r="F252" s="3"/>
      <x:c r="G252" s="3"/>
      <x:c r="H252" s="25"/>
      <x:c r="I252" s="25"/>
      <x:c r="J252" s="3"/>
      <x:c r="K252" s="3"/>
      <x:c r="L252" s="3"/>
      <x:c r="M252" s="3"/>
      <x:c r="N252" s="19" t="str">
        <x:f>IF(A252="","",IF(COUNTIFS('方案版本'!$A$7:$A$306,A252)&lt;&gt;1,"编号重复",IF(COUNTIFS('问题总览'!$A$7:$A$306,B252)&lt;&gt;1,"问题引用无效",IF(OR(D252="",E252="",F252="",G252="",L252=""),"待补版本信息",IF(AND(C252&lt;&gt;"",OR(C252=A252,COUNTIFS('方案版本'!$A$7:$A$306,C252,'方案版本'!$B$7:$B$306,B252)&lt;&gt;1)),"父方案引用无效",IF(L252="草稿","草稿未冻结",IF(OR(NOT(ISNUMBER(H252)),NOT(ISNUMBER(I252)),J252="",K252="",M252=""),"待补冻结信息",IF(I252&lt;H252,"请核实事后补录","有效输入"))))))))</x:f>
      </x:c>
    </x:row>
    <x:row r="253" ht="25" customHeight="1">
      <x:c r="A253" s="3"/>
      <x:c r="B253" s="3"/>
      <x:c r="C253" s="3"/>
      <x:c r="D253" s="3"/>
      <x:c r="E253" s="3"/>
      <x:c r="F253" s="3"/>
      <x:c r="G253" s="3"/>
      <x:c r="H253" s="25"/>
      <x:c r="I253" s="25"/>
      <x:c r="J253" s="3"/>
      <x:c r="K253" s="3"/>
      <x:c r="L253" s="3"/>
      <x:c r="M253" s="3"/>
      <x:c r="N253" s="19" t="str">
        <x:f>IF(A253="","",IF(COUNTIFS('方案版本'!$A$7:$A$306,A253)&lt;&gt;1,"编号重复",IF(COUNTIFS('问题总览'!$A$7:$A$306,B253)&lt;&gt;1,"问题引用无效",IF(OR(D253="",E253="",F253="",G253="",L253=""),"待补版本信息",IF(AND(C253&lt;&gt;"",OR(C253=A253,COUNTIFS('方案版本'!$A$7:$A$306,C253,'方案版本'!$B$7:$B$306,B253)&lt;&gt;1)),"父方案引用无效",IF(L253="草稿","草稿未冻结",IF(OR(NOT(ISNUMBER(H253)),NOT(ISNUMBER(I253)),J253="",K253="",M253=""),"待补冻结信息",IF(I253&lt;H253,"请核实事后补录","有效输入"))))))))</x:f>
      </x:c>
    </x:row>
    <x:row r="254" ht="25" customHeight="1">
      <x:c r="A254" s="3"/>
      <x:c r="B254" s="3"/>
      <x:c r="C254" s="3"/>
      <x:c r="D254" s="3"/>
      <x:c r="E254" s="3"/>
      <x:c r="F254" s="3"/>
      <x:c r="G254" s="3"/>
      <x:c r="H254" s="25"/>
      <x:c r="I254" s="25"/>
      <x:c r="J254" s="3"/>
      <x:c r="K254" s="3"/>
      <x:c r="L254" s="3"/>
      <x:c r="M254" s="3"/>
      <x:c r="N254" s="19" t="str">
        <x:f>IF(A254="","",IF(COUNTIFS('方案版本'!$A$7:$A$306,A254)&lt;&gt;1,"编号重复",IF(COUNTIFS('问题总览'!$A$7:$A$306,B254)&lt;&gt;1,"问题引用无效",IF(OR(D254="",E254="",F254="",G254="",L254=""),"待补版本信息",IF(AND(C254&lt;&gt;"",OR(C254=A254,COUNTIFS('方案版本'!$A$7:$A$306,C254,'方案版本'!$B$7:$B$306,B254)&lt;&gt;1)),"父方案引用无效",IF(L254="草稿","草稿未冻结",IF(OR(NOT(ISNUMBER(H254)),NOT(ISNUMBER(I254)),J254="",K254="",M254=""),"待补冻结信息",IF(I254&lt;H254,"请核实事后补录","有效输入"))))))))</x:f>
      </x:c>
    </x:row>
    <x:row r="255" ht="25" customHeight="1">
      <x:c r="A255" s="3"/>
      <x:c r="B255" s="3"/>
      <x:c r="C255" s="3"/>
      <x:c r="D255" s="3"/>
      <x:c r="E255" s="3"/>
      <x:c r="F255" s="3"/>
      <x:c r="G255" s="3"/>
      <x:c r="H255" s="25"/>
      <x:c r="I255" s="25"/>
      <x:c r="J255" s="3"/>
      <x:c r="K255" s="3"/>
      <x:c r="L255" s="3"/>
      <x:c r="M255" s="3"/>
      <x:c r="N255" s="19" t="str">
        <x:f>IF(A255="","",IF(COUNTIFS('方案版本'!$A$7:$A$306,A255)&lt;&gt;1,"编号重复",IF(COUNTIFS('问题总览'!$A$7:$A$306,B255)&lt;&gt;1,"问题引用无效",IF(OR(D255="",E255="",F255="",G255="",L255=""),"待补版本信息",IF(AND(C255&lt;&gt;"",OR(C255=A255,COUNTIFS('方案版本'!$A$7:$A$306,C255,'方案版本'!$B$7:$B$306,B255)&lt;&gt;1)),"父方案引用无效",IF(L255="草稿","草稿未冻结",IF(OR(NOT(ISNUMBER(H255)),NOT(ISNUMBER(I255)),J255="",K255="",M255=""),"待补冻结信息",IF(I255&lt;H255,"请核实事后补录","有效输入"))))))))</x:f>
      </x:c>
    </x:row>
    <x:row r="256" ht="25" customHeight="1">
      <x:c r="A256" s="3"/>
      <x:c r="B256" s="3"/>
      <x:c r="C256" s="3"/>
      <x:c r="D256" s="3"/>
      <x:c r="E256" s="3"/>
      <x:c r="F256" s="3"/>
      <x:c r="G256" s="3"/>
      <x:c r="H256" s="25"/>
      <x:c r="I256" s="25"/>
      <x:c r="J256" s="3"/>
      <x:c r="K256" s="3"/>
      <x:c r="L256" s="3"/>
      <x:c r="M256" s="3"/>
      <x:c r="N256" s="19" t="str">
        <x:f>IF(A256="","",IF(COUNTIFS('方案版本'!$A$7:$A$306,A256)&lt;&gt;1,"编号重复",IF(COUNTIFS('问题总览'!$A$7:$A$306,B256)&lt;&gt;1,"问题引用无效",IF(OR(D256="",E256="",F256="",G256="",L256=""),"待补版本信息",IF(AND(C256&lt;&gt;"",OR(C256=A256,COUNTIFS('方案版本'!$A$7:$A$306,C256,'方案版本'!$B$7:$B$306,B256)&lt;&gt;1)),"父方案引用无效",IF(L256="草稿","草稿未冻结",IF(OR(NOT(ISNUMBER(H256)),NOT(ISNUMBER(I256)),J256="",K256="",M256=""),"待补冻结信息",IF(I256&lt;H256,"请核实事后补录","有效输入"))))))))</x:f>
      </x:c>
    </x:row>
    <x:row r="257" ht="25" customHeight="1">
      <x:c r="A257" s="3"/>
      <x:c r="B257" s="3"/>
      <x:c r="C257" s="3"/>
      <x:c r="D257" s="3"/>
      <x:c r="E257" s="3"/>
      <x:c r="F257" s="3"/>
      <x:c r="G257" s="3"/>
      <x:c r="H257" s="25"/>
      <x:c r="I257" s="25"/>
      <x:c r="J257" s="3"/>
      <x:c r="K257" s="3"/>
      <x:c r="L257" s="3"/>
      <x:c r="M257" s="3"/>
      <x:c r="N257" s="19" t="str">
        <x:f>IF(A257="","",IF(COUNTIFS('方案版本'!$A$7:$A$306,A257)&lt;&gt;1,"编号重复",IF(COUNTIFS('问题总览'!$A$7:$A$306,B257)&lt;&gt;1,"问题引用无效",IF(OR(D257="",E257="",F257="",G257="",L257=""),"待补版本信息",IF(AND(C257&lt;&gt;"",OR(C257=A257,COUNTIFS('方案版本'!$A$7:$A$306,C257,'方案版本'!$B$7:$B$306,B257)&lt;&gt;1)),"父方案引用无效",IF(L257="草稿","草稿未冻结",IF(OR(NOT(ISNUMBER(H257)),NOT(ISNUMBER(I257)),J257="",K257="",M257=""),"待补冻结信息",IF(I257&lt;H257,"请核实事后补录","有效输入"))))))))</x:f>
      </x:c>
    </x:row>
    <x:row r="258" ht="25" customHeight="1">
      <x:c r="A258" s="3"/>
      <x:c r="B258" s="3"/>
      <x:c r="C258" s="3"/>
      <x:c r="D258" s="3"/>
      <x:c r="E258" s="3"/>
      <x:c r="F258" s="3"/>
      <x:c r="G258" s="3"/>
      <x:c r="H258" s="25"/>
      <x:c r="I258" s="25"/>
      <x:c r="J258" s="3"/>
      <x:c r="K258" s="3"/>
      <x:c r="L258" s="3"/>
      <x:c r="M258" s="3"/>
      <x:c r="N258" s="19" t="str">
        <x:f>IF(A258="","",IF(COUNTIFS('方案版本'!$A$7:$A$306,A258)&lt;&gt;1,"编号重复",IF(COUNTIFS('问题总览'!$A$7:$A$306,B258)&lt;&gt;1,"问题引用无效",IF(OR(D258="",E258="",F258="",G258="",L258=""),"待补版本信息",IF(AND(C258&lt;&gt;"",OR(C258=A258,COUNTIFS('方案版本'!$A$7:$A$306,C258,'方案版本'!$B$7:$B$306,B258)&lt;&gt;1)),"父方案引用无效",IF(L258="草稿","草稿未冻结",IF(OR(NOT(ISNUMBER(H258)),NOT(ISNUMBER(I258)),J258="",K258="",M258=""),"待补冻结信息",IF(I258&lt;H258,"请核实事后补录","有效输入"))))))))</x:f>
      </x:c>
    </x:row>
    <x:row r="259" ht="25" customHeight="1">
      <x:c r="A259" s="3"/>
      <x:c r="B259" s="3"/>
      <x:c r="C259" s="3"/>
      <x:c r="D259" s="3"/>
      <x:c r="E259" s="3"/>
      <x:c r="F259" s="3"/>
      <x:c r="G259" s="3"/>
      <x:c r="H259" s="25"/>
      <x:c r="I259" s="25"/>
      <x:c r="J259" s="3"/>
      <x:c r="K259" s="3"/>
      <x:c r="L259" s="3"/>
      <x:c r="M259" s="3"/>
      <x:c r="N259" s="19" t="str">
        <x:f>IF(A259="","",IF(COUNTIFS('方案版本'!$A$7:$A$306,A259)&lt;&gt;1,"编号重复",IF(COUNTIFS('问题总览'!$A$7:$A$306,B259)&lt;&gt;1,"问题引用无效",IF(OR(D259="",E259="",F259="",G259="",L259=""),"待补版本信息",IF(AND(C259&lt;&gt;"",OR(C259=A259,COUNTIFS('方案版本'!$A$7:$A$306,C259,'方案版本'!$B$7:$B$306,B259)&lt;&gt;1)),"父方案引用无效",IF(L259="草稿","草稿未冻结",IF(OR(NOT(ISNUMBER(H259)),NOT(ISNUMBER(I259)),J259="",K259="",M259=""),"待补冻结信息",IF(I259&lt;H259,"请核实事后补录","有效输入"))))))))</x:f>
      </x:c>
    </x:row>
    <x:row r="260" ht="25" customHeight="1">
      <x:c r="A260" s="3"/>
      <x:c r="B260" s="3"/>
      <x:c r="C260" s="3"/>
      <x:c r="D260" s="3"/>
      <x:c r="E260" s="3"/>
      <x:c r="F260" s="3"/>
      <x:c r="G260" s="3"/>
      <x:c r="H260" s="25"/>
      <x:c r="I260" s="25"/>
      <x:c r="J260" s="3"/>
      <x:c r="K260" s="3"/>
      <x:c r="L260" s="3"/>
      <x:c r="M260" s="3"/>
      <x:c r="N260" s="19" t="str">
        <x:f>IF(A260="","",IF(COUNTIFS('方案版本'!$A$7:$A$306,A260)&lt;&gt;1,"编号重复",IF(COUNTIFS('问题总览'!$A$7:$A$306,B260)&lt;&gt;1,"问题引用无效",IF(OR(D260="",E260="",F260="",G260="",L260=""),"待补版本信息",IF(AND(C260&lt;&gt;"",OR(C260=A260,COUNTIFS('方案版本'!$A$7:$A$306,C260,'方案版本'!$B$7:$B$306,B260)&lt;&gt;1)),"父方案引用无效",IF(L260="草稿","草稿未冻结",IF(OR(NOT(ISNUMBER(H260)),NOT(ISNUMBER(I260)),J260="",K260="",M260=""),"待补冻结信息",IF(I260&lt;H260,"请核实事后补录","有效输入"))))))))</x:f>
      </x:c>
    </x:row>
    <x:row r="261" ht="25" customHeight="1">
      <x:c r="A261" s="3"/>
      <x:c r="B261" s="3"/>
      <x:c r="C261" s="3"/>
      <x:c r="D261" s="3"/>
      <x:c r="E261" s="3"/>
      <x:c r="F261" s="3"/>
      <x:c r="G261" s="3"/>
      <x:c r="H261" s="25"/>
      <x:c r="I261" s="25"/>
      <x:c r="J261" s="3"/>
      <x:c r="K261" s="3"/>
      <x:c r="L261" s="3"/>
      <x:c r="M261" s="3"/>
      <x:c r="N261" s="19" t="str">
        <x:f>IF(A261="","",IF(COUNTIFS('方案版本'!$A$7:$A$306,A261)&lt;&gt;1,"编号重复",IF(COUNTIFS('问题总览'!$A$7:$A$306,B261)&lt;&gt;1,"问题引用无效",IF(OR(D261="",E261="",F261="",G261="",L261=""),"待补版本信息",IF(AND(C261&lt;&gt;"",OR(C261=A261,COUNTIFS('方案版本'!$A$7:$A$306,C261,'方案版本'!$B$7:$B$306,B261)&lt;&gt;1)),"父方案引用无效",IF(L261="草稿","草稿未冻结",IF(OR(NOT(ISNUMBER(H261)),NOT(ISNUMBER(I261)),J261="",K261="",M261=""),"待补冻结信息",IF(I261&lt;H261,"请核实事后补录","有效输入"))))))))</x:f>
      </x:c>
    </x:row>
    <x:row r="262" ht="25" customHeight="1">
      <x:c r="A262" s="3"/>
      <x:c r="B262" s="3"/>
      <x:c r="C262" s="3"/>
      <x:c r="D262" s="3"/>
      <x:c r="E262" s="3"/>
      <x:c r="F262" s="3"/>
      <x:c r="G262" s="3"/>
      <x:c r="H262" s="25"/>
      <x:c r="I262" s="25"/>
      <x:c r="J262" s="3"/>
      <x:c r="K262" s="3"/>
      <x:c r="L262" s="3"/>
      <x:c r="M262" s="3"/>
      <x:c r="N262" s="19" t="str">
        <x:f>IF(A262="","",IF(COUNTIFS('方案版本'!$A$7:$A$306,A262)&lt;&gt;1,"编号重复",IF(COUNTIFS('问题总览'!$A$7:$A$306,B262)&lt;&gt;1,"问题引用无效",IF(OR(D262="",E262="",F262="",G262="",L262=""),"待补版本信息",IF(AND(C262&lt;&gt;"",OR(C262=A262,COUNTIFS('方案版本'!$A$7:$A$306,C262,'方案版本'!$B$7:$B$306,B262)&lt;&gt;1)),"父方案引用无效",IF(L262="草稿","草稿未冻结",IF(OR(NOT(ISNUMBER(H262)),NOT(ISNUMBER(I262)),J262="",K262="",M262=""),"待补冻结信息",IF(I262&lt;H262,"请核实事后补录","有效输入"))))))))</x:f>
      </x:c>
    </x:row>
    <x:row r="263" ht="25" customHeight="1">
      <x:c r="A263" s="3"/>
      <x:c r="B263" s="3"/>
      <x:c r="C263" s="3"/>
      <x:c r="D263" s="3"/>
      <x:c r="E263" s="3"/>
      <x:c r="F263" s="3"/>
      <x:c r="G263" s="3"/>
      <x:c r="H263" s="25"/>
      <x:c r="I263" s="25"/>
      <x:c r="J263" s="3"/>
      <x:c r="K263" s="3"/>
      <x:c r="L263" s="3"/>
      <x:c r="M263" s="3"/>
      <x:c r="N263" s="19" t="str">
        <x:f>IF(A263="","",IF(COUNTIFS('方案版本'!$A$7:$A$306,A263)&lt;&gt;1,"编号重复",IF(COUNTIFS('问题总览'!$A$7:$A$306,B263)&lt;&gt;1,"问题引用无效",IF(OR(D263="",E263="",F263="",G263="",L263=""),"待补版本信息",IF(AND(C263&lt;&gt;"",OR(C263=A263,COUNTIFS('方案版本'!$A$7:$A$306,C263,'方案版本'!$B$7:$B$306,B263)&lt;&gt;1)),"父方案引用无效",IF(L263="草稿","草稿未冻结",IF(OR(NOT(ISNUMBER(H263)),NOT(ISNUMBER(I263)),J263="",K263="",M263=""),"待补冻结信息",IF(I263&lt;H263,"请核实事后补录","有效输入"))))))))</x:f>
      </x:c>
    </x:row>
    <x:row r="264" ht="25" customHeight="1">
      <x:c r="A264" s="3"/>
      <x:c r="B264" s="3"/>
      <x:c r="C264" s="3"/>
      <x:c r="D264" s="3"/>
      <x:c r="E264" s="3"/>
      <x:c r="F264" s="3"/>
      <x:c r="G264" s="3"/>
      <x:c r="H264" s="25"/>
      <x:c r="I264" s="25"/>
      <x:c r="J264" s="3"/>
      <x:c r="K264" s="3"/>
      <x:c r="L264" s="3"/>
      <x:c r="M264" s="3"/>
      <x:c r="N264" s="19" t="str">
        <x:f>IF(A264="","",IF(COUNTIFS('方案版本'!$A$7:$A$306,A264)&lt;&gt;1,"编号重复",IF(COUNTIFS('问题总览'!$A$7:$A$306,B264)&lt;&gt;1,"问题引用无效",IF(OR(D264="",E264="",F264="",G264="",L264=""),"待补版本信息",IF(AND(C264&lt;&gt;"",OR(C264=A264,COUNTIFS('方案版本'!$A$7:$A$306,C264,'方案版本'!$B$7:$B$306,B264)&lt;&gt;1)),"父方案引用无效",IF(L264="草稿","草稿未冻结",IF(OR(NOT(ISNUMBER(H264)),NOT(ISNUMBER(I264)),J264="",K264="",M264=""),"待补冻结信息",IF(I264&lt;H264,"请核实事后补录","有效输入"))))))))</x:f>
      </x:c>
    </x:row>
    <x:row r="265" ht="25" customHeight="1">
      <x:c r="A265" s="3"/>
      <x:c r="B265" s="3"/>
      <x:c r="C265" s="3"/>
      <x:c r="D265" s="3"/>
      <x:c r="E265" s="3"/>
      <x:c r="F265" s="3"/>
      <x:c r="G265" s="3"/>
      <x:c r="H265" s="25"/>
      <x:c r="I265" s="25"/>
      <x:c r="J265" s="3"/>
      <x:c r="K265" s="3"/>
      <x:c r="L265" s="3"/>
      <x:c r="M265" s="3"/>
      <x:c r="N265" s="19" t="str">
        <x:f>IF(A265="","",IF(COUNTIFS('方案版本'!$A$7:$A$306,A265)&lt;&gt;1,"编号重复",IF(COUNTIFS('问题总览'!$A$7:$A$306,B265)&lt;&gt;1,"问题引用无效",IF(OR(D265="",E265="",F265="",G265="",L265=""),"待补版本信息",IF(AND(C265&lt;&gt;"",OR(C265=A265,COUNTIFS('方案版本'!$A$7:$A$306,C265,'方案版本'!$B$7:$B$306,B265)&lt;&gt;1)),"父方案引用无效",IF(L265="草稿","草稿未冻结",IF(OR(NOT(ISNUMBER(H265)),NOT(ISNUMBER(I265)),J265="",K265="",M265=""),"待补冻结信息",IF(I265&lt;H265,"请核实事后补录","有效输入"))))))))</x:f>
      </x:c>
    </x:row>
    <x:row r="266" ht="25" customHeight="1">
      <x:c r="A266" s="3"/>
      <x:c r="B266" s="3"/>
      <x:c r="C266" s="3"/>
      <x:c r="D266" s="3"/>
      <x:c r="E266" s="3"/>
      <x:c r="F266" s="3"/>
      <x:c r="G266" s="3"/>
      <x:c r="H266" s="25"/>
      <x:c r="I266" s="25"/>
      <x:c r="J266" s="3"/>
      <x:c r="K266" s="3"/>
      <x:c r="L266" s="3"/>
      <x:c r="M266" s="3"/>
      <x:c r="N266" s="19" t="str">
        <x:f>IF(A266="","",IF(COUNTIFS('方案版本'!$A$7:$A$306,A266)&lt;&gt;1,"编号重复",IF(COUNTIFS('问题总览'!$A$7:$A$306,B266)&lt;&gt;1,"问题引用无效",IF(OR(D266="",E266="",F266="",G266="",L266=""),"待补版本信息",IF(AND(C266&lt;&gt;"",OR(C266=A266,COUNTIFS('方案版本'!$A$7:$A$306,C266,'方案版本'!$B$7:$B$306,B266)&lt;&gt;1)),"父方案引用无效",IF(L266="草稿","草稿未冻结",IF(OR(NOT(ISNUMBER(H266)),NOT(ISNUMBER(I266)),J266="",K266="",M266=""),"待补冻结信息",IF(I266&lt;H266,"请核实事后补录","有效输入"))))))))</x:f>
      </x:c>
    </x:row>
    <x:row r="267" ht="25" customHeight="1">
      <x:c r="A267" s="3"/>
      <x:c r="B267" s="3"/>
      <x:c r="C267" s="3"/>
      <x:c r="D267" s="3"/>
      <x:c r="E267" s="3"/>
      <x:c r="F267" s="3"/>
      <x:c r="G267" s="3"/>
      <x:c r="H267" s="25"/>
      <x:c r="I267" s="25"/>
      <x:c r="J267" s="3"/>
      <x:c r="K267" s="3"/>
      <x:c r="L267" s="3"/>
      <x:c r="M267" s="3"/>
      <x:c r="N267" s="19" t="str">
        <x:f>IF(A267="","",IF(COUNTIFS('方案版本'!$A$7:$A$306,A267)&lt;&gt;1,"编号重复",IF(COUNTIFS('问题总览'!$A$7:$A$306,B267)&lt;&gt;1,"问题引用无效",IF(OR(D267="",E267="",F267="",G267="",L267=""),"待补版本信息",IF(AND(C267&lt;&gt;"",OR(C267=A267,COUNTIFS('方案版本'!$A$7:$A$306,C267,'方案版本'!$B$7:$B$306,B267)&lt;&gt;1)),"父方案引用无效",IF(L267="草稿","草稿未冻结",IF(OR(NOT(ISNUMBER(H267)),NOT(ISNUMBER(I267)),J267="",K267="",M267=""),"待补冻结信息",IF(I267&lt;H267,"请核实事后补录","有效输入"))))))))</x:f>
      </x:c>
    </x:row>
    <x:row r="268" ht="25" customHeight="1">
      <x:c r="A268" s="3"/>
      <x:c r="B268" s="3"/>
      <x:c r="C268" s="3"/>
      <x:c r="D268" s="3"/>
      <x:c r="E268" s="3"/>
      <x:c r="F268" s="3"/>
      <x:c r="G268" s="3"/>
      <x:c r="H268" s="25"/>
      <x:c r="I268" s="25"/>
      <x:c r="J268" s="3"/>
      <x:c r="K268" s="3"/>
      <x:c r="L268" s="3"/>
      <x:c r="M268" s="3"/>
      <x:c r="N268" s="19" t="str">
        <x:f>IF(A268="","",IF(COUNTIFS('方案版本'!$A$7:$A$306,A268)&lt;&gt;1,"编号重复",IF(COUNTIFS('问题总览'!$A$7:$A$306,B268)&lt;&gt;1,"问题引用无效",IF(OR(D268="",E268="",F268="",G268="",L268=""),"待补版本信息",IF(AND(C268&lt;&gt;"",OR(C268=A268,COUNTIFS('方案版本'!$A$7:$A$306,C268,'方案版本'!$B$7:$B$306,B268)&lt;&gt;1)),"父方案引用无效",IF(L268="草稿","草稿未冻结",IF(OR(NOT(ISNUMBER(H268)),NOT(ISNUMBER(I268)),J268="",K268="",M268=""),"待补冻结信息",IF(I268&lt;H268,"请核实事后补录","有效输入"))))))))</x:f>
      </x:c>
    </x:row>
    <x:row r="269" ht="25" customHeight="1">
      <x:c r="A269" s="3"/>
      <x:c r="B269" s="3"/>
      <x:c r="C269" s="3"/>
      <x:c r="D269" s="3"/>
      <x:c r="E269" s="3"/>
      <x:c r="F269" s="3"/>
      <x:c r="G269" s="3"/>
      <x:c r="H269" s="25"/>
      <x:c r="I269" s="25"/>
      <x:c r="J269" s="3"/>
      <x:c r="K269" s="3"/>
      <x:c r="L269" s="3"/>
      <x:c r="M269" s="3"/>
      <x:c r="N269" s="19" t="str">
        <x:f>IF(A269="","",IF(COUNTIFS('方案版本'!$A$7:$A$306,A269)&lt;&gt;1,"编号重复",IF(COUNTIFS('问题总览'!$A$7:$A$306,B269)&lt;&gt;1,"问题引用无效",IF(OR(D269="",E269="",F269="",G269="",L269=""),"待补版本信息",IF(AND(C269&lt;&gt;"",OR(C269=A269,COUNTIFS('方案版本'!$A$7:$A$306,C269,'方案版本'!$B$7:$B$306,B269)&lt;&gt;1)),"父方案引用无效",IF(L269="草稿","草稿未冻结",IF(OR(NOT(ISNUMBER(H269)),NOT(ISNUMBER(I269)),J269="",K269="",M269=""),"待补冻结信息",IF(I269&lt;H269,"请核实事后补录","有效输入"))))))))</x:f>
      </x:c>
    </x:row>
    <x:row r="270" ht="25" customHeight="1">
      <x:c r="A270" s="3"/>
      <x:c r="B270" s="3"/>
      <x:c r="C270" s="3"/>
      <x:c r="D270" s="3"/>
      <x:c r="E270" s="3"/>
      <x:c r="F270" s="3"/>
      <x:c r="G270" s="3"/>
      <x:c r="H270" s="25"/>
      <x:c r="I270" s="25"/>
      <x:c r="J270" s="3"/>
      <x:c r="K270" s="3"/>
      <x:c r="L270" s="3"/>
      <x:c r="M270" s="3"/>
      <x:c r="N270" s="19" t="str">
        <x:f>IF(A270="","",IF(COUNTIFS('方案版本'!$A$7:$A$306,A270)&lt;&gt;1,"编号重复",IF(COUNTIFS('问题总览'!$A$7:$A$306,B270)&lt;&gt;1,"问题引用无效",IF(OR(D270="",E270="",F270="",G270="",L270=""),"待补版本信息",IF(AND(C270&lt;&gt;"",OR(C270=A270,COUNTIFS('方案版本'!$A$7:$A$306,C270,'方案版本'!$B$7:$B$306,B270)&lt;&gt;1)),"父方案引用无效",IF(L270="草稿","草稿未冻结",IF(OR(NOT(ISNUMBER(H270)),NOT(ISNUMBER(I270)),J270="",K270="",M270=""),"待补冻结信息",IF(I270&lt;H270,"请核实事后补录","有效输入"))))))))</x:f>
      </x:c>
    </x:row>
    <x:row r="271" ht="25" customHeight="1">
      <x:c r="A271" s="3"/>
      <x:c r="B271" s="3"/>
      <x:c r="C271" s="3"/>
      <x:c r="D271" s="3"/>
      <x:c r="E271" s="3"/>
      <x:c r="F271" s="3"/>
      <x:c r="G271" s="3"/>
      <x:c r="H271" s="25"/>
      <x:c r="I271" s="25"/>
      <x:c r="J271" s="3"/>
      <x:c r="K271" s="3"/>
      <x:c r="L271" s="3"/>
      <x:c r="M271" s="3"/>
      <x:c r="N271" s="19" t="str">
        <x:f>IF(A271="","",IF(COUNTIFS('方案版本'!$A$7:$A$306,A271)&lt;&gt;1,"编号重复",IF(COUNTIFS('问题总览'!$A$7:$A$306,B271)&lt;&gt;1,"问题引用无效",IF(OR(D271="",E271="",F271="",G271="",L271=""),"待补版本信息",IF(AND(C271&lt;&gt;"",OR(C271=A271,COUNTIFS('方案版本'!$A$7:$A$306,C271,'方案版本'!$B$7:$B$306,B271)&lt;&gt;1)),"父方案引用无效",IF(L271="草稿","草稿未冻结",IF(OR(NOT(ISNUMBER(H271)),NOT(ISNUMBER(I271)),J271="",K271="",M271=""),"待补冻结信息",IF(I271&lt;H271,"请核实事后补录","有效输入"))))))))</x:f>
      </x:c>
    </x:row>
    <x:row r="272" ht="25" customHeight="1">
      <x:c r="A272" s="3"/>
      <x:c r="B272" s="3"/>
      <x:c r="C272" s="3"/>
      <x:c r="D272" s="3"/>
      <x:c r="E272" s="3"/>
      <x:c r="F272" s="3"/>
      <x:c r="G272" s="3"/>
      <x:c r="H272" s="25"/>
      <x:c r="I272" s="25"/>
      <x:c r="J272" s="3"/>
      <x:c r="K272" s="3"/>
      <x:c r="L272" s="3"/>
      <x:c r="M272" s="3"/>
      <x:c r="N272" s="19" t="str">
        <x:f>IF(A272="","",IF(COUNTIFS('方案版本'!$A$7:$A$306,A272)&lt;&gt;1,"编号重复",IF(COUNTIFS('问题总览'!$A$7:$A$306,B272)&lt;&gt;1,"问题引用无效",IF(OR(D272="",E272="",F272="",G272="",L272=""),"待补版本信息",IF(AND(C272&lt;&gt;"",OR(C272=A272,COUNTIFS('方案版本'!$A$7:$A$306,C272,'方案版本'!$B$7:$B$306,B272)&lt;&gt;1)),"父方案引用无效",IF(L272="草稿","草稿未冻结",IF(OR(NOT(ISNUMBER(H272)),NOT(ISNUMBER(I272)),J272="",K272="",M272=""),"待补冻结信息",IF(I272&lt;H272,"请核实事后补录","有效输入"))))))))</x:f>
      </x:c>
    </x:row>
    <x:row r="273" ht="25" customHeight="1">
      <x:c r="A273" s="3"/>
      <x:c r="B273" s="3"/>
      <x:c r="C273" s="3"/>
      <x:c r="D273" s="3"/>
      <x:c r="E273" s="3"/>
      <x:c r="F273" s="3"/>
      <x:c r="G273" s="3"/>
      <x:c r="H273" s="25"/>
      <x:c r="I273" s="25"/>
      <x:c r="J273" s="3"/>
      <x:c r="K273" s="3"/>
      <x:c r="L273" s="3"/>
      <x:c r="M273" s="3"/>
      <x:c r="N273" s="19" t="str">
        <x:f>IF(A273="","",IF(COUNTIFS('方案版本'!$A$7:$A$306,A273)&lt;&gt;1,"编号重复",IF(COUNTIFS('问题总览'!$A$7:$A$306,B273)&lt;&gt;1,"问题引用无效",IF(OR(D273="",E273="",F273="",G273="",L273=""),"待补版本信息",IF(AND(C273&lt;&gt;"",OR(C273=A273,COUNTIFS('方案版本'!$A$7:$A$306,C273,'方案版本'!$B$7:$B$306,B273)&lt;&gt;1)),"父方案引用无效",IF(L273="草稿","草稿未冻结",IF(OR(NOT(ISNUMBER(H273)),NOT(ISNUMBER(I273)),J273="",K273="",M273=""),"待补冻结信息",IF(I273&lt;H273,"请核实事后补录","有效输入"))))))))</x:f>
      </x:c>
    </x:row>
    <x:row r="274" ht="25" customHeight="1">
      <x:c r="A274" s="3"/>
      <x:c r="B274" s="3"/>
      <x:c r="C274" s="3"/>
      <x:c r="D274" s="3"/>
      <x:c r="E274" s="3"/>
      <x:c r="F274" s="3"/>
      <x:c r="G274" s="3"/>
      <x:c r="H274" s="25"/>
      <x:c r="I274" s="25"/>
      <x:c r="J274" s="3"/>
      <x:c r="K274" s="3"/>
      <x:c r="L274" s="3"/>
      <x:c r="M274" s="3"/>
      <x:c r="N274" s="19" t="str">
        <x:f>IF(A274="","",IF(COUNTIFS('方案版本'!$A$7:$A$306,A274)&lt;&gt;1,"编号重复",IF(COUNTIFS('问题总览'!$A$7:$A$306,B274)&lt;&gt;1,"问题引用无效",IF(OR(D274="",E274="",F274="",G274="",L274=""),"待补版本信息",IF(AND(C274&lt;&gt;"",OR(C274=A274,COUNTIFS('方案版本'!$A$7:$A$306,C274,'方案版本'!$B$7:$B$306,B274)&lt;&gt;1)),"父方案引用无效",IF(L274="草稿","草稿未冻结",IF(OR(NOT(ISNUMBER(H274)),NOT(ISNUMBER(I274)),J274="",K274="",M274=""),"待补冻结信息",IF(I274&lt;H274,"请核实事后补录","有效输入"))))))))</x:f>
      </x:c>
    </x:row>
    <x:row r="275" ht="25" customHeight="1">
      <x:c r="A275" s="3"/>
      <x:c r="B275" s="3"/>
      <x:c r="C275" s="3"/>
      <x:c r="D275" s="3"/>
      <x:c r="E275" s="3"/>
      <x:c r="F275" s="3"/>
      <x:c r="G275" s="3"/>
      <x:c r="H275" s="25"/>
      <x:c r="I275" s="25"/>
      <x:c r="J275" s="3"/>
      <x:c r="K275" s="3"/>
      <x:c r="L275" s="3"/>
      <x:c r="M275" s="3"/>
      <x:c r="N275" s="19" t="str">
        <x:f>IF(A275="","",IF(COUNTIFS('方案版本'!$A$7:$A$306,A275)&lt;&gt;1,"编号重复",IF(COUNTIFS('问题总览'!$A$7:$A$306,B275)&lt;&gt;1,"问题引用无效",IF(OR(D275="",E275="",F275="",G275="",L275=""),"待补版本信息",IF(AND(C275&lt;&gt;"",OR(C275=A275,COUNTIFS('方案版本'!$A$7:$A$306,C275,'方案版本'!$B$7:$B$306,B275)&lt;&gt;1)),"父方案引用无效",IF(L275="草稿","草稿未冻结",IF(OR(NOT(ISNUMBER(H275)),NOT(ISNUMBER(I275)),J275="",K275="",M275=""),"待补冻结信息",IF(I275&lt;H275,"请核实事后补录","有效输入"))))))))</x:f>
      </x:c>
    </x:row>
    <x:row r="276" ht="25" customHeight="1">
      <x:c r="A276" s="3"/>
      <x:c r="B276" s="3"/>
      <x:c r="C276" s="3"/>
      <x:c r="D276" s="3"/>
      <x:c r="E276" s="3"/>
      <x:c r="F276" s="3"/>
      <x:c r="G276" s="3"/>
      <x:c r="H276" s="25"/>
      <x:c r="I276" s="25"/>
      <x:c r="J276" s="3"/>
      <x:c r="K276" s="3"/>
      <x:c r="L276" s="3"/>
      <x:c r="M276" s="3"/>
      <x:c r="N276" s="19" t="str">
        <x:f>IF(A276="","",IF(COUNTIFS('方案版本'!$A$7:$A$306,A276)&lt;&gt;1,"编号重复",IF(COUNTIFS('问题总览'!$A$7:$A$306,B276)&lt;&gt;1,"问题引用无效",IF(OR(D276="",E276="",F276="",G276="",L276=""),"待补版本信息",IF(AND(C276&lt;&gt;"",OR(C276=A276,COUNTIFS('方案版本'!$A$7:$A$306,C276,'方案版本'!$B$7:$B$306,B276)&lt;&gt;1)),"父方案引用无效",IF(L276="草稿","草稿未冻结",IF(OR(NOT(ISNUMBER(H276)),NOT(ISNUMBER(I276)),J276="",K276="",M276=""),"待补冻结信息",IF(I276&lt;H276,"请核实事后补录","有效输入"))))))))</x:f>
      </x:c>
    </x:row>
    <x:row r="277" ht="25" customHeight="1">
      <x:c r="A277" s="3"/>
      <x:c r="B277" s="3"/>
      <x:c r="C277" s="3"/>
      <x:c r="D277" s="3"/>
      <x:c r="E277" s="3"/>
      <x:c r="F277" s="3"/>
      <x:c r="G277" s="3"/>
      <x:c r="H277" s="25"/>
      <x:c r="I277" s="25"/>
      <x:c r="J277" s="3"/>
      <x:c r="K277" s="3"/>
      <x:c r="L277" s="3"/>
      <x:c r="M277" s="3"/>
      <x:c r="N277" s="19" t="str">
        <x:f>IF(A277="","",IF(COUNTIFS('方案版本'!$A$7:$A$306,A277)&lt;&gt;1,"编号重复",IF(COUNTIFS('问题总览'!$A$7:$A$306,B277)&lt;&gt;1,"问题引用无效",IF(OR(D277="",E277="",F277="",G277="",L277=""),"待补版本信息",IF(AND(C277&lt;&gt;"",OR(C277=A277,COUNTIFS('方案版本'!$A$7:$A$306,C277,'方案版本'!$B$7:$B$306,B277)&lt;&gt;1)),"父方案引用无效",IF(L277="草稿","草稿未冻结",IF(OR(NOT(ISNUMBER(H277)),NOT(ISNUMBER(I277)),J277="",K277="",M277=""),"待补冻结信息",IF(I277&lt;H277,"请核实事后补录","有效输入"))))))))</x:f>
      </x:c>
    </x:row>
    <x:row r="278" ht="25" customHeight="1">
      <x:c r="A278" s="3"/>
      <x:c r="B278" s="3"/>
      <x:c r="C278" s="3"/>
      <x:c r="D278" s="3"/>
      <x:c r="E278" s="3"/>
      <x:c r="F278" s="3"/>
      <x:c r="G278" s="3"/>
      <x:c r="H278" s="25"/>
      <x:c r="I278" s="25"/>
      <x:c r="J278" s="3"/>
      <x:c r="K278" s="3"/>
      <x:c r="L278" s="3"/>
      <x:c r="M278" s="3"/>
      <x:c r="N278" s="19" t="str">
        <x:f>IF(A278="","",IF(COUNTIFS('方案版本'!$A$7:$A$306,A278)&lt;&gt;1,"编号重复",IF(COUNTIFS('问题总览'!$A$7:$A$306,B278)&lt;&gt;1,"问题引用无效",IF(OR(D278="",E278="",F278="",G278="",L278=""),"待补版本信息",IF(AND(C278&lt;&gt;"",OR(C278=A278,COUNTIFS('方案版本'!$A$7:$A$306,C278,'方案版本'!$B$7:$B$306,B278)&lt;&gt;1)),"父方案引用无效",IF(L278="草稿","草稿未冻结",IF(OR(NOT(ISNUMBER(H278)),NOT(ISNUMBER(I278)),J278="",K278="",M278=""),"待补冻结信息",IF(I278&lt;H278,"请核实事后补录","有效输入"))))))))</x:f>
      </x:c>
    </x:row>
    <x:row r="279" ht="25" customHeight="1">
      <x:c r="A279" s="3"/>
      <x:c r="B279" s="3"/>
      <x:c r="C279" s="3"/>
      <x:c r="D279" s="3"/>
      <x:c r="E279" s="3"/>
      <x:c r="F279" s="3"/>
      <x:c r="G279" s="3"/>
      <x:c r="H279" s="25"/>
      <x:c r="I279" s="25"/>
      <x:c r="J279" s="3"/>
      <x:c r="K279" s="3"/>
      <x:c r="L279" s="3"/>
      <x:c r="M279" s="3"/>
      <x:c r="N279" s="19" t="str">
        <x:f>IF(A279="","",IF(COUNTIFS('方案版本'!$A$7:$A$306,A279)&lt;&gt;1,"编号重复",IF(COUNTIFS('问题总览'!$A$7:$A$306,B279)&lt;&gt;1,"问题引用无效",IF(OR(D279="",E279="",F279="",G279="",L279=""),"待补版本信息",IF(AND(C279&lt;&gt;"",OR(C279=A279,COUNTIFS('方案版本'!$A$7:$A$306,C279,'方案版本'!$B$7:$B$306,B279)&lt;&gt;1)),"父方案引用无效",IF(L279="草稿","草稿未冻结",IF(OR(NOT(ISNUMBER(H279)),NOT(ISNUMBER(I279)),J279="",K279="",M279=""),"待补冻结信息",IF(I279&lt;H279,"请核实事后补录","有效输入"))))))))</x:f>
      </x:c>
    </x:row>
    <x:row r="280" ht="25" customHeight="1">
      <x:c r="A280" s="3"/>
      <x:c r="B280" s="3"/>
      <x:c r="C280" s="3"/>
      <x:c r="D280" s="3"/>
      <x:c r="E280" s="3"/>
      <x:c r="F280" s="3"/>
      <x:c r="G280" s="3"/>
      <x:c r="H280" s="25"/>
      <x:c r="I280" s="25"/>
      <x:c r="J280" s="3"/>
      <x:c r="K280" s="3"/>
      <x:c r="L280" s="3"/>
      <x:c r="M280" s="3"/>
      <x:c r="N280" s="19" t="str">
        <x:f>IF(A280="","",IF(COUNTIFS('方案版本'!$A$7:$A$306,A280)&lt;&gt;1,"编号重复",IF(COUNTIFS('问题总览'!$A$7:$A$306,B280)&lt;&gt;1,"问题引用无效",IF(OR(D280="",E280="",F280="",G280="",L280=""),"待补版本信息",IF(AND(C280&lt;&gt;"",OR(C280=A280,COUNTIFS('方案版本'!$A$7:$A$306,C280,'方案版本'!$B$7:$B$306,B280)&lt;&gt;1)),"父方案引用无效",IF(L280="草稿","草稿未冻结",IF(OR(NOT(ISNUMBER(H280)),NOT(ISNUMBER(I280)),J280="",K280="",M280=""),"待补冻结信息",IF(I280&lt;H280,"请核实事后补录","有效输入"))))))))</x:f>
      </x:c>
    </x:row>
    <x:row r="281" ht="25" customHeight="1">
      <x:c r="A281" s="3"/>
      <x:c r="B281" s="3"/>
      <x:c r="C281" s="3"/>
      <x:c r="D281" s="3"/>
      <x:c r="E281" s="3"/>
      <x:c r="F281" s="3"/>
      <x:c r="G281" s="3"/>
      <x:c r="H281" s="25"/>
      <x:c r="I281" s="25"/>
      <x:c r="J281" s="3"/>
      <x:c r="K281" s="3"/>
      <x:c r="L281" s="3"/>
      <x:c r="M281" s="3"/>
      <x:c r="N281" s="19" t="str">
        <x:f>IF(A281="","",IF(COUNTIFS('方案版本'!$A$7:$A$306,A281)&lt;&gt;1,"编号重复",IF(COUNTIFS('问题总览'!$A$7:$A$306,B281)&lt;&gt;1,"问题引用无效",IF(OR(D281="",E281="",F281="",G281="",L281=""),"待补版本信息",IF(AND(C281&lt;&gt;"",OR(C281=A281,COUNTIFS('方案版本'!$A$7:$A$306,C281,'方案版本'!$B$7:$B$306,B281)&lt;&gt;1)),"父方案引用无效",IF(L281="草稿","草稿未冻结",IF(OR(NOT(ISNUMBER(H281)),NOT(ISNUMBER(I281)),J281="",K281="",M281=""),"待补冻结信息",IF(I281&lt;H281,"请核实事后补录","有效输入"))))))))</x:f>
      </x:c>
    </x:row>
    <x:row r="282" ht="25" customHeight="1">
      <x:c r="A282" s="3"/>
      <x:c r="B282" s="3"/>
      <x:c r="C282" s="3"/>
      <x:c r="D282" s="3"/>
      <x:c r="E282" s="3"/>
      <x:c r="F282" s="3"/>
      <x:c r="G282" s="3"/>
      <x:c r="H282" s="25"/>
      <x:c r="I282" s="25"/>
      <x:c r="J282" s="3"/>
      <x:c r="K282" s="3"/>
      <x:c r="L282" s="3"/>
      <x:c r="M282" s="3"/>
      <x:c r="N282" s="19" t="str">
        <x:f>IF(A282="","",IF(COUNTIFS('方案版本'!$A$7:$A$306,A282)&lt;&gt;1,"编号重复",IF(COUNTIFS('问题总览'!$A$7:$A$306,B282)&lt;&gt;1,"问题引用无效",IF(OR(D282="",E282="",F282="",G282="",L282=""),"待补版本信息",IF(AND(C282&lt;&gt;"",OR(C282=A282,COUNTIFS('方案版本'!$A$7:$A$306,C282,'方案版本'!$B$7:$B$306,B282)&lt;&gt;1)),"父方案引用无效",IF(L282="草稿","草稿未冻结",IF(OR(NOT(ISNUMBER(H282)),NOT(ISNUMBER(I282)),J282="",K282="",M282=""),"待补冻结信息",IF(I282&lt;H282,"请核实事后补录","有效输入"))))))))</x:f>
      </x:c>
    </x:row>
    <x:row r="283" ht="25" customHeight="1">
      <x:c r="A283" s="3"/>
      <x:c r="B283" s="3"/>
      <x:c r="C283" s="3"/>
      <x:c r="D283" s="3"/>
      <x:c r="E283" s="3"/>
      <x:c r="F283" s="3"/>
      <x:c r="G283" s="3"/>
      <x:c r="H283" s="25"/>
      <x:c r="I283" s="25"/>
      <x:c r="J283" s="3"/>
      <x:c r="K283" s="3"/>
      <x:c r="L283" s="3"/>
      <x:c r="M283" s="3"/>
      <x:c r="N283" s="19" t="str">
        <x:f>IF(A283="","",IF(COUNTIFS('方案版本'!$A$7:$A$306,A283)&lt;&gt;1,"编号重复",IF(COUNTIFS('问题总览'!$A$7:$A$306,B283)&lt;&gt;1,"问题引用无效",IF(OR(D283="",E283="",F283="",G283="",L283=""),"待补版本信息",IF(AND(C283&lt;&gt;"",OR(C283=A283,COUNTIFS('方案版本'!$A$7:$A$306,C283,'方案版本'!$B$7:$B$306,B283)&lt;&gt;1)),"父方案引用无效",IF(L283="草稿","草稿未冻结",IF(OR(NOT(ISNUMBER(H283)),NOT(ISNUMBER(I283)),J283="",K283="",M283=""),"待补冻结信息",IF(I283&lt;H283,"请核实事后补录","有效输入"))))))))</x:f>
      </x:c>
    </x:row>
    <x:row r="284" ht="25" customHeight="1">
      <x:c r="A284" s="3"/>
      <x:c r="B284" s="3"/>
      <x:c r="C284" s="3"/>
      <x:c r="D284" s="3"/>
      <x:c r="E284" s="3"/>
      <x:c r="F284" s="3"/>
      <x:c r="G284" s="3"/>
      <x:c r="H284" s="25"/>
      <x:c r="I284" s="25"/>
      <x:c r="J284" s="3"/>
      <x:c r="K284" s="3"/>
      <x:c r="L284" s="3"/>
      <x:c r="M284" s="3"/>
      <x:c r="N284" s="19" t="str">
        <x:f>IF(A284="","",IF(COUNTIFS('方案版本'!$A$7:$A$306,A284)&lt;&gt;1,"编号重复",IF(COUNTIFS('问题总览'!$A$7:$A$306,B284)&lt;&gt;1,"问题引用无效",IF(OR(D284="",E284="",F284="",G284="",L284=""),"待补版本信息",IF(AND(C284&lt;&gt;"",OR(C284=A284,COUNTIFS('方案版本'!$A$7:$A$306,C284,'方案版本'!$B$7:$B$306,B284)&lt;&gt;1)),"父方案引用无效",IF(L284="草稿","草稿未冻结",IF(OR(NOT(ISNUMBER(H284)),NOT(ISNUMBER(I284)),J284="",K284="",M284=""),"待补冻结信息",IF(I284&lt;H284,"请核实事后补录","有效输入"))))))))</x:f>
      </x:c>
    </x:row>
    <x:row r="285" ht="25" customHeight="1">
      <x:c r="A285" s="3"/>
      <x:c r="B285" s="3"/>
      <x:c r="C285" s="3"/>
      <x:c r="D285" s="3"/>
      <x:c r="E285" s="3"/>
      <x:c r="F285" s="3"/>
      <x:c r="G285" s="3"/>
      <x:c r="H285" s="25"/>
      <x:c r="I285" s="25"/>
      <x:c r="J285" s="3"/>
      <x:c r="K285" s="3"/>
      <x:c r="L285" s="3"/>
      <x:c r="M285" s="3"/>
      <x:c r="N285" s="19" t="str">
        <x:f>IF(A285="","",IF(COUNTIFS('方案版本'!$A$7:$A$306,A285)&lt;&gt;1,"编号重复",IF(COUNTIFS('问题总览'!$A$7:$A$306,B285)&lt;&gt;1,"问题引用无效",IF(OR(D285="",E285="",F285="",G285="",L285=""),"待补版本信息",IF(AND(C285&lt;&gt;"",OR(C285=A285,COUNTIFS('方案版本'!$A$7:$A$306,C285,'方案版本'!$B$7:$B$306,B285)&lt;&gt;1)),"父方案引用无效",IF(L285="草稿","草稿未冻结",IF(OR(NOT(ISNUMBER(H285)),NOT(ISNUMBER(I285)),J285="",K285="",M285=""),"待补冻结信息",IF(I285&lt;H285,"请核实事后补录","有效输入"))))))))</x:f>
      </x:c>
    </x:row>
    <x:row r="286" ht="25" customHeight="1">
      <x:c r="A286" s="3"/>
      <x:c r="B286" s="3"/>
      <x:c r="C286" s="3"/>
      <x:c r="D286" s="3"/>
      <x:c r="E286" s="3"/>
      <x:c r="F286" s="3"/>
      <x:c r="G286" s="3"/>
      <x:c r="H286" s="25"/>
      <x:c r="I286" s="25"/>
      <x:c r="J286" s="3"/>
      <x:c r="K286" s="3"/>
      <x:c r="L286" s="3"/>
      <x:c r="M286" s="3"/>
      <x:c r="N286" s="19" t="str">
        <x:f>IF(A286="","",IF(COUNTIFS('方案版本'!$A$7:$A$306,A286)&lt;&gt;1,"编号重复",IF(COUNTIFS('问题总览'!$A$7:$A$306,B286)&lt;&gt;1,"问题引用无效",IF(OR(D286="",E286="",F286="",G286="",L286=""),"待补版本信息",IF(AND(C286&lt;&gt;"",OR(C286=A286,COUNTIFS('方案版本'!$A$7:$A$306,C286,'方案版本'!$B$7:$B$306,B286)&lt;&gt;1)),"父方案引用无效",IF(L286="草稿","草稿未冻结",IF(OR(NOT(ISNUMBER(H286)),NOT(ISNUMBER(I286)),J286="",K286="",M286=""),"待补冻结信息",IF(I286&lt;H286,"请核实事后补录","有效输入"))))))))</x:f>
      </x:c>
    </x:row>
    <x:row r="287" ht="25" customHeight="1">
      <x:c r="A287" s="3"/>
      <x:c r="B287" s="3"/>
      <x:c r="C287" s="3"/>
      <x:c r="D287" s="3"/>
      <x:c r="E287" s="3"/>
      <x:c r="F287" s="3"/>
      <x:c r="G287" s="3"/>
      <x:c r="H287" s="25"/>
      <x:c r="I287" s="25"/>
      <x:c r="J287" s="3"/>
      <x:c r="K287" s="3"/>
      <x:c r="L287" s="3"/>
      <x:c r="M287" s="3"/>
      <x:c r="N287" s="19" t="str">
        <x:f>IF(A287="","",IF(COUNTIFS('方案版本'!$A$7:$A$306,A287)&lt;&gt;1,"编号重复",IF(COUNTIFS('问题总览'!$A$7:$A$306,B287)&lt;&gt;1,"问题引用无效",IF(OR(D287="",E287="",F287="",G287="",L287=""),"待补版本信息",IF(AND(C287&lt;&gt;"",OR(C287=A287,COUNTIFS('方案版本'!$A$7:$A$306,C287,'方案版本'!$B$7:$B$306,B287)&lt;&gt;1)),"父方案引用无效",IF(L287="草稿","草稿未冻结",IF(OR(NOT(ISNUMBER(H287)),NOT(ISNUMBER(I287)),J287="",K287="",M287=""),"待补冻结信息",IF(I287&lt;H287,"请核实事后补录","有效输入"))))))))</x:f>
      </x:c>
    </x:row>
    <x:row r="288" ht="25" customHeight="1">
      <x:c r="A288" s="3"/>
      <x:c r="B288" s="3"/>
      <x:c r="C288" s="3"/>
      <x:c r="D288" s="3"/>
      <x:c r="E288" s="3"/>
      <x:c r="F288" s="3"/>
      <x:c r="G288" s="3"/>
      <x:c r="H288" s="25"/>
      <x:c r="I288" s="25"/>
      <x:c r="J288" s="3"/>
      <x:c r="K288" s="3"/>
      <x:c r="L288" s="3"/>
      <x:c r="M288" s="3"/>
      <x:c r="N288" s="19" t="str">
        <x:f>IF(A288="","",IF(COUNTIFS('方案版本'!$A$7:$A$306,A288)&lt;&gt;1,"编号重复",IF(COUNTIFS('问题总览'!$A$7:$A$306,B288)&lt;&gt;1,"问题引用无效",IF(OR(D288="",E288="",F288="",G288="",L288=""),"待补版本信息",IF(AND(C288&lt;&gt;"",OR(C288=A288,COUNTIFS('方案版本'!$A$7:$A$306,C288,'方案版本'!$B$7:$B$306,B288)&lt;&gt;1)),"父方案引用无效",IF(L288="草稿","草稿未冻结",IF(OR(NOT(ISNUMBER(H288)),NOT(ISNUMBER(I288)),J288="",K288="",M288=""),"待补冻结信息",IF(I288&lt;H288,"请核实事后补录","有效输入"))))))))</x:f>
      </x:c>
    </x:row>
    <x:row r="289" ht="25" customHeight="1">
      <x:c r="A289" s="3"/>
      <x:c r="B289" s="3"/>
      <x:c r="C289" s="3"/>
      <x:c r="D289" s="3"/>
      <x:c r="E289" s="3"/>
      <x:c r="F289" s="3"/>
      <x:c r="G289" s="3"/>
      <x:c r="H289" s="25"/>
      <x:c r="I289" s="25"/>
      <x:c r="J289" s="3"/>
      <x:c r="K289" s="3"/>
      <x:c r="L289" s="3"/>
      <x:c r="M289" s="3"/>
      <x:c r="N289" s="19" t="str">
        <x:f>IF(A289="","",IF(COUNTIFS('方案版本'!$A$7:$A$306,A289)&lt;&gt;1,"编号重复",IF(COUNTIFS('问题总览'!$A$7:$A$306,B289)&lt;&gt;1,"问题引用无效",IF(OR(D289="",E289="",F289="",G289="",L289=""),"待补版本信息",IF(AND(C289&lt;&gt;"",OR(C289=A289,COUNTIFS('方案版本'!$A$7:$A$306,C289,'方案版本'!$B$7:$B$306,B289)&lt;&gt;1)),"父方案引用无效",IF(L289="草稿","草稿未冻结",IF(OR(NOT(ISNUMBER(H289)),NOT(ISNUMBER(I289)),J289="",K289="",M289=""),"待补冻结信息",IF(I289&lt;H289,"请核实事后补录","有效输入"))))))))</x:f>
      </x:c>
    </x:row>
    <x:row r="290" ht="25" customHeight="1">
      <x:c r="A290" s="3"/>
      <x:c r="B290" s="3"/>
      <x:c r="C290" s="3"/>
      <x:c r="D290" s="3"/>
      <x:c r="E290" s="3"/>
      <x:c r="F290" s="3"/>
      <x:c r="G290" s="3"/>
      <x:c r="H290" s="25"/>
      <x:c r="I290" s="25"/>
      <x:c r="J290" s="3"/>
      <x:c r="K290" s="3"/>
      <x:c r="L290" s="3"/>
      <x:c r="M290" s="3"/>
      <x:c r="N290" s="19" t="str">
        <x:f>IF(A290="","",IF(COUNTIFS('方案版本'!$A$7:$A$306,A290)&lt;&gt;1,"编号重复",IF(COUNTIFS('问题总览'!$A$7:$A$306,B290)&lt;&gt;1,"问题引用无效",IF(OR(D290="",E290="",F290="",G290="",L290=""),"待补版本信息",IF(AND(C290&lt;&gt;"",OR(C290=A290,COUNTIFS('方案版本'!$A$7:$A$306,C290,'方案版本'!$B$7:$B$306,B290)&lt;&gt;1)),"父方案引用无效",IF(L290="草稿","草稿未冻结",IF(OR(NOT(ISNUMBER(H290)),NOT(ISNUMBER(I290)),J290="",K290="",M290=""),"待补冻结信息",IF(I290&lt;H290,"请核实事后补录","有效输入"))))))))</x:f>
      </x:c>
    </x:row>
    <x:row r="291" ht="25" customHeight="1">
      <x:c r="A291" s="3"/>
      <x:c r="B291" s="3"/>
      <x:c r="C291" s="3"/>
      <x:c r="D291" s="3"/>
      <x:c r="E291" s="3"/>
      <x:c r="F291" s="3"/>
      <x:c r="G291" s="3"/>
      <x:c r="H291" s="25"/>
      <x:c r="I291" s="25"/>
      <x:c r="J291" s="3"/>
      <x:c r="K291" s="3"/>
      <x:c r="L291" s="3"/>
      <x:c r="M291" s="3"/>
      <x:c r="N291" s="19" t="str">
        <x:f>IF(A291="","",IF(COUNTIFS('方案版本'!$A$7:$A$306,A291)&lt;&gt;1,"编号重复",IF(COUNTIFS('问题总览'!$A$7:$A$306,B291)&lt;&gt;1,"问题引用无效",IF(OR(D291="",E291="",F291="",G291="",L291=""),"待补版本信息",IF(AND(C291&lt;&gt;"",OR(C291=A291,COUNTIFS('方案版本'!$A$7:$A$306,C291,'方案版本'!$B$7:$B$306,B291)&lt;&gt;1)),"父方案引用无效",IF(L291="草稿","草稿未冻结",IF(OR(NOT(ISNUMBER(H291)),NOT(ISNUMBER(I291)),J291="",K291="",M291=""),"待补冻结信息",IF(I291&lt;H291,"请核实事后补录","有效输入"))))))))</x:f>
      </x:c>
    </x:row>
    <x:row r="292" ht="25" customHeight="1">
      <x:c r="A292" s="3"/>
      <x:c r="B292" s="3"/>
      <x:c r="C292" s="3"/>
      <x:c r="D292" s="3"/>
      <x:c r="E292" s="3"/>
      <x:c r="F292" s="3"/>
      <x:c r="G292" s="3"/>
      <x:c r="H292" s="25"/>
      <x:c r="I292" s="25"/>
      <x:c r="J292" s="3"/>
      <x:c r="K292" s="3"/>
      <x:c r="L292" s="3"/>
      <x:c r="M292" s="3"/>
      <x:c r="N292" s="19" t="str">
        <x:f>IF(A292="","",IF(COUNTIFS('方案版本'!$A$7:$A$306,A292)&lt;&gt;1,"编号重复",IF(COUNTIFS('问题总览'!$A$7:$A$306,B292)&lt;&gt;1,"问题引用无效",IF(OR(D292="",E292="",F292="",G292="",L292=""),"待补版本信息",IF(AND(C292&lt;&gt;"",OR(C292=A292,COUNTIFS('方案版本'!$A$7:$A$306,C292,'方案版本'!$B$7:$B$306,B292)&lt;&gt;1)),"父方案引用无效",IF(L292="草稿","草稿未冻结",IF(OR(NOT(ISNUMBER(H292)),NOT(ISNUMBER(I292)),J292="",K292="",M292=""),"待补冻结信息",IF(I292&lt;H292,"请核实事后补录","有效输入"))))))))</x:f>
      </x:c>
    </x:row>
    <x:row r="293" ht="25" customHeight="1">
      <x:c r="A293" s="3"/>
      <x:c r="B293" s="3"/>
      <x:c r="C293" s="3"/>
      <x:c r="D293" s="3"/>
      <x:c r="E293" s="3"/>
      <x:c r="F293" s="3"/>
      <x:c r="G293" s="3"/>
      <x:c r="H293" s="25"/>
      <x:c r="I293" s="25"/>
      <x:c r="J293" s="3"/>
      <x:c r="K293" s="3"/>
      <x:c r="L293" s="3"/>
      <x:c r="M293" s="3"/>
      <x:c r="N293" s="19" t="str">
        <x:f>IF(A293="","",IF(COUNTIFS('方案版本'!$A$7:$A$306,A293)&lt;&gt;1,"编号重复",IF(COUNTIFS('问题总览'!$A$7:$A$306,B293)&lt;&gt;1,"问题引用无效",IF(OR(D293="",E293="",F293="",G293="",L293=""),"待补版本信息",IF(AND(C293&lt;&gt;"",OR(C293=A293,COUNTIFS('方案版本'!$A$7:$A$306,C293,'方案版本'!$B$7:$B$306,B293)&lt;&gt;1)),"父方案引用无效",IF(L293="草稿","草稿未冻结",IF(OR(NOT(ISNUMBER(H293)),NOT(ISNUMBER(I293)),J293="",K293="",M293=""),"待补冻结信息",IF(I293&lt;H293,"请核实事后补录","有效输入"))))))))</x:f>
      </x:c>
    </x:row>
    <x:row r="294" ht="25" customHeight="1">
      <x:c r="A294" s="3"/>
      <x:c r="B294" s="3"/>
      <x:c r="C294" s="3"/>
      <x:c r="D294" s="3"/>
      <x:c r="E294" s="3"/>
      <x:c r="F294" s="3"/>
      <x:c r="G294" s="3"/>
      <x:c r="H294" s="25"/>
      <x:c r="I294" s="25"/>
      <x:c r="J294" s="3"/>
      <x:c r="K294" s="3"/>
      <x:c r="L294" s="3"/>
      <x:c r="M294" s="3"/>
      <x:c r="N294" s="19" t="str">
        <x:f>IF(A294="","",IF(COUNTIFS('方案版本'!$A$7:$A$306,A294)&lt;&gt;1,"编号重复",IF(COUNTIFS('问题总览'!$A$7:$A$306,B294)&lt;&gt;1,"问题引用无效",IF(OR(D294="",E294="",F294="",G294="",L294=""),"待补版本信息",IF(AND(C294&lt;&gt;"",OR(C294=A294,COUNTIFS('方案版本'!$A$7:$A$306,C294,'方案版本'!$B$7:$B$306,B294)&lt;&gt;1)),"父方案引用无效",IF(L294="草稿","草稿未冻结",IF(OR(NOT(ISNUMBER(H294)),NOT(ISNUMBER(I294)),J294="",K294="",M294=""),"待补冻结信息",IF(I294&lt;H294,"请核实事后补录","有效输入"))))))))</x:f>
      </x:c>
    </x:row>
    <x:row r="295" ht="25" customHeight="1">
      <x:c r="A295" s="3"/>
      <x:c r="B295" s="3"/>
      <x:c r="C295" s="3"/>
      <x:c r="D295" s="3"/>
      <x:c r="E295" s="3"/>
      <x:c r="F295" s="3"/>
      <x:c r="G295" s="3"/>
      <x:c r="H295" s="25"/>
      <x:c r="I295" s="25"/>
      <x:c r="J295" s="3"/>
      <x:c r="K295" s="3"/>
      <x:c r="L295" s="3"/>
      <x:c r="M295" s="3"/>
      <x:c r="N295" s="19" t="str">
        <x:f>IF(A295="","",IF(COUNTIFS('方案版本'!$A$7:$A$306,A295)&lt;&gt;1,"编号重复",IF(COUNTIFS('问题总览'!$A$7:$A$306,B295)&lt;&gt;1,"问题引用无效",IF(OR(D295="",E295="",F295="",G295="",L295=""),"待补版本信息",IF(AND(C295&lt;&gt;"",OR(C295=A295,COUNTIFS('方案版本'!$A$7:$A$306,C295,'方案版本'!$B$7:$B$306,B295)&lt;&gt;1)),"父方案引用无效",IF(L295="草稿","草稿未冻结",IF(OR(NOT(ISNUMBER(H295)),NOT(ISNUMBER(I295)),J295="",K295="",M295=""),"待补冻结信息",IF(I295&lt;H295,"请核实事后补录","有效输入"))))))))</x:f>
      </x:c>
    </x:row>
    <x:row r="296" ht="25" customHeight="1">
      <x:c r="A296" s="3"/>
      <x:c r="B296" s="3"/>
      <x:c r="C296" s="3"/>
      <x:c r="D296" s="3"/>
      <x:c r="E296" s="3"/>
      <x:c r="F296" s="3"/>
      <x:c r="G296" s="3"/>
      <x:c r="H296" s="25"/>
      <x:c r="I296" s="25"/>
      <x:c r="J296" s="3"/>
      <x:c r="K296" s="3"/>
      <x:c r="L296" s="3"/>
      <x:c r="M296" s="3"/>
      <x:c r="N296" s="19" t="str">
        <x:f>IF(A296="","",IF(COUNTIFS('方案版本'!$A$7:$A$306,A296)&lt;&gt;1,"编号重复",IF(COUNTIFS('问题总览'!$A$7:$A$306,B296)&lt;&gt;1,"问题引用无效",IF(OR(D296="",E296="",F296="",G296="",L296=""),"待补版本信息",IF(AND(C296&lt;&gt;"",OR(C296=A296,COUNTIFS('方案版本'!$A$7:$A$306,C296,'方案版本'!$B$7:$B$306,B296)&lt;&gt;1)),"父方案引用无效",IF(L296="草稿","草稿未冻结",IF(OR(NOT(ISNUMBER(H296)),NOT(ISNUMBER(I296)),J296="",K296="",M296=""),"待补冻结信息",IF(I296&lt;H296,"请核实事后补录","有效输入"))))))))</x:f>
      </x:c>
    </x:row>
    <x:row r="297" ht="25" customHeight="1">
      <x:c r="A297" s="3"/>
      <x:c r="B297" s="3"/>
      <x:c r="C297" s="3"/>
      <x:c r="D297" s="3"/>
      <x:c r="E297" s="3"/>
      <x:c r="F297" s="3"/>
      <x:c r="G297" s="3"/>
      <x:c r="H297" s="25"/>
      <x:c r="I297" s="25"/>
      <x:c r="J297" s="3"/>
      <x:c r="K297" s="3"/>
      <x:c r="L297" s="3"/>
      <x:c r="M297" s="3"/>
      <x:c r="N297" s="19" t="str">
        <x:f>IF(A297="","",IF(COUNTIFS('方案版本'!$A$7:$A$306,A297)&lt;&gt;1,"编号重复",IF(COUNTIFS('问题总览'!$A$7:$A$306,B297)&lt;&gt;1,"问题引用无效",IF(OR(D297="",E297="",F297="",G297="",L297=""),"待补版本信息",IF(AND(C297&lt;&gt;"",OR(C297=A297,COUNTIFS('方案版本'!$A$7:$A$306,C297,'方案版本'!$B$7:$B$306,B297)&lt;&gt;1)),"父方案引用无效",IF(L297="草稿","草稿未冻结",IF(OR(NOT(ISNUMBER(H297)),NOT(ISNUMBER(I297)),J297="",K297="",M297=""),"待补冻结信息",IF(I297&lt;H297,"请核实事后补录","有效输入"))))))))</x:f>
      </x:c>
    </x:row>
    <x:row r="298" ht="25" customHeight="1">
      <x:c r="A298" s="3"/>
      <x:c r="B298" s="3"/>
      <x:c r="C298" s="3"/>
      <x:c r="D298" s="3"/>
      <x:c r="E298" s="3"/>
      <x:c r="F298" s="3"/>
      <x:c r="G298" s="3"/>
      <x:c r="H298" s="25"/>
      <x:c r="I298" s="25"/>
      <x:c r="J298" s="3"/>
      <x:c r="K298" s="3"/>
      <x:c r="L298" s="3"/>
      <x:c r="M298" s="3"/>
      <x:c r="N298" s="19" t="str">
        <x:f>IF(A298="","",IF(COUNTIFS('方案版本'!$A$7:$A$306,A298)&lt;&gt;1,"编号重复",IF(COUNTIFS('问题总览'!$A$7:$A$306,B298)&lt;&gt;1,"问题引用无效",IF(OR(D298="",E298="",F298="",G298="",L298=""),"待补版本信息",IF(AND(C298&lt;&gt;"",OR(C298=A298,COUNTIFS('方案版本'!$A$7:$A$306,C298,'方案版本'!$B$7:$B$306,B298)&lt;&gt;1)),"父方案引用无效",IF(L298="草稿","草稿未冻结",IF(OR(NOT(ISNUMBER(H298)),NOT(ISNUMBER(I298)),J298="",K298="",M298=""),"待补冻结信息",IF(I298&lt;H298,"请核实事后补录","有效输入"))))))))</x:f>
      </x:c>
    </x:row>
    <x:row r="299" ht="25" customHeight="1">
      <x:c r="A299" s="3"/>
      <x:c r="B299" s="3"/>
      <x:c r="C299" s="3"/>
      <x:c r="D299" s="3"/>
      <x:c r="E299" s="3"/>
      <x:c r="F299" s="3"/>
      <x:c r="G299" s="3"/>
      <x:c r="H299" s="25"/>
      <x:c r="I299" s="25"/>
      <x:c r="J299" s="3"/>
      <x:c r="K299" s="3"/>
      <x:c r="L299" s="3"/>
      <x:c r="M299" s="3"/>
      <x:c r="N299" s="19" t="str">
        <x:f>IF(A299="","",IF(COUNTIFS('方案版本'!$A$7:$A$306,A299)&lt;&gt;1,"编号重复",IF(COUNTIFS('问题总览'!$A$7:$A$306,B299)&lt;&gt;1,"问题引用无效",IF(OR(D299="",E299="",F299="",G299="",L299=""),"待补版本信息",IF(AND(C299&lt;&gt;"",OR(C299=A299,COUNTIFS('方案版本'!$A$7:$A$306,C299,'方案版本'!$B$7:$B$306,B299)&lt;&gt;1)),"父方案引用无效",IF(L299="草稿","草稿未冻结",IF(OR(NOT(ISNUMBER(H299)),NOT(ISNUMBER(I299)),J299="",K299="",M299=""),"待补冻结信息",IF(I299&lt;H299,"请核实事后补录","有效输入"))))))))</x:f>
      </x:c>
    </x:row>
    <x:row r="300" ht="25" customHeight="1">
      <x:c r="A300" s="3"/>
      <x:c r="B300" s="3"/>
      <x:c r="C300" s="3"/>
      <x:c r="D300" s="3"/>
      <x:c r="E300" s="3"/>
      <x:c r="F300" s="3"/>
      <x:c r="G300" s="3"/>
      <x:c r="H300" s="25"/>
      <x:c r="I300" s="25"/>
      <x:c r="J300" s="3"/>
      <x:c r="K300" s="3"/>
      <x:c r="L300" s="3"/>
      <x:c r="M300" s="3"/>
      <x:c r="N300" s="19" t="str">
        <x:f>IF(A300="","",IF(COUNTIFS('方案版本'!$A$7:$A$306,A300)&lt;&gt;1,"编号重复",IF(COUNTIFS('问题总览'!$A$7:$A$306,B300)&lt;&gt;1,"问题引用无效",IF(OR(D300="",E300="",F300="",G300="",L300=""),"待补版本信息",IF(AND(C300&lt;&gt;"",OR(C300=A300,COUNTIFS('方案版本'!$A$7:$A$306,C300,'方案版本'!$B$7:$B$306,B300)&lt;&gt;1)),"父方案引用无效",IF(L300="草稿","草稿未冻结",IF(OR(NOT(ISNUMBER(H300)),NOT(ISNUMBER(I300)),J300="",K300="",M300=""),"待补冻结信息",IF(I300&lt;H300,"请核实事后补录","有效输入"))))))))</x:f>
      </x:c>
    </x:row>
    <x:row r="301" ht="25" customHeight="1">
      <x:c r="A301" s="3"/>
      <x:c r="B301" s="3"/>
      <x:c r="C301" s="3"/>
      <x:c r="D301" s="3"/>
      <x:c r="E301" s="3"/>
      <x:c r="F301" s="3"/>
      <x:c r="G301" s="3"/>
      <x:c r="H301" s="25"/>
      <x:c r="I301" s="25"/>
      <x:c r="J301" s="3"/>
      <x:c r="K301" s="3"/>
      <x:c r="L301" s="3"/>
      <x:c r="M301" s="3"/>
      <x:c r="N301" s="19" t="str">
        <x:f>IF(A301="","",IF(COUNTIFS('方案版本'!$A$7:$A$306,A301)&lt;&gt;1,"编号重复",IF(COUNTIFS('问题总览'!$A$7:$A$306,B301)&lt;&gt;1,"问题引用无效",IF(OR(D301="",E301="",F301="",G301="",L301=""),"待补版本信息",IF(AND(C301&lt;&gt;"",OR(C301=A301,COUNTIFS('方案版本'!$A$7:$A$306,C301,'方案版本'!$B$7:$B$306,B301)&lt;&gt;1)),"父方案引用无效",IF(L301="草稿","草稿未冻结",IF(OR(NOT(ISNUMBER(H301)),NOT(ISNUMBER(I301)),J301="",K301="",M301=""),"待补冻结信息",IF(I301&lt;H301,"请核实事后补录","有效输入"))))))))</x:f>
      </x:c>
    </x:row>
    <x:row r="302" ht="25" customHeight="1">
      <x:c r="A302" s="3"/>
      <x:c r="B302" s="3"/>
      <x:c r="C302" s="3"/>
      <x:c r="D302" s="3"/>
      <x:c r="E302" s="3"/>
      <x:c r="F302" s="3"/>
      <x:c r="G302" s="3"/>
      <x:c r="H302" s="25"/>
      <x:c r="I302" s="25"/>
      <x:c r="J302" s="3"/>
      <x:c r="K302" s="3"/>
      <x:c r="L302" s="3"/>
      <x:c r="M302" s="3"/>
      <x:c r="N302" s="19" t="str">
        <x:f>IF(A302="","",IF(COUNTIFS('方案版本'!$A$7:$A$306,A302)&lt;&gt;1,"编号重复",IF(COUNTIFS('问题总览'!$A$7:$A$306,B302)&lt;&gt;1,"问题引用无效",IF(OR(D302="",E302="",F302="",G302="",L302=""),"待补版本信息",IF(AND(C302&lt;&gt;"",OR(C302=A302,COUNTIFS('方案版本'!$A$7:$A$306,C302,'方案版本'!$B$7:$B$306,B302)&lt;&gt;1)),"父方案引用无效",IF(L302="草稿","草稿未冻结",IF(OR(NOT(ISNUMBER(H302)),NOT(ISNUMBER(I302)),J302="",K302="",M302=""),"待补冻结信息",IF(I302&lt;H302,"请核实事后补录","有效输入"))))))))</x:f>
      </x:c>
    </x:row>
    <x:row r="303" ht="25" customHeight="1">
      <x:c r="A303" s="3"/>
      <x:c r="B303" s="3"/>
      <x:c r="C303" s="3"/>
      <x:c r="D303" s="3"/>
      <x:c r="E303" s="3"/>
      <x:c r="F303" s="3"/>
      <x:c r="G303" s="3"/>
      <x:c r="H303" s="25"/>
      <x:c r="I303" s="25"/>
      <x:c r="J303" s="3"/>
      <x:c r="K303" s="3"/>
      <x:c r="L303" s="3"/>
      <x:c r="M303" s="3"/>
      <x:c r="N303" s="19" t="str">
        <x:f>IF(A303="","",IF(COUNTIFS('方案版本'!$A$7:$A$306,A303)&lt;&gt;1,"编号重复",IF(COUNTIFS('问题总览'!$A$7:$A$306,B303)&lt;&gt;1,"问题引用无效",IF(OR(D303="",E303="",F303="",G303="",L303=""),"待补版本信息",IF(AND(C303&lt;&gt;"",OR(C303=A303,COUNTIFS('方案版本'!$A$7:$A$306,C303,'方案版本'!$B$7:$B$306,B303)&lt;&gt;1)),"父方案引用无效",IF(L303="草稿","草稿未冻结",IF(OR(NOT(ISNUMBER(H303)),NOT(ISNUMBER(I303)),J303="",K303="",M303=""),"待补冻结信息",IF(I303&lt;H303,"请核实事后补录","有效输入"))))))))</x:f>
      </x:c>
    </x:row>
    <x:row r="304" ht="25" customHeight="1">
      <x:c r="A304" s="3"/>
      <x:c r="B304" s="3"/>
      <x:c r="C304" s="3"/>
      <x:c r="D304" s="3"/>
      <x:c r="E304" s="3"/>
      <x:c r="F304" s="3"/>
      <x:c r="G304" s="3"/>
      <x:c r="H304" s="25"/>
      <x:c r="I304" s="25"/>
      <x:c r="J304" s="3"/>
      <x:c r="K304" s="3"/>
      <x:c r="L304" s="3"/>
      <x:c r="M304" s="3"/>
      <x:c r="N304" s="19" t="str">
        <x:f>IF(A304="","",IF(COUNTIFS('方案版本'!$A$7:$A$306,A304)&lt;&gt;1,"编号重复",IF(COUNTIFS('问题总览'!$A$7:$A$306,B304)&lt;&gt;1,"问题引用无效",IF(OR(D304="",E304="",F304="",G304="",L304=""),"待补版本信息",IF(AND(C304&lt;&gt;"",OR(C304=A304,COUNTIFS('方案版本'!$A$7:$A$306,C304,'方案版本'!$B$7:$B$306,B304)&lt;&gt;1)),"父方案引用无效",IF(L304="草稿","草稿未冻结",IF(OR(NOT(ISNUMBER(H304)),NOT(ISNUMBER(I304)),J304="",K304="",M304=""),"待补冻结信息",IF(I304&lt;H304,"请核实事后补录","有效输入"))))))))</x:f>
      </x:c>
    </x:row>
    <x:row r="305" ht="25" customHeight="1">
      <x:c r="A305" s="3"/>
      <x:c r="B305" s="3"/>
      <x:c r="C305" s="3"/>
      <x:c r="D305" s="3"/>
      <x:c r="E305" s="3"/>
      <x:c r="F305" s="3"/>
      <x:c r="G305" s="3"/>
      <x:c r="H305" s="25"/>
      <x:c r="I305" s="25"/>
      <x:c r="J305" s="3"/>
      <x:c r="K305" s="3"/>
      <x:c r="L305" s="3"/>
      <x:c r="M305" s="3"/>
      <x:c r="N305" s="19" t="str">
        <x:f>IF(A305="","",IF(COUNTIFS('方案版本'!$A$7:$A$306,A305)&lt;&gt;1,"编号重复",IF(COUNTIFS('问题总览'!$A$7:$A$306,B305)&lt;&gt;1,"问题引用无效",IF(OR(D305="",E305="",F305="",G305="",L305=""),"待补版本信息",IF(AND(C305&lt;&gt;"",OR(C305=A305,COUNTIFS('方案版本'!$A$7:$A$306,C305,'方案版本'!$B$7:$B$306,B305)&lt;&gt;1)),"父方案引用无效",IF(L305="草稿","草稿未冻结",IF(OR(NOT(ISNUMBER(H305)),NOT(ISNUMBER(I305)),J305="",K305="",M305=""),"待补冻结信息",IF(I305&lt;H305,"请核实事后补录","有效输入"))))))))</x:f>
      </x:c>
    </x:row>
    <x:row r="306" ht="25" customHeight="1">
      <x:c r="A306" s="3"/>
      <x:c r="B306" s="3"/>
      <x:c r="C306" s="3"/>
      <x:c r="D306" s="3"/>
      <x:c r="E306" s="3"/>
      <x:c r="F306" s="3"/>
      <x:c r="G306" s="3"/>
      <x:c r="H306" s="25"/>
      <x:c r="I306" s="25"/>
      <x:c r="J306" s="3"/>
      <x:c r="K306" s="3"/>
      <x:c r="L306" s="3"/>
      <x:c r="M306" s="3"/>
      <x:c r="N306" s="19" t="str">
        <x:f>IF(A306="","",IF(COUNTIFS('方案版本'!$A$7:$A$306,A306)&lt;&gt;1,"编号重复",IF(COUNTIFS('问题总览'!$A$7:$A$306,B306)&lt;&gt;1,"问题引用无效",IF(OR(D306="",E306="",F306="",G306="",L306=""),"待补版本信息",IF(AND(C306&lt;&gt;"",OR(C306=A306,COUNTIFS('方案版本'!$A$7:$A$306,C306,'方案版本'!$B$7:$B$306,B306)&lt;&gt;1)),"父方案引用无效",IF(L306="草稿","草稿未冻结",IF(OR(NOT(ISNUMBER(H306)),NOT(ISNUMBER(I306)),J306="",K306="",M306=""),"待补冻结信息",IF(I306&lt;H306,"请核实事后补录","有效输入"))))))))</x:f>
      </x:c>
    </x:row>
  </x:sheetData>
  <x:conditionalFormatting sqref="N7:N306">
    <x:cfRule type="expression" dxfId="1" priority="1">
      <x:formula>AND($A7&lt;&gt;"",N7&lt;&gt;"有效输入")</x:formula>
    </x:cfRule>
  </x:conditionalFormatting>
  <x:dataValidations count="2">
    <x:dataValidation type="list" sqref="K7:K306">
      <x:formula1>"观察,探针,蓄势,维持,加码,撤回"</x:formula1>
    </x:dataValidation>
    <x:dataValidation type="list" sqref="L7:L306">
      <x:formula1>"草稿,已冻结"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f8c7851d244e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0" hidden="0" customWidth="1"/>
    <x:col min="5" max="5" width="23" hidden="0" customWidth="1"/>
    <x:col min="6" max="6" width="23" hidden="0" customWidth="1"/>
    <x:col min="7" max="7" width="29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16" t="str">
        <x:v>执行日志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25" customHeight="1">
      <x:c r="A3" s="18" t="str">
        <x:v>每行一次执行。支出只填现金支出；无支出或无耗时填数值0，缺失留空。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2" t="str">
        <x:v>执行ID</x:v>
      </x:c>
      <x:c r="B6" s="13" t="str">
        <x:v>问题ID</x:v>
      </x:c>
      <x:c r="C6" s="13" t="str">
        <x:v>方案ID</x:v>
      </x:c>
      <x:c r="D6" s="13" t="str">
        <x:v>动作ID</x:v>
      </x:c>
      <x:c r="E6" s="13" t="str">
        <x:v>发生时间</x:v>
      </x:c>
      <x:c r="F6" s="13" t="str">
        <x:v>记录时间</x:v>
      </x:c>
      <x:c r="G6" s="13" t="str">
        <x:v>实际动作与偏差</x:v>
      </x:c>
      <x:c r="H6" s="13" t="str">
        <x:v>现金支出</x:v>
      </x:c>
      <x:c r="I6" s="13" t="str">
        <x:v>币种</x:v>
      </x:c>
      <x:c r="J6" s="13" t="str">
        <x:v>耗时（小时）</x:v>
      </x:c>
      <x:c r="K6" s="13" t="str">
        <x:v>执行进展</x:v>
      </x:c>
      <x:c r="L6" s="13" t="str">
        <x:v>记录状态</x:v>
      </x:c>
      <x:c r="M6" s="13" t="str">
        <x:v>更正原EX</x:v>
      </x:c>
      <x:c r="N6" s="13" t="str">
        <x:v>观测OB引用</x:v>
      </x:c>
      <x:c r="O6" s="13" t="str">
        <x:v>原始记录文件</x:v>
      </x:c>
      <x:c r="P6" s="14" t="str">
        <x:v>输入检查</x:v>
      </x:c>
    </x:row>
    <x:row r="7" ht="25" customHeight="1">
      <x:c r="A7" s="3"/>
      <x:c r="B7" s="3"/>
      <x:c r="C7" s="3"/>
      <x:c r="D7" s="3"/>
      <x:c r="E7" s="25"/>
      <x:c r="F7" s="25"/>
      <x:c r="G7" s="3"/>
      <x:c r="H7" s="22"/>
      <x:c r="I7" s="3"/>
      <x:c r="J7" s="22"/>
      <x:c r="K7" s="3"/>
      <x:c r="L7" s="3"/>
      <x:c r="M7" s="3"/>
      <x:c r="N7" s="3"/>
      <x:c r="O7" s="3"/>
      <x:c r="P7" s="19" t="str">
        <x:f>IF(A7="","",IF(COUNTIFS('执行日志'!$A$7:$A$306,A7)&lt;&gt;1,"编号重复",IF(COUNTIFS('问题总览'!$A$7:$A$306,B7)&lt;&gt;1,"问题引用无效",IF(OR(L7="已更正",L7="撤销"),"排除汇总",IF(L7&lt;&gt;"有效","待补记录状态",IF(COUNTIFS('方案版本'!$A$7:$A$306,C7,'方案版本'!$B$7:$B$306,B7,'方案版本'!$L$7:$L$306,"已冻结")&lt;&gt;1,"方案引用无效",IF(OR(D7="",NOT(ISNUMBER(E7)),NOT(ISNUMBER(F7)),G7="",K7=""),"待补执行信息",IF(OR(NOT(ISNUMBER(H7)),H7&lt;0,NOT(ISNUMBER(J7)),J7&lt;0),"支出或耗时待补",IF(COUNTIFS('问题总览'!$A$7:$A$306,B7,'问题总览'!$J$7:$J$306,I7)&lt;&gt;1,"币种不匹配",IF(AND(M7&lt;&gt;"",OR(M7=A7,COUNTIFS('执行日志'!$A$7:$A$306,M7,'执行日志'!$B$7:$B$306,B7,'执行日志'!$L$7:$L$306,"已更正")&lt;&gt;1)),"更正引用待核对","有效输入"))))))))))</x:f>
      </x:c>
    </x:row>
    <x:row r="8" ht="25" customHeight="1">
      <x:c r="A8" s="3"/>
      <x:c r="B8" s="3"/>
      <x:c r="C8" s="3"/>
      <x:c r="D8" s="3"/>
      <x:c r="E8" s="25"/>
      <x:c r="F8" s="25"/>
      <x:c r="G8" s="3"/>
      <x:c r="H8" s="22"/>
      <x:c r="I8" s="3"/>
      <x:c r="J8" s="22"/>
      <x:c r="K8" s="3"/>
      <x:c r="L8" s="3"/>
      <x:c r="M8" s="3"/>
      <x:c r="N8" s="3"/>
      <x:c r="O8" s="3"/>
      <x:c r="P8" s="19" t="str">
        <x:f>IF(A8="","",IF(COUNTIFS('执行日志'!$A$7:$A$306,A8)&lt;&gt;1,"编号重复",IF(COUNTIFS('问题总览'!$A$7:$A$306,B8)&lt;&gt;1,"问题引用无效",IF(OR(L8="已更正",L8="撤销"),"排除汇总",IF(L8&lt;&gt;"有效","待补记录状态",IF(COUNTIFS('方案版本'!$A$7:$A$306,C8,'方案版本'!$B$7:$B$306,B8,'方案版本'!$L$7:$L$306,"已冻结")&lt;&gt;1,"方案引用无效",IF(OR(D8="",NOT(ISNUMBER(E8)),NOT(ISNUMBER(F8)),G8="",K8=""),"待补执行信息",IF(OR(NOT(ISNUMBER(H8)),H8&lt;0,NOT(ISNUMBER(J8)),J8&lt;0),"支出或耗时待补",IF(COUNTIFS('问题总览'!$A$7:$A$306,B8,'问题总览'!$J$7:$J$306,I8)&lt;&gt;1,"币种不匹配",IF(AND(M8&lt;&gt;"",OR(M8=A8,COUNTIFS('执行日志'!$A$7:$A$306,M8,'执行日志'!$B$7:$B$306,B8,'执行日志'!$L$7:$L$306,"已更正")&lt;&gt;1)),"更正引用待核对","有效输入"))))))))))</x:f>
      </x:c>
    </x:row>
    <x:row r="9" ht="25" customHeight="1">
      <x:c r="A9" s="3"/>
      <x:c r="B9" s="3"/>
      <x:c r="C9" s="3"/>
      <x:c r="D9" s="3"/>
      <x:c r="E9" s="25"/>
      <x:c r="F9" s="25"/>
      <x:c r="G9" s="3"/>
      <x:c r="H9" s="22"/>
      <x:c r="I9" s="3"/>
      <x:c r="J9" s="22"/>
      <x:c r="K9" s="3"/>
      <x:c r="L9" s="3"/>
      <x:c r="M9" s="3"/>
      <x:c r="N9" s="3"/>
      <x:c r="O9" s="3"/>
      <x:c r="P9" s="19" t="str">
        <x:f>IF(A9="","",IF(COUNTIFS('执行日志'!$A$7:$A$306,A9)&lt;&gt;1,"编号重复",IF(COUNTIFS('问题总览'!$A$7:$A$306,B9)&lt;&gt;1,"问题引用无效",IF(OR(L9="已更正",L9="撤销"),"排除汇总",IF(L9&lt;&gt;"有效","待补记录状态",IF(COUNTIFS('方案版本'!$A$7:$A$306,C9,'方案版本'!$B$7:$B$306,B9,'方案版本'!$L$7:$L$306,"已冻结")&lt;&gt;1,"方案引用无效",IF(OR(D9="",NOT(ISNUMBER(E9)),NOT(ISNUMBER(F9)),G9="",K9=""),"待补执行信息",IF(OR(NOT(ISNUMBER(H9)),H9&lt;0,NOT(ISNUMBER(J9)),J9&lt;0),"支出或耗时待补",IF(COUNTIFS('问题总览'!$A$7:$A$306,B9,'问题总览'!$J$7:$J$306,I9)&lt;&gt;1,"币种不匹配",IF(AND(M9&lt;&gt;"",OR(M9=A9,COUNTIFS('执行日志'!$A$7:$A$306,M9,'执行日志'!$B$7:$B$306,B9,'执行日志'!$L$7:$L$306,"已更正")&lt;&gt;1)),"更正引用待核对","有效输入"))))))))))</x:f>
      </x:c>
    </x:row>
    <x:row r="10" ht="25" customHeight="1">
      <x:c r="A10" s="3"/>
      <x:c r="B10" s="3"/>
      <x:c r="C10" s="3"/>
      <x:c r="D10" s="3"/>
      <x:c r="E10" s="25"/>
      <x:c r="F10" s="25"/>
      <x:c r="G10" s="3"/>
      <x:c r="H10" s="22"/>
      <x:c r="I10" s="3"/>
      <x:c r="J10" s="22"/>
      <x:c r="K10" s="3"/>
      <x:c r="L10" s="3"/>
      <x:c r="M10" s="3"/>
      <x:c r="N10" s="3"/>
      <x:c r="O10" s="3"/>
      <x:c r="P10" s="19" t="str">
        <x:f>IF(A10="","",IF(COUNTIFS('执行日志'!$A$7:$A$306,A10)&lt;&gt;1,"编号重复",IF(COUNTIFS('问题总览'!$A$7:$A$306,B10)&lt;&gt;1,"问题引用无效",IF(OR(L10="已更正",L10="撤销"),"排除汇总",IF(L10&lt;&gt;"有效","待补记录状态",IF(COUNTIFS('方案版本'!$A$7:$A$306,C10,'方案版本'!$B$7:$B$306,B10,'方案版本'!$L$7:$L$306,"已冻结")&lt;&gt;1,"方案引用无效",IF(OR(D10="",NOT(ISNUMBER(E10)),NOT(ISNUMBER(F10)),G10="",K10=""),"待补执行信息",IF(OR(NOT(ISNUMBER(H10)),H10&lt;0,NOT(ISNUMBER(J10)),J10&lt;0),"支出或耗时待补",IF(COUNTIFS('问题总览'!$A$7:$A$306,B10,'问题总览'!$J$7:$J$306,I10)&lt;&gt;1,"币种不匹配",IF(AND(M10&lt;&gt;"",OR(M10=A10,COUNTIFS('执行日志'!$A$7:$A$306,M10,'执行日志'!$B$7:$B$306,B10,'执行日志'!$L$7:$L$306,"已更正")&lt;&gt;1)),"更正引用待核对","有效输入"))))))))))</x:f>
      </x:c>
    </x:row>
    <x:row r="11" ht="25" customHeight="1">
      <x:c r="A11" s="3"/>
      <x:c r="B11" s="3"/>
      <x:c r="C11" s="3"/>
      <x:c r="D11" s="3"/>
      <x:c r="E11" s="25"/>
      <x:c r="F11" s="25"/>
      <x:c r="G11" s="3"/>
      <x:c r="H11" s="22"/>
      <x:c r="I11" s="3"/>
      <x:c r="J11" s="22"/>
      <x:c r="K11" s="3"/>
      <x:c r="L11" s="3"/>
      <x:c r="M11" s="3"/>
      <x:c r="N11" s="3"/>
      <x:c r="O11" s="3"/>
      <x:c r="P11" s="19" t="str">
        <x:f>IF(A11="","",IF(COUNTIFS('执行日志'!$A$7:$A$306,A11)&lt;&gt;1,"编号重复",IF(COUNTIFS('问题总览'!$A$7:$A$306,B11)&lt;&gt;1,"问题引用无效",IF(OR(L11="已更正",L11="撤销"),"排除汇总",IF(L11&lt;&gt;"有效","待补记录状态",IF(COUNTIFS('方案版本'!$A$7:$A$306,C11,'方案版本'!$B$7:$B$306,B11,'方案版本'!$L$7:$L$306,"已冻结")&lt;&gt;1,"方案引用无效",IF(OR(D11="",NOT(ISNUMBER(E11)),NOT(ISNUMBER(F11)),G11="",K11=""),"待补执行信息",IF(OR(NOT(ISNUMBER(H11)),H11&lt;0,NOT(ISNUMBER(J11)),J11&lt;0),"支出或耗时待补",IF(COUNTIFS('问题总览'!$A$7:$A$306,B11,'问题总览'!$J$7:$J$306,I11)&lt;&gt;1,"币种不匹配",IF(AND(M11&lt;&gt;"",OR(M11=A11,COUNTIFS('执行日志'!$A$7:$A$306,M11,'执行日志'!$B$7:$B$306,B11,'执行日志'!$L$7:$L$306,"已更正")&lt;&gt;1)),"更正引用待核对","有效输入"))))))))))</x:f>
      </x:c>
    </x:row>
    <x:row r="12" ht="25" customHeight="1">
      <x:c r="A12" s="3"/>
      <x:c r="B12" s="3"/>
      <x:c r="C12" s="3"/>
      <x:c r="D12" s="3"/>
      <x:c r="E12" s="25"/>
      <x:c r="F12" s="25"/>
      <x:c r="G12" s="3"/>
      <x:c r="H12" s="22"/>
      <x:c r="I12" s="3"/>
      <x:c r="J12" s="22"/>
      <x:c r="K12" s="3"/>
      <x:c r="L12" s="3"/>
      <x:c r="M12" s="3"/>
      <x:c r="N12" s="3"/>
      <x:c r="O12" s="3"/>
      <x:c r="P12" s="19" t="str">
        <x:f>IF(A12="","",IF(COUNTIFS('执行日志'!$A$7:$A$306,A12)&lt;&gt;1,"编号重复",IF(COUNTIFS('问题总览'!$A$7:$A$306,B12)&lt;&gt;1,"问题引用无效",IF(OR(L12="已更正",L12="撤销"),"排除汇总",IF(L12&lt;&gt;"有效","待补记录状态",IF(COUNTIFS('方案版本'!$A$7:$A$306,C12,'方案版本'!$B$7:$B$306,B12,'方案版本'!$L$7:$L$306,"已冻结")&lt;&gt;1,"方案引用无效",IF(OR(D12="",NOT(ISNUMBER(E12)),NOT(ISNUMBER(F12)),G12="",K12=""),"待补执行信息",IF(OR(NOT(ISNUMBER(H12)),H12&lt;0,NOT(ISNUMBER(J12)),J12&lt;0),"支出或耗时待补",IF(COUNTIFS('问题总览'!$A$7:$A$306,B12,'问题总览'!$J$7:$J$306,I12)&lt;&gt;1,"币种不匹配",IF(AND(M12&lt;&gt;"",OR(M12=A12,COUNTIFS('执行日志'!$A$7:$A$306,M12,'执行日志'!$B$7:$B$306,B12,'执行日志'!$L$7:$L$306,"已更正")&lt;&gt;1)),"更正引用待核对","有效输入"))))))))))</x:f>
      </x:c>
    </x:row>
    <x:row r="13" ht="25" customHeight="1">
      <x:c r="A13" s="3"/>
      <x:c r="B13" s="3"/>
      <x:c r="C13" s="3"/>
      <x:c r="D13" s="3"/>
      <x:c r="E13" s="25"/>
      <x:c r="F13" s="25"/>
      <x:c r="G13" s="3"/>
      <x:c r="H13" s="22"/>
      <x:c r="I13" s="3"/>
      <x:c r="J13" s="22"/>
      <x:c r="K13" s="3"/>
      <x:c r="L13" s="3"/>
      <x:c r="M13" s="3"/>
      <x:c r="N13" s="3"/>
      <x:c r="O13" s="3"/>
      <x:c r="P13" s="19" t="str">
        <x:f>IF(A13="","",IF(COUNTIFS('执行日志'!$A$7:$A$306,A13)&lt;&gt;1,"编号重复",IF(COUNTIFS('问题总览'!$A$7:$A$306,B13)&lt;&gt;1,"问题引用无效",IF(OR(L13="已更正",L13="撤销"),"排除汇总",IF(L13&lt;&gt;"有效","待补记录状态",IF(COUNTIFS('方案版本'!$A$7:$A$306,C13,'方案版本'!$B$7:$B$306,B13,'方案版本'!$L$7:$L$306,"已冻结")&lt;&gt;1,"方案引用无效",IF(OR(D13="",NOT(ISNUMBER(E13)),NOT(ISNUMBER(F13)),G13="",K13=""),"待补执行信息",IF(OR(NOT(ISNUMBER(H13)),H13&lt;0,NOT(ISNUMBER(J13)),J13&lt;0),"支出或耗时待补",IF(COUNTIFS('问题总览'!$A$7:$A$306,B13,'问题总览'!$J$7:$J$306,I13)&lt;&gt;1,"币种不匹配",IF(AND(M13&lt;&gt;"",OR(M13=A13,COUNTIFS('执行日志'!$A$7:$A$306,M13,'执行日志'!$B$7:$B$306,B13,'执行日志'!$L$7:$L$306,"已更正")&lt;&gt;1)),"更正引用待核对","有效输入"))))))))))</x:f>
      </x:c>
    </x:row>
    <x:row r="14" ht="25" customHeight="1">
      <x:c r="A14" s="3"/>
      <x:c r="B14" s="3"/>
      <x:c r="C14" s="3"/>
      <x:c r="D14" s="3"/>
      <x:c r="E14" s="25"/>
      <x:c r="F14" s="25"/>
      <x:c r="G14" s="3"/>
      <x:c r="H14" s="22"/>
      <x:c r="I14" s="3"/>
      <x:c r="J14" s="22"/>
      <x:c r="K14" s="3"/>
      <x:c r="L14" s="3"/>
      <x:c r="M14" s="3"/>
      <x:c r="N14" s="3"/>
      <x:c r="O14" s="3"/>
      <x:c r="P14" s="19" t="str">
        <x:f>IF(A14="","",IF(COUNTIFS('执行日志'!$A$7:$A$306,A14)&lt;&gt;1,"编号重复",IF(COUNTIFS('问题总览'!$A$7:$A$306,B14)&lt;&gt;1,"问题引用无效",IF(OR(L14="已更正",L14="撤销"),"排除汇总",IF(L14&lt;&gt;"有效","待补记录状态",IF(COUNTIFS('方案版本'!$A$7:$A$306,C14,'方案版本'!$B$7:$B$306,B14,'方案版本'!$L$7:$L$306,"已冻结")&lt;&gt;1,"方案引用无效",IF(OR(D14="",NOT(ISNUMBER(E14)),NOT(ISNUMBER(F14)),G14="",K14=""),"待补执行信息",IF(OR(NOT(ISNUMBER(H14)),H14&lt;0,NOT(ISNUMBER(J14)),J14&lt;0),"支出或耗时待补",IF(COUNTIFS('问题总览'!$A$7:$A$306,B14,'问题总览'!$J$7:$J$306,I14)&lt;&gt;1,"币种不匹配",IF(AND(M14&lt;&gt;"",OR(M14=A14,COUNTIFS('执行日志'!$A$7:$A$306,M14,'执行日志'!$B$7:$B$306,B14,'执行日志'!$L$7:$L$306,"已更正")&lt;&gt;1)),"更正引用待核对","有效输入"))))))))))</x:f>
      </x:c>
    </x:row>
    <x:row r="15" ht="25" customHeight="1">
      <x:c r="A15" s="3"/>
      <x:c r="B15" s="3"/>
      <x:c r="C15" s="3"/>
      <x:c r="D15" s="3"/>
      <x:c r="E15" s="25"/>
      <x:c r="F15" s="25"/>
      <x:c r="G15" s="3"/>
      <x:c r="H15" s="22"/>
      <x:c r="I15" s="3"/>
      <x:c r="J15" s="22"/>
      <x:c r="K15" s="3"/>
      <x:c r="L15" s="3"/>
      <x:c r="M15" s="3"/>
      <x:c r="N15" s="3"/>
      <x:c r="O15" s="3"/>
      <x:c r="P15" s="19" t="str">
        <x:f>IF(A15="","",IF(COUNTIFS('执行日志'!$A$7:$A$306,A15)&lt;&gt;1,"编号重复",IF(COUNTIFS('问题总览'!$A$7:$A$306,B15)&lt;&gt;1,"问题引用无效",IF(OR(L15="已更正",L15="撤销"),"排除汇总",IF(L15&lt;&gt;"有效","待补记录状态",IF(COUNTIFS('方案版本'!$A$7:$A$306,C15,'方案版本'!$B$7:$B$306,B15,'方案版本'!$L$7:$L$306,"已冻结")&lt;&gt;1,"方案引用无效",IF(OR(D15="",NOT(ISNUMBER(E15)),NOT(ISNUMBER(F15)),G15="",K15=""),"待补执行信息",IF(OR(NOT(ISNUMBER(H15)),H15&lt;0,NOT(ISNUMBER(J15)),J15&lt;0),"支出或耗时待补",IF(COUNTIFS('问题总览'!$A$7:$A$306,B15,'问题总览'!$J$7:$J$306,I15)&lt;&gt;1,"币种不匹配",IF(AND(M15&lt;&gt;"",OR(M15=A15,COUNTIFS('执行日志'!$A$7:$A$306,M15,'执行日志'!$B$7:$B$306,B15,'执行日志'!$L$7:$L$306,"已更正")&lt;&gt;1)),"更正引用待核对","有效输入"))))))))))</x:f>
      </x:c>
    </x:row>
    <x:row r="16" ht="25" customHeight="1">
      <x:c r="A16" s="3"/>
      <x:c r="B16" s="3"/>
      <x:c r="C16" s="3"/>
      <x:c r="D16" s="3"/>
      <x:c r="E16" s="25"/>
      <x:c r="F16" s="25"/>
      <x:c r="G16" s="3"/>
      <x:c r="H16" s="22"/>
      <x:c r="I16" s="3"/>
      <x:c r="J16" s="22"/>
      <x:c r="K16" s="3"/>
      <x:c r="L16" s="3"/>
      <x:c r="M16" s="3"/>
      <x:c r="N16" s="3"/>
      <x:c r="O16" s="3"/>
      <x:c r="P16" s="19" t="str">
        <x:f>IF(A16="","",IF(COUNTIFS('执行日志'!$A$7:$A$306,A16)&lt;&gt;1,"编号重复",IF(COUNTIFS('问题总览'!$A$7:$A$306,B16)&lt;&gt;1,"问题引用无效",IF(OR(L16="已更正",L16="撤销"),"排除汇总",IF(L16&lt;&gt;"有效","待补记录状态",IF(COUNTIFS('方案版本'!$A$7:$A$306,C16,'方案版本'!$B$7:$B$306,B16,'方案版本'!$L$7:$L$306,"已冻结")&lt;&gt;1,"方案引用无效",IF(OR(D16="",NOT(ISNUMBER(E16)),NOT(ISNUMBER(F16)),G16="",K16=""),"待补执行信息",IF(OR(NOT(ISNUMBER(H16)),H16&lt;0,NOT(ISNUMBER(J16)),J16&lt;0),"支出或耗时待补",IF(COUNTIFS('问题总览'!$A$7:$A$306,B16,'问题总览'!$J$7:$J$306,I16)&lt;&gt;1,"币种不匹配",IF(AND(M16&lt;&gt;"",OR(M16=A16,COUNTIFS('执行日志'!$A$7:$A$306,M16,'执行日志'!$B$7:$B$306,B16,'执行日志'!$L$7:$L$306,"已更正")&lt;&gt;1)),"更正引用待核对","有效输入"))))))))))</x:f>
      </x:c>
    </x:row>
    <x:row r="17" ht="25" customHeight="1">
      <x:c r="A17" s="3"/>
      <x:c r="B17" s="3"/>
      <x:c r="C17" s="3"/>
      <x:c r="D17" s="3"/>
      <x:c r="E17" s="25"/>
      <x:c r="F17" s="25"/>
      <x:c r="G17" s="3"/>
      <x:c r="H17" s="22"/>
      <x:c r="I17" s="3"/>
      <x:c r="J17" s="22"/>
      <x:c r="K17" s="3"/>
      <x:c r="L17" s="3"/>
      <x:c r="M17" s="3"/>
      <x:c r="N17" s="3"/>
      <x:c r="O17" s="3"/>
      <x:c r="P17" s="19" t="str">
        <x:f>IF(A17="","",IF(COUNTIFS('执行日志'!$A$7:$A$306,A17)&lt;&gt;1,"编号重复",IF(COUNTIFS('问题总览'!$A$7:$A$306,B17)&lt;&gt;1,"问题引用无效",IF(OR(L17="已更正",L17="撤销"),"排除汇总",IF(L17&lt;&gt;"有效","待补记录状态",IF(COUNTIFS('方案版本'!$A$7:$A$306,C17,'方案版本'!$B$7:$B$306,B17,'方案版本'!$L$7:$L$306,"已冻结")&lt;&gt;1,"方案引用无效",IF(OR(D17="",NOT(ISNUMBER(E17)),NOT(ISNUMBER(F17)),G17="",K17=""),"待补执行信息",IF(OR(NOT(ISNUMBER(H17)),H17&lt;0,NOT(ISNUMBER(J17)),J17&lt;0),"支出或耗时待补",IF(COUNTIFS('问题总览'!$A$7:$A$306,B17,'问题总览'!$J$7:$J$306,I17)&lt;&gt;1,"币种不匹配",IF(AND(M17&lt;&gt;"",OR(M17=A17,COUNTIFS('执行日志'!$A$7:$A$306,M17,'执行日志'!$B$7:$B$306,B17,'执行日志'!$L$7:$L$306,"已更正")&lt;&gt;1)),"更正引用待核对","有效输入"))))))))))</x:f>
      </x:c>
    </x:row>
    <x:row r="18" ht="25" customHeight="1">
      <x:c r="A18" s="3"/>
      <x:c r="B18" s="3"/>
      <x:c r="C18" s="3"/>
      <x:c r="D18" s="3"/>
      <x:c r="E18" s="25"/>
      <x:c r="F18" s="25"/>
      <x:c r="G18" s="3"/>
      <x:c r="H18" s="22"/>
      <x:c r="I18" s="3"/>
      <x:c r="J18" s="22"/>
      <x:c r="K18" s="3"/>
      <x:c r="L18" s="3"/>
      <x:c r="M18" s="3"/>
      <x:c r="N18" s="3"/>
      <x:c r="O18" s="3"/>
      <x:c r="P18" s="19" t="str">
        <x:f>IF(A18="","",IF(COUNTIFS('执行日志'!$A$7:$A$306,A18)&lt;&gt;1,"编号重复",IF(COUNTIFS('问题总览'!$A$7:$A$306,B18)&lt;&gt;1,"问题引用无效",IF(OR(L18="已更正",L18="撤销"),"排除汇总",IF(L18&lt;&gt;"有效","待补记录状态",IF(COUNTIFS('方案版本'!$A$7:$A$306,C18,'方案版本'!$B$7:$B$306,B18,'方案版本'!$L$7:$L$306,"已冻结")&lt;&gt;1,"方案引用无效",IF(OR(D18="",NOT(ISNUMBER(E18)),NOT(ISNUMBER(F18)),G18="",K18=""),"待补执行信息",IF(OR(NOT(ISNUMBER(H18)),H18&lt;0,NOT(ISNUMBER(J18)),J18&lt;0),"支出或耗时待补",IF(COUNTIFS('问题总览'!$A$7:$A$306,B18,'问题总览'!$J$7:$J$306,I18)&lt;&gt;1,"币种不匹配",IF(AND(M18&lt;&gt;"",OR(M18=A18,COUNTIFS('执行日志'!$A$7:$A$306,M18,'执行日志'!$B$7:$B$306,B18,'执行日志'!$L$7:$L$306,"已更正")&lt;&gt;1)),"更正引用待核对","有效输入"))))))))))</x:f>
      </x:c>
    </x:row>
    <x:row r="19" ht="25" customHeight="1">
      <x:c r="A19" s="3"/>
      <x:c r="B19" s="3"/>
      <x:c r="C19" s="3"/>
      <x:c r="D19" s="3"/>
      <x:c r="E19" s="25"/>
      <x:c r="F19" s="25"/>
      <x:c r="G19" s="3"/>
      <x:c r="H19" s="22"/>
      <x:c r="I19" s="3"/>
      <x:c r="J19" s="22"/>
      <x:c r="K19" s="3"/>
      <x:c r="L19" s="3"/>
      <x:c r="M19" s="3"/>
      <x:c r="N19" s="3"/>
      <x:c r="O19" s="3"/>
      <x:c r="P19" s="19" t="str">
        <x:f>IF(A19="","",IF(COUNTIFS('执行日志'!$A$7:$A$306,A19)&lt;&gt;1,"编号重复",IF(COUNTIFS('问题总览'!$A$7:$A$306,B19)&lt;&gt;1,"问题引用无效",IF(OR(L19="已更正",L19="撤销"),"排除汇总",IF(L19&lt;&gt;"有效","待补记录状态",IF(COUNTIFS('方案版本'!$A$7:$A$306,C19,'方案版本'!$B$7:$B$306,B19,'方案版本'!$L$7:$L$306,"已冻结")&lt;&gt;1,"方案引用无效",IF(OR(D19="",NOT(ISNUMBER(E19)),NOT(ISNUMBER(F19)),G19="",K19=""),"待补执行信息",IF(OR(NOT(ISNUMBER(H19)),H19&lt;0,NOT(ISNUMBER(J19)),J19&lt;0),"支出或耗时待补",IF(COUNTIFS('问题总览'!$A$7:$A$306,B19,'问题总览'!$J$7:$J$306,I19)&lt;&gt;1,"币种不匹配",IF(AND(M19&lt;&gt;"",OR(M19=A19,COUNTIFS('执行日志'!$A$7:$A$306,M19,'执行日志'!$B$7:$B$306,B19,'执行日志'!$L$7:$L$306,"已更正")&lt;&gt;1)),"更正引用待核对","有效输入"))))))))))</x:f>
      </x:c>
    </x:row>
    <x:row r="20" ht="25" customHeight="1">
      <x:c r="A20" s="3"/>
      <x:c r="B20" s="3"/>
      <x:c r="C20" s="3"/>
      <x:c r="D20" s="3"/>
      <x:c r="E20" s="25"/>
      <x:c r="F20" s="25"/>
      <x:c r="G20" s="3"/>
      <x:c r="H20" s="22"/>
      <x:c r="I20" s="3"/>
      <x:c r="J20" s="22"/>
      <x:c r="K20" s="3"/>
      <x:c r="L20" s="3"/>
      <x:c r="M20" s="3"/>
      <x:c r="N20" s="3"/>
      <x:c r="O20" s="3"/>
      <x:c r="P20" s="19" t="str">
        <x:f>IF(A20="","",IF(COUNTIFS('执行日志'!$A$7:$A$306,A20)&lt;&gt;1,"编号重复",IF(COUNTIFS('问题总览'!$A$7:$A$306,B20)&lt;&gt;1,"问题引用无效",IF(OR(L20="已更正",L20="撤销"),"排除汇总",IF(L20&lt;&gt;"有效","待补记录状态",IF(COUNTIFS('方案版本'!$A$7:$A$306,C20,'方案版本'!$B$7:$B$306,B20,'方案版本'!$L$7:$L$306,"已冻结")&lt;&gt;1,"方案引用无效",IF(OR(D20="",NOT(ISNUMBER(E20)),NOT(ISNUMBER(F20)),G20="",K20=""),"待补执行信息",IF(OR(NOT(ISNUMBER(H20)),H20&lt;0,NOT(ISNUMBER(J20)),J20&lt;0),"支出或耗时待补",IF(COUNTIFS('问题总览'!$A$7:$A$306,B20,'问题总览'!$J$7:$J$306,I20)&lt;&gt;1,"币种不匹配",IF(AND(M20&lt;&gt;"",OR(M20=A20,COUNTIFS('执行日志'!$A$7:$A$306,M20,'执行日志'!$B$7:$B$306,B20,'执行日志'!$L$7:$L$306,"已更正")&lt;&gt;1)),"更正引用待核对","有效输入"))))))))))</x:f>
      </x:c>
    </x:row>
    <x:row r="21" ht="25" customHeight="1">
      <x:c r="A21" s="3"/>
      <x:c r="B21" s="3"/>
      <x:c r="C21" s="3"/>
      <x:c r="D21" s="3"/>
      <x:c r="E21" s="25"/>
      <x:c r="F21" s="25"/>
      <x:c r="G21" s="3"/>
      <x:c r="H21" s="22"/>
      <x:c r="I21" s="3"/>
      <x:c r="J21" s="22"/>
      <x:c r="K21" s="3"/>
      <x:c r="L21" s="3"/>
      <x:c r="M21" s="3"/>
      <x:c r="N21" s="3"/>
      <x:c r="O21" s="3"/>
      <x:c r="P21" s="19" t="str">
        <x:f>IF(A21="","",IF(COUNTIFS('执行日志'!$A$7:$A$306,A21)&lt;&gt;1,"编号重复",IF(COUNTIFS('问题总览'!$A$7:$A$306,B21)&lt;&gt;1,"问题引用无效",IF(OR(L21="已更正",L21="撤销"),"排除汇总",IF(L21&lt;&gt;"有效","待补记录状态",IF(COUNTIFS('方案版本'!$A$7:$A$306,C21,'方案版本'!$B$7:$B$306,B21,'方案版本'!$L$7:$L$306,"已冻结")&lt;&gt;1,"方案引用无效",IF(OR(D21="",NOT(ISNUMBER(E21)),NOT(ISNUMBER(F21)),G21="",K21=""),"待补执行信息",IF(OR(NOT(ISNUMBER(H21)),H21&lt;0,NOT(ISNUMBER(J21)),J21&lt;0),"支出或耗时待补",IF(COUNTIFS('问题总览'!$A$7:$A$306,B21,'问题总览'!$J$7:$J$306,I21)&lt;&gt;1,"币种不匹配",IF(AND(M21&lt;&gt;"",OR(M21=A21,COUNTIFS('执行日志'!$A$7:$A$306,M21,'执行日志'!$B$7:$B$306,B21,'执行日志'!$L$7:$L$306,"已更正")&lt;&gt;1)),"更正引用待核对","有效输入"))))))))))</x:f>
      </x:c>
    </x:row>
    <x:row r="22" ht="25" customHeight="1">
      <x:c r="A22" s="3"/>
      <x:c r="B22" s="3"/>
      <x:c r="C22" s="3"/>
      <x:c r="D22" s="3"/>
      <x:c r="E22" s="25"/>
      <x:c r="F22" s="25"/>
      <x:c r="G22" s="3"/>
      <x:c r="H22" s="22"/>
      <x:c r="I22" s="3"/>
      <x:c r="J22" s="22"/>
      <x:c r="K22" s="3"/>
      <x:c r="L22" s="3"/>
      <x:c r="M22" s="3"/>
      <x:c r="N22" s="3"/>
      <x:c r="O22" s="3"/>
      <x:c r="P22" s="19" t="str">
        <x:f>IF(A22="","",IF(COUNTIFS('执行日志'!$A$7:$A$306,A22)&lt;&gt;1,"编号重复",IF(COUNTIFS('问题总览'!$A$7:$A$306,B22)&lt;&gt;1,"问题引用无效",IF(OR(L22="已更正",L22="撤销"),"排除汇总",IF(L22&lt;&gt;"有效","待补记录状态",IF(COUNTIFS('方案版本'!$A$7:$A$306,C22,'方案版本'!$B$7:$B$306,B22,'方案版本'!$L$7:$L$306,"已冻结")&lt;&gt;1,"方案引用无效",IF(OR(D22="",NOT(ISNUMBER(E22)),NOT(ISNUMBER(F22)),G22="",K22=""),"待补执行信息",IF(OR(NOT(ISNUMBER(H22)),H22&lt;0,NOT(ISNUMBER(J22)),J22&lt;0),"支出或耗时待补",IF(COUNTIFS('问题总览'!$A$7:$A$306,B22,'问题总览'!$J$7:$J$306,I22)&lt;&gt;1,"币种不匹配",IF(AND(M22&lt;&gt;"",OR(M22=A22,COUNTIFS('执行日志'!$A$7:$A$306,M22,'执行日志'!$B$7:$B$306,B22,'执行日志'!$L$7:$L$306,"已更正")&lt;&gt;1)),"更正引用待核对","有效输入"))))))))))</x:f>
      </x:c>
    </x:row>
    <x:row r="23" ht="25" customHeight="1">
      <x:c r="A23" s="3"/>
      <x:c r="B23" s="3"/>
      <x:c r="C23" s="3"/>
      <x:c r="D23" s="3"/>
      <x:c r="E23" s="25"/>
      <x:c r="F23" s="25"/>
      <x:c r="G23" s="3"/>
      <x:c r="H23" s="22"/>
      <x:c r="I23" s="3"/>
      <x:c r="J23" s="22"/>
      <x:c r="K23" s="3"/>
      <x:c r="L23" s="3"/>
      <x:c r="M23" s="3"/>
      <x:c r="N23" s="3"/>
      <x:c r="O23" s="3"/>
      <x:c r="P23" s="19" t="str">
        <x:f>IF(A23="","",IF(COUNTIFS('执行日志'!$A$7:$A$306,A23)&lt;&gt;1,"编号重复",IF(COUNTIFS('问题总览'!$A$7:$A$306,B23)&lt;&gt;1,"问题引用无效",IF(OR(L23="已更正",L23="撤销"),"排除汇总",IF(L23&lt;&gt;"有效","待补记录状态",IF(COUNTIFS('方案版本'!$A$7:$A$306,C23,'方案版本'!$B$7:$B$306,B23,'方案版本'!$L$7:$L$306,"已冻结")&lt;&gt;1,"方案引用无效",IF(OR(D23="",NOT(ISNUMBER(E23)),NOT(ISNUMBER(F23)),G23="",K23=""),"待补执行信息",IF(OR(NOT(ISNUMBER(H23)),H23&lt;0,NOT(ISNUMBER(J23)),J23&lt;0),"支出或耗时待补",IF(COUNTIFS('问题总览'!$A$7:$A$306,B23,'问题总览'!$J$7:$J$306,I23)&lt;&gt;1,"币种不匹配",IF(AND(M23&lt;&gt;"",OR(M23=A23,COUNTIFS('执行日志'!$A$7:$A$306,M23,'执行日志'!$B$7:$B$306,B23,'执行日志'!$L$7:$L$306,"已更正")&lt;&gt;1)),"更正引用待核对","有效输入"))))))))))</x:f>
      </x:c>
    </x:row>
    <x:row r="24" ht="25" customHeight="1">
      <x:c r="A24" s="3"/>
      <x:c r="B24" s="3"/>
      <x:c r="C24" s="3"/>
      <x:c r="D24" s="3"/>
      <x:c r="E24" s="25"/>
      <x:c r="F24" s="25"/>
      <x:c r="G24" s="3"/>
      <x:c r="H24" s="22"/>
      <x:c r="I24" s="3"/>
      <x:c r="J24" s="22"/>
      <x:c r="K24" s="3"/>
      <x:c r="L24" s="3"/>
      <x:c r="M24" s="3"/>
      <x:c r="N24" s="3"/>
      <x:c r="O24" s="3"/>
      <x:c r="P24" s="19" t="str">
        <x:f>IF(A24="","",IF(COUNTIFS('执行日志'!$A$7:$A$306,A24)&lt;&gt;1,"编号重复",IF(COUNTIFS('问题总览'!$A$7:$A$306,B24)&lt;&gt;1,"问题引用无效",IF(OR(L24="已更正",L24="撤销"),"排除汇总",IF(L24&lt;&gt;"有效","待补记录状态",IF(COUNTIFS('方案版本'!$A$7:$A$306,C24,'方案版本'!$B$7:$B$306,B24,'方案版本'!$L$7:$L$306,"已冻结")&lt;&gt;1,"方案引用无效",IF(OR(D24="",NOT(ISNUMBER(E24)),NOT(ISNUMBER(F24)),G24="",K24=""),"待补执行信息",IF(OR(NOT(ISNUMBER(H24)),H24&lt;0,NOT(ISNUMBER(J24)),J24&lt;0),"支出或耗时待补",IF(COUNTIFS('问题总览'!$A$7:$A$306,B24,'问题总览'!$J$7:$J$306,I24)&lt;&gt;1,"币种不匹配",IF(AND(M24&lt;&gt;"",OR(M24=A24,COUNTIFS('执行日志'!$A$7:$A$306,M24,'执行日志'!$B$7:$B$306,B24,'执行日志'!$L$7:$L$306,"已更正")&lt;&gt;1)),"更正引用待核对","有效输入"))))))))))</x:f>
      </x:c>
    </x:row>
    <x:row r="25" ht="25" customHeight="1">
      <x:c r="A25" s="3"/>
      <x:c r="B25" s="3"/>
      <x:c r="C25" s="3"/>
      <x:c r="D25" s="3"/>
      <x:c r="E25" s="25"/>
      <x:c r="F25" s="25"/>
      <x:c r="G25" s="3"/>
      <x:c r="H25" s="22"/>
      <x:c r="I25" s="3"/>
      <x:c r="J25" s="22"/>
      <x:c r="K25" s="3"/>
      <x:c r="L25" s="3"/>
      <x:c r="M25" s="3"/>
      <x:c r="N25" s="3"/>
      <x:c r="O25" s="3"/>
      <x:c r="P25" s="19" t="str">
        <x:f>IF(A25="","",IF(COUNTIFS('执行日志'!$A$7:$A$306,A25)&lt;&gt;1,"编号重复",IF(COUNTIFS('问题总览'!$A$7:$A$306,B25)&lt;&gt;1,"问题引用无效",IF(OR(L25="已更正",L25="撤销"),"排除汇总",IF(L25&lt;&gt;"有效","待补记录状态",IF(COUNTIFS('方案版本'!$A$7:$A$306,C25,'方案版本'!$B$7:$B$306,B25,'方案版本'!$L$7:$L$306,"已冻结")&lt;&gt;1,"方案引用无效",IF(OR(D25="",NOT(ISNUMBER(E25)),NOT(ISNUMBER(F25)),G25="",K25=""),"待补执行信息",IF(OR(NOT(ISNUMBER(H25)),H25&lt;0,NOT(ISNUMBER(J25)),J25&lt;0),"支出或耗时待补",IF(COUNTIFS('问题总览'!$A$7:$A$306,B25,'问题总览'!$J$7:$J$306,I25)&lt;&gt;1,"币种不匹配",IF(AND(M25&lt;&gt;"",OR(M25=A25,COUNTIFS('执行日志'!$A$7:$A$306,M25,'执行日志'!$B$7:$B$306,B25,'执行日志'!$L$7:$L$306,"已更正")&lt;&gt;1)),"更正引用待核对","有效输入"))))))))))</x:f>
      </x:c>
    </x:row>
    <x:row r="26" ht="25" customHeight="1">
      <x:c r="A26" s="3"/>
      <x:c r="B26" s="3"/>
      <x:c r="C26" s="3"/>
      <x:c r="D26" s="3"/>
      <x:c r="E26" s="25"/>
      <x:c r="F26" s="25"/>
      <x:c r="G26" s="3"/>
      <x:c r="H26" s="22"/>
      <x:c r="I26" s="3"/>
      <x:c r="J26" s="22"/>
      <x:c r="K26" s="3"/>
      <x:c r="L26" s="3"/>
      <x:c r="M26" s="3"/>
      <x:c r="N26" s="3"/>
      <x:c r="O26" s="3"/>
      <x:c r="P26" s="19" t="str">
        <x:f>IF(A26="","",IF(COUNTIFS('执行日志'!$A$7:$A$306,A26)&lt;&gt;1,"编号重复",IF(COUNTIFS('问题总览'!$A$7:$A$306,B26)&lt;&gt;1,"问题引用无效",IF(OR(L26="已更正",L26="撤销"),"排除汇总",IF(L26&lt;&gt;"有效","待补记录状态",IF(COUNTIFS('方案版本'!$A$7:$A$306,C26,'方案版本'!$B$7:$B$306,B26,'方案版本'!$L$7:$L$306,"已冻结")&lt;&gt;1,"方案引用无效",IF(OR(D26="",NOT(ISNUMBER(E26)),NOT(ISNUMBER(F26)),G26="",K26=""),"待补执行信息",IF(OR(NOT(ISNUMBER(H26)),H26&lt;0,NOT(ISNUMBER(J26)),J26&lt;0),"支出或耗时待补",IF(COUNTIFS('问题总览'!$A$7:$A$306,B26,'问题总览'!$J$7:$J$306,I26)&lt;&gt;1,"币种不匹配",IF(AND(M26&lt;&gt;"",OR(M26=A26,COUNTIFS('执行日志'!$A$7:$A$306,M26,'执行日志'!$B$7:$B$306,B26,'执行日志'!$L$7:$L$306,"已更正")&lt;&gt;1)),"更正引用待核对","有效输入"))))))))))</x:f>
      </x:c>
    </x:row>
    <x:row r="27" ht="25" customHeight="1">
      <x:c r="A27" s="3"/>
      <x:c r="B27" s="3"/>
      <x:c r="C27" s="3"/>
      <x:c r="D27" s="3"/>
      <x:c r="E27" s="25"/>
      <x:c r="F27" s="25"/>
      <x:c r="G27" s="3"/>
      <x:c r="H27" s="22"/>
      <x:c r="I27" s="3"/>
      <x:c r="J27" s="22"/>
      <x:c r="K27" s="3"/>
      <x:c r="L27" s="3"/>
      <x:c r="M27" s="3"/>
      <x:c r="N27" s="3"/>
      <x:c r="O27" s="3"/>
      <x:c r="P27" s="19" t="str">
        <x:f>IF(A27="","",IF(COUNTIFS('执行日志'!$A$7:$A$306,A27)&lt;&gt;1,"编号重复",IF(COUNTIFS('问题总览'!$A$7:$A$306,B27)&lt;&gt;1,"问题引用无效",IF(OR(L27="已更正",L27="撤销"),"排除汇总",IF(L27&lt;&gt;"有效","待补记录状态",IF(COUNTIFS('方案版本'!$A$7:$A$306,C27,'方案版本'!$B$7:$B$306,B27,'方案版本'!$L$7:$L$306,"已冻结")&lt;&gt;1,"方案引用无效",IF(OR(D27="",NOT(ISNUMBER(E27)),NOT(ISNUMBER(F27)),G27="",K27=""),"待补执行信息",IF(OR(NOT(ISNUMBER(H27)),H27&lt;0,NOT(ISNUMBER(J27)),J27&lt;0),"支出或耗时待补",IF(COUNTIFS('问题总览'!$A$7:$A$306,B27,'问题总览'!$J$7:$J$306,I27)&lt;&gt;1,"币种不匹配",IF(AND(M27&lt;&gt;"",OR(M27=A27,COUNTIFS('执行日志'!$A$7:$A$306,M27,'执行日志'!$B$7:$B$306,B27,'执行日志'!$L$7:$L$306,"已更正")&lt;&gt;1)),"更正引用待核对","有效输入"))))))))))</x:f>
      </x:c>
    </x:row>
    <x:row r="28" ht="25" customHeight="1">
      <x:c r="A28" s="3"/>
      <x:c r="B28" s="3"/>
      <x:c r="C28" s="3"/>
      <x:c r="D28" s="3"/>
      <x:c r="E28" s="25"/>
      <x:c r="F28" s="25"/>
      <x:c r="G28" s="3"/>
      <x:c r="H28" s="22"/>
      <x:c r="I28" s="3"/>
      <x:c r="J28" s="22"/>
      <x:c r="K28" s="3"/>
      <x:c r="L28" s="3"/>
      <x:c r="M28" s="3"/>
      <x:c r="N28" s="3"/>
      <x:c r="O28" s="3"/>
      <x:c r="P28" s="19" t="str">
        <x:f>IF(A28="","",IF(COUNTIFS('执行日志'!$A$7:$A$306,A28)&lt;&gt;1,"编号重复",IF(COUNTIFS('问题总览'!$A$7:$A$306,B28)&lt;&gt;1,"问题引用无效",IF(OR(L28="已更正",L28="撤销"),"排除汇总",IF(L28&lt;&gt;"有效","待补记录状态",IF(COUNTIFS('方案版本'!$A$7:$A$306,C28,'方案版本'!$B$7:$B$306,B28,'方案版本'!$L$7:$L$306,"已冻结")&lt;&gt;1,"方案引用无效",IF(OR(D28="",NOT(ISNUMBER(E28)),NOT(ISNUMBER(F28)),G28="",K28=""),"待补执行信息",IF(OR(NOT(ISNUMBER(H28)),H28&lt;0,NOT(ISNUMBER(J28)),J28&lt;0),"支出或耗时待补",IF(COUNTIFS('问题总览'!$A$7:$A$306,B28,'问题总览'!$J$7:$J$306,I28)&lt;&gt;1,"币种不匹配",IF(AND(M28&lt;&gt;"",OR(M28=A28,COUNTIFS('执行日志'!$A$7:$A$306,M28,'执行日志'!$B$7:$B$306,B28,'执行日志'!$L$7:$L$306,"已更正")&lt;&gt;1)),"更正引用待核对","有效输入"))))))))))</x:f>
      </x:c>
    </x:row>
    <x:row r="29" ht="25" customHeight="1">
      <x:c r="A29" s="3"/>
      <x:c r="B29" s="3"/>
      <x:c r="C29" s="3"/>
      <x:c r="D29" s="3"/>
      <x:c r="E29" s="25"/>
      <x:c r="F29" s="25"/>
      <x:c r="G29" s="3"/>
      <x:c r="H29" s="22"/>
      <x:c r="I29" s="3"/>
      <x:c r="J29" s="22"/>
      <x:c r="K29" s="3"/>
      <x:c r="L29" s="3"/>
      <x:c r="M29" s="3"/>
      <x:c r="N29" s="3"/>
      <x:c r="O29" s="3"/>
      <x:c r="P29" s="19" t="str">
        <x:f>IF(A29="","",IF(COUNTIFS('执行日志'!$A$7:$A$306,A29)&lt;&gt;1,"编号重复",IF(COUNTIFS('问题总览'!$A$7:$A$306,B29)&lt;&gt;1,"问题引用无效",IF(OR(L29="已更正",L29="撤销"),"排除汇总",IF(L29&lt;&gt;"有效","待补记录状态",IF(COUNTIFS('方案版本'!$A$7:$A$306,C29,'方案版本'!$B$7:$B$306,B29,'方案版本'!$L$7:$L$306,"已冻结")&lt;&gt;1,"方案引用无效",IF(OR(D29="",NOT(ISNUMBER(E29)),NOT(ISNUMBER(F29)),G29="",K29=""),"待补执行信息",IF(OR(NOT(ISNUMBER(H29)),H29&lt;0,NOT(ISNUMBER(J29)),J29&lt;0),"支出或耗时待补",IF(COUNTIFS('问题总览'!$A$7:$A$306,B29,'问题总览'!$J$7:$J$306,I29)&lt;&gt;1,"币种不匹配",IF(AND(M29&lt;&gt;"",OR(M29=A29,COUNTIFS('执行日志'!$A$7:$A$306,M29,'执行日志'!$B$7:$B$306,B29,'执行日志'!$L$7:$L$306,"已更正")&lt;&gt;1)),"更正引用待核对","有效输入"))))))))))</x:f>
      </x:c>
    </x:row>
    <x:row r="30" ht="25" customHeight="1">
      <x:c r="A30" s="3"/>
      <x:c r="B30" s="3"/>
      <x:c r="C30" s="3"/>
      <x:c r="D30" s="3"/>
      <x:c r="E30" s="25"/>
      <x:c r="F30" s="25"/>
      <x:c r="G30" s="3"/>
      <x:c r="H30" s="22"/>
      <x:c r="I30" s="3"/>
      <x:c r="J30" s="22"/>
      <x:c r="K30" s="3"/>
      <x:c r="L30" s="3"/>
      <x:c r="M30" s="3"/>
      <x:c r="N30" s="3"/>
      <x:c r="O30" s="3"/>
      <x:c r="P30" s="19" t="str">
        <x:f>IF(A30="","",IF(COUNTIFS('执行日志'!$A$7:$A$306,A30)&lt;&gt;1,"编号重复",IF(COUNTIFS('问题总览'!$A$7:$A$306,B30)&lt;&gt;1,"问题引用无效",IF(OR(L30="已更正",L30="撤销"),"排除汇总",IF(L30&lt;&gt;"有效","待补记录状态",IF(COUNTIFS('方案版本'!$A$7:$A$306,C30,'方案版本'!$B$7:$B$306,B30,'方案版本'!$L$7:$L$306,"已冻结")&lt;&gt;1,"方案引用无效",IF(OR(D30="",NOT(ISNUMBER(E30)),NOT(ISNUMBER(F30)),G30="",K30=""),"待补执行信息",IF(OR(NOT(ISNUMBER(H30)),H30&lt;0,NOT(ISNUMBER(J30)),J30&lt;0),"支出或耗时待补",IF(COUNTIFS('问题总览'!$A$7:$A$306,B30,'问题总览'!$J$7:$J$306,I30)&lt;&gt;1,"币种不匹配",IF(AND(M30&lt;&gt;"",OR(M30=A30,COUNTIFS('执行日志'!$A$7:$A$306,M30,'执行日志'!$B$7:$B$306,B30,'执行日志'!$L$7:$L$306,"已更正")&lt;&gt;1)),"更正引用待核对","有效输入"))))))))))</x:f>
      </x:c>
    </x:row>
    <x:row r="31" ht="25" customHeight="1">
      <x:c r="A31" s="3"/>
      <x:c r="B31" s="3"/>
      <x:c r="C31" s="3"/>
      <x:c r="D31" s="3"/>
      <x:c r="E31" s="25"/>
      <x:c r="F31" s="25"/>
      <x:c r="G31" s="3"/>
      <x:c r="H31" s="22"/>
      <x:c r="I31" s="3"/>
      <x:c r="J31" s="22"/>
      <x:c r="K31" s="3"/>
      <x:c r="L31" s="3"/>
      <x:c r="M31" s="3"/>
      <x:c r="N31" s="3"/>
      <x:c r="O31" s="3"/>
      <x:c r="P31" s="19" t="str">
        <x:f>IF(A31="","",IF(COUNTIFS('执行日志'!$A$7:$A$306,A31)&lt;&gt;1,"编号重复",IF(COUNTIFS('问题总览'!$A$7:$A$306,B31)&lt;&gt;1,"问题引用无效",IF(OR(L31="已更正",L31="撤销"),"排除汇总",IF(L31&lt;&gt;"有效","待补记录状态",IF(COUNTIFS('方案版本'!$A$7:$A$306,C31,'方案版本'!$B$7:$B$306,B31,'方案版本'!$L$7:$L$306,"已冻结")&lt;&gt;1,"方案引用无效",IF(OR(D31="",NOT(ISNUMBER(E31)),NOT(ISNUMBER(F31)),G31="",K31=""),"待补执行信息",IF(OR(NOT(ISNUMBER(H31)),H31&lt;0,NOT(ISNUMBER(J31)),J31&lt;0),"支出或耗时待补",IF(COUNTIFS('问题总览'!$A$7:$A$306,B31,'问题总览'!$J$7:$J$306,I31)&lt;&gt;1,"币种不匹配",IF(AND(M31&lt;&gt;"",OR(M31=A31,COUNTIFS('执行日志'!$A$7:$A$306,M31,'执行日志'!$B$7:$B$306,B31,'执行日志'!$L$7:$L$306,"已更正")&lt;&gt;1)),"更正引用待核对","有效输入"))))))))))</x:f>
      </x:c>
    </x:row>
    <x:row r="32" ht="25" customHeight="1">
      <x:c r="A32" s="3"/>
      <x:c r="B32" s="3"/>
      <x:c r="C32" s="3"/>
      <x:c r="D32" s="3"/>
      <x:c r="E32" s="25"/>
      <x:c r="F32" s="25"/>
      <x:c r="G32" s="3"/>
      <x:c r="H32" s="22"/>
      <x:c r="I32" s="3"/>
      <x:c r="J32" s="22"/>
      <x:c r="K32" s="3"/>
      <x:c r="L32" s="3"/>
      <x:c r="M32" s="3"/>
      <x:c r="N32" s="3"/>
      <x:c r="O32" s="3"/>
      <x:c r="P32" s="19" t="str">
        <x:f>IF(A32="","",IF(COUNTIFS('执行日志'!$A$7:$A$306,A32)&lt;&gt;1,"编号重复",IF(COUNTIFS('问题总览'!$A$7:$A$306,B32)&lt;&gt;1,"问题引用无效",IF(OR(L32="已更正",L32="撤销"),"排除汇总",IF(L32&lt;&gt;"有效","待补记录状态",IF(COUNTIFS('方案版本'!$A$7:$A$306,C32,'方案版本'!$B$7:$B$306,B32,'方案版本'!$L$7:$L$306,"已冻结")&lt;&gt;1,"方案引用无效",IF(OR(D32="",NOT(ISNUMBER(E32)),NOT(ISNUMBER(F32)),G32="",K32=""),"待补执行信息",IF(OR(NOT(ISNUMBER(H32)),H32&lt;0,NOT(ISNUMBER(J32)),J32&lt;0),"支出或耗时待补",IF(COUNTIFS('问题总览'!$A$7:$A$306,B32,'问题总览'!$J$7:$J$306,I32)&lt;&gt;1,"币种不匹配",IF(AND(M32&lt;&gt;"",OR(M32=A32,COUNTIFS('执行日志'!$A$7:$A$306,M32,'执行日志'!$B$7:$B$306,B32,'执行日志'!$L$7:$L$306,"已更正")&lt;&gt;1)),"更正引用待核对","有效输入"))))))))))</x:f>
      </x:c>
    </x:row>
    <x:row r="33" ht="25" customHeight="1">
      <x:c r="A33" s="3"/>
      <x:c r="B33" s="3"/>
      <x:c r="C33" s="3"/>
      <x:c r="D33" s="3"/>
      <x:c r="E33" s="25"/>
      <x:c r="F33" s="25"/>
      <x:c r="G33" s="3"/>
      <x:c r="H33" s="22"/>
      <x:c r="I33" s="3"/>
      <x:c r="J33" s="22"/>
      <x:c r="K33" s="3"/>
      <x:c r="L33" s="3"/>
      <x:c r="M33" s="3"/>
      <x:c r="N33" s="3"/>
      <x:c r="O33" s="3"/>
      <x:c r="P33" s="19" t="str">
        <x:f>IF(A33="","",IF(COUNTIFS('执行日志'!$A$7:$A$306,A33)&lt;&gt;1,"编号重复",IF(COUNTIFS('问题总览'!$A$7:$A$306,B33)&lt;&gt;1,"问题引用无效",IF(OR(L33="已更正",L33="撤销"),"排除汇总",IF(L33&lt;&gt;"有效","待补记录状态",IF(COUNTIFS('方案版本'!$A$7:$A$306,C33,'方案版本'!$B$7:$B$306,B33,'方案版本'!$L$7:$L$306,"已冻结")&lt;&gt;1,"方案引用无效",IF(OR(D33="",NOT(ISNUMBER(E33)),NOT(ISNUMBER(F33)),G33="",K33=""),"待补执行信息",IF(OR(NOT(ISNUMBER(H33)),H33&lt;0,NOT(ISNUMBER(J33)),J33&lt;0),"支出或耗时待补",IF(COUNTIFS('问题总览'!$A$7:$A$306,B33,'问题总览'!$J$7:$J$306,I33)&lt;&gt;1,"币种不匹配",IF(AND(M33&lt;&gt;"",OR(M33=A33,COUNTIFS('执行日志'!$A$7:$A$306,M33,'执行日志'!$B$7:$B$306,B33,'执行日志'!$L$7:$L$306,"已更正")&lt;&gt;1)),"更正引用待核对","有效输入"))))))))))</x:f>
      </x:c>
    </x:row>
    <x:row r="34" ht="25" customHeight="1">
      <x:c r="A34" s="3"/>
      <x:c r="B34" s="3"/>
      <x:c r="C34" s="3"/>
      <x:c r="D34" s="3"/>
      <x:c r="E34" s="25"/>
      <x:c r="F34" s="25"/>
      <x:c r="G34" s="3"/>
      <x:c r="H34" s="22"/>
      <x:c r="I34" s="3"/>
      <x:c r="J34" s="22"/>
      <x:c r="K34" s="3"/>
      <x:c r="L34" s="3"/>
      <x:c r="M34" s="3"/>
      <x:c r="N34" s="3"/>
      <x:c r="O34" s="3"/>
      <x:c r="P34" s="19" t="str">
        <x:f>IF(A34="","",IF(COUNTIFS('执行日志'!$A$7:$A$306,A34)&lt;&gt;1,"编号重复",IF(COUNTIFS('问题总览'!$A$7:$A$306,B34)&lt;&gt;1,"问题引用无效",IF(OR(L34="已更正",L34="撤销"),"排除汇总",IF(L34&lt;&gt;"有效","待补记录状态",IF(COUNTIFS('方案版本'!$A$7:$A$306,C34,'方案版本'!$B$7:$B$306,B34,'方案版本'!$L$7:$L$306,"已冻结")&lt;&gt;1,"方案引用无效",IF(OR(D34="",NOT(ISNUMBER(E34)),NOT(ISNUMBER(F34)),G34="",K34=""),"待补执行信息",IF(OR(NOT(ISNUMBER(H34)),H34&lt;0,NOT(ISNUMBER(J34)),J34&lt;0),"支出或耗时待补",IF(COUNTIFS('问题总览'!$A$7:$A$306,B34,'问题总览'!$J$7:$J$306,I34)&lt;&gt;1,"币种不匹配",IF(AND(M34&lt;&gt;"",OR(M34=A34,COUNTIFS('执行日志'!$A$7:$A$306,M34,'执行日志'!$B$7:$B$306,B34,'执行日志'!$L$7:$L$306,"已更正")&lt;&gt;1)),"更正引用待核对","有效输入"))))))))))</x:f>
      </x:c>
    </x:row>
    <x:row r="35" ht="25" customHeight="1">
      <x:c r="A35" s="3"/>
      <x:c r="B35" s="3"/>
      <x:c r="C35" s="3"/>
      <x:c r="D35" s="3"/>
      <x:c r="E35" s="25"/>
      <x:c r="F35" s="25"/>
      <x:c r="G35" s="3"/>
      <x:c r="H35" s="22"/>
      <x:c r="I35" s="3"/>
      <x:c r="J35" s="22"/>
      <x:c r="K35" s="3"/>
      <x:c r="L35" s="3"/>
      <x:c r="M35" s="3"/>
      <x:c r="N35" s="3"/>
      <x:c r="O35" s="3"/>
      <x:c r="P35" s="19" t="str">
        <x:f>IF(A35="","",IF(COUNTIFS('执行日志'!$A$7:$A$306,A35)&lt;&gt;1,"编号重复",IF(COUNTIFS('问题总览'!$A$7:$A$306,B35)&lt;&gt;1,"问题引用无效",IF(OR(L35="已更正",L35="撤销"),"排除汇总",IF(L35&lt;&gt;"有效","待补记录状态",IF(COUNTIFS('方案版本'!$A$7:$A$306,C35,'方案版本'!$B$7:$B$306,B35,'方案版本'!$L$7:$L$306,"已冻结")&lt;&gt;1,"方案引用无效",IF(OR(D35="",NOT(ISNUMBER(E35)),NOT(ISNUMBER(F35)),G35="",K35=""),"待补执行信息",IF(OR(NOT(ISNUMBER(H35)),H35&lt;0,NOT(ISNUMBER(J35)),J35&lt;0),"支出或耗时待补",IF(COUNTIFS('问题总览'!$A$7:$A$306,B35,'问题总览'!$J$7:$J$306,I35)&lt;&gt;1,"币种不匹配",IF(AND(M35&lt;&gt;"",OR(M35=A35,COUNTIFS('执行日志'!$A$7:$A$306,M35,'执行日志'!$B$7:$B$306,B35,'执行日志'!$L$7:$L$306,"已更正")&lt;&gt;1)),"更正引用待核对","有效输入"))))))))))</x:f>
      </x:c>
    </x:row>
    <x:row r="36" ht="25" customHeight="1">
      <x:c r="A36" s="3"/>
      <x:c r="B36" s="3"/>
      <x:c r="C36" s="3"/>
      <x:c r="D36" s="3"/>
      <x:c r="E36" s="25"/>
      <x:c r="F36" s="25"/>
      <x:c r="G36" s="3"/>
      <x:c r="H36" s="22"/>
      <x:c r="I36" s="3"/>
      <x:c r="J36" s="22"/>
      <x:c r="K36" s="3"/>
      <x:c r="L36" s="3"/>
      <x:c r="M36" s="3"/>
      <x:c r="N36" s="3"/>
      <x:c r="O36" s="3"/>
      <x:c r="P36" s="19" t="str">
        <x:f>IF(A36="","",IF(COUNTIFS('执行日志'!$A$7:$A$306,A36)&lt;&gt;1,"编号重复",IF(COUNTIFS('问题总览'!$A$7:$A$306,B36)&lt;&gt;1,"问题引用无效",IF(OR(L36="已更正",L36="撤销"),"排除汇总",IF(L36&lt;&gt;"有效","待补记录状态",IF(COUNTIFS('方案版本'!$A$7:$A$306,C36,'方案版本'!$B$7:$B$306,B36,'方案版本'!$L$7:$L$306,"已冻结")&lt;&gt;1,"方案引用无效",IF(OR(D36="",NOT(ISNUMBER(E36)),NOT(ISNUMBER(F36)),G36="",K36=""),"待补执行信息",IF(OR(NOT(ISNUMBER(H36)),H36&lt;0,NOT(ISNUMBER(J36)),J36&lt;0),"支出或耗时待补",IF(COUNTIFS('问题总览'!$A$7:$A$306,B36,'问题总览'!$J$7:$J$306,I36)&lt;&gt;1,"币种不匹配",IF(AND(M36&lt;&gt;"",OR(M36=A36,COUNTIFS('执行日志'!$A$7:$A$306,M36,'执行日志'!$B$7:$B$306,B36,'执行日志'!$L$7:$L$306,"已更正")&lt;&gt;1)),"更正引用待核对","有效输入"))))))))))</x:f>
      </x:c>
    </x:row>
    <x:row r="37" ht="25" customHeight="1">
      <x:c r="A37" s="3"/>
      <x:c r="B37" s="3"/>
      <x:c r="C37" s="3"/>
      <x:c r="D37" s="3"/>
      <x:c r="E37" s="25"/>
      <x:c r="F37" s="25"/>
      <x:c r="G37" s="3"/>
      <x:c r="H37" s="22"/>
      <x:c r="I37" s="3"/>
      <x:c r="J37" s="22"/>
      <x:c r="K37" s="3"/>
      <x:c r="L37" s="3"/>
      <x:c r="M37" s="3"/>
      <x:c r="N37" s="3"/>
      <x:c r="O37" s="3"/>
      <x:c r="P37" s="19" t="str">
        <x:f>IF(A37="","",IF(COUNTIFS('执行日志'!$A$7:$A$306,A37)&lt;&gt;1,"编号重复",IF(COUNTIFS('问题总览'!$A$7:$A$306,B37)&lt;&gt;1,"问题引用无效",IF(OR(L37="已更正",L37="撤销"),"排除汇总",IF(L37&lt;&gt;"有效","待补记录状态",IF(COUNTIFS('方案版本'!$A$7:$A$306,C37,'方案版本'!$B$7:$B$306,B37,'方案版本'!$L$7:$L$306,"已冻结")&lt;&gt;1,"方案引用无效",IF(OR(D37="",NOT(ISNUMBER(E37)),NOT(ISNUMBER(F37)),G37="",K37=""),"待补执行信息",IF(OR(NOT(ISNUMBER(H37)),H37&lt;0,NOT(ISNUMBER(J37)),J37&lt;0),"支出或耗时待补",IF(COUNTIFS('问题总览'!$A$7:$A$306,B37,'问题总览'!$J$7:$J$306,I37)&lt;&gt;1,"币种不匹配",IF(AND(M37&lt;&gt;"",OR(M37=A37,COUNTIFS('执行日志'!$A$7:$A$306,M37,'执行日志'!$B$7:$B$306,B37,'执行日志'!$L$7:$L$306,"已更正")&lt;&gt;1)),"更正引用待核对","有效输入"))))))))))</x:f>
      </x:c>
    </x:row>
    <x:row r="38" ht="25" customHeight="1">
      <x:c r="A38" s="3"/>
      <x:c r="B38" s="3"/>
      <x:c r="C38" s="3"/>
      <x:c r="D38" s="3"/>
      <x:c r="E38" s="25"/>
      <x:c r="F38" s="25"/>
      <x:c r="G38" s="3"/>
      <x:c r="H38" s="22"/>
      <x:c r="I38" s="3"/>
      <x:c r="J38" s="22"/>
      <x:c r="K38" s="3"/>
      <x:c r="L38" s="3"/>
      <x:c r="M38" s="3"/>
      <x:c r="N38" s="3"/>
      <x:c r="O38" s="3"/>
      <x:c r="P38" s="19" t="str">
        <x:f>IF(A38="","",IF(COUNTIFS('执行日志'!$A$7:$A$306,A38)&lt;&gt;1,"编号重复",IF(COUNTIFS('问题总览'!$A$7:$A$306,B38)&lt;&gt;1,"问题引用无效",IF(OR(L38="已更正",L38="撤销"),"排除汇总",IF(L38&lt;&gt;"有效","待补记录状态",IF(COUNTIFS('方案版本'!$A$7:$A$306,C38,'方案版本'!$B$7:$B$306,B38,'方案版本'!$L$7:$L$306,"已冻结")&lt;&gt;1,"方案引用无效",IF(OR(D38="",NOT(ISNUMBER(E38)),NOT(ISNUMBER(F38)),G38="",K38=""),"待补执行信息",IF(OR(NOT(ISNUMBER(H38)),H38&lt;0,NOT(ISNUMBER(J38)),J38&lt;0),"支出或耗时待补",IF(COUNTIFS('问题总览'!$A$7:$A$306,B38,'问题总览'!$J$7:$J$306,I38)&lt;&gt;1,"币种不匹配",IF(AND(M38&lt;&gt;"",OR(M38=A38,COUNTIFS('执行日志'!$A$7:$A$306,M38,'执行日志'!$B$7:$B$306,B38,'执行日志'!$L$7:$L$306,"已更正")&lt;&gt;1)),"更正引用待核对","有效输入"))))))))))</x:f>
      </x:c>
    </x:row>
    <x:row r="39" ht="25" customHeight="1">
      <x:c r="A39" s="3"/>
      <x:c r="B39" s="3"/>
      <x:c r="C39" s="3"/>
      <x:c r="D39" s="3"/>
      <x:c r="E39" s="25"/>
      <x:c r="F39" s="25"/>
      <x:c r="G39" s="3"/>
      <x:c r="H39" s="22"/>
      <x:c r="I39" s="3"/>
      <x:c r="J39" s="22"/>
      <x:c r="K39" s="3"/>
      <x:c r="L39" s="3"/>
      <x:c r="M39" s="3"/>
      <x:c r="N39" s="3"/>
      <x:c r="O39" s="3"/>
      <x:c r="P39" s="19" t="str">
        <x:f>IF(A39="","",IF(COUNTIFS('执行日志'!$A$7:$A$306,A39)&lt;&gt;1,"编号重复",IF(COUNTIFS('问题总览'!$A$7:$A$306,B39)&lt;&gt;1,"问题引用无效",IF(OR(L39="已更正",L39="撤销"),"排除汇总",IF(L39&lt;&gt;"有效","待补记录状态",IF(COUNTIFS('方案版本'!$A$7:$A$306,C39,'方案版本'!$B$7:$B$306,B39,'方案版本'!$L$7:$L$306,"已冻结")&lt;&gt;1,"方案引用无效",IF(OR(D39="",NOT(ISNUMBER(E39)),NOT(ISNUMBER(F39)),G39="",K39=""),"待补执行信息",IF(OR(NOT(ISNUMBER(H39)),H39&lt;0,NOT(ISNUMBER(J39)),J39&lt;0),"支出或耗时待补",IF(COUNTIFS('问题总览'!$A$7:$A$306,B39,'问题总览'!$J$7:$J$306,I39)&lt;&gt;1,"币种不匹配",IF(AND(M39&lt;&gt;"",OR(M39=A39,COUNTIFS('执行日志'!$A$7:$A$306,M39,'执行日志'!$B$7:$B$306,B39,'执行日志'!$L$7:$L$306,"已更正")&lt;&gt;1)),"更正引用待核对","有效输入"))))))))))</x:f>
      </x:c>
    </x:row>
    <x:row r="40" ht="25" customHeight="1">
      <x:c r="A40" s="3"/>
      <x:c r="B40" s="3"/>
      <x:c r="C40" s="3"/>
      <x:c r="D40" s="3"/>
      <x:c r="E40" s="25"/>
      <x:c r="F40" s="25"/>
      <x:c r="G40" s="3"/>
      <x:c r="H40" s="22"/>
      <x:c r="I40" s="3"/>
      <x:c r="J40" s="22"/>
      <x:c r="K40" s="3"/>
      <x:c r="L40" s="3"/>
      <x:c r="M40" s="3"/>
      <x:c r="N40" s="3"/>
      <x:c r="O40" s="3"/>
      <x:c r="P40" s="19" t="str">
        <x:f>IF(A40="","",IF(COUNTIFS('执行日志'!$A$7:$A$306,A40)&lt;&gt;1,"编号重复",IF(COUNTIFS('问题总览'!$A$7:$A$306,B40)&lt;&gt;1,"问题引用无效",IF(OR(L40="已更正",L40="撤销"),"排除汇总",IF(L40&lt;&gt;"有效","待补记录状态",IF(COUNTIFS('方案版本'!$A$7:$A$306,C40,'方案版本'!$B$7:$B$306,B40,'方案版本'!$L$7:$L$306,"已冻结")&lt;&gt;1,"方案引用无效",IF(OR(D40="",NOT(ISNUMBER(E40)),NOT(ISNUMBER(F40)),G40="",K40=""),"待补执行信息",IF(OR(NOT(ISNUMBER(H40)),H40&lt;0,NOT(ISNUMBER(J40)),J40&lt;0),"支出或耗时待补",IF(COUNTIFS('问题总览'!$A$7:$A$306,B40,'问题总览'!$J$7:$J$306,I40)&lt;&gt;1,"币种不匹配",IF(AND(M40&lt;&gt;"",OR(M40=A40,COUNTIFS('执行日志'!$A$7:$A$306,M40,'执行日志'!$B$7:$B$306,B40,'执行日志'!$L$7:$L$306,"已更正")&lt;&gt;1)),"更正引用待核对","有效输入"))))))))))</x:f>
      </x:c>
    </x:row>
    <x:row r="41" ht="25" customHeight="1">
      <x:c r="A41" s="3"/>
      <x:c r="B41" s="3"/>
      <x:c r="C41" s="3"/>
      <x:c r="D41" s="3"/>
      <x:c r="E41" s="25"/>
      <x:c r="F41" s="25"/>
      <x:c r="G41" s="3"/>
      <x:c r="H41" s="22"/>
      <x:c r="I41" s="3"/>
      <x:c r="J41" s="22"/>
      <x:c r="K41" s="3"/>
      <x:c r="L41" s="3"/>
      <x:c r="M41" s="3"/>
      <x:c r="N41" s="3"/>
      <x:c r="O41" s="3"/>
      <x:c r="P41" s="19" t="str">
        <x:f>IF(A41="","",IF(COUNTIFS('执行日志'!$A$7:$A$306,A41)&lt;&gt;1,"编号重复",IF(COUNTIFS('问题总览'!$A$7:$A$306,B41)&lt;&gt;1,"问题引用无效",IF(OR(L41="已更正",L41="撤销"),"排除汇总",IF(L41&lt;&gt;"有效","待补记录状态",IF(COUNTIFS('方案版本'!$A$7:$A$306,C41,'方案版本'!$B$7:$B$306,B41,'方案版本'!$L$7:$L$306,"已冻结")&lt;&gt;1,"方案引用无效",IF(OR(D41="",NOT(ISNUMBER(E41)),NOT(ISNUMBER(F41)),G41="",K41=""),"待补执行信息",IF(OR(NOT(ISNUMBER(H41)),H41&lt;0,NOT(ISNUMBER(J41)),J41&lt;0),"支出或耗时待补",IF(COUNTIFS('问题总览'!$A$7:$A$306,B41,'问题总览'!$J$7:$J$306,I41)&lt;&gt;1,"币种不匹配",IF(AND(M41&lt;&gt;"",OR(M41=A41,COUNTIFS('执行日志'!$A$7:$A$306,M41,'执行日志'!$B$7:$B$306,B41,'执行日志'!$L$7:$L$306,"已更正")&lt;&gt;1)),"更正引用待核对","有效输入"))))))))))</x:f>
      </x:c>
    </x:row>
    <x:row r="42" ht="25" customHeight="1">
      <x:c r="A42" s="3"/>
      <x:c r="B42" s="3"/>
      <x:c r="C42" s="3"/>
      <x:c r="D42" s="3"/>
      <x:c r="E42" s="25"/>
      <x:c r="F42" s="25"/>
      <x:c r="G42" s="3"/>
      <x:c r="H42" s="22"/>
      <x:c r="I42" s="3"/>
      <x:c r="J42" s="22"/>
      <x:c r="K42" s="3"/>
      <x:c r="L42" s="3"/>
      <x:c r="M42" s="3"/>
      <x:c r="N42" s="3"/>
      <x:c r="O42" s="3"/>
      <x:c r="P42" s="19" t="str">
        <x:f>IF(A42="","",IF(COUNTIFS('执行日志'!$A$7:$A$306,A42)&lt;&gt;1,"编号重复",IF(COUNTIFS('问题总览'!$A$7:$A$306,B42)&lt;&gt;1,"问题引用无效",IF(OR(L42="已更正",L42="撤销"),"排除汇总",IF(L42&lt;&gt;"有效","待补记录状态",IF(COUNTIFS('方案版本'!$A$7:$A$306,C42,'方案版本'!$B$7:$B$306,B42,'方案版本'!$L$7:$L$306,"已冻结")&lt;&gt;1,"方案引用无效",IF(OR(D42="",NOT(ISNUMBER(E42)),NOT(ISNUMBER(F42)),G42="",K42=""),"待补执行信息",IF(OR(NOT(ISNUMBER(H42)),H42&lt;0,NOT(ISNUMBER(J42)),J42&lt;0),"支出或耗时待补",IF(COUNTIFS('问题总览'!$A$7:$A$306,B42,'问题总览'!$J$7:$J$306,I42)&lt;&gt;1,"币种不匹配",IF(AND(M42&lt;&gt;"",OR(M42=A42,COUNTIFS('执行日志'!$A$7:$A$306,M42,'执行日志'!$B$7:$B$306,B42,'执行日志'!$L$7:$L$306,"已更正")&lt;&gt;1)),"更正引用待核对","有效输入"))))))))))</x:f>
      </x:c>
    </x:row>
    <x:row r="43" ht="25" customHeight="1">
      <x:c r="A43" s="3"/>
      <x:c r="B43" s="3"/>
      <x:c r="C43" s="3"/>
      <x:c r="D43" s="3"/>
      <x:c r="E43" s="25"/>
      <x:c r="F43" s="25"/>
      <x:c r="G43" s="3"/>
      <x:c r="H43" s="22"/>
      <x:c r="I43" s="3"/>
      <x:c r="J43" s="22"/>
      <x:c r="K43" s="3"/>
      <x:c r="L43" s="3"/>
      <x:c r="M43" s="3"/>
      <x:c r="N43" s="3"/>
      <x:c r="O43" s="3"/>
      <x:c r="P43" s="19" t="str">
        <x:f>IF(A43="","",IF(COUNTIFS('执行日志'!$A$7:$A$306,A43)&lt;&gt;1,"编号重复",IF(COUNTIFS('问题总览'!$A$7:$A$306,B43)&lt;&gt;1,"问题引用无效",IF(OR(L43="已更正",L43="撤销"),"排除汇总",IF(L43&lt;&gt;"有效","待补记录状态",IF(COUNTIFS('方案版本'!$A$7:$A$306,C43,'方案版本'!$B$7:$B$306,B43,'方案版本'!$L$7:$L$306,"已冻结")&lt;&gt;1,"方案引用无效",IF(OR(D43="",NOT(ISNUMBER(E43)),NOT(ISNUMBER(F43)),G43="",K43=""),"待补执行信息",IF(OR(NOT(ISNUMBER(H43)),H43&lt;0,NOT(ISNUMBER(J43)),J43&lt;0),"支出或耗时待补",IF(COUNTIFS('问题总览'!$A$7:$A$306,B43,'问题总览'!$J$7:$J$306,I43)&lt;&gt;1,"币种不匹配",IF(AND(M43&lt;&gt;"",OR(M43=A43,COUNTIFS('执行日志'!$A$7:$A$306,M43,'执行日志'!$B$7:$B$306,B43,'执行日志'!$L$7:$L$306,"已更正")&lt;&gt;1)),"更正引用待核对","有效输入"))))))))))</x:f>
      </x:c>
    </x:row>
    <x:row r="44" ht="25" customHeight="1">
      <x:c r="A44" s="3"/>
      <x:c r="B44" s="3"/>
      <x:c r="C44" s="3"/>
      <x:c r="D44" s="3"/>
      <x:c r="E44" s="25"/>
      <x:c r="F44" s="25"/>
      <x:c r="G44" s="3"/>
      <x:c r="H44" s="22"/>
      <x:c r="I44" s="3"/>
      <x:c r="J44" s="22"/>
      <x:c r="K44" s="3"/>
      <x:c r="L44" s="3"/>
      <x:c r="M44" s="3"/>
      <x:c r="N44" s="3"/>
      <x:c r="O44" s="3"/>
      <x:c r="P44" s="19" t="str">
        <x:f>IF(A44="","",IF(COUNTIFS('执行日志'!$A$7:$A$306,A44)&lt;&gt;1,"编号重复",IF(COUNTIFS('问题总览'!$A$7:$A$306,B44)&lt;&gt;1,"问题引用无效",IF(OR(L44="已更正",L44="撤销"),"排除汇总",IF(L44&lt;&gt;"有效","待补记录状态",IF(COUNTIFS('方案版本'!$A$7:$A$306,C44,'方案版本'!$B$7:$B$306,B44,'方案版本'!$L$7:$L$306,"已冻结")&lt;&gt;1,"方案引用无效",IF(OR(D44="",NOT(ISNUMBER(E44)),NOT(ISNUMBER(F44)),G44="",K44=""),"待补执行信息",IF(OR(NOT(ISNUMBER(H44)),H44&lt;0,NOT(ISNUMBER(J44)),J44&lt;0),"支出或耗时待补",IF(COUNTIFS('问题总览'!$A$7:$A$306,B44,'问题总览'!$J$7:$J$306,I44)&lt;&gt;1,"币种不匹配",IF(AND(M44&lt;&gt;"",OR(M44=A44,COUNTIFS('执行日志'!$A$7:$A$306,M44,'执行日志'!$B$7:$B$306,B44,'执行日志'!$L$7:$L$306,"已更正")&lt;&gt;1)),"更正引用待核对","有效输入"))))))))))</x:f>
      </x:c>
    </x:row>
    <x:row r="45" ht="25" customHeight="1">
      <x:c r="A45" s="3"/>
      <x:c r="B45" s="3"/>
      <x:c r="C45" s="3"/>
      <x:c r="D45" s="3"/>
      <x:c r="E45" s="25"/>
      <x:c r="F45" s="25"/>
      <x:c r="G45" s="3"/>
      <x:c r="H45" s="22"/>
      <x:c r="I45" s="3"/>
      <x:c r="J45" s="22"/>
      <x:c r="K45" s="3"/>
      <x:c r="L45" s="3"/>
      <x:c r="M45" s="3"/>
      <x:c r="N45" s="3"/>
      <x:c r="O45" s="3"/>
      <x:c r="P45" s="19" t="str">
        <x:f>IF(A45="","",IF(COUNTIFS('执行日志'!$A$7:$A$306,A45)&lt;&gt;1,"编号重复",IF(COUNTIFS('问题总览'!$A$7:$A$306,B45)&lt;&gt;1,"问题引用无效",IF(OR(L45="已更正",L45="撤销"),"排除汇总",IF(L45&lt;&gt;"有效","待补记录状态",IF(COUNTIFS('方案版本'!$A$7:$A$306,C45,'方案版本'!$B$7:$B$306,B45,'方案版本'!$L$7:$L$306,"已冻结")&lt;&gt;1,"方案引用无效",IF(OR(D45="",NOT(ISNUMBER(E45)),NOT(ISNUMBER(F45)),G45="",K45=""),"待补执行信息",IF(OR(NOT(ISNUMBER(H45)),H45&lt;0,NOT(ISNUMBER(J45)),J45&lt;0),"支出或耗时待补",IF(COUNTIFS('问题总览'!$A$7:$A$306,B45,'问题总览'!$J$7:$J$306,I45)&lt;&gt;1,"币种不匹配",IF(AND(M45&lt;&gt;"",OR(M45=A45,COUNTIFS('执行日志'!$A$7:$A$306,M45,'执行日志'!$B$7:$B$306,B45,'执行日志'!$L$7:$L$306,"已更正")&lt;&gt;1)),"更正引用待核对","有效输入"))))))))))</x:f>
      </x:c>
    </x:row>
    <x:row r="46" ht="25" customHeight="1">
      <x:c r="A46" s="3"/>
      <x:c r="B46" s="3"/>
      <x:c r="C46" s="3"/>
      <x:c r="D46" s="3"/>
      <x:c r="E46" s="25"/>
      <x:c r="F46" s="25"/>
      <x:c r="G46" s="3"/>
      <x:c r="H46" s="22"/>
      <x:c r="I46" s="3"/>
      <x:c r="J46" s="22"/>
      <x:c r="K46" s="3"/>
      <x:c r="L46" s="3"/>
      <x:c r="M46" s="3"/>
      <x:c r="N46" s="3"/>
      <x:c r="O46" s="3"/>
      <x:c r="P46" s="19" t="str">
        <x:f>IF(A46="","",IF(COUNTIFS('执行日志'!$A$7:$A$306,A46)&lt;&gt;1,"编号重复",IF(COUNTIFS('问题总览'!$A$7:$A$306,B46)&lt;&gt;1,"问题引用无效",IF(OR(L46="已更正",L46="撤销"),"排除汇总",IF(L46&lt;&gt;"有效","待补记录状态",IF(COUNTIFS('方案版本'!$A$7:$A$306,C46,'方案版本'!$B$7:$B$306,B46,'方案版本'!$L$7:$L$306,"已冻结")&lt;&gt;1,"方案引用无效",IF(OR(D46="",NOT(ISNUMBER(E46)),NOT(ISNUMBER(F46)),G46="",K46=""),"待补执行信息",IF(OR(NOT(ISNUMBER(H46)),H46&lt;0,NOT(ISNUMBER(J46)),J46&lt;0),"支出或耗时待补",IF(COUNTIFS('问题总览'!$A$7:$A$306,B46,'问题总览'!$J$7:$J$306,I46)&lt;&gt;1,"币种不匹配",IF(AND(M46&lt;&gt;"",OR(M46=A46,COUNTIFS('执行日志'!$A$7:$A$306,M46,'执行日志'!$B$7:$B$306,B46,'执行日志'!$L$7:$L$306,"已更正")&lt;&gt;1)),"更正引用待核对","有效输入"))))))))))</x:f>
      </x:c>
    </x:row>
    <x:row r="47" ht="25" customHeight="1">
      <x:c r="A47" s="3"/>
      <x:c r="B47" s="3"/>
      <x:c r="C47" s="3"/>
      <x:c r="D47" s="3"/>
      <x:c r="E47" s="25"/>
      <x:c r="F47" s="25"/>
      <x:c r="G47" s="3"/>
      <x:c r="H47" s="22"/>
      <x:c r="I47" s="3"/>
      <x:c r="J47" s="22"/>
      <x:c r="K47" s="3"/>
      <x:c r="L47" s="3"/>
      <x:c r="M47" s="3"/>
      <x:c r="N47" s="3"/>
      <x:c r="O47" s="3"/>
      <x:c r="P47" s="19" t="str">
        <x:f>IF(A47="","",IF(COUNTIFS('执行日志'!$A$7:$A$306,A47)&lt;&gt;1,"编号重复",IF(COUNTIFS('问题总览'!$A$7:$A$306,B47)&lt;&gt;1,"问题引用无效",IF(OR(L47="已更正",L47="撤销"),"排除汇总",IF(L47&lt;&gt;"有效","待补记录状态",IF(COUNTIFS('方案版本'!$A$7:$A$306,C47,'方案版本'!$B$7:$B$306,B47,'方案版本'!$L$7:$L$306,"已冻结")&lt;&gt;1,"方案引用无效",IF(OR(D47="",NOT(ISNUMBER(E47)),NOT(ISNUMBER(F47)),G47="",K47=""),"待补执行信息",IF(OR(NOT(ISNUMBER(H47)),H47&lt;0,NOT(ISNUMBER(J47)),J47&lt;0),"支出或耗时待补",IF(COUNTIFS('问题总览'!$A$7:$A$306,B47,'问题总览'!$J$7:$J$306,I47)&lt;&gt;1,"币种不匹配",IF(AND(M47&lt;&gt;"",OR(M47=A47,COUNTIFS('执行日志'!$A$7:$A$306,M47,'执行日志'!$B$7:$B$306,B47,'执行日志'!$L$7:$L$306,"已更正")&lt;&gt;1)),"更正引用待核对","有效输入"))))))))))</x:f>
      </x:c>
    </x:row>
    <x:row r="48" ht="25" customHeight="1">
      <x:c r="A48" s="3"/>
      <x:c r="B48" s="3"/>
      <x:c r="C48" s="3"/>
      <x:c r="D48" s="3"/>
      <x:c r="E48" s="25"/>
      <x:c r="F48" s="25"/>
      <x:c r="G48" s="3"/>
      <x:c r="H48" s="22"/>
      <x:c r="I48" s="3"/>
      <x:c r="J48" s="22"/>
      <x:c r="K48" s="3"/>
      <x:c r="L48" s="3"/>
      <x:c r="M48" s="3"/>
      <x:c r="N48" s="3"/>
      <x:c r="O48" s="3"/>
      <x:c r="P48" s="19" t="str">
        <x:f>IF(A48="","",IF(COUNTIFS('执行日志'!$A$7:$A$306,A48)&lt;&gt;1,"编号重复",IF(COUNTIFS('问题总览'!$A$7:$A$306,B48)&lt;&gt;1,"问题引用无效",IF(OR(L48="已更正",L48="撤销"),"排除汇总",IF(L48&lt;&gt;"有效","待补记录状态",IF(COUNTIFS('方案版本'!$A$7:$A$306,C48,'方案版本'!$B$7:$B$306,B48,'方案版本'!$L$7:$L$306,"已冻结")&lt;&gt;1,"方案引用无效",IF(OR(D48="",NOT(ISNUMBER(E48)),NOT(ISNUMBER(F48)),G48="",K48=""),"待补执行信息",IF(OR(NOT(ISNUMBER(H48)),H48&lt;0,NOT(ISNUMBER(J48)),J48&lt;0),"支出或耗时待补",IF(COUNTIFS('问题总览'!$A$7:$A$306,B48,'问题总览'!$J$7:$J$306,I48)&lt;&gt;1,"币种不匹配",IF(AND(M48&lt;&gt;"",OR(M48=A48,COUNTIFS('执行日志'!$A$7:$A$306,M48,'执行日志'!$B$7:$B$306,B48,'执行日志'!$L$7:$L$306,"已更正")&lt;&gt;1)),"更正引用待核对","有效输入"))))))))))</x:f>
      </x:c>
    </x:row>
    <x:row r="49" ht="25" customHeight="1">
      <x:c r="A49" s="3"/>
      <x:c r="B49" s="3"/>
      <x:c r="C49" s="3"/>
      <x:c r="D49" s="3"/>
      <x:c r="E49" s="25"/>
      <x:c r="F49" s="25"/>
      <x:c r="G49" s="3"/>
      <x:c r="H49" s="22"/>
      <x:c r="I49" s="3"/>
      <x:c r="J49" s="22"/>
      <x:c r="K49" s="3"/>
      <x:c r="L49" s="3"/>
      <x:c r="M49" s="3"/>
      <x:c r="N49" s="3"/>
      <x:c r="O49" s="3"/>
      <x:c r="P49" s="19" t="str">
        <x:f>IF(A49="","",IF(COUNTIFS('执行日志'!$A$7:$A$306,A49)&lt;&gt;1,"编号重复",IF(COUNTIFS('问题总览'!$A$7:$A$306,B49)&lt;&gt;1,"问题引用无效",IF(OR(L49="已更正",L49="撤销"),"排除汇总",IF(L49&lt;&gt;"有效","待补记录状态",IF(COUNTIFS('方案版本'!$A$7:$A$306,C49,'方案版本'!$B$7:$B$306,B49,'方案版本'!$L$7:$L$306,"已冻结")&lt;&gt;1,"方案引用无效",IF(OR(D49="",NOT(ISNUMBER(E49)),NOT(ISNUMBER(F49)),G49="",K49=""),"待补执行信息",IF(OR(NOT(ISNUMBER(H49)),H49&lt;0,NOT(ISNUMBER(J49)),J49&lt;0),"支出或耗时待补",IF(COUNTIFS('问题总览'!$A$7:$A$306,B49,'问题总览'!$J$7:$J$306,I49)&lt;&gt;1,"币种不匹配",IF(AND(M49&lt;&gt;"",OR(M49=A49,COUNTIFS('执行日志'!$A$7:$A$306,M49,'执行日志'!$B$7:$B$306,B49,'执行日志'!$L$7:$L$306,"已更正")&lt;&gt;1)),"更正引用待核对","有效输入"))))))))))</x:f>
      </x:c>
    </x:row>
    <x:row r="50" ht="25" customHeight="1">
      <x:c r="A50" s="3"/>
      <x:c r="B50" s="3"/>
      <x:c r="C50" s="3"/>
      <x:c r="D50" s="3"/>
      <x:c r="E50" s="25"/>
      <x:c r="F50" s="25"/>
      <x:c r="G50" s="3"/>
      <x:c r="H50" s="22"/>
      <x:c r="I50" s="3"/>
      <x:c r="J50" s="22"/>
      <x:c r="K50" s="3"/>
      <x:c r="L50" s="3"/>
      <x:c r="M50" s="3"/>
      <x:c r="N50" s="3"/>
      <x:c r="O50" s="3"/>
      <x:c r="P50" s="19" t="str">
        <x:f>IF(A50="","",IF(COUNTIFS('执行日志'!$A$7:$A$306,A50)&lt;&gt;1,"编号重复",IF(COUNTIFS('问题总览'!$A$7:$A$306,B50)&lt;&gt;1,"问题引用无效",IF(OR(L50="已更正",L50="撤销"),"排除汇总",IF(L50&lt;&gt;"有效","待补记录状态",IF(COUNTIFS('方案版本'!$A$7:$A$306,C50,'方案版本'!$B$7:$B$306,B50,'方案版本'!$L$7:$L$306,"已冻结")&lt;&gt;1,"方案引用无效",IF(OR(D50="",NOT(ISNUMBER(E50)),NOT(ISNUMBER(F50)),G50="",K50=""),"待补执行信息",IF(OR(NOT(ISNUMBER(H50)),H50&lt;0,NOT(ISNUMBER(J50)),J50&lt;0),"支出或耗时待补",IF(COUNTIFS('问题总览'!$A$7:$A$306,B50,'问题总览'!$J$7:$J$306,I50)&lt;&gt;1,"币种不匹配",IF(AND(M50&lt;&gt;"",OR(M50=A50,COUNTIFS('执行日志'!$A$7:$A$306,M50,'执行日志'!$B$7:$B$306,B50,'执行日志'!$L$7:$L$306,"已更正")&lt;&gt;1)),"更正引用待核对","有效输入"))))))))))</x:f>
      </x:c>
    </x:row>
    <x:row r="51" ht="25" customHeight="1">
      <x:c r="A51" s="3"/>
      <x:c r="B51" s="3"/>
      <x:c r="C51" s="3"/>
      <x:c r="D51" s="3"/>
      <x:c r="E51" s="25"/>
      <x:c r="F51" s="25"/>
      <x:c r="G51" s="3"/>
      <x:c r="H51" s="22"/>
      <x:c r="I51" s="3"/>
      <x:c r="J51" s="22"/>
      <x:c r="K51" s="3"/>
      <x:c r="L51" s="3"/>
      <x:c r="M51" s="3"/>
      <x:c r="N51" s="3"/>
      <x:c r="O51" s="3"/>
      <x:c r="P51" s="19" t="str">
        <x:f>IF(A51="","",IF(COUNTIFS('执行日志'!$A$7:$A$306,A51)&lt;&gt;1,"编号重复",IF(COUNTIFS('问题总览'!$A$7:$A$306,B51)&lt;&gt;1,"问题引用无效",IF(OR(L51="已更正",L51="撤销"),"排除汇总",IF(L51&lt;&gt;"有效","待补记录状态",IF(COUNTIFS('方案版本'!$A$7:$A$306,C51,'方案版本'!$B$7:$B$306,B51,'方案版本'!$L$7:$L$306,"已冻结")&lt;&gt;1,"方案引用无效",IF(OR(D51="",NOT(ISNUMBER(E51)),NOT(ISNUMBER(F51)),G51="",K51=""),"待补执行信息",IF(OR(NOT(ISNUMBER(H51)),H51&lt;0,NOT(ISNUMBER(J51)),J51&lt;0),"支出或耗时待补",IF(COUNTIFS('问题总览'!$A$7:$A$306,B51,'问题总览'!$J$7:$J$306,I51)&lt;&gt;1,"币种不匹配",IF(AND(M51&lt;&gt;"",OR(M51=A51,COUNTIFS('执行日志'!$A$7:$A$306,M51,'执行日志'!$B$7:$B$306,B51,'执行日志'!$L$7:$L$306,"已更正")&lt;&gt;1)),"更正引用待核对","有效输入"))))))))))</x:f>
      </x:c>
    </x:row>
    <x:row r="52" ht="25" customHeight="1">
      <x:c r="A52" s="3"/>
      <x:c r="B52" s="3"/>
      <x:c r="C52" s="3"/>
      <x:c r="D52" s="3"/>
      <x:c r="E52" s="25"/>
      <x:c r="F52" s="25"/>
      <x:c r="G52" s="3"/>
      <x:c r="H52" s="22"/>
      <x:c r="I52" s="3"/>
      <x:c r="J52" s="22"/>
      <x:c r="K52" s="3"/>
      <x:c r="L52" s="3"/>
      <x:c r="M52" s="3"/>
      <x:c r="N52" s="3"/>
      <x:c r="O52" s="3"/>
      <x:c r="P52" s="19" t="str">
        <x:f>IF(A52="","",IF(COUNTIFS('执行日志'!$A$7:$A$306,A52)&lt;&gt;1,"编号重复",IF(COUNTIFS('问题总览'!$A$7:$A$306,B52)&lt;&gt;1,"问题引用无效",IF(OR(L52="已更正",L52="撤销"),"排除汇总",IF(L52&lt;&gt;"有效","待补记录状态",IF(COUNTIFS('方案版本'!$A$7:$A$306,C52,'方案版本'!$B$7:$B$306,B52,'方案版本'!$L$7:$L$306,"已冻结")&lt;&gt;1,"方案引用无效",IF(OR(D52="",NOT(ISNUMBER(E52)),NOT(ISNUMBER(F52)),G52="",K52=""),"待补执行信息",IF(OR(NOT(ISNUMBER(H52)),H52&lt;0,NOT(ISNUMBER(J52)),J52&lt;0),"支出或耗时待补",IF(COUNTIFS('问题总览'!$A$7:$A$306,B52,'问题总览'!$J$7:$J$306,I52)&lt;&gt;1,"币种不匹配",IF(AND(M52&lt;&gt;"",OR(M52=A52,COUNTIFS('执行日志'!$A$7:$A$306,M52,'执行日志'!$B$7:$B$306,B52,'执行日志'!$L$7:$L$306,"已更正")&lt;&gt;1)),"更正引用待核对","有效输入"))))))))))</x:f>
      </x:c>
    </x:row>
    <x:row r="53" ht="25" customHeight="1">
      <x:c r="A53" s="3"/>
      <x:c r="B53" s="3"/>
      <x:c r="C53" s="3"/>
      <x:c r="D53" s="3"/>
      <x:c r="E53" s="25"/>
      <x:c r="F53" s="25"/>
      <x:c r="G53" s="3"/>
      <x:c r="H53" s="22"/>
      <x:c r="I53" s="3"/>
      <x:c r="J53" s="22"/>
      <x:c r="K53" s="3"/>
      <x:c r="L53" s="3"/>
      <x:c r="M53" s="3"/>
      <x:c r="N53" s="3"/>
      <x:c r="O53" s="3"/>
      <x:c r="P53" s="19" t="str">
        <x:f>IF(A53="","",IF(COUNTIFS('执行日志'!$A$7:$A$306,A53)&lt;&gt;1,"编号重复",IF(COUNTIFS('问题总览'!$A$7:$A$306,B53)&lt;&gt;1,"问题引用无效",IF(OR(L53="已更正",L53="撤销"),"排除汇总",IF(L53&lt;&gt;"有效","待补记录状态",IF(COUNTIFS('方案版本'!$A$7:$A$306,C53,'方案版本'!$B$7:$B$306,B53,'方案版本'!$L$7:$L$306,"已冻结")&lt;&gt;1,"方案引用无效",IF(OR(D53="",NOT(ISNUMBER(E53)),NOT(ISNUMBER(F53)),G53="",K53=""),"待补执行信息",IF(OR(NOT(ISNUMBER(H53)),H53&lt;0,NOT(ISNUMBER(J53)),J53&lt;0),"支出或耗时待补",IF(COUNTIFS('问题总览'!$A$7:$A$306,B53,'问题总览'!$J$7:$J$306,I53)&lt;&gt;1,"币种不匹配",IF(AND(M53&lt;&gt;"",OR(M53=A53,COUNTIFS('执行日志'!$A$7:$A$306,M53,'执行日志'!$B$7:$B$306,B53,'执行日志'!$L$7:$L$306,"已更正")&lt;&gt;1)),"更正引用待核对","有效输入"))))))))))</x:f>
      </x:c>
    </x:row>
    <x:row r="54" ht="25" customHeight="1">
      <x:c r="A54" s="3"/>
      <x:c r="B54" s="3"/>
      <x:c r="C54" s="3"/>
      <x:c r="D54" s="3"/>
      <x:c r="E54" s="25"/>
      <x:c r="F54" s="25"/>
      <x:c r="G54" s="3"/>
      <x:c r="H54" s="22"/>
      <x:c r="I54" s="3"/>
      <x:c r="J54" s="22"/>
      <x:c r="K54" s="3"/>
      <x:c r="L54" s="3"/>
      <x:c r="M54" s="3"/>
      <x:c r="N54" s="3"/>
      <x:c r="O54" s="3"/>
      <x:c r="P54" s="19" t="str">
        <x:f>IF(A54="","",IF(COUNTIFS('执行日志'!$A$7:$A$306,A54)&lt;&gt;1,"编号重复",IF(COUNTIFS('问题总览'!$A$7:$A$306,B54)&lt;&gt;1,"问题引用无效",IF(OR(L54="已更正",L54="撤销"),"排除汇总",IF(L54&lt;&gt;"有效","待补记录状态",IF(COUNTIFS('方案版本'!$A$7:$A$306,C54,'方案版本'!$B$7:$B$306,B54,'方案版本'!$L$7:$L$306,"已冻结")&lt;&gt;1,"方案引用无效",IF(OR(D54="",NOT(ISNUMBER(E54)),NOT(ISNUMBER(F54)),G54="",K54=""),"待补执行信息",IF(OR(NOT(ISNUMBER(H54)),H54&lt;0,NOT(ISNUMBER(J54)),J54&lt;0),"支出或耗时待补",IF(COUNTIFS('问题总览'!$A$7:$A$306,B54,'问题总览'!$J$7:$J$306,I54)&lt;&gt;1,"币种不匹配",IF(AND(M54&lt;&gt;"",OR(M54=A54,COUNTIFS('执行日志'!$A$7:$A$306,M54,'执行日志'!$B$7:$B$306,B54,'执行日志'!$L$7:$L$306,"已更正")&lt;&gt;1)),"更正引用待核对","有效输入"))))))))))</x:f>
      </x:c>
    </x:row>
    <x:row r="55" ht="25" customHeight="1">
      <x:c r="A55" s="3"/>
      <x:c r="B55" s="3"/>
      <x:c r="C55" s="3"/>
      <x:c r="D55" s="3"/>
      <x:c r="E55" s="25"/>
      <x:c r="F55" s="25"/>
      <x:c r="G55" s="3"/>
      <x:c r="H55" s="22"/>
      <x:c r="I55" s="3"/>
      <x:c r="J55" s="22"/>
      <x:c r="K55" s="3"/>
      <x:c r="L55" s="3"/>
      <x:c r="M55" s="3"/>
      <x:c r="N55" s="3"/>
      <x:c r="O55" s="3"/>
      <x:c r="P55" s="19" t="str">
        <x:f>IF(A55="","",IF(COUNTIFS('执行日志'!$A$7:$A$306,A55)&lt;&gt;1,"编号重复",IF(COUNTIFS('问题总览'!$A$7:$A$306,B55)&lt;&gt;1,"问题引用无效",IF(OR(L55="已更正",L55="撤销"),"排除汇总",IF(L55&lt;&gt;"有效","待补记录状态",IF(COUNTIFS('方案版本'!$A$7:$A$306,C55,'方案版本'!$B$7:$B$306,B55,'方案版本'!$L$7:$L$306,"已冻结")&lt;&gt;1,"方案引用无效",IF(OR(D55="",NOT(ISNUMBER(E55)),NOT(ISNUMBER(F55)),G55="",K55=""),"待补执行信息",IF(OR(NOT(ISNUMBER(H55)),H55&lt;0,NOT(ISNUMBER(J55)),J55&lt;0),"支出或耗时待补",IF(COUNTIFS('问题总览'!$A$7:$A$306,B55,'问题总览'!$J$7:$J$306,I55)&lt;&gt;1,"币种不匹配",IF(AND(M55&lt;&gt;"",OR(M55=A55,COUNTIFS('执行日志'!$A$7:$A$306,M55,'执行日志'!$B$7:$B$306,B55,'执行日志'!$L$7:$L$306,"已更正")&lt;&gt;1)),"更正引用待核对","有效输入"))))))))))</x:f>
      </x:c>
    </x:row>
    <x:row r="56" ht="25" customHeight="1">
      <x:c r="A56" s="3"/>
      <x:c r="B56" s="3"/>
      <x:c r="C56" s="3"/>
      <x:c r="D56" s="3"/>
      <x:c r="E56" s="25"/>
      <x:c r="F56" s="25"/>
      <x:c r="G56" s="3"/>
      <x:c r="H56" s="22"/>
      <x:c r="I56" s="3"/>
      <x:c r="J56" s="22"/>
      <x:c r="K56" s="3"/>
      <x:c r="L56" s="3"/>
      <x:c r="M56" s="3"/>
      <x:c r="N56" s="3"/>
      <x:c r="O56" s="3"/>
      <x:c r="P56" s="19" t="str">
        <x:f>IF(A56="","",IF(COUNTIFS('执行日志'!$A$7:$A$306,A56)&lt;&gt;1,"编号重复",IF(COUNTIFS('问题总览'!$A$7:$A$306,B56)&lt;&gt;1,"问题引用无效",IF(OR(L56="已更正",L56="撤销"),"排除汇总",IF(L56&lt;&gt;"有效","待补记录状态",IF(COUNTIFS('方案版本'!$A$7:$A$306,C56,'方案版本'!$B$7:$B$306,B56,'方案版本'!$L$7:$L$306,"已冻结")&lt;&gt;1,"方案引用无效",IF(OR(D56="",NOT(ISNUMBER(E56)),NOT(ISNUMBER(F56)),G56="",K56=""),"待补执行信息",IF(OR(NOT(ISNUMBER(H56)),H56&lt;0,NOT(ISNUMBER(J56)),J56&lt;0),"支出或耗时待补",IF(COUNTIFS('问题总览'!$A$7:$A$306,B56,'问题总览'!$J$7:$J$306,I56)&lt;&gt;1,"币种不匹配",IF(AND(M56&lt;&gt;"",OR(M56=A56,COUNTIFS('执行日志'!$A$7:$A$306,M56,'执行日志'!$B$7:$B$306,B56,'执行日志'!$L$7:$L$306,"已更正")&lt;&gt;1)),"更正引用待核对","有效输入"))))))))))</x:f>
      </x:c>
    </x:row>
    <x:row r="57" ht="25" customHeight="1">
      <x:c r="A57" s="3"/>
      <x:c r="B57" s="3"/>
      <x:c r="C57" s="3"/>
      <x:c r="D57" s="3"/>
      <x:c r="E57" s="25"/>
      <x:c r="F57" s="25"/>
      <x:c r="G57" s="3"/>
      <x:c r="H57" s="22"/>
      <x:c r="I57" s="3"/>
      <x:c r="J57" s="22"/>
      <x:c r="K57" s="3"/>
      <x:c r="L57" s="3"/>
      <x:c r="M57" s="3"/>
      <x:c r="N57" s="3"/>
      <x:c r="O57" s="3"/>
      <x:c r="P57" s="19" t="str">
        <x:f>IF(A57="","",IF(COUNTIFS('执行日志'!$A$7:$A$306,A57)&lt;&gt;1,"编号重复",IF(COUNTIFS('问题总览'!$A$7:$A$306,B57)&lt;&gt;1,"问题引用无效",IF(OR(L57="已更正",L57="撤销"),"排除汇总",IF(L57&lt;&gt;"有效","待补记录状态",IF(COUNTIFS('方案版本'!$A$7:$A$306,C57,'方案版本'!$B$7:$B$306,B57,'方案版本'!$L$7:$L$306,"已冻结")&lt;&gt;1,"方案引用无效",IF(OR(D57="",NOT(ISNUMBER(E57)),NOT(ISNUMBER(F57)),G57="",K57=""),"待补执行信息",IF(OR(NOT(ISNUMBER(H57)),H57&lt;0,NOT(ISNUMBER(J57)),J57&lt;0),"支出或耗时待补",IF(COUNTIFS('问题总览'!$A$7:$A$306,B57,'问题总览'!$J$7:$J$306,I57)&lt;&gt;1,"币种不匹配",IF(AND(M57&lt;&gt;"",OR(M57=A57,COUNTIFS('执行日志'!$A$7:$A$306,M57,'执行日志'!$B$7:$B$306,B57,'执行日志'!$L$7:$L$306,"已更正")&lt;&gt;1)),"更正引用待核对","有效输入"))))))))))</x:f>
      </x:c>
    </x:row>
    <x:row r="58" ht="25" customHeight="1">
      <x:c r="A58" s="3"/>
      <x:c r="B58" s="3"/>
      <x:c r="C58" s="3"/>
      <x:c r="D58" s="3"/>
      <x:c r="E58" s="25"/>
      <x:c r="F58" s="25"/>
      <x:c r="G58" s="3"/>
      <x:c r="H58" s="22"/>
      <x:c r="I58" s="3"/>
      <x:c r="J58" s="22"/>
      <x:c r="K58" s="3"/>
      <x:c r="L58" s="3"/>
      <x:c r="M58" s="3"/>
      <x:c r="N58" s="3"/>
      <x:c r="O58" s="3"/>
      <x:c r="P58" s="19" t="str">
        <x:f>IF(A58="","",IF(COUNTIFS('执行日志'!$A$7:$A$306,A58)&lt;&gt;1,"编号重复",IF(COUNTIFS('问题总览'!$A$7:$A$306,B58)&lt;&gt;1,"问题引用无效",IF(OR(L58="已更正",L58="撤销"),"排除汇总",IF(L58&lt;&gt;"有效","待补记录状态",IF(COUNTIFS('方案版本'!$A$7:$A$306,C58,'方案版本'!$B$7:$B$306,B58,'方案版本'!$L$7:$L$306,"已冻结")&lt;&gt;1,"方案引用无效",IF(OR(D58="",NOT(ISNUMBER(E58)),NOT(ISNUMBER(F58)),G58="",K58=""),"待补执行信息",IF(OR(NOT(ISNUMBER(H58)),H58&lt;0,NOT(ISNUMBER(J58)),J58&lt;0),"支出或耗时待补",IF(COUNTIFS('问题总览'!$A$7:$A$306,B58,'问题总览'!$J$7:$J$306,I58)&lt;&gt;1,"币种不匹配",IF(AND(M58&lt;&gt;"",OR(M58=A58,COUNTIFS('执行日志'!$A$7:$A$306,M58,'执行日志'!$B$7:$B$306,B58,'执行日志'!$L$7:$L$306,"已更正")&lt;&gt;1)),"更正引用待核对","有效输入"))))))))))</x:f>
      </x:c>
    </x:row>
    <x:row r="59" ht="25" customHeight="1">
      <x:c r="A59" s="3"/>
      <x:c r="B59" s="3"/>
      <x:c r="C59" s="3"/>
      <x:c r="D59" s="3"/>
      <x:c r="E59" s="25"/>
      <x:c r="F59" s="25"/>
      <x:c r="G59" s="3"/>
      <x:c r="H59" s="22"/>
      <x:c r="I59" s="3"/>
      <x:c r="J59" s="22"/>
      <x:c r="K59" s="3"/>
      <x:c r="L59" s="3"/>
      <x:c r="M59" s="3"/>
      <x:c r="N59" s="3"/>
      <x:c r="O59" s="3"/>
      <x:c r="P59" s="19" t="str">
        <x:f>IF(A59="","",IF(COUNTIFS('执行日志'!$A$7:$A$306,A59)&lt;&gt;1,"编号重复",IF(COUNTIFS('问题总览'!$A$7:$A$306,B59)&lt;&gt;1,"问题引用无效",IF(OR(L59="已更正",L59="撤销"),"排除汇总",IF(L59&lt;&gt;"有效","待补记录状态",IF(COUNTIFS('方案版本'!$A$7:$A$306,C59,'方案版本'!$B$7:$B$306,B59,'方案版本'!$L$7:$L$306,"已冻结")&lt;&gt;1,"方案引用无效",IF(OR(D59="",NOT(ISNUMBER(E59)),NOT(ISNUMBER(F59)),G59="",K59=""),"待补执行信息",IF(OR(NOT(ISNUMBER(H59)),H59&lt;0,NOT(ISNUMBER(J59)),J59&lt;0),"支出或耗时待补",IF(COUNTIFS('问题总览'!$A$7:$A$306,B59,'问题总览'!$J$7:$J$306,I59)&lt;&gt;1,"币种不匹配",IF(AND(M59&lt;&gt;"",OR(M59=A59,COUNTIFS('执行日志'!$A$7:$A$306,M59,'执行日志'!$B$7:$B$306,B59,'执行日志'!$L$7:$L$306,"已更正")&lt;&gt;1)),"更正引用待核对","有效输入"))))))))))</x:f>
      </x:c>
    </x:row>
    <x:row r="60" ht="25" customHeight="1">
      <x:c r="A60" s="3"/>
      <x:c r="B60" s="3"/>
      <x:c r="C60" s="3"/>
      <x:c r="D60" s="3"/>
      <x:c r="E60" s="25"/>
      <x:c r="F60" s="25"/>
      <x:c r="G60" s="3"/>
      <x:c r="H60" s="22"/>
      <x:c r="I60" s="3"/>
      <x:c r="J60" s="22"/>
      <x:c r="K60" s="3"/>
      <x:c r="L60" s="3"/>
      <x:c r="M60" s="3"/>
      <x:c r="N60" s="3"/>
      <x:c r="O60" s="3"/>
      <x:c r="P60" s="19" t="str">
        <x:f>IF(A60="","",IF(COUNTIFS('执行日志'!$A$7:$A$306,A60)&lt;&gt;1,"编号重复",IF(COUNTIFS('问题总览'!$A$7:$A$306,B60)&lt;&gt;1,"问题引用无效",IF(OR(L60="已更正",L60="撤销"),"排除汇总",IF(L60&lt;&gt;"有效","待补记录状态",IF(COUNTIFS('方案版本'!$A$7:$A$306,C60,'方案版本'!$B$7:$B$306,B60,'方案版本'!$L$7:$L$306,"已冻结")&lt;&gt;1,"方案引用无效",IF(OR(D60="",NOT(ISNUMBER(E60)),NOT(ISNUMBER(F60)),G60="",K60=""),"待补执行信息",IF(OR(NOT(ISNUMBER(H60)),H60&lt;0,NOT(ISNUMBER(J60)),J60&lt;0),"支出或耗时待补",IF(COUNTIFS('问题总览'!$A$7:$A$306,B60,'问题总览'!$J$7:$J$306,I60)&lt;&gt;1,"币种不匹配",IF(AND(M60&lt;&gt;"",OR(M60=A60,COUNTIFS('执行日志'!$A$7:$A$306,M60,'执行日志'!$B$7:$B$306,B60,'执行日志'!$L$7:$L$306,"已更正")&lt;&gt;1)),"更正引用待核对","有效输入"))))))))))</x:f>
      </x:c>
    </x:row>
    <x:row r="61" ht="25" customHeight="1">
      <x:c r="A61" s="3"/>
      <x:c r="B61" s="3"/>
      <x:c r="C61" s="3"/>
      <x:c r="D61" s="3"/>
      <x:c r="E61" s="25"/>
      <x:c r="F61" s="25"/>
      <x:c r="G61" s="3"/>
      <x:c r="H61" s="22"/>
      <x:c r="I61" s="3"/>
      <x:c r="J61" s="22"/>
      <x:c r="K61" s="3"/>
      <x:c r="L61" s="3"/>
      <x:c r="M61" s="3"/>
      <x:c r="N61" s="3"/>
      <x:c r="O61" s="3"/>
      <x:c r="P61" s="19" t="str">
        <x:f>IF(A61="","",IF(COUNTIFS('执行日志'!$A$7:$A$306,A61)&lt;&gt;1,"编号重复",IF(COUNTIFS('问题总览'!$A$7:$A$306,B61)&lt;&gt;1,"问题引用无效",IF(OR(L61="已更正",L61="撤销"),"排除汇总",IF(L61&lt;&gt;"有效","待补记录状态",IF(COUNTIFS('方案版本'!$A$7:$A$306,C61,'方案版本'!$B$7:$B$306,B61,'方案版本'!$L$7:$L$306,"已冻结")&lt;&gt;1,"方案引用无效",IF(OR(D61="",NOT(ISNUMBER(E61)),NOT(ISNUMBER(F61)),G61="",K61=""),"待补执行信息",IF(OR(NOT(ISNUMBER(H61)),H61&lt;0,NOT(ISNUMBER(J61)),J61&lt;0),"支出或耗时待补",IF(COUNTIFS('问题总览'!$A$7:$A$306,B61,'问题总览'!$J$7:$J$306,I61)&lt;&gt;1,"币种不匹配",IF(AND(M61&lt;&gt;"",OR(M61=A61,COUNTIFS('执行日志'!$A$7:$A$306,M61,'执行日志'!$B$7:$B$306,B61,'执行日志'!$L$7:$L$306,"已更正")&lt;&gt;1)),"更正引用待核对","有效输入"))))))))))</x:f>
      </x:c>
    </x:row>
    <x:row r="62" ht="25" customHeight="1">
      <x:c r="A62" s="3"/>
      <x:c r="B62" s="3"/>
      <x:c r="C62" s="3"/>
      <x:c r="D62" s="3"/>
      <x:c r="E62" s="25"/>
      <x:c r="F62" s="25"/>
      <x:c r="G62" s="3"/>
      <x:c r="H62" s="22"/>
      <x:c r="I62" s="3"/>
      <x:c r="J62" s="22"/>
      <x:c r="K62" s="3"/>
      <x:c r="L62" s="3"/>
      <x:c r="M62" s="3"/>
      <x:c r="N62" s="3"/>
      <x:c r="O62" s="3"/>
      <x:c r="P62" s="19" t="str">
        <x:f>IF(A62="","",IF(COUNTIFS('执行日志'!$A$7:$A$306,A62)&lt;&gt;1,"编号重复",IF(COUNTIFS('问题总览'!$A$7:$A$306,B62)&lt;&gt;1,"问题引用无效",IF(OR(L62="已更正",L62="撤销"),"排除汇总",IF(L62&lt;&gt;"有效","待补记录状态",IF(COUNTIFS('方案版本'!$A$7:$A$306,C62,'方案版本'!$B$7:$B$306,B62,'方案版本'!$L$7:$L$306,"已冻结")&lt;&gt;1,"方案引用无效",IF(OR(D62="",NOT(ISNUMBER(E62)),NOT(ISNUMBER(F62)),G62="",K62=""),"待补执行信息",IF(OR(NOT(ISNUMBER(H62)),H62&lt;0,NOT(ISNUMBER(J62)),J62&lt;0),"支出或耗时待补",IF(COUNTIFS('问题总览'!$A$7:$A$306,B62,'问题总览'!$J$7:$J$306,I62)&lt;&gt;1,"币种不匹配",IF(AND(M62&lt;&gt;"",OR(M62=A62,COUNTIFS('执行日志'!$A$7:$A$306,M62,'执行日志'!$B$7:$B$306,B62,'执行日志'!$L$7:$L$306,"已更正")&lt;&gt;1)),"更正引用待核对","有效输入"))))))))))</x:f>
      </x:c>
    </x:row>
    <x:row r="63" ht="25" customHeight="1">
      <x:c r="A63" s="3"/>
      <x:c r="B63" s="3"/>
      <x:c r="C63" s="3"/>
      <x:c r="D63" s="3"/>
      <x:c r="E63" s="25"/>
      <x:c r="F63" s="25"/>
      <x:c r="G63" s="3"/>
      <x:c r="H63" s="22"/>
      <x:c r="I63" s="3"/>
      <x:c r="J63" s="22"/>
      <x:c r="K63" s="3"/>
      <x:c r="L63" s="3"/>
      <x:c r="M63" s="3"/>
      <x:c r="N63" s="3"/>
      <x:c r="O63" s="3"/>
      <x:c r="P63" s="19" t="str">
        <x:f>IF(A63="","",IF(COUNTIFS('执行日志'!$A$7:$A$306,A63)&lt;&gt;1,"编号重复",IF(COUNTIFS('问题总览'!$A$7:$A$306,B63)&lt;&gt;1,"问题引用无效",IF(OR(L63="已更正",L63="撤销"),"排除汇总",IF(L63&lt;&gt;"有效","待补记录状态",IF(COUNTIFS('方案版本'!$A$7:$A$306,C63,'方案版本'!$B$7:$B$306,B63,'方案版本'!$L$7:$L$306,"已冻结")&lt;&gt;1,"方案引用无效",IF(OR(D63="",NOT(ISNUMBER(E63)),NOT(ISNUMBER(F63)),G63="",K63=""),"待补执行信息",IF(OR(NOT(ISNUMBER(H63)),H63&lt;0,NOT(ISNUMBER(J63)),J63&lt;0),"支出或耗时待补",IF(COUNTIFS('问题总览'!$A$7:$A$306,B63,'问题总览'!$J$7:$J$306,I63)&lt;&gt;1,"币种不匹配",IF(AND(M63&lt;&gt;"",OR(M63=A63,COUNTIFS('执行日志'!$A$7:$A$306,M63,'执行日志'!$B$7:$B$306,B63,'执行日志'!$L$7:$L$306,"已更正")&lt;&gt;1)),"更正引用待核对","有效输入"))))))))))</x:f>
      </x:c>
    </x:row>
    <x:row r="64" ht="25" customHeight="1">
      <x:c r="A64" s="3"/>
      <x:c r="B64" s="3"/>
      <x:c r="C64" s="3"/>
      <x:c r="D64" s="3"/>
      <x:c r="E64" s="25"/>
      <x:c r="F64" s="25"/>
      <x:c r="G64" s="3"/>
      <x:c r="H64" s="22"/>
      <x:c r="I64" s="3"/>
      <x:c r="J64" s="22"/>
      <x:c r="K64" s="3"/>
      <x:c r="L64" s="3"/>
      <x:c r="M64" s="3"/>
      <x:c r="N64" s="3"/>
      <x:c r="O64" s="3"/>
      <x:c r="P64" s="19" t="str">
        <x:f>IF(A64="","",IF(COUNTIFS('执行日志'!$A$7:$A$306,A64)&lt;&gt;1,"编号重复",IF(COUNTIFS('问题总览'!$A$7:$A$306,B64)&lt;&gt;1,"问题引用无效",IF(OR(L64="已更正",L64="撤销"),"排除汇总",IF(L64&lt;&gt;"有效","待补记录状态",IF(COUNTIFS('方案版本'!$A$7:$A$306,C64,'方案版本'!$B$7:$B$306,B64,'方案版本'!$L$7:$L$306,"已冻结")&lt;&gt;1,"方案引用无效",IF(OR(D64="",NOT(ISNUMBER(E64)),NOT(ISNUMBER(F64)),G64="",K64=""),"待补执行信息",IF(OR(NOT(ISNUMBER(H64)),H64&lt;0,NOT(ISNUMBER(J64)),J64&lt;0),"支出或耗时待补",IF(COUNTIFS('问题总览'!$A$7:$A$306,B64,'问题总览'!$J$7:$J$306,I64)&lt;&gt;1,"币种不匹配",IF(AND(M64&lt;&gt;"",OR(M64=A64,COUNTIFS('执行日志'!$A$7:$A$306,M64,'执行日志'!$B$7:$B$306,B64,'执行日志'!$L$7:$L$306,"已更正")&lt;&gt;1)),"更正引用待核对","有效输入"))))))))))</x:f>
      </x:c>
    </x:row>
    <x:row r="65" ht="25" customHeight="1">
      <x:c r="A65" s="3"/>
      <x:c r="B65" s="3"/>
      <x:c r="C65" s="3"/>
      <x:c r="D65" s="3"/>
      <x:c r="E65" s="25"/>
      <x:c r="F65" s="25"/>
      <x:c r="G65" s="3"/>
      <x:c r="H65" s="22"/>
      <x:c r="I65" s="3"/>
      <x:c r="J65" s="22"/>
      <x:c r="K65" s="3"/>
      <x:c r="L65" s="3"/>
      <x:c r="M65" s="3"/>
      <x:c r="N65" s="3"/>
      <x:c r="O65" s="3"/>
      <x:c r="P65" s="19" t="str">
        <x:f>IF(A65="","",IF(COUNTIFS('执行日志'!$A$7:$A$306,A65)&lt;&gt;1,"编号重复",IF(COUNTIFS('问题总览'!$A$7:$A$306,B65)&lt;&gt;1,"问题引用无效",IF(OR(L65="已更正",L65="撤销"),"排除汇总",IF(L65&lt;&gt;"有效","待补记录状态",IF(COUNTIFS('方案版本'!$A$7:$A$306,C65,'方案版本'!$B$7:$B$306,B65,'方案版本'!$L$7:$L$306,"已冻结")&lt;&gt;1,"方案引用无效",IF(OR(D65="",NOT(ISNUMBER(E65)),NOT(ISNUMBER(F65)),G65="",K65=""),"待补执行信息",IF(OR(NOT(ISNUMBER(H65)),H65&lt;0,NOT(ISNUMBER(J65)),J65&lt;0),"支出或耗时待补",IF(COUNTIFS('问题总览'!$A$7:$A$306,B65,'问题总览'!$J$7:$J$306,I65)&lt;&gt;1,"币种不匹配",IF(AND(M65&lt;&gt;"",OR(M65=A65,COUNTIFS('执行日志'!$A$7:$A$306,M65,'执行日志'!$B$7:$B$306,B65,'执行日志'!$L$7:$L$306,"已更正")&lt;&gt;1)),"更正引用待核对","有效输入"))))))))))</x:f>
      </x:c>
    </x:row>
    <x:row r="66" ht="25" customHeight="1">
      <x:c r="A66" s="3"/>
      <x:c r="B66" s="3"/>
      <x:c r="C66" s="3"/>
      <x:c r="D66" s="3"/>
      <x:c r="E66" s="25"/>
      <x:c r="F66" s="25"/>
      <x:c r="G66" s="3"/>
      <x:c r="H66" s="22"/>
      <x:c r="I66" s="3"/>
      <x:c r="J66" s="22"/>
      <x:c r="K66" s="3"/>
      <x:c r="L66" s="3"/>
      <x:c r="M66" s="3"/>
      <x:c r="N66" s="3"/>
      <x:c r="O66" s="3"/>
      <x:c r="P66" s="19" t="str">
        <x:f>IF(A66="","",IF(COUNTIFS('执行日志'!$A$7:$A$306,A66)&lt;&gt;1,"编号重复",IF(COUNTIFS('问题总览'!$A$7:$A$306,B66)&lt;&gt;1,"问题引用无效",IF(OR(L66="已更正",L66="撤销"),"排除汇总",IF(L66&lt;&gt;"有效","待补记录状态",IF(COUNTIFS('方案版本'!$A$7:$A$306,C66,'方案版本'!$B$7:$B$306,B66,'方案版本'!$L$7:$L$306,"已冻结")&lt;&gt;1,"方案引用无效",IF(OR(D66="",NOT(ISNUMBER(E66)),NOT(ISNUMBER(F66)),G66="",K66=""),"待补执行信息",IF(OR(NOT(ISNUMBER(H66)),H66&lt;0,NOT(ISNUMBER(J66)),J66&lt;0),"支出或耗时待补",IF(COUNTIFS('问题总览'!$A$7:$A$306,B66,'问题总览'!$J$7:$J$306,I66)&lt;&gt;1,"币种不匹配",IF(AND(M66&lt;&gt;"",OR(M66=A66,COUNTIFS('执行日志'!$A$7:$A$306,M66,'执行日志'!$B$7:$B$306,B66,'执行日志'!$L$7:$L$306,"已更正")&lt;&gt;1)),"更正引用待核对","有效输入"))))))))))</x:f>
      </x:c>
    </x:row>
    <x:row r="67" ht="25" customHeight="1">
      <x:c r="A67" s="3"/>
      <x:c r="B67" s="3"/>
      <x:c r="C67" s="3"/>
      <x:c r="D67" s="3"/>
      <x:c r="E67" s="25"/>
      <x:c r="F67" s="25"/>
      <x:c r="G67" s="3"/>
      <x:c r="H67" s="22"/>
      <x:c r="I67" s="3"/>
      <x:c r="J67" s="22"/>
      <x:c r="K67" s="3"/>
      <x:c r="L67" s="3"/>
      <x:c r="M67" s="3"/>
      <x:c r="N67" s="3"/>
      <x:c r="O67" s="3"/>
      <x:c r="P67" s="19" t="str">
        <x:f>IF(A67="","",IF(COUNTIFS('执行日志'!$A$7:$A$306,A67)&lt;&gt;1,"编号重复",IF(COUNTIFS('问题总览'!$A$7:$A$306,B67)&lt;&gt;1,"问题引用无效",IF(OR(L67="已更正",L67="撤销"),"排除汇总",IF(L67&lt;&gt;"有效","待补记录状态",IF(COUNTIFS('方案版本'!$A$7:$A$306,C67,'方案版本'!$B$7:$B$306,B67,'方案版本'!$L$7:$L$306,"已冻结")&lt;&gt;1,"方案引用无效",IF(OR(D67="",NOT(ISNUMBER(E67)),NOT(ISNUMBER(F67)),G67="",K67=""),"待补执行信息",IF(OR(NOT(ISNUMBER(H67)),H67&lt;0,NOT(ISNUMBER(J67)),J67&lt;0),"支出或耗时待补",IF(COUNTIFS('问题总览'!$A$7:$A$306,B67,'问题总览'!$J$7:$J$306,I67)&lt;&gt;1,"币种不匹配",IF(AND(M67&lt;&gt;"",OR(M67=A67,COUNTIFS('执行日志'!$A$7:$A$306,M67,'执行日志'!$B$7:$B$306,B67,'执行日志'!$L$7:$L$306,"已更正")&lt;&gt;1)),"更正引用待核对","有效输入"))))))))))</x:f>
      </x:c>
    </x:row>
    <x:row r="68" ht="25" customHeight="1">
      <x:c r="A68" s="3"/>
      <x:c r="B68" s="3"/>
      <x:c r="C68" s="3"/>
      <x:c r="D68" s="3"/>
      <x:c r="E68" s="25"/>
      <x:c r="F68" s="25"/>
      <x:c r="G68" s="3"/>
      <x:c r="H68" s="22"/>
      <x:c r="I68" s="3"/>
      <x:c r="J68" s="22"/>
      <x:c r="K68" s="3"/>
      <x:c r="L68" s="3"/>
      <x:c r="M68" s="3"/>
      <x:c r="N68" s="3"/>
      <x:c r="O68" s="3"/>
      <x:c r="P68" s="19" t="str">
        <x:f>IF(A68="","",IF(COUNTIFS('执行日志'!$A$7:$A$306,A68)&lt;&gt;1,"编号重复",IF(COUNTIFS('问题总览'!$A$7:$A$306,B68)&lt;&gt;1,"问题引用无效",IF(OR(L68="已更正",L68="撤销"),"排除汇总",IF(L68&lt;&gt;"有效","待补记录状态",IF(COUNTIFS('方案版本'!$A$7:$A$306,C68,'方案版本'!$B$7:$B$306,B68,'方案版本'!$L$7:$L$306,"已冻结")&lt;&gt;1,"方案引用无效",IF(OR(D68="",NOT(ISNUMBER(E68)),NOT(ISNUMBER(F68)),G68="",K68=""),"待补执行信息",IF(OR(NOT(ISNUMBER(H68)),H68&lt;0,NOT(ISNUMBER(J68)),J68&lt;0),"支出或耗时待补",IF(COUNTIFS('问题总览'!$A$7:$A$306,B68,'问题总览'!$J$7:$J$306,I68)&lt;&gt;1,"币种不匹配",IF(AND(M68&lt;&gt;"",OR(M68=A68,COUNTIFS('执行日志'!$A$7:$A$306,M68,'执行日志'!$B$7:$B$306,B68,'执行日志'!$L$7:$L$306,"已更正")&lt;&gt;1)),"更正引用待核对","有效输入"))))))))))</x:f>
      </x:c>
    </x:row>
    <x:row r="69" ht="25" customHeight="1">
      <x:c r="A69" s="3"/>
      <x:c r="B69" s="3"/>
      <x:c r="C69" s="3"/>
      <x:c r="D69" s="3"/>
      <x:c r="E69" s="25"/>
      <x:c r="F69" s="25"/>
      <x:c r="G69" s="3"/>
      <x:c r="H69" s="22"/>
      <x:c r="I69" s="3"/>
      <x:c r="J69" s="22"/>
      <x:c r="K69" s="3"/>
      <x:c r="L69" s="3"/>
      <x:c r="M69" s="3"/>
      <x:c r="N69" s="3"/>
      <x:c r="O69" s="3"/>
      <x:c r="P69" s="19" t="str">
        <x:f>IF(A69="","",IF(COUNTIFS('执行日志'!$A$7:$A$306,A69)&lt;&gt;1,"编号重复",IF(COUNTIFS('问题总览'!$A$7:$A$306,B69)&lt;&gt;1,"问题引用无效",IF(OR(L69="已更正",L69="撤销"),"排除汇总",IF(L69&lt;&gt;"有效","待补记录状态",IF(COUNTIFS('方案版本'!$A$7:$A$306,C69,'方案版本'!$B$7:$B$306,B69,'方案版本'!$L$7:$L$306,"已冻结")&lt;&gt;1,"方案引用无效",IF(OR(D69="",NOT(ISNUMBER(E69)),NOT(ISNUMBER(F69)),G69="",K69=""),"待补执行信息",IF(OR(NOT(ISNUMBER(H69)),H69&lt;0,NOT(ISNUMBER(J69)),J69&lt;0),"支出或耗时待补",IF(COUNTIFS('问题总览'!$A$7:$A$306,B69,'问题总览'!$J$7:$J$306,I69)&lt;&gt;1,"币种不匹配",IF(AND(M69&lt;&gt;"",OR(M69=A69,COUNTIFS('执行日志'!$A$7:$A$306,M69,'执行日志'!$B$7:$B$306,B69,'执行日志'!$L$7:$L$306,"已更正")&lt;&gt;1)),"更正引用待核对","有效输入"))))))))))</x:f>
      </x:c>
    </x:row>
    <x:row r="70" ht="25" customHeight="1">
      <x:c r="A70" s="3"/>
      <x:c r="B70" s="3"/>
      <x:c r="C70" s="3"/>
      <x:c r="D70" s="3"/>
      <x:c r="E70" s="25"/>
      <x:c r="F70" s="25"/>
      <x:c r="G70" s="3"/>
      <x:c r="H70" s="22"/>
      <x:c r="I70" s="3"/>
      <x:c r="J70" s="22"/>
      <x:c r="K70" s="3"/>
      <x:c r="L70" s="3"/>
      <x:c r="M70" s="3"/>
      <x:c r="N70" s="3"/>
      <x:c r="O70" s="3"/>
      <x:c r="P70" s="19" t="str">
        <x:f>IF(A70="","",IF(COUNTIFS('执行日志'!$A$7:$A$306,A70)&lt;&gt;1,"编号重复",IF(COUNTIFS('问题总览'!$A$7:$A$306,B70)&lt;&gt;1,"问题引用无效",IF(OR(L70="已更正",L70="撤销"),"排除汇总",IF(L70&lt;&gt;"有效","待补记录状态",IF(COUNTIFS('方案版本'!$A$7:$A$306,C70,'方案版本'!$B$7:$B$306,B70,'方案版本'!$L$7:$L$306,"已冻结")&lt;&gt;1,"方案引用无效",IF(OR(D70="",NOT(ISNUMBER(E70)),NOT(ISNUMBER(F70)),G70="",K70=""),"待补执行信息",IF(OR(NOT(ISNUMBER(H70)),H70&lt;0,NOT(ISNUMBER(J70)),J70&lt;0),"支出或耗时待补",IF(COUNTIFS('问题总览'!$A$7:$A$306,B70,'问题总览'!$J$7:$J$306,I70)&lt;&gt;1,"币种不匹配",IF(AND(M70&lt;&gt;"",OR(M70=A70,COUNTIFS('执行日志'!$A$7:$A$306,M70,'执行日志'!$B$7:$B$306,B70,'执行日志'!$L$7:$L$306,"已更正")&lt;&gt;1)),"更正引用待核对","有效输入"))))))))))</x:f>
      </x:c>
    </x:row>
    <x:row r="71" ht="25" customHeight="1">
      <x:c r="A71" s="3"/>
      <x:c r="B71" s="3"/>
      <x:c r="C71" s="3"/>
      <x:c r="D71" s="3"/>
      <x:c r="E71" s="25"/>
      <x:c r="F71" s="25"/>
      <x:c r="G71" s="3"/>
      <x:c r="H71" s="22"/>
      <x:c r="I71" s="3"/>
      <x:c r="J71" s="22"/>
      <x:c r="K71" s="3"/>
      <x:c r="L71" s="3"/>
      <x:c r="M71" s="3"/>
      <x:c r="N71" s="3"/>
      <x:c r="O71" s="3"/>
      <x:c r="P71" s="19" t="str">
        <x:f>IF(A71="","",IF(COUNTIFS('执行日志'!$A$7:$A$306,A71)&lt;&gt;1,"编号重复",IF(COUNTIFS('问题总览'!$A$7:$A$306,B71)&lt;&gt;1,"问题引用无效",IF(OR(L71="已更正",L71="撤销"),"排除汇总",IF(L71&lt;&gt;"有效","待补记录状态",IF(COUNTIFS('方案版本'!$A$7:$A$306,C71,'方案版本'!$B$7:$B$306,B71,'方案版本'!$L$7:$L$306,"已冻结")&lt;&gt;1,"方案引用无效",IF(OR(D71="",NOT(ISNUMBER(E71)),NOT(ISNUMBER(F71)),G71="",K71=""),"待补执行信息",IF(OR(NOT(ISNUMBER(H71)),H71&lt;0,NOT(ISNUMBER(J71)),J71&lt;0),"支出或耗时待补",IF(COUNTIFS('问题总览'!$A$7:$A$306,B71,'问题总览'!$J$7:$J$306,I71)&lt;&gt;1,"币种不匹配",IF(AND(M71&lt;&gt;"",OR(M71=A71,COUNTIFS('执行日志'!$A$7:$A$306,M71,'执行日志'!$B$7:$B$306,B71,'执行日志'!$L$7:$L$306,"已更正")&lt;&gt;1)),"更正引用待核对","有效输入"))))))))))</x:f>
      </x:c>
    </x:row>
    <x:row r="72" ht="25" customHeight="1">
      <x:c r="A72" s="3"/>
      <x:c r="B72" s="3"/>
      <x:c r="C72" s="3"/>
      <x:c r="D72" s="3"/>
      <x:c r="E72" s="25"/>
      <x:c r="F72" s="25"/>
      <x:c r="G72" s="3"/>
      <x:c r="H72" s="22"/>
      <x:c r="I72" s="3"/>
      <x:c r="J72" s="22"/>
      <x:c r="K72" s="3"/>
      <x:c r="L72" s="3"/>
      <x:c r="M72" s="3"/>
      <x:c r="N72" s="3"/>
      <x:c r="O72" s="3"/>
      <x:c r="P72" s="19" t="str">
        <x:f>IF(A72="","",IF(COUNTIFS('执行日志'!$A$7:$A$306,A72)&lt;&gt;1,"编号重复",IF(COUNTIFS('问题总览'!$A$7:$A$306,B72)&lt;&gt;1,"问题引用无效",IF(OR(L72="已更正",L72="撤销"),"排除汇总",IF(L72&lt;&gt;"有效","待补记录状态",IF(COUNTIFS('方案版本'!$A$7:$A$306,C72,'方案版本'!$B$7:$B$306,B72,'方案版本'!$L$7:$L$306,"已冻结")&lt;&gt;1,"方案引用无效",IF(OR(D72="",NOT(ISNUMBER(E72)),NOT(ISNUMBER(F72)),G72="",K72=""),"待补执行信息",IF(OR(NOT(ISNUMBER(H72)),H72&lt;0,NOT(ISNUMBER(J72)),J72&lt;0),"支出或耗时待补",IF(COUNTIFS('问题总览'!$A$7:$A$306,B72,'问题总览'!$J$7:$J$306,I72)&lt;&gt;1,"币种不匹配",IF(AND(M72&lt;&gt;"",OR(M72=A72,COUNTIFS('执行日志'!$A$7:$A$306,M72,'执行日志'!$B$7:$B$306,B72,'执行日志'!$L$7:$L$306,"已更正")&lt;&gt;1)),"更正引用待核对","有效输入"))))))))))</x:f>
      </x:c>
    </x:row>
    <x:row r="73" ht="25" customHeight="1">
      <x:c r="A73" s="3"/>
      <x:c r="B73" s="3"/>
      <x:c r="C73" s="3"/>
      <x:c r="D73" s="3"/>
      <x:c r="E73" s="25"/>
      <x:c r="F73" s="25"/>
      <x:c r="G73" s="3"/>
      <x:c r="H73" s="22"/>
      <x:c r="I73" s="3"/>
      <x:c r="J73" s="22"/>
      <x:c r="K73" s="3"/>
      <x:c r="L73" s="3"/>
      <x:c r="M73" s="3"/>
      <x:c r="N73" s="3"/>
      <x:c r="O73" s="3"/>
      <x:c r="P73" s="19" t="str">
        <x:f>IF(A73="","",IF(COUNTIFS('执行日志'!$A$7:$A$306,A73)&lt;&gt;1,"编号重复",IF(COUNTIFS('问题总览'!$A$7:$A$306,B73)&lt;&gt;1,"问题引用无效",IF(OR(L73="已更正",L73="撤销"),"排除汇总",IF(L73&lt;&gt;"有效","待补记录状态",IF(COUNTIFS('方案版本'!$A$7:$A$306,C73,'方案版本'!$B$7:$B$306,B73,'方案版本'!$L$7:$L$306,"已冻结")&lt;&gt;1,"方案引用无效",IF(OR(D73="",NOT(ISNUMBER(E73)),NOT(ISNUMBER(F73)),G73="",K73=""),"待补执行信息",IF(OR(NOT(ISNUMBER(H73)),H73&lt;0,NOT(ISNUMBER(J73)),J73&lt;0),"支出或耗时待补",IF(COUNTIFS('问题总览'!$A$7:$A$306,B73,'问题总览'!$J$7:$J$306,I73)&lt;&gt;1,"币种不匹配",IF(AND(M73&lt;&gt;"",OR(M73=A73,COUNTIFS('执行日志'!$A$7:$A$306,M73,'执行日志'!$B$7:$B$306,B73,'执行日志'!$L$7:$L$306,"已更正")&lt;&gt;1)),"更正引用待核对","有效输入"))))))))))</x:f>
      </x:c>
    </x:row>
    <x:row r="74" ht="25" customHeight="1">
      <x:c r="A74" s="3"/>
      <x:c r="B74" s="3"/>
      <x:c r="C74" s="3"/>
      <x:c r="D74" s="3"/>
      <x:c r="E74" s="25"/>
      <x:c r="F74" s="25"/>
      <x:c r="G74" s="3"/>
      <x:c r="H74" s="22"/>
      <x:c r="I74" s="3"/>
      <x:c r="J74" s="22"/>
      <x:c r="K74" s="3"/>
      <x:c r="L74" s="3"/>
      <x:c r="M74" s="3"/>
      <x:c r="N74" s="3"/>
      <x:c r="O74" s="3"/>
      <x:c r="P74" s="19" t="str">
        <x:f>IF(A74="","",IF(COUNTIFS('执行日志'!$A$7:$A$306,A74)&lt;&gt;1,"编号重复",IF(COUNTIFS('问题总览'!$A$7:$A$306,B74)&lt;&gt;1,"问题引用无效",IF(OR(L74="已更正",L74="撤销"),"排除汇总",IF(L74&lt;&gt;"有效","待补记录状态",IF(COUNTIFS('方案版本'!$A$7:$A$306,C74,'方案版本'!$B$7:$B$306,B74,'方案版本'!$L$7:$L$306,"已冻结")&lt;&gt;1,"方案引用无效",IF(OR(D74="",NOT(ISNUMBER(E74)),NOT(ISNUMBER(F74)),G74="",K74=""),"待补执行信息",IF(OR(NOT(ISNUMBER(H74)),H74&lt;0,NOT(ISNUMBER(J74)),J74&lt;0),"支出或耗时待补",IF(COUNTIFS('问题总览'!$A$7:$A$306,B74,'问题总览'!$J$7:$J$306,I74)&lt;&gt;1,"币种不匹配",IF(AND(M74&lt;&gt;"",OR(M74=A74,COUNTIFS('执行日志'!$A$7:$A$306,M74,'执行日志'!$B$7:$B$306,B74,'执行日志'!$L$7:$L$306,"已更正")&lt;&gt;1)),"更正引用待核对","有效输入"))))))))))</x:f>
      </x:c>
    </x:row>
    <x:row r="75" ht="25" customHeight="1">
      <x:c r="A75" s="3"/>
      <x:c r="B75" s="3"/>
      <x:c r="C75" s="3"/>
      <x:c r="D75" s="3"/>
      <x:c r="E75" s="25"/>
      <x:c r="F75" s="25"/>
      <x:c r="G75" s="3"/>
      <x:c r="H75" s="22"/>
      <x:c r="I75" s="3"/>
      <x:c r="J75" s="22"/>
      <x:c r="K75" s="3"/>
      <x:c r="L75" s="3"/>
      <x:c r="M75" s="3"/>
      <x:c r="N75" s="3"/>
      <x:c r="O75" s="3"/>
      <x:c r="P75" s="19" t="str">
        <x:f>IF(A75="","",IF(COUNTIFS('执行日志'!$A$7:$A$306,A75)&lt;&gt;1,"编号重复",IF(COUNTIFS('问题总览'!$A$7:$A$306,B75)&lt;&gt;1,"问题引用无效",IF(OR(L75="已更正",L75="撤销"),"排除汇总",IF(L75&lt;&gt;"有效","待补记录状态",IF(COUNTIFS('方案版本'!$A$7:$A$306,C75,'方案版本'!$B$7:$B$306,B75,'方案版本'!$L$7:$L$306,"已冻结")&lt;&gt;1,"方案引用无效",IF(OR(D75="",NOT(ISNUMBER(E75)),NOT(ISNUMBER(F75)),G75="",K75=""),"待补执行信息",IF(OR(NOT(ISNUMBER(H75)),H75&lt;0,NOT(ISNUMBER(J75)),J75&lt;0),"支出或耗时待补",IF(COUNTIFS('问题总览'!$A$7:$A$306,B75,'问题总览'!$J$7:$J$306,I75)&lt;&gt;1,"币种不匹配",IF(AND(M75&lt;&gt;"",OR(M75=A75,COUNTIFS('执行日志'!$A$7:$A$306,M75,'执行日志'!$B$7:$B$306,B75,'执行日志'!$L$7:$L$306,"已更正")&lt;&gt;1)),"更正引用待核对","有效输入"))))))))))</x:f>
      </x:c>
    </x:row>
    <x:row r="76" ht="25" customHeight="1">
      <x:c r="A76" s="3"/>
      <x:c r="B76" s="3"/>
      <x:c r="C76" s="3"/>
      <x:c r="D76" s="3"/>
      <x:c r="E76" s="25"/>
      <x:c r="F76" s="25"/>
      <x:c r="G76" s="3"/>
      <x:c r="H76" s="22"/>
      <x:c r="I76" s="3"/>
      <x:c r="J76" s="22"/>
      <x:c r="K76" s="3"/>
      <x:c r="L76" s="3"/>
      <x:c r="M76" s="3"/>
      <x:c r="N76" s="3"/>
      <x:c r="O76" s="3"/>
      <x:c r="P76" s="19" t="str">
        <x:f>IF(A76="","",IF(COUNTIFS('执行日志'!$A$7:$A$306,A76)&lt;&gt;1,"编号重复",IF(COUNTIFS('问题总览'!$A$7:$A$306,B76)&lt;&gt;1,"问题引用无效",IF(OR(L76="已更正",L76="撤销"),"排除汇总",IF(L76&lt;&gt;"有效","待补记录状态",IF(COUNTIFS('方案版本'!$A$7:$A$306,C76,'方案版本'!$B$7:$B$306,B76,'方案版本'!$L$7:$L$306,"已冻结")&lt;&gt;1,"方案引用无效",IF(OR(D76="",NOT(ISNUMBER(E76)),NOT(ISNUMBER(F76)),G76="",K76=""),"待补执行信息",IF(OR(NOT(ISNUMBER(H76)),H76&lt;0,NOT(ISNUMBER(J76)),J76&lt;0),"支出或耗时待补",IF(COUNTIFS('问题总览'!$A$7:$A$306,B76,'问题总览'!$J$7:$J$306,I76)&lt;&gt;1,"币种不匹配",IF(AND(M76&lt;&gt;"",OR(M76=A76,COUNTIFS('执行日志'!$A$7:$A$306,M76,'执行日志'!$B$7:$B$306,B76,'执行日志'!$L$7:$L$306,"已更正")&lt;&gt;1)),"更正引用待核对","有效输入"))))))))))</x:f>
      </x:c>
    </x:row>
    <x:row r="77" ht="25" customHeight="1">
      <x:c r="A77" s="3"/>
      <x:c r="B77" s="3"/>
      <x:c r="C77" s="3"/>
      <x:c r="D77" s="3"/>
      <x:c r="E77" s="25"/>
      <x:c r="F77" s="25"/>
      <x:c r="G77" s="3"/>
      <x:c r="H77" s="22"/>
      <x:c r="I77" s="3"/>
      <x:c r="J77" s="22"/>
      <x:c r="K77" s="3"/>
      <x:c r="L77" s="3"/>
      <x:c r="M77" s="3"/>
      <x:c r="N77" s="3"/>
      <x:c r="O77" s="3"/>
      <x:c r="P77" s="19" t="str">
        <x:f>IF(A77="","",IF(COUNTIFS('执行日志'!$A$7:$A$306,A77)&lt;&gt;1,"编号重复",IF(COUNTIFS('问题总览'!$A$7:$A$306,B77)&lt;&gt;1,"问题引用无效",IF(OR(L77="已更正",L77="撤销"),"排除汇总",IF(L77&lt;&gt;"有效","待补记录状态",IF(COUNTIFS('方案版本'!$A$7:$A$306,C77,'方案版本'!$B$7:$B$306,B77,'方案版本'!$L$7:$L$306,"已冻结")&lt;&gt;1,"方案引用无效",IF(OR(D77="",NOT(ISNUMBER(E77)),NOT(ISNUMBER(F77)),G77="",K77=""),"待补执行信息",IF(OR(NOT(ISNUMBER(H77)),H77&lt;0,NOT(ISNUMBER(J77)),J77&lt;0),"支出或耗时待补",IF(COUNTIFS('问题总览'!$A$7:$A$306,B77,'问题总览'!$J$7:$J$306,I77)&lt;&gt;1,"币种不匹配",IF(AND(M77&lt;&gt;"",OR(M77=A77,COUNTIFS('执行日志'!$A$7:$A$306,M77,'执行日志'!$B$7:$B$306,B77,'执行日志'!$L$7:$L$306,"已更正")&lt;&gt;1)),"更正引用待核对","有效输入"))))))))))</x:f>
      </x:c>
    </x:row>
    <x:row r="78" ht="25" customHeight="1">
      <x:c r="A78" s="3"/>
      <x:c r="B78" s="3"/>
      <x:c r="C78" s="3"/>
      <x:c r="D78" s="3"/>
      <x:c r="E78" s="25"/>
      <x:c r="F78" s="25"/>
      <x:c r="G78" s="3"/>
      <x:c r="H78" s="22"/>
      <x:c r="I78" s="3"/>
      <x:c r="J78" s="22"/>
      <x:c r="K78" s="3"/>
      <x:c r="L78" s="3"/>
      <x:c r="M78" s="3"/>
      <x:c r="N78" s="3"/>
      <x:c r="O78" s="3"/>
      <x:c r="P78" s="19" t="str">
        <x:f>IF(A78="","",IF(COUNTIFS('执行日志'!$A$7:$A$306,A78)&lt;&gt;1,"编号重复",IF(COUNTIFS('问题总览'!$A$7:$A$306,B78)&lt;&gt;1,"问题引用无效",IF(OR(L78="已更正",L78="撤销"),"排除汇总",IF(L78&lt;&gt;"有效","待补记录状态",IF(COUNTIFS('方案版本'!$A$7:$A$306,C78,'方案版本'!$B$7:$B$306,B78,'方案版本'!$L$7:$L$306,"已冻结")&lt;&gt;1,"方案引用无效",IF(OR(D78="",NOT(ISNUMBER(E78)),NOT(ISNUMBER(F78)),G78="",K78=""),"待补执行信息",IF(OR(NOT(ISNUMBER(H78)),H78&lt;0,NOT(ISNUMBER(J78)),J78&lt;0),"支出或耗时待补",IF(COUNTIFS('问题总览'!$A$7:$A$306,B78,'问题总览'!$J$7:$J$306,I78)&lt;&gt;1,"币种不匹配",IF(AND(M78&lt;&gt;"",OR(M78=A78,COUNTIFS('执行日志'!$A$7:$A$306,M78,'执行日志'!$B$7:$B$306,B78,'执行日志'!$L$7:$L$306,"已更正")&lt;&gt;1)),"更正引用待核对","有效输入"))))))))))</x:f>
      </x:c>
    </x:row>
    <x:row r="79" ht="25" customHeight="1">
      <x:c r="A79" s="3"/>
      <x:c r="B79" s="3"/>
      <x:c r="C79" s="3"/>
      <x:c r="D79" s="3"/>
      <x:c r="E79" s="25"/>
      <x:c r="F79" s="25"/>
      <x:c r="G79" s="3"/>
      <x:c r="H79" s="22"/>
      <x:c r="I79" s="3"/>
      <x:c r="J79" s="22"/>
      <x:c r="K79" s="3"/>
      <x:c r="L79" s="3"/>
      <x:c r="M79" s="3"/>
      <x:c r="N79" s="3"/>
      <x:c r="O79" s="3"/>
      <x:c r="P79" s="19" t="str">
        <x:f>IF(A79="","",IF(COUNTIFS('执行日志'!$A$7:$A$306,A79)&lt;&gt;1,"编号重复",IF(COUNTIFS('问题总览'!$A$7:$A$306,B79)&lt;&gt;1,"问题引用无效",IF(OR(L79="已更正",L79="撤销"),"排除汇总",IF(L79&lt;&gt;"有效","待补记录状态",IF(COUNTIFS('方案版本'!$A$7:$A$306,C79,'方案版本'!$B$7:$B$306,B79,'方案版本'!$L$7:$L$306,"已冻结")&lt;&gt;1,"方案引用无效",IF(OR(D79="",NOT(ISNUMBER(E79)),NOT(ISNUMBER(F79)),G79="",K79=""),"待补执行信息",IF(OR(NOT(ISNUMBER(H79)),H79&lt;0,NOT(ISNUMBER(J79)),J79&lt;0),"支出或耗时待补",IF(COUNTIFS('问题总览'!$A$7:$A$306,B79,'问题总览'!$J$7:$J$306,I79)&lt;&gt;1,"币种不匹配",IF(AND(M79&lt;&gt;"",OR(M79=A79,COUNTIFS('执行日志'!$A$7:$A$306,M79,'执行日志'!$B$7:$B$306,B79,'执行日志'!$L$7:$L$306,"已更正")&lt;&gt;1)),"更正引用待核对","有效输入"))))))))))</x:f>
      </x:c>
    </x:row>
    <x:row r="80" ht="25" customHeight="1">
      <x:c r="A80" s="3"/>
      <x:c r="B80" s="3"/>
      <x:c r="C80" s="3"/>
      <x:c r="D80" s="3"/>
      <x:c r="E80" s="25"/>
      <x:c r="F80" s="25"/>
      <x:c r="G80" s="3"/>
      <x:c r="H80" s="22"/>
      <x:c r="I80" s="3"/>
      <x:c r="J80" s="22"/>
      <x:c r="K80" s="3"/>
      <x:c r="L80" s="3"/>
      <x:c r="M80" s="3"/>
      <x:c r="N80" s="3"/>
      <x:c r="O80" s="3"/>
      <x:c r="P80" s="19" t="str">
        <x:f>IF(A80="","",IF(COUNTIFS('执行日志'!$A$7:$A$306,A80)&lt;&gt;1,"编号重复",IF(COUNTIFS('问题总览'!$A$7:$A$306,B80)&lt;&gt;1,"问题引用无效",IF(OR(L80="已更正",L80="撤销"),"排除汇总",IF(L80&lt;&gt;"有效","待补记录状态",IF(COUNTIFS('方案版本'!$A$7:$A$306,C80,'方案版本'!$B$7:$B$306,B80,'方案版本'!$L$7:$L$306,"已冻结")&lt;&gt;1,"方案引用无效",IF(OR(D80="",NOT(ISNUMBER(E80)),NOT(ISNUMBER(F80)),G80="",K80=""),"待补执行信息",IF(OR(NOT(ISNUMBER(H80)),H80&lt;0,NOT(ISNUMBER(J80)),J80&lt;0),"支出或耗时待补",IF(COUNTIFS('问题总览'!$A$7:$A$306,B80,'问题总览'!$J$7:$J$306,I80)&lt;&gt;1,"币种不匹配",IF(AND(M80&lt;&gt;"",OR(M80=A80,COUNTIFS('执行日志'!$A$7:$A$306,M80,'执行日志'!$B$7:$B$306,B80,'执行日志'!$L$7:$L$306,"已更正")&lt;&gt;1)),"更正引用待核对","有效输入"))))))))))</x:f>
      </x:c>
    </x:row>
    <x:row r="81" ht="25" customHeight="1">
      <x:c r="A81" s="3"/>
      <x:c r="B81" s="3"/>
      <x:c r="C81" s="3"/>
      <x:c r="D81" s="3"/>
      <x:c r="E81" s="25"/>
      <x:c r="F81" s="25"/>
      <x:c r="G81" s="3"/>
      <x:c r="H81" s="22"/>
      <x:c r="I81" s="3"/>
      <x:c r="J81" s="22"/>
      <x:c r="K81" s="3"/>
      <x:c r="L81" s="3"/>
      <x:c r="M81" s="3"/>
      <x:c r="N81" s="3"/>
      <x:c r="O81" s="3"/>
      <x:c r="P81" s="19" t="str">
        <x:f>IF(A81="","",IF(COUNTIFS('执行日志'!$A$7:$A$306,A81)&lt;&gt;1,"编号重复",IF(COUNTIFS('问题总览'!$A$7:$A$306,B81)&lt;&gt;1,"问题引用无效",IF(OR(L81="已更正",L81="撤销"),"排除汇总",IF(L81&lt;&gt;"有效","待补记录状态",IF(COUNTIFS('方案版本'!$A$7:$A$306,C81,'方案版本'!$B$7:$B$306,B81,'方案版本'!$L$7:$L$306,"已冻结")&lt;&gt;1,"方案引用无效",IF(OR(D81="",NOT(ISNUMBER(E81)),NOT(ISNUMBER(F81)),G81="",K81=""),"待补执行信息",IF(OR(NOT(ISNUMBER(H81)),H81&lt;0,NOT(ISNUMBER(J81)),J81&lt;0),"支出或耗时待补",IF(COUNTIFS('问题总览'!$A$7:$A$306,B81,'问题总览'!$J$7:$J$306,I81)&lt;&gt;1,"币种不匹配",IF(AND(M81&lt;&gt;"",OR(M81=A81,COUNTIFS('执行日志'!$A$7:$A$306,M81,'执行日志'!$B$7:$B$306,B81,'执行日志'!$L$7:$L$306,"已更正")&lt;&gt;1)),"更正引用待核对","有效输入"))))))))))</x:f>
      </x:c>
    </x:row>
    <x:row r="82" ht="25" customHeight="1">
      <x:c r="A82" s="3"/>
      <x:c r="B82" s="3"/>
      <x:c r="C82" s="3"/>
      <x:c r="D82" s="3"/>
      <x:c r="E82" s="25"/>
      <x:c r="F82" s="25"/>
      <x:c r="G82" s="3"/>
      <x:c r="H82" s="22"/>
      <x:c r="I82" s="3"/>
      <x:c r="J82" s="22"/>
      <x:c r="K82" s="3"/>
      <x:c r="L82" s="3"/>
      <x:c r="M82" s="3"/>
      <x:c r="N82" s="3"/>
      <x:c r="O82" s="3"/>
      <x:c r="P82" s="19" t="str">
        <x:f>IF(A82="","",IF(COUNTIFS('执行日志'!$A$7:$A$306,A82)&lt;&gt;1,"编号重复",IF(COUNTIFS('问题总览'!$A$7:$A$306,B82)&lt;&gt;1,"问题引用无效",IF(OR(L82="已更正",L82="撤销"),"排除汇总",IF(L82&lt;&gt;"有效","待补记录状态",IF(COUNTIFS('方案版本'!$A$7:$A$306,C82,'方案版本'!$B$7:$B$306,B82,'方案版本'!$L$7:$L$306,"已冻结")&lt;&gt;1,"方案引用无效",IF(OR(D82="",NOT(ISNUMBER(E82)),NOT(ISNUMBER(F82)),G82="",K82=""),"待补执行信息",IF(OR(NOT(ISNUMBER(H82)),H82&lt;0,NOT(ISNUMBER(J82)),J82&lt;0),"支出或耗时待补",IF(COUNTIFS('问题总览'!$A$7:$A$306,B82,'问题总览'!$J$7:$J$306,I82)&lt;&gt;1,"币种不匹配",IF(AND(M82&lt;&gt;"",OR(M82=A82,COUNTIFS('执行日志'!$A$7:$A$306,M82,'执行日志'!$B$7:$B$306,B82,'执行日志'!$L$7:$L$306,"已更正")&lt;&gt;1)),"更正引用待核对","有效输入"))))))))))</x:f>
      </x:c>
    </x:row>
    <x:row r="83" ht="25" customHeight="1">
      <x:c r="A83" s="3"/>
      <x:c r="B83" s="3"/>
      <x:c r="C83" s="3"/>
      <x:c r="D83" s="3"/>
      <x:c r="E83" s="25"/>
      <x:c r="F83" s="25"/>
      <x:c r="G83" s="3"/>
      <x:c r="H83" s="22"/>
      <x:c r="I83" s="3"/>
      <x:c r="J83" s="22"/>
      <x:c r="K83" s="3"/>
      <x:c r="L83" s="3"/>
      <x:c r="M83" s="3"/>
      <x:c r="N83" s="3"/>
      <x:c r="O83" s="3"/>
      <x:c r="P83" s="19" t="str">
        <x:f>IF(A83="","",IF(COUNTIFS('执行日志'!$A$7:$A$306,A83)&lt;&gt;1,"编号重复",IF(COUNTIFS('问题总览'!$A$7:$A$306,B83)&lt;&gt;1,"问题引用无效",IF(OR(L83="已更正",L83="撤销"),"排除汇总",IF(L83&lt;&gt;"有效","待补记录状态",IF(COUNTIFS('方案版本'!$A$7:$A$306,C83,'方案版本'!$B$7:$B$306,B83,'方案版本'!$L$7:$L$306,"已冻结")&lt;&gt;1,"方案引用无效",IF(OR(D83="",NOT(ISNUMBER(E83)),NOT(ISNUMBER(F83)),G83="",K83=""),"待补执行信息",IF(OR(NOT(ISNUMBER(H83)),H83&lt;0,NOT(ISNUMBER(J83)),J83&lt;0),"支出或耗时待补",IF(COUNTIFS('问题总览'!$A$7:$A$306,B83,'问题总览'!$J$7:$J$306,I83)&lt;&gt;1,"币种不匹配",IF(AND(M83&lt;&gt;"",OR(M83=A83,COUNTIFS('执行日志'!$A$7:$A$306,M83,'执行日志'!$B$7:$B$306,B83,'执行日志'!$L$7:$L$306,"已更正")&lt;&gt;1)),"更正引用待核对","有效输入"))))))))))</x:f>
      </x:c>
    </x:row>
    <x:row r="84" ht="25" customHeight="1">
      <x:c r="A84" s="3"/>
      <x:c r="B84" s="3"/>
      <x:c r="C84" s="3"/>
      <x:c r="D84" s="3"/>
      <x:c r="E84" s="25"/>
      <x:c r="F84" s="25"/>
      <x:c r="G84" s="3"/>
      <x:c r="H84" s="22"/>
      <x:c r="I84" s="3"/>
      <x:c r="J84" s="22"/>
      <x:c r="K84" s="3"/>
      <x:c r="L84" s="3"/>
      <x:c r="M84" s="3"/>
      <x:c r="N84" s="3"/>
      <x:c r="O84" s="3"/>
      <x:c r="P84" s="19" t="str">
        <x:f>IF(A84="","",IF(COUNTIFS('执行日志'!$A$7:$A$306,A84)&lt;&gt;1,"编号重复",IF(COUNTIFS('问题总览'!$A$7:$A$306,B84)&lt;&gt;1,"问题引用无效",IF(OR(L84="已更正",L84="撤销"),"排除汇总",IF(L84&lt;&gt;"有效","待补记录状态",IF(COUNTIFS('方案版本'!$A$7:$A$306,C84,'方案版本'!$B$7:$B$306,B84,'方案版本'!$L$7:$L$306,"已冻结")&lt;&gt;1,"方案引用无效",IF(OR(D84="",NOT(ISNUMBER(E84)),NOT(ISNUMBER(F84)),G84="",K84=""),"待补执行信息",IF(OR(NOT(ISNUMBER(H84)),H84&lt;0,NOT(ISNUMBER(J84)),J84&lt;0),"支出或耗时待补",IF(COUNTIFS('问题总览'!$A$7:$A$306,B84,'问题总览'!$J$7:$J$306,I84)&lt;&gt;1,"币种不匹配",IF(AND(M84&lt;&gt;"",OR(M84=A84,COUNTIFS('执行日志'!$A$7:$A$306,M84,'执行日志'!$B$7:$B$306,B84,'执行日志'!$L$7:$L$306,"已更正")&lt;&gt;1)),"更正引用待核对","有效输入"))))))))))</x:f>
      </x:c>
    </x:row>
    <x:row r="85" ht="25" customHeight="1">
      <x:c r="A85" s="3"/>
      <x:c r="B85" s="3"/>
      <x:c r="C85" s="3"/>
      <x:c r="D85" s="3"/>
      <x:c r="E85" s="25"/>
      <x:c r="F85" s="25"/>
      <x:c r="G85" s="3"/>
      <x:c r="H85" s="22"/>
      <x:c r="I85" s="3"/>
      <x:c r="J85" s="22"/>
      <x:c r="K85" s="3"/>
      <x:c r="L85" s="3"/>
      <x:c r="M85" s="3"/>
      <x:c r="N85" s="3"/>
      <x:c r="O85" s="3"/>
      <x:c r="P85" s="19" t="str">
        <x:f>IF(A85="","",IF(COUNTIFS('执行日志'!$A$7:$A$306,A85)&lt;&gt;1,"编号重复",IF(COUNTIFS('问题总览'!$A$7:$A$306,B85)&lt;&gt;1,"问题引用无效",IF(OR(L85="已更正",L85="撤销"),"排除汇总",IF(L85&lt;&gt;"有效","待补记录状态",IF(COUNTIFS('方案版本'!$A$7:$A$306,C85,'方案版本'!$B$7:$B$306,B85,'方案版本'!$L$7:$L$306,"已冻结")&lt;&gt;1,"方案引用无效",IF(OR(D85="",NOT(ISNUMBER(E85)),NOT(ISNUMBER(F85)),G85="",K85=""),"待补执行信息",IF(OR(NOT(ISNUMBER(H85)),H85&lt;0,NOT(ISNUMBER(J85)),J85&lt;0),"支出或耗时待补",IF(COUNTIFS('问题总览'!$A$7:$A$306,B85,'问题总览'!$J$7:$J$306,I85)&lt;&gt;1,"币种不匹配",IF(AND(M85&lt;&gt;"",OR(M85=A85,COUNTIFS('执行日志'!$A$7:$A$306,M85,'执行日志'!$B$7:$B$306,B85,'执行日志'!$L$7:$L$306,"已更正")&lt;&gt;1)),"更正引用待核对","有效输入"))))))))))</x:f>
      </x:c>
    </x:row>
    <x:row r="86" ht="25" customHeight="1">
      <x:c r="A86" s="3"/>
      <x:c r="B86" s="3"/>
      <x:c r="C86" s="3"/>
      <x:c r="D86" s="3"/>
      <x:c r="E86" s="25"/>
      <x:c r="F86" s="25"/>
      <x:c r="G86" s="3"/>
      <x:c r="H86" s="22"/>
      <x:c r="I86" s="3"/>
      <x:c r="J86" s="22"/>
      <x:c r="K86" s="3"/>
      <x:c r="L86" s="3"/>
      <x:c r="M86" s="3"/>
      <x:c r="N86" s="3"/>
      <x:c r="O86" s="3"/>
      <x:c r="P86" s="19" t="str">
        <x:f>IF(A86="","",IF(COUNTIFS('执行日志'!$A$7:$A$306,A86)&lt;&gt;1,"编号重复",IF(COUNTIFS('问题总览'!$A$7:$A$306,B86)&lt;&gt;1,"问题引用无效",IF(OR(L86="已更正",L86="撤销"),"排除汇总",IF(L86&lt;&gt;"有效","待补记录状态",IF(COUNTIFS('方案版本'!$A$7:$A$306,C86,'方案版本'!$B$7:$B$306,B86,'方案版本'!$L$7:$L$306,"已冻结")&lt;&gt;1,"方案引用无效",IF(OR(D86="",NOT(ISNUMBER(E86)),NOT(ISNUMBER(F86)),G86="",K86=""),"待补执行信息",IF(OR(NOT(ISNUMBER(H86)),H86&lt;0,NOT(ISNUMBER(J86)),J86&lt;0),"支出或耗时待补",IF(COUNTIFS('问题总览'!$A$7:$A$306,B86,'问题总览'!$J$7:$J$306,I86)&lt;&gt;1,"币种不匹配",IF(AND(M86&lt;&gt;"",OR(M86=A86,COUNTIFS('执行日志'!$A$7:$A$306,M86,'执行日志'!$B$7:$B$306,B86,'执行日志'!$L$7:$L$306,"已更正")&lt;&gt;1)),"更正引用待核对","有效输入"))))))))))</x:f>
      </x:c>
    </x:row>
    <x:row r="87" ht="25" customHeight="1">
      <x:c r="A87" s="3"/>
      <x:c r="B87" s="3"/>
      <x:c r="C87" s="3"/>
      <x:c r="D87" s="3"/>
      <x:c r="E87" s="25"/>
      <x:c r="F87" s="25"/>
      <x:c r="G87" s="3"/>
      <x:c r="H87" s="22"/>
      <x:c r="I87" s="3"/>
      <x:c r="J87" s="22"/>
      <x:c r="K87" s="3"/>
      <x:c r="L87" s="3"/>
      <x:c r="M87" s="3"/>
      <x:c r="N87" s="3"/>
      <x:c r="O87" s="3"/>
      <x:c r="P87" s="19" t="str">
        <x:f>IF(A87="","",IF(COUNTIFS('执行日志'!$A$7:$A$306,A87)&lt;&gt;1,"编号重复",IF(COUNTIFS('问题总览'!$A$7:$A$306,B87)&lt;&gt;1,"问题引用无效",IF(OR(L87="已更正",L87="撤销"),"排除汇总",IF(L87&lt;&gt;"有效","待补记录状态",IF(COUNTIFS('方案版本'!$A$7:$A$306,C87,'方案版本'!$B$7:$B$306,B87,'方案版本'!$L$7:$L$306,"已冻结")&lt;&gt;1,"方案引用无效",IF(OR(D87="",NOT(ISNUMBER(E87)),NOT(ISNUMBER(F87)),G87="",K87=""),"待补执行信息",IF(OR(NOT(ISNUMBER(H87)),H87&lt;0,NOT(ISNUMBER(J87)),J87&lt;0),"支出或耗时待补",IF(COUNTIFS('问题总览'!$A$7:$A$306,B87,'问题总览'!$J$7:$J$306,I87)&lt;&gt;1,"币种不匹配",IF(AND(M87&lt;&gt;"",OR(M87=A87,COUNTIFS('执行日志'!$A$7:$A$306,M87,'执行日志'!$B$7:$B$306,B87,'执行日志'!$L$7:$L$306,"已更正")&lt;&gt;1)),"更正引用待核对","有效输入"))))))))))</x:f>
      </x:c>
    </x:row>
    <x:row r="88" ht="25" customHeight="1">
      <x:c r="A88" s="3"/>
      <x:c r="B88" s="3"/>
      <x:c r="C88" s="3"/>
      <x:c r="D88" s="3"/>
      <x:c r="E88" s="25"/>
      <x:c r="F88" s="25"/>
      <x:c r="G88" s="3"/>
      <x:c r="H88" s="22"/>
      <x:c r="I88" s="3"/>
      <x:c r="J88" s="22"/>
      <x:c r="K88" s="3"/>
      <x:c r="L88" s="3"/>
      <x:c r="M88" s="3"/>
      <x:c r="N88" s="3"/>
      <x:c r="O88" s="3"/>
      <x:c r="P88" s="19" t="str">
        <x:f>IF(A88="","",IF(COUNTIFS('执行日志'!$A$7:$A$306,A88)&lt;&gt;1,"编号重复",IF(COUNTIFS('问题总览'!$A$7:$A$306,B88)&lt;&gt;1,"问题引用无效",IF(OR(L88="已更正",L88="撤销"),"排除汇总",IF(L88&lt;&gt;"有效","待补记录状态",IF(COUNTIFS('方案版本'!$A$7:$A$306,C88,'方案版本'!$B$7:$B$306,B88,'方案版本'!$L$7:$L$306,"已冻结")&lt;&gt;1,"方案引用无效",IF(OR(D88="",NOT(ISNUMBER(E88)),NOT(ISNUMBER(F88)),G88="",K88=""),"待补执行信息",IF(OR(NOT(ISNUMBER(H88)),H88&lt;0,NOT(ISNUMBER(J88)),J88&lt;0),"支出或耗时待补",IF(COUNTIFS('问题总览'!$A$7:$A$306,B88,'问题总览'!$J$7:$J$306,I88)&lt;&gt;1,"币种不匹配",IF(AND(M88&lt;&gt;"",OR(M88=A88,COUNTIFS('执行日志'!$A$7:$A$306,M88,'执行日志'!$B$7:$B$306,B88,'执行日志'!$L$7:$L$306,"已更正")&lt;&gt;1)),"更正引用待核对","有效输入"))))))))))</x:f>
      </x:c>
    </x:row>
    <x:row r="89" ht="25" customHeight="1">
      <x:c r="A89" s="3"/>
      <x:c r="B89" s="3"/>
      <x:c r="C89" s="3"/>
      <x:c r="D89" s="3"/>
      <x:c r="E89" s="25"/>
      <x:c r="F89" s="25"/>
      <x:c r="G89" s="3"/>
      <x:c r="H89" s="22"/>
      <x:c r="I89" s="3"/>
      <x:c r="J89" s="22"/>
      <x:c r="K89" s="3"/>
      <x:c r="L89" s="3"/>
      <x:c r="M89" s="3"/>
      <x:c r="N89" s="3"/>
      <x:c r="O89" s="3"/>
      <x:c r="P89" s="19" t="str">
        <x:f>IF(A89="","",IF(COUNTIFS('执行日志'!$A$7:$A$306,A89)&lt;&gt;1,"编号重复",IF(COUNTIFS('问题总览'!$A$7:$A$306,B89)&lt;&gt;1,"问题引用无效",IF(OR(L89="已更正",L89="撤销"),"排除汇总",IF(L89&lt;&gt;"有效","待补记录状态",IF(COUNTIFS('方案版本'!$A$7:$A$306,C89,'方案版本'!$B$7:$B$306,B89,'方案版本'!$L$7:$L$306,"已冻结")&lt;&gt;1,"方案引用无效",IF(OR(D89="",NOT(ISNUMBER(E89)),NOT(ISNUMBER(F89)),G89="",K89=""),"待补执行信息",IF(OR(NOT(ISNUMBER(H89)),H89&lt;0,NOT(ISNUMBER(J89)),J89&lt;0),"支出或耗时待补",IF(COUNTIFS('问题总览'!$A$7:$A$306,B89,'问题总览'!$J$7:$J$306,I89)&lt;&gt;1,"币种不匹配",IF(AND(M89&lt;&gt;"",OR(M89=A89,COUNTIFS('执行日志'!$A$7:$A$306,M89,'执行日志'!$B$7:$B$306,B89,'执行日志'!$L$7:$L$306,"已更正")&lt;&gt;1)),"更正引用待核对","有效输入"))))))))))</x:f>
      </x:c>
    </x:row>
    <x:row r="90" ht="25" customHeight="1">
      <x:c r="A90" s="3"/>
      <x:c r="B90" s="3"/>
      <x:c r="C90" s="3"/>
      <x:c r="D90" s="3"/>
      <x:c r="E90" s="25"/>
      <x:c r="F90" s="25"/>
      <x:c r="G90" s="3"/>
      <x:c r="H90" s="22"/>
      <x:c r="I90" s="3"/>
      <x:c r="J90" s="22"/>
      <x:c r="K90" s="3"/>
      <x:c r="L90" s="3"/>
      <x:c r="M90" s="3"/>
      <x:c r="N90" s="3"/>
      <x:c r="O90" s="3"/>
      <x:c r="P90" s="19" t="str">
        <x:f>IF(A90="","",IF(COUNTIFS('执行日志'!$A$7:$A$306,A90)&lt;&gt;1,"编号重复",IF(COUNTIFS('问题总览'!$A$7:$A$306,B90)&lt;&gt;1,"问题引用无效",IF(OR(L90="已更正",L90="撤销"),"排除汇总",IF(L90&lt;&gt;"有效","待补记录状态",IF(COUNTIFS('方案版本'!$A$7:$A$306,C90,'方案版本'!$B$7:$B$306,B90,'方案版本'!$L$7:$L$306,"已冻结")&lt;&gt;1,"方案引用无效",IF(OR(D90="",NOT(ISNUMBER(E90)),NOT(ISNUMBER(F90)),G90="",K90=""),"待补执行信息",IF(OR(NOT(ISNUMBER(H90)),H90&lt;0,NOT(ISNUMBER(J90)),J90&lt;0),"支出或耗时待补",IF(COUNTIFS('问题总览'!$A$7:$A$306,B90,'问题总览'!$J$7:$J$306,I90)&lt;&gt;1,"币种不匹配",IF(AND(M90&lt;&gt;"",OR(M90=A90,COUNTIFS('执行日志'!$A$7:$A$306,M90,'执行日志'!$B$7:$B$306,B90,'执行日志'!$L$7:$L$306,"已更正")&lt;&gt;1)),"更正引用待核对","有效输入"))))))))))</x:f>
      </x:c>
    </x:row>
    <x:row r="91" ht="25" customHeight="1">
      <x:c r="A91" s="3"/>
      <x:c r="B91" s="3"/>
      <x:c r="C91" s="3"/>
      <x:c r="D91" s="3"/>
      <x:c r="E91" s="25"/>
      <x:c r="F91" s="25"/>
      <x:c r="G91" s="3"/>
      <x:c r="H91" s="22"/>
      <x:c r="I91" s="3"/>
      <x:c r="J91" s="22"/>
      <x:c r="K91" s="3"/>
      <x:c r="L91" s="3"/>
      <x:c r="M91" s="3"/>
      <x:c r="N91" s="3"/>
      <x:c r="O91" s="3"/>
      <x:c r="P91" s="19" t="str">
        <x:f>IF(A91="","",IF(COUNTIFS('执行日志'!$A$7:$A$306,A91)&lt;&gt;1,"编号重复",IF(COUNTIFS('问题总览'!$A$7:$A$306,B91)&lt;&gt;1,"问题引用无效",IF(OR(L91="已更正",L91="撤销"),"排除汇总",IF(L91&lt;&gt;"有效","待补记录状态",IF(COUNTIFS('方案版本'!$A$7:$A$306,C91,'方案版本'!$B$7:$B$306,B91,'方案版本'!$L$7:$L$306,"已冻结")&lt;&gt;1,"方案引用无效",IF(OR(D91="",NOT(ISNUMBER(E91)),NOT(ISNUMBER(F91)),G91="",K91=""),"待补执行信息",IF(OR(NOT(ISNUMBER(H91)),H91&lt;0,NOT(ISNUMBER(J91)),J91&lt;0),"支出或耗时待补",IF(COUNTIFS('问题总览'!$A$7:$A$306,B91,'问题总览'!$J$7:$J$306,I91)&lt;&gt;1,"币种不匹配",IF(AND(M91&lt;&gt;"",OR(M91=A91,COUNTIFS('执行日志'!$A$7:$A$306,M91,'执行日志'!$B$7:$B$306,B91,'执行日志'!$L$7:$L$306,"已更正")&lt;&gt;1)),"更正引用待核对","有效输入"))))))))))</x:f>
      </x:c>
    </x:row>
    <x:row r="92" ht="25" customHeight="1">
      <x:c r="A92" s="3"/>
      <x:c r="B92" s="3"/>
      <x:c r="C92" s="3"/>
      <x:c r="D92" s="3"/>
      <x:c r="E92" s="25"/>
      <x:c r="F92" s="25"/>
      <x:c r="G92" s="3"/>
      <x:c r="H92" s="22"/>
      <x:c r="I92" s="3"/>
      <x:c r="J92" s="22"/>
      <x:c r="K92" s="3"/>
      <x:c r="L92" s="3"/>
      <x:c r="M92" s="3"/>
      <x:c r="N92" s="3"/>
      <x:c r="O92" s="3"/>
      <x:c r="P92" s="19" t="str">
        <x:f>IF(A92="","",IF(COUNTIFS('执行日志'!$A$7:$A$306,A92)&lt;&gt;1,"编号重复",IF(COUNTIFS('问题总览'!$A$7:$A$306,B92)&lt;&gt;1,"问题引用无效",IF(OR(L92="已更正",L92="撤销"),"排除汇总",IF(L92&lt;&gt;"有效","待补记录状态",IF(COUNTIFS('方案版本'!$A$7:$A$306,C92,'方案版本'!$B$7:$B$306,B92,'方案版本'!$L$7:$L$306,"已冻结")&lt;&gt;1,"方案引用无效",IF(OR(D92="",NOT(ISNUMBER(E92)),NOT(ISNUMBER(F92)),G92="",K92=""),"待补执行信息",IF(OR(NOT(ISNUMBER(H92)),H92&lt;0,NOT(ISNUMBER(J92)),J92&lt;0),"支出或耗时待补",IF(COUNTIFS('问题总览'!$A$7:$A$306,B92,'问题总览'!$J$7:$J$306,I92)&lt;&gt;1,"币种不匹配",IF(AND(M92&lt;&gt;"",OR(M92=A92,COUNTIFS('执行日志'!$A$7:$A$306,M92,'执行日志'!$B$7:$B$306,B92,'执行日志'!$L$7:$L$306,"已更正")&lt;&gt;1)),"更正引用待核对","有效输入"))))))))))</x:f>
      </x:c>
    </x:row>
    <x:row r="93" ht="25" customHeight="1">
      <x:c r="A93" s="3"/>
      <x:c r="B93" s="3"/>
      <x:c r="C93" s="3"/>
      <x:c r="D93" s="3"/>
      <x:c r="E93" s="25"/>
      <x:c r="F93" s="25"/>
      <x:c r="G93" s="3"/>
      <x:c r="H93" s="22"/>
      <x:c r="I93" s="3"/>
      <x:c r="J93" s="22"/>
      <x:c r="K93" s="3"/>
      <x:c r="L93" s="3"/>
      <x:c r="M93" s="3"/>
      <x:c r="N93" s="3"/>
      <x:c r="O93" s="3"/>
      <x:c r="P93" s="19" t="str">
        <x:f>IF(A93="","",IF(COUNTIFS('执行日志'!$A$7:$A$306,A93)&lt;&gt;1,"编号重复",IF(COUNTIFS('问题总览'!$A$7:$A$306,B93)&lt;&gt;1,"问题引用无效",IF(OR(L93="已更正",L93="撤销"),"排除汇总",IF(L93&lt;&gt;"有效","待补记录状态",IF(COUNTIFS('方案版本'!$A$7:$A$306,C93,'方案版本'!$B$7:$B$306,B93,'方案版本'!$L$7:$L$306,"已冻结")&lt;&gt;1,"方案引用无效",IF(OR(D93="",NOT(ISNUMBER(E93)),NOT(ISNUMBER(F93)),G93="",K93=""),"待补执行信息",IF(OR(NOT(ISNUMBER(H93)),H93&lt;0,NOT(ISNUMBER(J93)),J93&lt;0),"支出或耗时待补",IF(COUNTIFS('问题总览'!$A$7:$A$306,B93,'问题总览'!$J$7:$J$306,I93)&lt;&gt;1,"币种不匹配",IF(AND(M93&lt;&gt;"",OR(M93=A93,COUNTIFS('执行日志'!$A$7:$A$306,M93,'执行日志'!$B$7:$B$306,B93,'执行日志'!$L$7:$L$306,"已更正")&lt;&gt;1)),"更正引用待核对","有效输入"))))))))))</x:f>
      </x:c>
    </x:row>
    <x:row r="94" ht="25" customHeight="1">
      <x:c r="A94" s="3"/>
      <x:c r="B94" s="3"/>
      <x:c r="C94" s="3"/>
      <x:c r="D94" s="3"/>
      <x:c r="E94" s="25"/>
      <x:c r="F94" s="25"/>
      <x:c r="G94" s="3"/>
      <x:c r="H94" s="22"/>
      <x:c r="I94" s="3"/>
      <x:c r="J94" s="22"/>
      <x:c r="K94" s="3"/>
      <x:c r="L94" s="3"/>
      <x:c r="M94" s="3"/>
      <x:c r="N94" s="3"/>
      <x:c r="O94" s="3"/>
      <x:c r="P94" s="19" t="str">
        <x:f>IF(A94="","",IF(COUNTIFS('执行日志'!$A$7:$A$306,A94)&lt;&gt;1,"编号重复",IF(COUNTIFS('问题总览'!$A$7:$A$306,B94)&lt;&gt;1,"问题引用无效",IF(OR(L94="已更正",L94="撤销"),"排除汇总",IF(L94&lt;&gt;"有效","待补记录状态",IF(COUNTIFS('方案版本'!$A$7:$A$306,C94,'方案版本'!$B$7:$B$306,B94,'方案版本'!$L$7:$L$306,"已冻结")&lt;&gt;1,"方案引用无效",IF(OR(D94="",NOT(ISNUMBER(E94)),NOT(ISNUMBER(F94)),G94="",K94=""),"待补执行信息",IF(OR(NOT(ISNUMBER(H94)),H94&lt;0,NOT(ISNUMBER(J94)),J94&lt;0),"支出或耗时待补",IF(COUNTIFS('问题总览'!$A$7:$A$306,B94,'问题总览'!$J$7:$J$306,I94)&lt;&gt;1,"币种不匹配",IF(AND(M94&lt;&gt;"",OR(M94=A94,COUNTIFS('执行日志'!$A$7:$A$306,M94,'执行日志'!$B$7:$B$306,B94,'执行日志'!$L$7:$L$306,"已更正")&lt;&gt;1)),"更正引用待核对","有效输入"))))))))))</x:f>
      </x:c>
    </x:row>
    <x:row r="95" ht="25" customHeight="1">
      <x:c r="A95" s="3"/>
      <x:c r="B95" s="3"/>
      <x:c r="C95" s="3"/>
      <x:c r="D95" s="3"/>
      <x:c r="E95" s="25"/>
      <x:c r="F95" s="25"/>
      <x:c r="G95" s="3"/>
      <x:c r="H95" s="22"/>
      <x:c r="I95" s="3"/>
      <x:c r="J95" s="22"/>
      <x:c r="K95" s="3"/>
      <x:c r="L95" s="3"/>
      <x:c r="M95" s="3"/>
      <x:c r="N95" s="3"/>
      <x:c r="O95" s="3"/>
      <x:c r="P95" s="19" t="str">
        <x:f>IF(A95="","",IF(COUNTIFS('执行日志'!$A$7:$A$306,A95)&lt;&gt;1,"编号重复",IF(COUNTIFS('问题总览'!$A$7:$A$306,B95)&lt;&gt;1,"问题引用无效",IF(OR(L95="已更正",L95="撤销"),"排除汇总",IF(L95&lt;&gt;"有效","待补记录状态",IF(COUNTIFS('方案版本'!$A$7:$A$306,C95,'方案版本'!$B$7:$B$306,B95,'方案版本'!$L$7:$L$306,"已冻结")&lt;&gt;1,"方案引用无效",IF(OR(D95="",NOT(ISNUMBER(E95)),NOT(ISNUMBER(F95)),G95="",K95=""),"待补执行信息",IF(OR(NOT(ISNUMBER(H95)),H95&lt;0,NOT(ISNUMBER(J95)),J95&lt;0),"支出或耗时待补",IF(COUNTIFS('问题总览'!$A$7:$A$306,B95,'问题总览'!$J$7:$J$306,I95)&lt;&gt;1,"币种不匹配",IF(AND(M95&lt;&gt;"",OR(M95=A95,COUNTIFS('执行日志'!$A$7:$A$306,M95,'执行日志'!$B$7:$B$306,B95,'执行日志'!$L$7:$L$306,"已更正")&lt;&gt;1)),"更正引用待核对","有效输入"))))))))))</x:f>
      </x:c>
    </x:row>
    <x:row r="96" ht="25" customHeight="1">
      <x:c r="A96" s="3"/>
      <x:c r="B96" s="3"/>
      <x:c r="C96" s="3"/>
      <x:c r="D96" s="3"/>
      <x:c r="E96" s="25"/>
      <x:c r="F96" s="25"/>
      <x:c r="G96" s="3"/>
      <x:c r="H96" s="22"/>
      <x:c r="I96" s="3"/>
      <x:c r="J96" s="22"/>
      <x:c r="K96" s="3"/>
      <x:c r="L96" s="3"/>
      <x:c r="M96" s="3"/>
      <x:c r="N96" s="3"/>
      <x:c r="O96" s="3"/>
      <x:c r="P96" s="19" t="str">
        <x:f>IF(A96="","",IF(COUNTIFS('执行日志'!$A$7:$A$306,A96)&lt;&gt;1,"编号重复",IF(COUNTIFS('问题总览'!$A$7:$A$306,B96)&lt;&gt;1,"问题引用无效",IF(OR(L96="已更正",L96="撤销"),"排除汇总",IF(L96&lt;&gt;"有效","待补记录状态",IF(COUNTIFS('方案版本'!$A$7:$A$306,C96,'方案版本'!$B$7:$B$306,B96,'方案版本'!$L$7:$L$306,"已冻结")&lt;&gt;1,"方案引用无效",IF(OR(D96="",NOT(ISNUMBER(E96)),NOT(ISNUMBER(F96)),G96="",K96=""),"待补执行信息",IF(OR(NOT(ISNUMBER(H96)),H96&lt;0,NOT(ISNUMBER(J96)),J96&lt;0),"支出或耗时待补",IF(COUNTIFS('问题总览'!$A$7:$A$306,B96,'问题总览'!$J$7:$J$306,I96)&lt;&gt;1,"币种不匹配",IF(AND(M96&lt;&gt;"",OR(M96=A96,COUNTIFS('执行日志'!$A$7:$A$306,M96,'执行日志'!$B$7:$B$306,B96,'执行日志'!$L$7:$L$306,"已更正")&lt;&gt;1)),"更正引用待核对","有效输入"))))))))))</x:f>
      </x:c>
    </x:row>
    <x:row r="97" ht="25" customHeight="1">
      <x:c r="A97" s="3"/>
      <x:c r="B97" s="3"/>
      <x:c r="C97" s="3"/>
      <x:c r="D97" s="3"/>
      <x:c r="E97" s="25"/>
      <x:c r="F97" s="25"/>
      <x:c r="G97" s="3"/>
      <x:c r="H97" s="22"/>
      <x:c r="I97" s="3"/>
      <x:c r="J97" s="22"/>
      <x:c r="K97" s="3"/>
      <x:c r="L97" s="3"/>
      <x:c r="M97" s="3"/>
      <x:c r="N97" s="3"/>
      <x:c r="O97" s="3"/>
      <x:c r="P97" s="19" t="str">
        <x:f>IF(A97="","",IF(COUNTIFS('执行日志'!$A$7:$A$306,A97)&lt;&gt;1,"编号重复",IF(COUNTIFS('问题总览'!$A$7:$A$306,B97)&lt;&gt;1,"问题引用无效",IF(OR(L97="已更正",L97="撤销"),"排除汇总",IF(L97&lt;&gt;"有效","待补记录状态",IF(COUNTIFS('方案版本'!$A$7:$A$306,C97,'方案版本'!$B$7:$B$306,B97,'方案版本'!$L$7:$L$306,"已冻结")&lt;&gt;1,"方案引用无效",IF(OR(D97="",NOT(ISNUMBER(E97)),NOT(ISNUMBER(F97)),G97="",K97=""),"待补执行信息",IF(OR(NOT(ISNUMBER(H97)),H97&lt;0,NOT(ISNUMBER(J97)),J97&lt;0),"支出或耗时待补",IF(COUNTIFS('问题总览'!$A$7:$A$306,B97,'问题总览'!$J$7:$J$306,I97)&lt;&gt;1,"币种不匹配",IF(AND(M97&lt;&gt;"",OR(M97=A97,COUNTIFS('执行日志'!$A$7:$A$306,M97,'执行日志'!$B$7:$B$306,B97,'执行日志'!$L$7:$L$306,"已更正")&lt;&gt;1)),"更正引用待核对","有效输入"))))))))))</x:f>
      </x:c>
    </x:row>
    <x:row r="98" ht="25" customHeight="1">
      <x:c r="A98" s="3"/>
      <x:c r="B98" s="3"/>
      <x:c r="C98" s="3"/>
      <x:c r="D98" s="3"/>
      <x:c r="E98" s="25"/>
      <x:c r="F98" s="25"/>
      <x:c r="G98" s="3"/>
      <x:c r="H98" s="22"/>
      <x:c r="I98" s="3"/>
      <x:c r="J98" s="22"/>
      <x:c r="K98" s="3"/>
      <x:c r="L98" s="3"/>
      <x:c r="M98" s="3"/>
      <x:c r="N98" s="3"/>
      <x:c r="O98" s="3"/>
      <x:c r="P98" s="19" t="str">
        <x:f>IF(A98="","",IF(COUNTIFS('执行日志'!$A$7:$A$306,A98)&lt;&gt;1,"编号重复",IF(COUNTIFS('问题总览'!$A$7:$A$306,B98)&lt;&gt;1,"问题引用无效",IF(OR(L98="已更正",L98="撤销"),"排除汇总",IF(L98&lt;&gt;"有效","待补记录状态",IF(COUNTIFS('方案版本'!$A$7:$A$306,C98,'方案版本'!$B$7:$B$306,B98,'方案版本'!$L$7:$L$306,"已冻结")&lt;&gt;1,"方案引用无效",IF(OR(D98="",NOT(ISNUMBER(E98)),NOT(ISNUMBER(F98)),G98="",K98=""),"待补执行信息",IF(OR(NOT(ISNUMBER(H98)),H98&lt;0,NOT(ISNUMBER(J98)),J98&lt;0),"支出或耗时待补",IF(COUNTIFS('问题总览'!$A$7:$A$306,B98,'问题总览'!$J$7:$J$306,I98)&lt;&gt;1,"币种不匹配",IF(AND(M98&lt;&gt;"",OR(M98=A98,COUNTIFS('执行日志'!$A$7:$A$306,M98,'执行日志'!$B$7:$B$306,B98,'执行日志'!$L$7:$L$306,"已更正")&lt;&gt;1)),"更正引用待核对","有效输入"))))))))))</x:f>
      </x:c>
    </x:row>
    <x:row r="99" ht="25" customHeight="1">
      <x:c r="A99" s="3"/>
      <x:c r="B99" s="3"/>
      <x:c r="C99" s="3"/>
      <x:c r="D99" s="3"/>
      <x:c r="E99" s="25"/>
      <x:c r="F99" s="25"/>
      <x:c r="G99" s="3"/>
      <x:c r="H99" s="22"/>
      <x:c r="I99" s="3"/>
      <x:c r="J99" s="22"/>
      <x:c r="K99" s="3"/>
      <x:c r="L99" s="3"/>
      <x:c r="M99" s="3"/>
      <x:c r="N99" s="3"/>
      <x:c r="O99" s="3"/>
      <x:c r="P99" s="19" t="str">
        <x:f>IF(A99="","",IF(COUNTIFS('执行日志'!$A$7:$A$306,A99)&lt;&gt;1,"编号重复",IF(COUNTIFS('问题总览'!$A$7:$A$306,B99)&lt;&gt;1,"问题引用无效",IF(OR(L99="已更正",L99="撤销"),"排除汇总",IF(L99&lt;&gt;"有效","待补记录状态",IF(COUNTIFS('方案版本'!$A$7:$A$306,C99,'方案版本'!$B$7:$B$306,B99,'方案版本'!$L$7:$L$306,"已冻结")&lt;&gt;1,"方案引用无效",IF(OR(D99="",NOT(ISNUMBER(E99)),NOT(ISNUMBER(F99)),G99="",K99=""),"待补执行信息",IF(OR(NOT(ISNUMBER(H99)),H99&lt;0,NOT(ISNUMBER(J99)),J99&lt;0),"支出或耗时待补",IF(COUNTIFS('问题总览'!$A$7:$A$306,B99,'问题总览'!$J$7:$J$306,I99)&lt;&gt;1,"币种不匹配",IF(AND(M99&lt;&gt;"",OR(M99=A99,COUNTIFS('执行日志'!$A$7:$A$306,M99,'执行日志'!$B$7:$B$306,B99,'执行日志'!$L$7:$L$306,"已更正")&lt;&gt;1)),"更正引用待核对","有效输入"))))))))))</x:f>
      </x:c>
    </x:row>
    <x:row r="100" ht="25" customHeight="1">
      <x:c r="A100" s="3"/>
      <x:c r="B100" s="3"/>
      <x:c r="C100" s="3"/>
      <x:c r="D100" s="3"/>
      <x:c r="E100" s="25"/>
      <x:c r="F100" s="25"/>
      <x:c r="G100" s="3"/>
      <x:c r="H100" s="22"/>
      <x:c r="I100" s="3"/>
      <x:c r="J100" s="22"/>
      <x:c r="K100" s="3"/>
      <x:c r="L100" s="3"/>
      <x:c r="M100" s="3"/>
      <x:c r="N100" s="3"/>
      <x:c r="O100" s="3"/>
      <x:c r="P100" s="19" t="str">
        <x:f>IF(A100="","",IF(COUNTIFS('执行日志'!$A$7:$A$306,A100)&lt;&gt;1,"编号重复",IF(COUNTIFS('问题总览'!$A$7:$A$306,B100)&lt;&gt;1,"问题引用无效",IF(OR(L100="已更正",L100="撤销"),"排除汇总",IF(L100&lt;&gt;"有效","待补记录状态",IF(COUNTIFS('方案版本'!$A$7:$A$306,C100,'方案版本'!$B$7:$B$306,B100,'方案版本'!$L$7:$L$306,"已冻结")&lt;&gt;1,"方案引用无效",IF(OR(D100="",NOT(ISNUMBER(E100)),NOT(ISNUMBER(F100)),G100="",K100=""),"待补执行信息",IF(OR(NOT(ISNUMBER(H100)),H100&lt;0,NOT(ISNUMBER(J100)),J100&lt;0),"支出或耗时待补",IF(COUNTIFS('问题总览'!$A$7:$A$306,B100,'问题总览'!$J$7:$J$306,I100)&lt;&gt;1,"币种不匹配",IF(AND(M100&lt;&gt;"",OR(M100=A100,COUNTIFS('执行日志'!$A$7:$A$306,M100,'执行日志'!$B$7:$B$306,B100,'执行日志'!$L$7:$L$306,"已更正")&lt;&gt;1)),"更正引用待核对","有效输入"))))))))))</x:f>
      </x:c>
    </x:row>
    <x:row r="101" ht="25" customHeight="1">
      <x:c r="A101" s="3"/>
      <x:c r="B101" s="3"/>
      <x:c r="C101" s="3"/>
      <x:c r="D101" s="3"/>
      <x:c r="E101" s="25"/>
      <x:c r="F101" s="25"/>
      <x:c r="G101" s="3"/>
      <x:c r="H101" s="22"/>
      <x:c r="I101" s="3"/>
      <x:c r="J101" s="22"/>
      <x:c r="K101" s="3"/>
      <x:c r="L101" s="3"/>
      <x:c r="M101" s="3"/>
      <x:c r="N101" s="3"/>
      <x:c r="O101" s="3"/>
      <x:c r="P101" s="19" t="str">
        <x:f>IF(A101="","",IF(COUNTIFS('执行日志'!$A$7:$A$306,A101)&lt;&gt;1,"编号重复",IF(COUNTIFS('问题总览'!$A$7:$A$306,B101)&lt;&gt;1,"问题引用无效",IF(OR(L101="已更正",L101="撤销"),"排除汇总",IF(L101&lt;&gt;"有效","待补记录状态",IF(COUNTIFS('方案版本'!$A$7:$A$306,C101,'方案版本'!$B$7:$B$306,B101,'方案版本'!$L$7:$L$306,"已冻结")&lt;&gt;1,"方案引用无效",IF(OR(D101="",NOT(ISNUMBER(E101)),NOT(ISNUMBER(F101)),G101="",K101=""),"待补执行信息",IF(OR(NOT(ISNUMBER(H101)),H101&lt;0,NOT(ISNUMBER(J101)),J101&lt;0),"支出或耗时待补",IF(COUNTIFS('问题总览'!$A$7:$A$306,B101,'问题总览'!$J$7:$J$306,I101)&lt;&gt;1,"币种不匹配",IF(AND(M101&lt;&gt;"",OR(M101=A101,COUNTIFS('执行日志'!$A$7:$A$306,M101,'执行日志'!$B$7:$B$306,B101,'执行日志'!$L$7:$L$306,"已更正")&lt;&gt;1)),"更正引用待核对","有效输入"))))))))))</x:f>
      </x:c>
    </x:row>
    <x:row r="102" ht="25" customHeight="1">
      <x:c r="A102" s="3"/>
      <x:c r="B102" s="3"/>
      <x:c r="C102" s="3"/>
      <x:c r="D102" s="3"/>
      <x:c r="E102" s="25"/>
      <x:c r="F102" s="25"/>
      <x:c r="G102" s="3"/>
      <x:c r="H102" s="22"/>
      <x:c r="I102" s="3"/>
      <x:c r="J102" s="22"/>
      <x:c r="K102" s="3"/>
      <x:c r="L102" s="3"/>
      <x:c r="M102" s="3"/>
      <x:c r="N102" s="3"/>
      <x:c r="O102" s="3"/>
      <x:c r="P102" s="19" t="str">
        <x:f>IF(A102="","",IF(COUNTIFS('执行日志'!$A$7:$A$306,A102)&lt;&gt;1,"编号重复",IF(COUNTIFS('问题总览'!$A$7:$A$306,B102)&lt;&gt;1,"问题引用无效",IF(OR(L102="已更正",L102="撤销"),"排除汇总",IF(L102&lt;&gt;"有效","待补记录状态",IF(COUNTIFS('方案版本'!$A$7:$A$306,C102,'方案版本'!$B$7:$B$306,B102,'方案版本'!$L$7:$L$306,"已冻结")&lt;&gt;1,"方案引用无效",IF(OR(D102="",NOT(ISNUMBER(E102)),NOT(ISNUMBER(F102)),G102="",K102=""),"待补执行信息",IF(OR(NOT(ISNUMBER(H102)),H102&lt;0,NOT(ISNUMBER(J102)),J102&lt;0),"支出或耗时待补",IF(COUNTIFS('问题总览'!$A$7:$A$306,B102,'问题总览'!$J$7:$J$306,I102)&lt;&gt;1,"币种不匹配",IF(AND(M102&lt;&gt;"",OR(M102=A102,COUNTIFS('执行日志'!$A$7:$A$306,M102,'执行日志'!$B$7:$B$306,B102,'执行日志'!$L$7:$L$306,"已更正")&lt;&gt;1)),"更正引用待核对","有效输入"))))))))))</x:f>
      </x:c>
    </x:row>
    <x:row r="103" ht="25" customHeight="1">
      <x:c r="A103" s="3"/>
      <x:c r="B103" s="3"/>
      <x:c r="C103" s="3"/>
      <x:c r="D103" s="3"/>
      <x:c r="E103" s="25"/>
      <x:c r="F103" s="25"/>
      <x:c r="G103" s="3"/>
      <x:c r="H103" s="22"/>
      <x:c r="I103" s="3"/>
      <x:c r="J103" s="22"/>
      <x:c r="K103" s="3"/>
      <x:c r="L103" s="3"/>
      <x:c r="M103" s="3"/>
      <x:c r="N103" s="3"/>
      <x:c r="O103" s="3"/>
      <x:c r="P103" s="19" t="str">
        <x:f>IF(A103="","",IF(COUNTIFS('执行日志'!$A$7:$A$306,A103)&lt;&gt;1,"编号重复",IF(COUNTIFS('问题总览'!$A$7:$A$306,B103)&lt;&gt;1,"问题引用无效",IF(OR(L103="已更正",L103="撤销"),"排除汇总",IF(L103&lt;&gt;"有效","待补记录状态",IF(COUNTIFS('方案版本'!$A$7:$A$306,C103,'方案版本'!$B$7:$B$306,B103,'方案版本'!$L$7:$L$306,"已冻结")&lt;&gt;1,"方案引用无效",IF(OR(D103="",NOT(ISNUMBER(E103)),NOT(ISNUMBER(F103)),G103="",K103=""),"待补执行信息",IF(OR(NOT(ISNUMBER(H103)),H103&lt;0,NOT(ISNUMBER(J103)),J103&lt;0),"支出或耗时待补",IF(COUNTIFS('问题总览'!$A$7:$A$306,B103,'问题总览'!$J$7:$J$306,I103)&lt;&gt;1,"币种不匹配",IF(AND(M103&lt;&gt;"",OR(M103=A103,COUNTIFS('执行日志'!$A$7:$A$306,M103,'执行日志'!$B$7:$B$306,B103,'执行日志'!$L$7:$L$306,"已更正")&lt;&gt;1)),"更正引用待核对","有效输入"))))))))))</x:f>
      </x:c>
    </x:row>
    <x:row r="104" ht="25" customHeight="1">
      <x:c r="A104" s="3"/>
      <x:c r="B104" s="3"/>
      <x:c r="C104" s="3"/>
      <x:c r="D104" s="3"/>
      <x:c r="E104" s="25"/>
      <x:c r="F104" s="25"/>
      <x:c r="G104" s="3"/>
      <x:c r="H104" s="22"/>
      <x:c r="I104" s="3"/>
      <x:c r="J104" s="22"/>
      <x:c r="K104" s="3"/>
      <x:c r="L104" s="3"/>
      <x:c r="M104" s="3"/>
      <x:c r="N104" s="3"/>
      <x:c r="O104" s="3"/>
      <x:c r="P104" s="19" t="str">
        <x:f>IF(A104="","",IF(COUNTIFS('执行日志'!$A$7:$A$306,A104)&lt;&gt;1,"编号重复",IF(COUNTIFS('问题总览'!$A$7:$A$306,B104)&lt;&gt;1,"问题引用无效",IF(OR(L104="已更正",L104="撤销"),"排除汇总",IF(L104&lt;&gt;"有效","待补记录状态",IF(COUNTIFS('方案版本'!$A$7:$A$306,C104,'方案版本'!$B$7:$B$306,B104,'方案版本'!$L$7:$L$306,"已冻结")&lt;&gt;1,"方案引用无效",IF(OR(D104="",NOT(ISNUMBER(E104)),NOT(ISNUMBER(F104)),G104="",K104=""),"待补执行信息",IF(OR(NOT(ISNUMBER(H104)),H104&lt;0,NOT(ISNUMBER(J104)),J104&lt;0),"支出或耗时待补",IF(COUNTIFS('问题总览'!$A$7:$A$306,B104,'问题总览'!$J$7:$J$306,I104)&lt;&gt;1,"币种不匹配",IF(AND(M104&lt;&gt;"",OR(M104=A104,COUNTIFS('执行日志'!$A$7:$A$306,M104,'执行日志'!$B$7:$B$306,B104,'执行日志'!$L$7:$L$306,"已更正")&lt;&gt;1)),"更正引用待核对","有效输入"))))))))))</x:f>
      </x:c>
    </x:row>
    <x:row r="105" ht="25" customHeight="1">
      <x:c r="A105" s="3"/>
      <x:c r="B105" s="3"/>
      <x:c r="C105" s="3"/>
      <x:c r="D105" s="3"/>
      <x:c r="E105" s="25"/>
      <x:c r="F105" s="25"/>
      <x:c r="G105" s="3"/>
      <x:c r="H105" s="22"/>
      <x:c r="I105" s="3"/>
      <x:c r="J105" s="22"/>
      <x:c r="K105" s="3"/>
      <x:c r="L105" s="3"/>
      <x:c r="M105" s="3"/>
      <x:c r="N105" s="3"/>
      <x:c r="O105" s="3"/>
      <x:c r="P105" s="19" t="str">
        <x:f>IF(A105="","",IF(COUNTIFS('执行日志'!$A$7:$A$306,A105)&lt;&gt;1,"编号重复",IF(COUNTIFS('问题总览'!$A$7:$A$306,B105)&lt;&gt;1,"问题引用无效",IF(OR(L105="已更正",L105="撤销"),"排除汇总",IF(L105&lt;&gt;"有效","待补记录状态",IF(COUNTIFS('方案版本'!$A$7:$A$306,C105,'方案版本'!$B$7:$B$306,B105,'方案版本'!$L$7:$L$306,"已冻结")&lt;&gt;1,"方案引用无效",IF(OR(D105="",NOT(ISNUMBER(E105)),NOT(ISNUMBER(F105)),G105="",K105=""),"待补执行信息",IF(OR(NOT(ISNUMBER(H105)),H105&lt;0,NOT(ISNUMBER(J105)),J105&lt;0),"支出或耗时待补",IF(COUNTIFS('问题总览'!$A$7:$A$306,B105,'问题总览'!$J$7:$J$306,I105)&lt;&gt;1,"币种不匹配",IF(AND(M105&lt;&gt;"",OR(M105=A105,COUNTIFS('执行日志'!$A$7:$A$306,M105,'执行日志'!$B$7:$B$306,B105,'执行日志'!$L$7:$L$306,"已更正")&lt;&gt;1)),"更正引用待核对","有效输入"))))))))))</x:f>
      </x:c>
    </x:row>
    <x:row r="106" ht="25" customHeight="1">
      <x:c r="A106" s="3"/>
      <x:c r="B106" s="3"/>
      <x:c r="C106" s="3"/>
      <x:c r="D106" s="3"/>
      <x:c r="E106" s="25"/>
      <x:c r="F106" s="25"/>
      <x:c r="G106" s="3"/>
      <x:c r="H106" s="22"/>
      <x:c r="I106" s="3"/>
      <x:c r="J106" s="22"/>
      <x:c r="K106" s="3"/>
      <x:c r="L106" s="3"/>
      <x:c r="M106" s="3"/>
      <x:c r="N106" s="3"/>
      <x:c r="O106" s="3"/>
      <x:c r="P106" s="19" t="str">
        <x:f>IF(A106="","",IF(COUNTIFS('执行日志'!$A$7:$A$306,A106)&lt;&gt;1,"编号重复",IF(COUNTIFS('问题总览'!$A$7:$A$306,B106)&lt;&gt;1,"问题引用无效",IF(OR(L106="已更正",L106="撤销"),"排除汇总",IF(L106&lt;&gt;"有效","待补记录状态",IF(COUNTIFS('方案版本'!$A$7:$A$306,C106,'方案版本'!$B$7:$B$306,B106,'方案版本'!$L$7:$L$306,"已冻结")&lt;&gt;1,"方案引用无效",IF(OR(D106="",NOT(ISNUMBER(E106)),NOT(ISNUMBER(F106)),G106="",K106=""),"待补执行信息",IF(OR(NOT(ISNUMBER(H106)),H106&lt;0,NOT(ISNUMBER(J106)),J106&lt;0),"支出或耗时待补",IF(COUNTIFS('问题总览'!$A$7:$A$306,B106,'问题总览'!$J$7:$J$306,I106)&lt;&gt;1,"币种不匹配",IF(AND(M106&lt;&gt;"",OR(M106=A106,COUNTIFS('执行日志'!$A$7:$A$306,M106,'执行日志'!$B$7:$B$306,B106,'执行日志'!$L$7:$L$306,"已更正")&lt;&gt;1)),"更正引用待核对","有效输入"))))))))))</x:f>
      </x:c>
    </x:row>
    <x:row r="107" ht="25" customHeight="1">
      <x:c r="A107" s="3"/>
      <x:c r="B107" s="3"/>
      <x:c r="C107" s="3"/>
      <x:c r="D107" s="3"/>
      <x:c r="E107" s="25"/>
      <x:c r="F107" s="25"/>
      <x:c r="G107" s="3"/>
      <x:c r="H107" s="22"/>
      <x:c r="I107" s="3"/>
      <x:c r="J107" s="22"/>
      <x:c r="K107" s="3"/>
      <x:c r="L107" s="3"/>
      <x:c r="M107" s="3"/>
      <x:c r="N107" s="3"/>
      <x:c r="O107" s="3"/>
      <x:c r="P107" s="19" t="str">
        <x:f>IF(A107="","",IF(COUNTIFS('执行日志'!$A$7:$A$306,A107)&lt;&gt;1,"编号重复",IF(COUNTIFS('问题总览'!$A$7:$A$306,B107)&lt;&gt;1,"问题引用无效",IF(OR(L107="已更正",L107="撤销"),"排除汇总",IF(L107&lt;&gt;"有效","待补记录状态",IF(COUNTIFS('方案版本'!$A$7:$A$306,C107,'方案版本'!$B$7:$B$306,B107,'方案版本'!$L$7:$L$306,"已冻结")&lt;&gt;1,"方案引用无效",IF(OR(D107="",NOT(ISNUMBER(E107)),NOT(ISNUMBER(F107)),G107="",K107=""),"待补执行信息",IF(OR(NOT(ISNUMBER(H107)),H107&lt;0,NOT(ISNUMBER(J107)),J107&lt;0),"支出或耗时待补",IF(COUNTIFS('问题总览'!$A$7:$A$306,B107,'问题总览'!$J$7:$J$306,I107)&lt;&gt;1,"币种不匹配",IF(AND(M107&lt;&gt;"",OR(M107=A107,COUNTIFS('执行日志'!$A$7:$A$306,M107,'执行日志'!$B$7:$B$306,B107,'执行日志'!$L$7:$L$306,"已更正")&lt;&gt;1)),"更正引用待核对","有效输入"))))))))))</x:f>
      </x:c>
    </x:row>
    <x:row r="108" ht="25" customHeight="1">
      <x:c r="A108" s="3"/>
      <x:c r="B108" s="3"/>
      <x:c r="C108" s="3"/>
      <x:c r="D108" s="3"/>
      <x:c r="E108" s="25"/>
      <x:c r="F108" s="25"/>
      <x:c r="G108" s="3"/>
      <x:c r="H108" s="22"/>
      <x:c r="I108" s="3"/>
      <x:c r="J108" s="22"/>
      <x:c r="K108" s="3"/>
      <x:c r="L108" s="3"/>
      <x:c r="M108" s="3"/>
      <x:c r="N108" s="3"/>
      <x:c r="O108" s="3"/>
      <x:c r="P108" s="19" t="str">
        <x:f>IF(A108="","",IF(COUNTIFS('执行日志'!$A$7:$A$306,A108)&lt;&gt;1,"编号重复",IF(COUNTIFS('问题总览'!$A$7:$A$306,B108)&lt;&gt;1,"问题引用无效",IF(OR(L108="已更正",L108="撤销"),"排除汇总",IF(L108&lt;&gt;"有效","待补记录状态",IF(COUNTIFS('方案版本'!$A$7:$A$306,C108,'方案版本'!$B$7:$B$306,B108,'方案版本'!$L$7:$L$306,"已冻结")&lt;&gt;1,"方案引用无效",IF(OR(D108="",NOT(ISNUMBER(E108)),NOT(ISNUMBER(F108)),G108="",K108=""),"待补执行信息",IF(OR(NOT(ISNUMBER(H108)),H108&lt;0,NOT(ISNUMBER(J108)),J108&lt;0),"支出或耗时待补",IF(COUNTIFS('问题总览'!$A$7:$A$306,B108,'问题总览'!$J$7:$J$306,I108)&lt;&gt;1,"币种不匹配",IF(AND(M108&lt;&gt;"",OR(M108=A108,COUNTIFS('执行日志'!$A$7:$A$306,M108,'执行日志'!$B$7:$B$306,B108,'执行日志'!$L$7:$L$306,"已更正")&lt;&gt;1)),"更正引用待核对","有效输入"))))))))))</x:f>
      </x:c>
    </x:row>
    <x:row r="109" ht="25" customHeight="1">
      <x:c r="A109" s="3"/>
      <x:c r="B109" s="3"/>
      <x:c r="C109" s="3"/>
      <x:c r="D109" s="3"/>
      <x:c r="E109" s="25"/>
      <x:c r="F109" s="25"/>
      <x:c r="G109" s="3"/>
      <x:c r="H109" s="22"/>
      <x:c r="I109" s="3"/>
      <x:c r="J109" s="22"/>
      <x:c r="K109" s="3"/>
      <x:c r="L109" s="3"/>
      <x:c r="M109" s="3"/>
      <x:c r="N109" s="3"/>
      <x:c r="O109" s="3"/>
      <x:c r="P109" s="19" t="str">
        <x:f>IF(A109="","",IF(COUNTIFS('执行日志'!$A$7:$A$306,A109)&lt;&gt;1,"编号重复",IF(COUNTIFS('问题总览'!$A$7:$A$306,B109)&lt;&gt;1,"问题引用无效",IF(OR(L109="已更正",L109="撤销"),"排除汇总",IF(L109&lt;&gt;"有效","待补记录状态",IF(COUNTIFS('方案版本'!$A$7:$A$306,C109,'方案版本'!$B$7:$B$306,B109,'方案版本'!$L$7:$L$306,"已冻结")&lt;&gt;1,"方案引用无效",IF(OR(D109="",NOT(ISNUMBER(E109)),NOT(ISNUMBER(F109)),G109="",K109=""),"待补执行信息",IF(OR(NOT(ISNUMBER(H109)),H109&lt;0,NOT(ISNUMBER(J109)),J109&lt;0),"支出或耗时待补",IF(COUNTIFS('问题总览'!$A$7:$A$306,B109,'问题总览'!$J$7:$J$306,I109)&lt;&gt;1,"币种不匹配",IF(AND(M109&lt;&gt;"",OR(M109=A109,COUNTIFS('执行日志'!$A$7:$A$306,M109,'执行日志'!$B$7:$B$306,B109,'执行日志'!$L$7:$L$306,"已更正")&lt;&gt;1)),"更正引用待核对","有效输入"))))))))))</x:f>
      </x:c>
    </x:row>
    <x:row r="110" ht="25" customHeight="1">
      <x:c r="A110" s="3"/>
      <x:c r="B110" s="3"/>
      <x:c r="C110" s="3"/>
      <x:c r="D110" s="3"/>
      <x:c r="E110" s="25"/>
      <x:c r="F110" s="25"/>
      <x:c r="G110" s="3"/>
      <x:c r="H110" s="22"/>
      <x:c r="I110" s="3"/>
      <x:c r="J110" s="22"/>
      <x:c r="K110" s="3"/>
      <x:c r="L110" s="3"/>
      <x:c r="M110" s="3"/>
      <x:c r="N110" s="3"/>
      <x:c r="O110" s="3"/>
      <x:c r="P110" s="19" t="str">
        <x:f>IF(A110="","",IF(COUNTIFS('执行日志'!$A$7:$A$306,A110)&lt;&gt;1,"编号重复",IF(COUNTIFS('问题总览'!$A$7:$A$306,B110)&lt;&gt;1,"问题引用无效",IF(OR(L110="已更正",L110="撤销"),"排除汇总",IF(L110&lt;&gt;"有效","待补记录状态",IF(COUNTIFS('方案版本'!$A$7:$A$306,C110,'方案版本'!$B$7:$B$306,B110,'方案版本'!$L$7:$L$306,"已冻结")&lt;&gt;1,"方案引用无效",IF(OR(D110="",NOT(ISNUMBER(E110)),NOT(ISNUMBER(F110)),G110="",K110=""),"待补执行信息",IF(OR(NOT(ISNUMBER(H110)),H110&lt;0,NOT(ISNUMBER(J110)),J110&lt;0),"支出或耗时待补",IF(COUNTIFS('问题总览'!$A$7:$A$306,B110,'问题总览'!$J$7:$J$306,I110)&lt;&gt;1,"币种不匹配",IF(AND(M110&lt;&gt;"",OR(M110=A110,COUNTIFS('执行日志'!$A$7:$A$306,M110,'执行日志'!$B$7:$B$306,B110,'执行日志'!$L$7:$L$306,"已更正")&lt;&gt;1)),"更正引用待核对","有效输入"))))))))))</x:f>
      </x:c>
    </x:row>
    <x:row r="111" ht="25" customHeight="1">
      <x:c r="A111" s="3"/>
      <x:c r="B111" s="3"/>
      <x:c r="C111" s="3"/>
      <x:c r="D111" s="3"/>
      <x:c r="E111" s="25"/>
      <x:c r="F111" s="25"/>
      <x:c r="G111" s="3"/>
      <x:c r="H111" s="22"/>
      <x:c r="I111" s="3"/>
      <x:c r="J111" s="22"/>
      <x:c r="K111" s="3"/>
      <x:c r="L111" s="3"/>
      <x:c r="M111" s="3"/>
      <x:c r="N111" s="3"/>
      <x:c r="O111" s="3"/>
      <x:c r="P111" s="19" t="str">
        <x:f>IF(A111="","",IF(COUNTIFS('执行日志'!$A$7:$A$306,A111)&lt;&gt;1,"编号重复",IF(COUNTIFS('问题总览'!$A$7:$A$306,B111)&lt;&gt;1,"问题引用无效",IF(OR(L111="已更正",L111="撤销"),"排除汇总",IF(L111&lt;&gt;"有效","待补记录状态",IF(COUNTIFS('方案版本'!$A$7:$A$306,C111,'方案版本'!$B$7:$B$306,B111,'方案版本'!$L$7:$L$306,"已冻结")&lt;&gt;1,"方案引用无效",IF(OR(D111="",NOT(ISNUMBER(E111)),NOT(ISNUMBER(F111)),G111="",K111=""),"待补执行信息",IF(OR(NOT(ISNUMBER(H111)),H111&lt;0,NOT(ISNUMBER(J111)),J111&lt;0),"支出或耗时待补",IF(COUNTIFS('问题总览'!$A$7:$A$306,B111,'问题总览'!$J$7:$J$306,I111)&lt;&gt;1,"币种不匹配",IF(AND(M111&lt;&gt;"",OR(M111=A111,COUNTIFS('执行日志'!$A$7:$A$306,M111,'执行日志'!$B$7:$B$306,B111,'执行日志'!$L$7:$L$306,"已更正")&lt;&gt;1)),"更正引用待核对","有效输入"))))))))))</x:f>
      </x:c>
    </x:row>
    <x:row r="112" ht="25" customHeight="1">
      <x:c r="A112" s="3"/>
      <x:c r="B112" s="3"/>
      <x:c r="C112" s="3"/>
      <x:c r="D112" s="3"/>
      <x:c r="E112" s="25"/>
      <x:c r="F112" s="25"/>
      <x:c r="G112" s="3"/>
      <x:c r="H112" s="22"/>
      <x:c r="I112" s="3"/>
      <x:c r="J112" s="22"/>
      <x:c r="K112" s="3"/>
      <x:c r="L112" s="3"/>
      <x:c r="M112" s="3"/>
      <x:c r="N112" s="3"/>
      <x:c r="O112" s="3"/>
      <x:c r="P112" s="19" t="str">
        <x:f>IF(A112="","",IF(COUNTIFS('执行日志'!$A$7:$A$306,A112)&lt;&gt;1,"编号重复",IF(COUNTIFS('问题总览'!$A$7:$A$306,B112)&lt;&gt;1,"问题引用无效",IF(OR(L112="已更正",L112="撤销"),"排除汇总",IF(L112&lt;&gt;"有效","待补记录状态",IF(COUNTIFS('方案版本'!$A$7:$A$306,C112,'方案版本'!$B$7:$B$306,B112,'方案版本'!$L$7:$L$306,"已冻结")&lt;&gt;1,"方案引用无效",IF(OR(D112="",NOT(ISNUMBER(E112)),NOT(ISNUMBER(F112)),G112="",K112=""),"待补执行信息",IF(OR(NOT(ISNUMBER(H112)),H112&lt;0,NOT(ISNUMBER(J112)),J112&lt;0),"支出或耗时待补",IF(COUNTIFS('问题总览'!$A$7:$A$306,B112,'问题总览'!$J$7:$J$306,I112)&lt;&gt;1,"币种不匹配",IF(AND(M112&lt;&gt;"",OR(M112=A112,COUNTIFS('执行日志'!$A$7:$A$306,M112,'执行日志'!$B$7:$B$306,B112,'执行日志'!$L$7:$L$306,"已更正")&lt;&gt;1)),"更正引用待核对","有效输入"))))))))))</x:f>
      </x:c>
    </x:row>
    <x:row r="113" ht="25" customHeight="1">
      <x:c r="A113" s="3"/>
      <x:c r="B113" s="3"/>
      <x:c r="C113" s="3"/>
      <x:c r="D113" s="3"/>
      <x:c r="E113" s="25"/>
      <x:c r="F113" s="25"/>
      <x:c r="G113" s="3"/>
      <x:c r="H113" s="22"/>
      <x:c r="I113" s="3"/>
      <x:c r="J113" s="22"/>
      <x:c r="K113" s="3"/>
      <x:c r="L113" s="3"/>
      <x:c r="M113" s="3"/>
      <x:c r="N113" s="3"/>
      <x:c r="O113" s="3"/>
      <x:c r="P113" s="19" t="str">
        <x:f>IF(A113="","",IF(COUNTIFS('执行日志'!$A$7:$A$306,A113)&lt;&gt;1,"编号重复",IF(COUNTIFS('问题总览'!$A$7:$A$306,B113)&lt;&gt;1,"问题引用无效",IF(OR(L113="已更正",L113="撤销"),"排除汇总",IF(L113&lt;&gt;"有效","待补记录状态",IF(COUNTIFS('方案版本'!$A$7:$A$306,C113,'方案版本'!$B$7:$B$306,B113,'方案版本'!$L$7:$L$306,"已冻结")&lt;&gt;1,"方案引用无效",IF(OR(D113="",NOT(ISNUMBER(E113)),NOT(ISNUMBER(F113)),G113="",K113=""),"待补执行信息",IF(OR(NOT(ISNUMBER(H113)),H113&lt;0,NOT(ISNUMBER(J113)),J113&lt;0),"支出或耗时待补",IF(COUNTIFS('问题总览'!$A$7:$A$306,B113,'问题总览'!$J$7:$J$306,I113)&lt;&gt;1,"币种不匹配",IF(AND(M113&lt;&gt;"",OR(M113=A113,COUNTIFS('执行日志'!$A$7:$A$306,M113,'执行日志'!$B$7:$B$306,B113,'执行日志'!$L$7:$L$306,"已更正")&lt;&gt;1)),"更正引用待核对","有效输入"))))))))))</x:f>
      </x:c>
    </x:row>
    <x:row r="114" ht="25" customHeight="1">
      <x:c r="A114" s="3"/>
      <x:c r="B114" s="3"/>
      <x:c r="C114" s="3"/>
      <x:c r="D114" s="3"/>
      <x:c r="E114" s="25"/>
      <x:c r="F114" s="25"/>
      <x:c r="G114" s="3"/>
      <x:c r="H114" s="22"/>
      <x:c r="I114" s="3"/>
      <x:c r="J114" s="22"/>
      <x:c r="K114" s="3"/>
      <x:c r="L114" s="3"/>
      <x:c r="M114" s="3"/>
      <x:c r="N114" s="3"/>
      <x:c r="O114" s="3"/>
      <x:c r="P114" s="19" t="str">
        <x:f>IF(A114="","",IF(COUNTIFS('执行日志'!$A$7:$A$306,A114)&lt;&gt;1,"编号重复",IF(COUNTIFS('问题总览'!$A$7:$A$306,B114)&lt;&gt;1,"问题引用无效",IF(OR(L114="已更正",L114="撤销"),"排除汇总",IF(L114&lt;&gt;"有效","待补记录状态",IF(COUNTIFS('方案版本'!$A$7:$A$306,C114,'方案版本'!$B$7:$B$306,B114,'方案版本'!$L$7:$L$306,"已冻结")&lt;&gt;1,"方案引用无效",IF(OR(D114="",NOT(ISNUMBER(E114)),NOT(ISNUMBER(F114)),G114="",K114=""),"待补执行信息",IF(OR(NOT(ISNUMBER(H114)),H114&lt;0,NOT(ISNUMBER(J114)),J114&lt;0),"支出或耗时待补",IF(COUNTIFS('问题总览'!$A$7:$A$306,B114,'问题总览'!$J$7:$J$306,I114)&lt;&gt;1,"币种不匹配",IF(AND(M114&lt;&gt;"",OR(M114=A114,COUNTIFS('执行日志'!$A$7:$A$306,M114,'执行日志'!$B$7:$B$306,B114,'执行日志'!$L$7:$L$306,"已更正")&lt;&gt;1)),"更正引用待核对","有效输入"))))))))))</x:f>
      </x:c>
    </x:row>
    <x:row r="115" ht="25" customHeight="1">
      <x:c r="A115" s="3"/>
      <x:c r="B115" s="3"/>
      <x:c r="C115" s="3"/>
      <x:c r="D115" s="3"/>
      <x:c r="E115" s="25"/>
      <x:c r="F115" s="25"/>
      <x:c r="G115" s="3"/>
      <x:c r="H115" s="22"/>
      <x:c r="I115" s="3"/>
      <x:c r="J115" s="22"/>
      <x:c r="K115" s="3"/>
      <x:c r="L115" s="3"/>
      <x:c r="M115" s="3"/>
      <x:c r="N115" s="3"/>
      <x:c r="O115" s="3"/>
      <x:c r="P115" s="19" t="str">
        <x:f>IF(A115="","",IF(COUNTIFS('执行日志'!$A$7:$A$306,A115)&lt;&gt;1,"编号重复",IF(COUNTIFS('问题总览'!$A$7:$A$306,B115)&lt;&gt;1,"问题引用无效",IF(OR(L115="已更正",L115="撤销"),"排除汇总",IF(L115&lt;&gt;"有效","待补记录状态",IF(COUNTIFS('方案版本'!$A$7:$A$306,C115,'方案版本'!$B$7:$B$306,B115,'方案版本'!$L$7:$L$306,"已冻结")&lt;&gt;1,"方案引用无效",IF(OR(D115="",NOT(ISNUMBER(E115)),NOT(ISNUMBER(F115)),G115="",K115=""),"待补执行信息",IF(OR(NOT(ISNUMBER(H115)),H115&lt;0,NOT(ISNUMBER(J115)),J115&lt;0),"支出或耗时待补",IF(COUNTIFS('问题总览'!$A$7:$A$306,B115,'问题总览'!$J$7:$J$306,I115)&lt;&gt;1,"币种不匹配",IF(AND(M115&lt;&gt;"",OR(M115=A115,COUNTIFS('执行日志'!$A$7:$A$306,M115,'执行日志'!$B$7:$B$306,B115,'执行日志'!$L$7:$L$306,"已更正")&lt;&gt;1)),"更正引用待核对","有效输入"))))))))))</x:f>
      </x:c>
    </x:row>
    <x:row r="116" ht="25" customHeight="1">
      <x:c r="A116" s="3"/>
      <x:c r="B116" s="3"/>
      <x:c r="C116" s="3"/>
      <x:c r="D116" s="3"/>
      <x:c r="E116" s="25"/>
      <x:c r="F116" s="25"/>
      <x:c r="G116" s="3"/>
      <x:c r="H116" s="22"/>
      <x:c r="I116" s="3"/>
      <x:c r="J116" s="22"/>
      <x:c r="K116" s="3"/>
      <x:c r="L116" s="3"/>
      <x:c r="M116" s="3"/>
      <x:c r="N116" s="3"/>
      <x:c r="O116" s="3"/>
      <x:c r="P116" s="19" t="str">
        <x:f>IF(A116="","",IF(COUNTIFS('执行日志'!$A$7:$A$306,A116)&lt;&gt;1,"编号重复",IF(COUNTIFS('问题总览'!$A$7:$A$306,B116)&lt;&gt;1,"问题引用无效",IF(OR(L116="已更正",L116="撤销"),"排除汇总",IF(L116&lt;&gt;"有效","待补记录状态",IF(COUNTIFS('方案版本'!$A$7:$A$306,C116,'方案版本'!$B$7:$B$306,B116,'方案版本'!$L$7:$L$306,"已冻结")&lt;&gt;1,"方案引用无效",IF(OR(D116="",NOT(ISNUMBER(E116)),NOT(ISNUMBER(F116)),G116="",K116=""),"待补执行信息",IF(OR(NOT(ISNUMBER(H116)),H116&lt;0,NOT(ISNUMBER(J116)),J116&lt;0),"支出或耗时待补",IF(COUNTIFS('问题总览'!$A$7:$A$306,B116,'问题总览'!$J$7:$J$306,I116)&lt;&gt;1,"币种不匹配",IF(AND(M116&lt;&gt;"",OR(M116=A116,COUNTIFS('执行日志'!$A$7:$A$306,M116,'执行日志'!$B$7:$B$306,B116,'执行日志'!$L$7:$L$306,"已更正")&lt;&gt;1)),"更正引用待核对","有效输入"))))))))))</x:f>
      </x:c>
    </x:row>
    <x:row r="117" ht="25" customHeight="1">
      <x:c r="A117" s="3"/>
      <x:c r="B117" s="3"/>
      <x:c r="C117" s="3"/>
      <x:c r="D117" s="3"/>
      <x:c r="E117" s="25"/>
      <x:c r="F117" s="25"/>
      <x:c r="G117" s="3"/>
      <x:c r="H117" s="22"/>
      <x:c r="I117" s="3"/>
      <x:c r="J117" s="22"/>
      <x:c r="K117" s="3"/>
      <x:c r="L117" s="3"/>
      <x:c r="M117" s="3"/>
      <x:c r="N117" s="3"/>
      <x:c r="O117" s="3"/>
      <x:c r="P117" s="19" t="str">
        <x:f>IF(A117="","",IF(COUNTIFS('执行日志'!$A$7:$A$306,A117)&lt;&gt;1,"编号重复",IF(COUNTIFS('问题总览'!$A$7:$A$306,B117)&lt;&gt;1,"问题引用无效",IF(OR(L117="已更正",L117="撤销"),"排除汇总",IF(L117&lt;&gt;"有效","待补记录状态",IF(COUNTIFS('方案版本'!$A$7:$A$306,C117,'方案版本'!$B$7:$B$306,B117,'方案版本'!$L$7:$L$306,"已冻结")&lt;&gt;1,"方案引用无效",IF(OR(D117="",NOT(ISNUMBER(E117)),NOT(ISNUMBER(F117)),G117="",K117=""),"待补执行信息",IF(OR(NOT(ISNUMBER(H117)),H117&lt;0,NOT(ISNUMBER(J117)),J117&lt;0),"支出或耗时待补",IF(COUNTIFS('问题总览'!$A$7:$A$306,B117,'问题总览'!$J$7:$J$306,I117)&lt;&gt;1,"币种不匹配",IF(AND(M117&lt;&gt;"",OR(M117=A117,COUNTIFS('执行日志'!$A$7:$A$306,M117,'执行日志'!$B$7:$B$306,B117,'执行日志'!$L$7:$L$306,"已更正")&lt;&gt;1)),"更正引用待核对","有效输入"))))))))))</x:f>
      </x:c>
    </x:row>
    <x:row r="118" ht="25" customHeight="1">
      <x:c r="A118" s="3"/>
      <x:c r="B118" s="3"/>
      <x:c r="C118" s="3"/>
      <x:c r="D118" s="3"/>
      <x:c r="E118" s="25"/>
      <x:c r="F118" s="25"/>
      <x:c r="G118" s="3"/>
      <x:c r="H118" s="22"/>
      <x:c r="I118" s="3"/>
      <x:c r="J118" s="22"/>
      <x:c r="K118" s="3"/>
      <x:c r="L118" s="3"/>
      <x:c r="M118" s="3"/>
      <x:c r="N118" s="3"/>
      <x:c r="O118" s="3"/>
      <x:c r="P118" s="19" t="str">
        <x:f>IF(A118="","",IF(COUNTIFS('执行日志'!$A$7:$A$306,A118)&lt;&gt;1,"编号重复",IF(COUNTIFS('问题总览'!$A$7:$A$306,B118)&lt;&gt;1,"问题引用无效",IF(OR(L118="已更正",L118="撤销"),"排除汇总",IF(L118&lt;&gt;"有效","待补记录状态",IF(COUNTIFS('方案版本'!$A$7:$A$306,C118,'方案版本'!$B$7:$B$306,B118,'方案版本'!$L$7:$L$306,"已冻结")&lt;&gt;1,"方案引用无效",IF(OR(D118="",NOT(ISNUMBER(E118)),NOT(ISNUMBER(F118)),G118="",K118=""),"待补执行信息",IF(OR(NOT(ISNUMBER(H118)),H118&lt;0,NOT(ISNUMBER(J118)),J118&lt;0),"支出或耗时待补",IF(COUNTIFS('问题总览'!$A$7:$A$306,B118,'问题总览'!$J$7:$J$306,I118)&lt;&gt;1,"币种不匹配",IF(AND(M118&lt;&gt;"",OR(M118=A118,COUNTIFS('执行日志'!$A$7:$A$306,M118,'执行日志'!$B$7:$B$306,B118,'执行日志'!$L$7:$L$306,"已更正")&lt;&gt;1)),"更正引用待核对","有效输入"))))))))))</x:f>
      </x:c>
    </x:row>
    <x:row r="119" ht="25" customHeight="1">
      <x:c r="A119" s="3"/>
      <x:c r="B119" s="3"/>
      <x:c r="C119" s="3"/>
      <x:c r="D119" s="3"/>
      <x:c r="E119" s="25"/>
      <x:c r="F119" s="25"/>
      <x:c r="G119" s="3"/>
      <x:c r="H119" s="22"/>
      <x:c r="I119" s="3"/>
      <x:c r="J119" s="22"/>
      <x:c r="K119" s="3"/>
      <x:c r="L119" s="3"/>
      <x:c r="M119" s="3"/>
      <x:c r="N119" s="3"/>
      <x:c r="O119" s="3"/>
      <x:c r="P119" s="19" t="str">
        <x:f>IF(A119="","",IF(COUNTIFS('执行日志'!$A$7:$A$306,A119)&lt;&gt;1,"编号重复",IF(COUNTIFS('问题总览'!$A$7:$A$306,B119)&lt;&gt;1,"问题引用无效",IF(OR(L119="已更正",L119="撤销"),"排除汇总",IF(L119&lt;&gt;"有效","待补记录状态",IF(COUNTIFS('方案版本'!$A$7:$A$306,C119,'方案版本'!$B$7:$B$306,B119,'方案版本'!$L$7:$L$306,"已冻结")&lt;&gt;1,"方案引用无效",IF(OR(D119="",NOT(ISNUMBER(E119)),NOT(ISNUMBER(F119)),G119="",K119=""),"待补执行信息",IF(OR(NOT(ISNUMBER(H119)),H119&lt;0,NOT(ISNUMBER(J119)),J119&lt;0),"支出或耗时待补",IF(COUNTIFS('问题总览'!$A$7:$A$306,B119,'问题总览'!$J$7:$J$306,I119)&lt;&gt;1,"币种不匹配",IF(AND(M119&lt;&gt;"",OR(M119=A119,COUNTIFS('执行日志'!$A$7:$A$306,M119,'执行日志'!$B$7:$B$306,B119,'执行日志'!$L$7:$L$306,"已更正")&lt;&gt;1)),"更正引用待核对","有效输入"))))))))))</x:f>
      </x:c>
    </x:row>
    <x:row r="120" ht="25" customHeight="1">
      <x:c r="A120" s="3"/>
      <x:c r="B120" s="3"/>
      <x:c r="C120" s="3"/>
      <x:c r="D120" s="3"/>
      <x:c r="E120" s="25"/>
      <x:c r="F120" s="25"/>
      <x:c r="G120" s="3"/>
      <x:c r="H120" s="22"/>
      <x:c r="I120" s="3"/>
      <x:c r="J120" s="22"/>
      <x:c r="K120" s="3"/>
      <x:c r="L120" s="3"/>
      <x:c r="M120" s="3"/>
      <x:c r="N120" s="3"/>
      <x:c r="O120" s="3"/>
      <x:c r="P120" s="19" t="str">
        <x:f>IF(A120="","",IF(COUNTIFS('执行日志'!$A$7:$A$306,A120)&lt;&gt;1,"编号重复",IF(COUNTIFS('问题总览'!$A$7:$A$306,B120)&lt;&gt;1,"问题引用无效",IF(OR(L120="已更正",L120="撤销"),"排除汇总",IF(L120&lt;&gt;"有效","待补记录状态",IF(COUNTIFS('方案版本'!$A$7:$A$306,C120,'方案版本'!$B$7:$B$306,B120,'方案版本'!$L$7:$L$306,"已冻结")&lt;&gt;1,"方案引用无效",IF(OR(D120="",NOT(ISNUMBER(E120)),NOT(ISNUMBER(F120)),G120="",K120=""),"待补执行信息",IF(OR(NOT(ISNUMBER(H120)),H120&lt;0,NOT(ISNUMBER(J120)),J120&lt;0),"支出或耗时待补",IF(COUNTIFS('问题总览'!$A$7:$A$306,B120,'问题总览'!$J$7:$J$306,I120)&lt;&gt;1,"币种不匹配",IF(AND(M120&lt;&gt;"",OR(M120=A120,COUNTIFS('执行日志'!$A$7:$A$306,M120,'执行日志'!$B$7:$B$306,B120,'执行日志'!$L$7:$L$306,"已更正")&lt;&gt;1)),"更正引用待核对","有效输入"))))))))))</x:f>
      </x:c>
    </x:row>
    <x:row r="121" ht="25" customHeight="1">
      <x:c r="A121" s="3"/>
      <x:c r="B121" s="3"/>
      <x:c r="C121" s="3"/>
      <x:c r="D121" s="3"/>
      <x:c r="E121" s="25"/>
      <x:c r="F121" s="25"/>
      <x:c r="G121" s="3"/>
      <x:c r="H121" s="22"/>
      <x:c r="I121" s="3"/>
      <x:c r="J121" s="22"/>
      <x:c r="K121" s="3"/>
      <x:c r="L121" s="3"/>
      <x:c r="M121" s="3"/>
      <x:c r="N121" s="3"/>
      <x:c r="O121" s="3"/>
      <x:c r="P121" s="19" t="str">
        <x:f>IF(A121="","",IF(COUNTIFS('执行日志'!$A$7:$A$306,A121)&lt;&gt;1,"编号重复",IF(COUNTIFS('问题总览'!$A$7:$A$306,B121)&lt;&gt;1,"问题引用无效",IF(OR(L121="已更正",L121="撤销"),"排除汇总",IF(L121&lt;&gt;"有效","待补记录状态",IF(COUNTIFS('方案版本'!$A$7:$A$306,C121,'方案版本'!$B$7:$B$306,B121,'方案版本'!$L$7:$L$306,"已冻结")&lt;&gt;1,"方案引用无效",IF(OR(D121="",NOT(ISNUMBER(E121)),NOT(ISNUMBER(F121)),G121="",K121=""),"待补执行信息",IF(OR(NOT(ISNUMBER(H121)),H121&lt;0,NOT(ISNUMBER(J121)),J121&lt;0),"支出或耗时待补",IF(COUNTIFS('问题总览'!$A$7:$A$306,B121,'问题总览'!$J$7:$J$306,I121)&lt;&gt;1,"币种不匹配",IF(AND(M121&lt;&gt;"",OR(M121=A121,COUNTIFS('执行日志'!$A$7:$A$306,M121,'执行日志'!$B$7:$B$306,B121,'执行日志'!$L$7:$L$306,"已更正")&lt;&gt;1)),"更正引用待核对","有效输入"))))))))))</x:f>
      </x:c>
    </x:row>
    <x:row r="122" ht="25" customHeight="1">
      <x:c r="A122" s="3"/>
      <x:c r="B122" s="3"/>
      <x:c r="C122" s="3"/>
      <x:c r="D122" s="3"/>
      <x:c r="E122" s="25"/>
      <x:c r="F122" s="25"/>
      <x:c r="G122" s="3"/>
      <x:c r="H122" s="22"/>
      <x:c r="I122" s="3"/>
      <x:c r="J122" s="22"/>
      <x:c r="K122" s="3"/>
      <x:c r="L122" s="3"/>
      <x:c r="M122" s="3"/>
      <x:c r="N122" s="3"/>
      <x:c r="O122" s="3"/>
      <x:c r="P122" s="19" t="str">
        <x:f>IF(A122="","",IF(COUNTIFS('执行日志'!$A$7:$A$306,A122)&lt;&gt;1,"编号重复",IF(COUNTIFS('问题总览'!$A$7:$A$306,B122)&lt;&gt;1,"问题引用无效",IF(OR(L122="已更正",L122="撤销"),"排除汇总",IF(L122&lt;&gt;"有效","待补记录状态",IF(COUNTIFS('方案版本'!$A$7:$A$306,C122,'方案版本'!$B$7:$B$306,B122,'方案版本'!$L$7:$L$306,"已冻结")&lt;&gt;1,"方案引用无效",IF(OR(D122="",NOT(ISNUMBER(E122)),NOT(ISNUMBER(F122)),G122="",K122=""),"待补执行信息",IF(OR(NOT(ISNUMBER(H122)),H122&lt;0,NOT(ISNUMBER(J122)),J122&lt;0),"支出或耗时待补",IF(COUNTIFS('问题总览'!$A$7:$A$306,B122,'问题总览'!$J$7:$J$306,I122)&lt;&gt;1,"币种不匹配",IF(AND(M122&lt;&gt;"",OR(M122=A122,COUNTIFS('执行日志'!$A$7:$A$306,M122,'执行日志'!$B$7:$B$306,B122,'执行日志'!$L$7:$L$306,"已更正")&lt;&gt;1)),"更正引用待核对","有效输入"))))))))))</x:f>
      </x:c>
    </x:row>
    <x:row r="123" ht="25" customHeight="1">
      <x:c r="A123" s="3"/>
      <x:c r="B123" s="3"/>
      <x:c r="C123" s="3"/>
      <x:c r="D123" s="3"/>
      <x:c r="E123" s="25"/>
      <x:c r="F123" s="25"/>
      <x:c r="G123" s="3"/>
      <x:c r="H123" s="22"/>
      <x:c r="I123" s="3"/>
      <x:c r="J123" s="22"/>
      <x:c r="K123" s="3"/>
      <x:c r="L123" s="3"/>
      <x:c r="M123" s="3"/>
      <x:c r="N123" s="3"/>
      <x:c r="O123" s="3"/>
      <x:c r="P123" s="19" t="str">
        <x:f>IF(A123="","",IF(COUNTIFS('执行日志'!$A$7:$A$306,A123)&lt;&gt;1,"编号重复",IF(COUNTIFS('问题总览'!$A$7:$A$306,B123)&lt;&gt;1,"问题引用无效",IF(OR(L123="已更正",L123="撤销"),"排除汇总",IF(L123&lt;&gt;"有效","待补记录状态",IF(COUNTIFS('方案版本'!$A$7:$A$306,C123,'方案版本'!$B$7:$B$306,B123,'方案版本'!$L$7:$L$306,"已冻结")&lt;&gt;1,"方案引用无效",IF(OR(D123="",NOT(ISNUMBER(E123)),NOT(ISNUMBER(F123)),G123="",K123=""),"待补执行信息",IF(OR(NOT(ISNUMBER(H123)),H123&lt;0,NOT(ISNUMBER(J123)),J123&lt;0),"支出或耗时待补",IF(COUNTIFS('问题总览'!$A$7:$A$306,B123,'问题总览'!$J$7:$J$306,I123)&lt;&gt;1,"币种不匹配",IF(AND(M123&lt;&gt;"",OR(M123=A123,COUNTIFS('执行日志'!$A$7:$A$306,M123,'执行日志'!$B$7:$B$306,B123,'执行日志'!$L$7:$L$306,"已更正")&lt;&gt;1)),"更正引用待核对","有效输入"))))))))))</x:f>
      </x:c>
    </x:row>
    <x:row r="124" ht="25" customHeight="1">
      <x:c r="A124" s="3"/>
      <x:c r="B124" s="3"/>
      <x:c r="C124" s="3"/>
      <x:c r="D124" s="3"/>
      <x:c r="E124" s="25"/>
      <x:c r="F124" s="25"/>
      <x:c r="G124" s="3"/>
      <x:c r="H124" s="22"/>
      <x:c r="I124" s="3"/>
      <x:c r="J124" s="22"/>
      <x:c r="K124" s="3"/>
      <x:c r="L124" s="3"/>
      <x:c r="M124" s="3"/>
      <x:c r="N124" s="3"/>
      <x:c r="O124" s="3"/>
      <x:c r="P124" s="19" t="str">
        <x:f>IF(A124="","",IF(COUNTIFS('执行日志'!$A$7:$A$306,A124)&lt;&gt;1,"编号重复",IF(COUNTIFS('问题总览'!$A$7:$A$306,B124)&lt;&gt;1,"问题引用无效",IF(OR(L124="已更正",L124="撤销"),"排除汇总",IF(L124&lt;&gt;"有效","待补记录状态",IF(COUNTIFS('方案版本'!$A$7:$A$306,C124,'方案版本'!$B$7:$B$306,B124,'方案版本'!$L$7:$L$306,"已冻结")&lt;&gt;1,"方案引用无效",IF(OR(D124="",NOT(ISNUMBER(E124)),NOT(ISNUMBER(F124)),G124="",K124=""),"待补执行信息",IF(OR(NOT(ISNUMBER(H124)),H124&lt;0,NOT(ISNUMBER(J124)),J124&lt;0),"支出或耗时待补",IF(COUNTIFS('问题总览'!$A$7:$A$306,B124,'问题总览'!$J$7:$J$306,I124)&lt;&gt;1,"币种不匹配",IF(AND(M124&lt;&gt;"",OR(M124=A124,COUNTIFS('执行日志'!$A$7:$A$306,M124,'执行日志'!$B$7:$B$306,B124,'执行日志'!$L$7:$L$306,"已更正")&lt;&gt;1)),"更正引用待核对","有效输入"))))))))))</x:f>
      </x:c>
    </x:row>
    <x:row r="125" ht="25" customHeight="1">
      <x:c r="A125" s="3"/>
      <x:c r="B125" s="3"/>
      <x:c r="C125" s="3"/>
      <x:c r="D125" s="3"/>
      <x:c r="E125" s="25"/>
      <x:c r="F125" s="25"/>
      <x:c r="G125" s="3"/>
      <x:c r="H125" s="22"/>
      <x:c r="I125" s="3"/>
      <x:c r="J125" s="22"/>
      <x:c r="K125" s="3"/>
      <x:c r="L125" s="3"/>
      <x:c r="M125" s="3"/>
      <x:c r="N125" s="3"/>
      <x:c r="O125" s="3"/>
      <x:c r="P125" s="19" t="str">
        <x:f>IF(A125="","",IF(COUNTIFS('执行日志'!$A$7:$A$306,A125)&lt;&gt;1,"编号重复",IF(COUNTIFS('问题总览'!$A$7:$A$306,B125)&lt;&gt;1,"问题引用无效",IF(OR(L125="已更正",L125="撤销"),"排除汇总",IF(L125&lt;&gt;"有效","待补记录状态",IF(COUNTIFS('方案版本'!$A$7:$A$306,C125,'方案版本'!$B$7:$B$306,B125,'方案版本'!$L$7:$L$306,"已冻结")&lt;&gt;1,"方案引用无效",IF(OR(D125="",NOT(ISNUMBER(E125)),NOT(ISNUMBER(F125)),G125="",K125=""),"待补执行信息",IF(OR(NOT(ISNUMBER(H125)),H125&lt;0,NOT(ISNUMBER(J125)),J125&lt;0),"支出或耗时待补",IF(COUNTIFS('问题总览'!$A$7:$A$306,B125,'问题总览'!$J$7:$J$306,I125)&lt;&gt;1,"币种不匹配",IF(AND(M125&lt;&gt;"",OR(M125=A125,COUNTIFS('执行日志'!$A$7:$A$306,M125,'执行日志'!$B$7:$B$306,B125,'执行日志'!$L$7:$L$306,"已更正")&lt;&gt;1)),"更正引用待核对","有效输入"))))))))))</x:f>
      </x:c>
    </x:row>
    <x:row r="126" ht="25" customHeight="1">
      <x:c r="A126" s="3"/>
      <x:c r="B126" s="3"/>
      <x:c r="C126" s="3"/>
      <x:c r="D126" s="3"/>
      <x:c r="E126" s="25"/>
      <x:c r="F126" s="25"/>
      <x:c r="G126" s="3"/>
      <x:c r="H126" s="22"/>
      <x:c r="I126" s="3"/>
      <x:c r="J126" s="22"/>
      <x:c r="K126" s="3"/>
      <x:c r="L126" s="3"/>
      <x:c r="M126" s="3"/>
      <x:c r="N126" s="3"/>
      <x:c r="O126" s="3"/>
      <x:c r="P126" s="19" t="str">
        <x:f>IF(A126="","",IF(COUNTIFS('执行日志'!$A$7:$A$306,A126)&lt;&gt;1,"编号重复",IF(COUNTIFS('问题总览'!$A$7:$A$306,B126)&lt;&gt;1,"问题引用无效",IF(OR(L126="已更正",L126="撤销"),"排除汇总",IF(L126&lt;&gt;"有效","待补记录状态",IF(COUNTIFS('方案版本'!$A$7:$A$306,C126,'方案版本'!$B$7:$B$306,B126,'方案版本'!$L$7:$L$306,"已冻结")&lt;&gt;1,"方案引用无效",IF(OR(D126="",NOT(ISNUMBER(E126)),NOT(ISNUMBER(F126)),G126="",K126=""),"待补执行信息",IF(OR(NOT(ISNUMBER(H126)),H126&lt;0,NOT(ISNUMBER(J126)),J126&lt;0),"支出或耗时待补",IF(COUNTIFS('问题总览'!$A$7:$A$306,B126,'问题总览'!$J$7:$J$306,I126)&lt;&gt;1,"币种不匹配",IF(AND(M126&lt;&gt;"",OR(M126=A126,COUNTIFS('执行日志'!$A$7:$A$306,M126,'执行日志'!$B$7:$B$306,B126,'执行日志'!$L$7:$L$306,"已更正")&lt;&gt;1)),"更正引用待核对","有效输入"))))))))))</x:f>
      </x:c>
    </x:row>
    <x:row r="127" ht="25" customHeight="1">
      <x:c r="A127" s="3"/>
      <x:c r="B127" s="3"/>
      <x:c r="C127" s="3"/>
      <x:c r="D127" s="3"/>
      <x:c r="E127" s="25"/>
      <x:c r="F127" s="25"/>
      <x:c r="G127" s="3"/>
      <x:c r="H127" s="22"/>
      <x:c r="I127" s="3"/>
      <x:c r="J127" s="22"/>
      <x:c r="K127" s="3"/>
      <x:c r="L127" s="3"/>
      <x:c r="M127" s="3"/>
      <x:c r="N127" s="3"/>
      <x:c r="O127" s="3"/>
      <x:c r="P127" s="19" t="str">
        <x:f>IF(A127="","",IF(COUNTIFS('执行日志'!$A$7:$A$306,A127)&lt;&gt;1,"编号重复",IF(COUNTIFS('问题总览'!$A$7:$A$306,B127)&lt;&gt;1,"问题引用无效",IF(OR(L127="已更正",L127="撤销"),"排除汇总",IF(L127&lt;&gt;"有效","待补记录状态",IF(COUNTIFS('方案版本'!$A$7:$A$306,C127,'方案版本'!$B$7:$B$306,B127,'方案版本'!$L$7:$L$306,"已冻结")&lt;&gt;1,"方案引用无效",IF(OR(D127="",NOT(ISNUMBER(E127)),NOT(ISNUMBER(F127)),G127="",K127=""),"待补执行信息",IF(OR(NOT(ISNUMBER(H127)),H127&lt;0,NOT(ISNUMBER(J127)),J127&lt;0),"支出或耗时待补",IF(COUNTIFS('问题总览'!$A$7:$A$306,B127,'问题总览'!$J$7:$J$306,I127)&lt;&gt;1,"币种不匹配",IF(AND(M127&lt;&gt;"",OR(M127=A127,COUNTIFS('执行日志'!$A$7:$A$306,M127,'执行日志'!$B$7:$B$306,B127,'执行日志'!$L$7:$L$306,"已更正")&lt;&gt;1)),"更正引用待核对","有效输入"))))))))))</x:f>
      </x:c>
    </x:row>
    <x:row r="128" ht="25" customHeight="1">
      <x:c r="A128" s="3"/>
      <x:c r="B128" s="3"/>
      <x:c r="C128" s="3"/>
      <x:c r="D128" s="3"/>
      <x:c r="E128" s="25"/>
      <x:c r="F128" s="25"/>
      <x:c r="G128" s="3"/>
      <x:c r="H128" s="22"/>
      <x:c r="I128" s="3"/>
      <x:c r="J128" s="22"/>
      <x:c r="K128" s="3"/>
      <x:c r="L128" s="3"/>
      <x:c r="M128" s="3"/>
      <x:c r="N128" s="3"/>
      <x:c r="O128" s="3"/>
      <x:c r="P128" s="19" t="str">
        <x:f>IF(A128="","",IF(COUNTIFS('执行日志'!$A$7:$A$306,A128)&lt;&gt;1,"编号重复",IF(COUNTIFS('问题总览'!$A$7:$A$306,B128)&lt;&gt;1,"问题引用无效",IF(OR(L128="已更正",L128="撤销"),"排除汇总",IF(L128&lt;&gt;"有效","待补记录状态",IF(COUNTIFS('方案版本'!$A$7:$A$306,C128,'方案版本'!$B$7:$B$306,B128,'方案版本'!$L$7:$L$306,"已冻结")&lt;&gt;1,"方案引用无效",IF(OR(D128="",NOT(ISNUMBER(E128)),NOT(ISNUMBER(F128)),G128="",K128=""),"待补执行信息",IF(OR(NOT(ISNUMBER(H128)),H128&lt;0,NOT(ISNUMBER(J128)),J128&lt;0),"支出或耗时待补",IF(COUNTIFS('问题总览'!$A$7:$A$306,B128,'问题总览'!$J$7:$J$306,I128)&lt;&gt;1,"币种不匹配",IF(AND(M128&lt;&gt;"",OR(M128=A128,COUNTIFS('执行日志'!$A$7:$A$306,M128,'执行日志'!$B$7:$B$306,B128,'执行日志'!$L$7:$L$306,"已更正")&lt;&gt;1)),"更正引用待核对","有效输入"))))))))))</x:f>
      </x:c>
    </x:row>
    <x:row r="129" ht="25" customHeight="1">
      <x:c r="A129" s="3"/>
      <x:c r="B129" s="3"/>
      <x:c r="C129" s="3"/>
      <x:c r="D129" s="3"/>
      <x:c r="E129" s="25"/>
      <x:c r="F129" s="25"/>
      <x:c r="G129" s="3"/>
      <x:c r="H129" s="22"/>
      <x:c r="I129" s="3"/>
      <x:c r="J129" s="22"/>
      <x:c r="K129" s="3"/>
      <x:c r="L129" s="3"/>
      <x:c r="M129" s="3"/>
      <x:c r="N129" s="3"/>
      <x:c r="O129" s="3"/>
      <x:c r="P129" s="19" t="str">
        <x:f>IF(A129="","",IF(COUNTIFS('执行日志'!$A$7:$A$306,A129)&lt;&gt;1,"编号重复",IF(COUNTIFS('问题总览'!$A$7:$A$306,B129)&lt;&gt;1,"问题引用无效",IF(OR(L129="已更正",L129="撤销"),"排除汇总",IF(L129&lt;&gt;"有效","待补记录状态",IF(COUNTIFS('方案版本'!$A$7:$A$306,C129,'方案版本'!$B$7:$B$306,B129,'方案版本'!$L$7:$L$306,"已冻结")&lt;&gt;1,"方案引用无效",IF(OR(D129="",NOT(ISNUMBER(E129)),NOT(ISNUMBER(F129)),G129="",K129=""),"待补执行信息",IF(OR(NOT(ISNUMBER(H129)),H129&lt;0,NOT(ISNUMBER(J129)),J129&lt;0),"支出或耗时待补",IF(COUNTIFS('问题总览'!$A$7:$A$306,B129,'问题总览'!$J$7:$J$306,I129)&lt;&gt;1,"币种不匹配",IF(AND(M129&lt;&gt;"",OR(M129=A129,COUNTIFS('执行日志'!$A$7:$A$306,M129,'执行日志'!$B$7:$B$306,B129,'执行日志'!$L$7:$L$306,"已更正")&lt;&gt;1)),"更正引用待核对","有效输入"))))))))))</x:f>
      </x:c>
    </x:row>
    <x:row r="130" ht="25" customHeight="1">
      <x:c r="A130" s="3"/>
      <x:c r="B130" s="3"/>
      <x:c r="C130" s="3"/>
      <x:c r="D130" s="3"/>
      <x:c r="E130" s="25"/>
      <x:c r="F130" s="25"/>
      <x:c r="G130" s="3"/>
      <x:c r="H130" s="22"/>
      <x:c r="I130" s="3"/>
      <x:c r="J130" s="22"/>
      <x:c r="K130" s="3"/>
      <x:c r="L130" s="3"/>
      <x:c r="M130" s="3"/>
      <x:c r="N130" s="3"/>
      <x:c r="O130" s="3"/>
      <x:c r="P130" s="19" t="str">
        <x:f>IF(A130="","",IF(COUNTIFS('执行日志'!$A$7:$A$306,A130)&lt;&gt;1,"编号重复",IF(COUNTIFS('问题总览'!$A$7:$A$306,B130)&lt;&gt;1,"问题引用无效",IF(OR(L130="已更正",L130="撤销"),"排除汇总",IF(L130&lt;&gt;"有效","待补记录状态",IF(COUNTIFS('方案版本'!$A$7:$A$306,C130,'方案版本'!$B$7:$B$306,B130,'方案版本'!$L$7:$L$306,"已冻结")&lt;&gt;1,"方案引用无效",IF(OR(D130="",NOT(ISNUMBER(E130)),NOT(ISNUMBER(F130)),G130="",K130=""),"待补执行信息",IF(OR(NOT(ISNUMBER(H130)),H130&lt;0,NOT(ISNUMBER(J130)),J130&lt;0),"支出或耗时待补",IF(COUNTIFS('问题总览'!$A$7:$A$306,B130,'问题总览'!$J$7:$J$306,I130)&lt;&gt;1,"币种不匹配",IF(AND(M130&lt;&gt;"",OR(M130=A130,COUNTIFS('执行日志'!$A$7:$A$306,M130,'执行日志'!$B$7:$B$306,B130,'执行日志'!$L$7:$L$306,"已更正")&lt;&gt;1)),"更正引用待核对","有效输入"))))))))))</x:f>
      </x:c>
    </x:row>
    <x:row r="131" ht="25" customHeight="1">
      <x:c r="A131" s="3"/>
      <x:c r="B131" s="3"/>
      <x:c r="C131" s="3"/>
      <x:c r="D131" s="3"/>
      <x:c r="E131" s="25"/>
      <x:c r="F131" s="25"/>
      <x:c r="G131" s="3"/>
      <x:c r="H131" s="22"/>
      <x:c r="I131" s="3"/>
      <x:c r="J131" s="22"/>
      <x:c r="K131" s="3"/>
      <x:c r="L131" s="3"/>
      <x:c r="M131" s="3"/>
      <x:c r="N131" s="3"/>
      <x:c r="O131" s="3"/>
      <x:c r="P131" s="19" t="str">
        <x:f>IF(A131="","",IF(COUNTIFS('执行日志'!$A$7:$A$306,A131)&lt;&gt;1,"编号重复",IF(COUNTIFS('问题总览'!$A$7:$A$306,B131)&lt;&gt;1,"问题引用无效",IF(OR(L131="已更正",L131="撤销"),"排除汇总",IF(L131&lt;&gt;"有效","待补记录状态",IF(COUNTIFS('方案版本'!$A$7:$A$306,C131,'方案版本'!$B$7:$B$306,B131,'方案版本'!$L$7:$L$306,"已冻结")&lt;&gt;1,"方案引用无效",IF(OR(D131="",NOT(ISNUMBER(E131)),NOT(ISNUMBER(F131)),G131="",K131=""),"待补执行信息",IF(OR(NOT(ISNUMBER(H131)),H131&lt;0,NOT(ISNUMBER(J131)),J131&lt;0),"支出或耗时待补",IF(COUNTIFS('问题总览'!$A$7:$A$306,B131,'问题总览'!$J$7:$J$306,I131)&lt;&gt;1,"币种不匹配",IF(AND(M131&lt;&gt;"",OR(M131=A131,COUNTIFS('执行日志'!$A$7:$A$306,M131,'执行日志'!$B$7:$B$306,B131,'执行日志'!$L$7:$L$306,"已更正")&lt;&gt;1)),"更正引用待核对","有效输入"))))))))))</x:f>
      </x:c>
    </x:row>
    <x:row r="132" ht="25" customHeight="1">
      <x:c r="A132" s="3"/>
      <x:c r="B132" s="3"/>
      <x:c r="C132" s="3"/>
      <x:c r="D132" s="3"/>
      <x:c r="E132" s="25"/>
      <x:c r="F132" s="25"/>
      <x:c r="G132" s="3"/>
      <x:c r="H132" s="22"/>
      <x:c r="I132" s="3"/>
      <x:c r="J132" s="22"/>
      <x:c r="K132" s="3"/>
      <x:c r="L132" s="3"/>
      <x:c r="M132" s="3"/>
      <x:c r="N132" s="3"/>
      <x:c r="O132" s="3"/>
      <x:c r="P132" s="19" t="str">
        <x:f>IF(A132="","",IF(COUNTIFS('执行日志'!$A$7:$A$306,A132)&lt;&gt;1,"编号重复",IF(COUNTIFS('问题总览'!$A$7:$A$306,B132)&lt;&gt;1,"问题引用无效",IF(OR(L132="已更正",L132="撤销"),"排除汇总",IF(L132&lt;&gt;"有效","待补记录状态",IF(COUNTIFS('方案版本'!$A$7:$A$306,C132,'方案版本'!$B$7:$B$306,B132,'方案版本'!$L$7:$L$306,"已冻结")&lt;&gt;1,"方案引用无效",IF(OR(D132="",NOT(ISNUMBER(E132)),NOT(ISNUMBER(F132)),G132="",K132=""),"待补执行信息",IF(OR(NOT(ISNUMBER(H132)),H132&lt;0,NOT(ISNUMBER(J132)),J132&lt;0),"支出或耗时待补",IF(COUNTIFS('问题总览'!$A$7:$A$306,B132,'问题总览'!$J$7:$J$306,I132)&lt;&gt;1,"币种不匹配",IF(AND(M132&lt;&gt;"",OR(M132=A132,COUNTIFS('执行日志'!$A$7:$A$306,M132,'执行日志'!$B$7:$B$306,B132,'执行日志'!$L$7:$L$306,"已更正")&lt;&gt;1)),"更正引用待核对","有效输入"))))))))))</x:f>
      </x:c>
    </x:row>
    <x:row r="133" ht="25" customHeight="1">
      <x:c r="A133" s="3"/>
      <x:c r="B133" s="3"/>
      <x:c r="C133" s="3"/>
      <x:c r="D133" s="3"/>
      <x:c r="E133" s="25"/>
      <x:c r="F133" s="25"/>
      <x:c r="G133" s="3"/>
      <x:c r="H133" s="22"/>
      <x:c r="I133" s="3"/>
      <x:c r="J133" s="22"/>
      <x:c r="K133" s="3"/>
      <x:c r="L133" s="3"/>
      <x:c r="M133" s="3"/>
      <x:c r="N133" s="3"/>
      <x:c r="O133" s="3"/>
      <x:c r="P133" s="19" t="str">
        <x:f>IF(A133="","",IF(COUNTIFS('执行日志'!$A$7:$A$306,A133)&lt;&gt;1,"编号重复",IF(COUNTIFS('问题总览'!$A$7:$A$306,B133)&lt;&gt;1,"问题引用无效",IF(OR(L133="已更正",L133="撤销"),"排除汇总",IF(L133&lt;&gt;"有效","待补记录状态",IF(COUNTIFS('方案版本'!$A$7:$A$306,C133,'方案版本'!$B$7:$B$306,B133,'方案版本'!$L$7:$L$306,"已冻结")&lt;&gt;1,"方案引用无效",IF(OR(D133="",NOT(ISNUMBER(E133)),NOT(ISNUMBER(F133)),G133="",K133=""),"待补执行信息",IF(OR(NOT(ISNUMBER(H133)),H133&lt;0,NOT(ISNUMBER(J133)),J133&lt;0),"支出或耗时待补",IF(COUNTIFS('问题总览'!$A$7:$A$306,B133,'问题总览'!$J$7:$J$306,I133)&lt;&gt;1,"币种不匹配",IF(AND(M133&lt;&gt;"",OR(M133=A133,COUNTIFS('执行日志'!$A$7:$A$306,M133,'执行日志'!$B$7:$B$306,B133,'执行日志'!$L$7:$L$306,"已更正")&lt;&gt;1)),"更正引用待核对","有效输入"))))))))))</x:f>
      </x:c>
    </x:row>
    <x:row r="134" ht="25" customHeight="1">
      <x:c r="A134" s="3"/>
      <x:c r="B134" s="3"/>
      <x:c r="C134" s="3"/>
      <x:c r="D134" s="3"/>
      <x:c r="E134" s="25"/>
      <x:c r="F134" s="25"/>
      <x:c r="G134" s="3"/>
      <x:c r="H134" s="22"/>
      <x:c r="I134" s="3"/>
      <x:c r="J134" s="22"/>
      <x:c r="K134" s="3"/>
      <x:c r="L134" s="3"/>
      <x:c r="M134" s="3"/>
      <x:c r="N134" s="3"/>
      <x:c r="O134" s="3"/>
      <x:c r="P134" s="19" t="str">
        <x:f>IF(A134="","",IF(COUNTIFS('执行日志'!$A$7:$A$306,A134)&lt;&gt;1,"编号重复",IF(COUNTIFS('问题总览'!$A$7:$A$306,B134)&lt;&gt;1,"问题引用无效",IF(OR(L134="已更正",L134="撤销"),"排除汇总",IF(L134&lt;&gt;"有效","待补记录状态",IF(COUNTIFS('方案版本'!$A$7:$A$306,C134,'方案版本'!$B$7:$B$306,B134,'方案版本'!$L$7:$L$306,"已冻结")&lt;&gt;1,"方案引用无效",IF(OR(D134="",NOT(ISNUMBER(E134)),NOT(ISNUMBER(F134)),G134="",K134=""),"待补执行信息",IF(OR(NOT(ISNUMBER(H134)),H134&lt;0,NOT(ISNUMBER(J134)),J134&lt;0),"支出或耗时待补",IF(COUNTIFS('问题总览'!$A$7:$A$306,B134,'问题总览'!$J$7:$J$306,I134)&lt;&gt;1,"币种不匹配",IF(AND(M134&lt;&gt;"",OR(M134=A134,COUNTIFS('执行日志'!$A$7:$A$306,M134,'执行日志'!$B$7:$B$306,B134,'执行日志'!$L$7:$L$306,"已更正")&lt;&gt;1)),"更正引用待核对","有效输入"))))))))))</x:f>
      </x:c>
    </x:row>
    <x:row r="135" ht="25" customHeight="1">
      <x:c r="A135" s="3"/>
      <x:c r="B135" s="3"/>
      <x:c r="C135" s="3"/>
      <x:c r="D135" s="3"/>
      <x:c r="E135" s="25"/>
      <x:c r="F135" s="25"/>
      <x:c r="G135" s="3"/>
      <x:c r="H135" s="22"/>
      <x:c r="I135" s="3"/>
      <x:c r="J135" s="22"/>
      <x:c r="K135" s="3"/>
      <x:c r="L135" s="3"/>
      <x:c r="M135" s="3"/>
      <x:c r="N135" s="3"/>
      <x:c r="O135" s="3"/>
      <x:c r="P135" s="19" t="str">
        <x:f>IF(A135="","",IF(COUNTIFS('执行日志'!$A$7:$A$306,A135)&lt;&gt;1,"编号重复",IF(COUNTIFS('问题总览'!$A$7:$A$306,B135)&lt;&gt;1,"问题引用无效",IF(OR(L135="已更正",L135="撤销"),"排除汇总",IF(L135&lt;&gt;"有效","待补记录状态",IF(COUNTIFS('方案版本'!$A$7:$A$306,C135,'方案版本'!$B$7:$B$306,B135,'方案版本'!$L$7:$L$306,"已冻结")&lt;&gt;1,"方案引用无效",IF(OR(D135="",NOT(ISNUMBER(E135)),NOT(ISNUMBER(F135)),G135="",K135=""),"待补执行信息",IF(OR(NOT(ISNUMBER(H135)),H135&lt;0,NOT(ISNUMBER(J135)),J135&lt;0),"支出或耗时待补",IF(COUNTIFS('问题总览'!$A$7:$A$306,B135,'问题总览'!$J$7:$J$306,I135)&lt;&gt;1,"币种不匹配",IF(AND(M135&lt;&gt;"",OR(M135=A135,COUNTIFS('执行日志'!$A$7:$A$306,M135,'执行日志'!$B$7:$B$306,B135,'执行日志'!$L$7:$L$306,"已更正")&lt;&gt;1)),"更正引用待核对","有效输入"))))))))))</x:f>
      </x:c>
    </x:row>
    <x:row r="136" ht="25" customHeight="1">
      <x:c r="A136" s="3"/>
      <x:c r="B136" s="3"/>
      <x:c r="C136" s="3"/>
      <x:c r="D136" s="3"/>
      <x:c r="E136" s="25"/>
      <x:c r="F136" s="25"/>
      <x:c r="G136" s="3"/>
      <x:c r="H136" s="22"/>
      <x:c r="I136" s="3"/>
      <x:c r="J136" s="22"/>
      <x:c r="K136" s="3"/>
      <x:c r="L136" s="3"/>
      <x:c r="M136" s="3"/>
      <x:c r="N136" s="3"/>
      <x:c r="O136" s="3"/>
      <x:c r="P136" s="19" t="str">
        <x:f>IF(A136="","",IF(COUNTIFS('执行日志'!$A$7:$A$306,A136)&lt;&gt;1,"编号重复",IF(COUNTIFS('问题总览'!$A$7:$A$306,B136)&lt;&gt;1,"问题引用无效",IF(OR(L136="已更正",L136="撤销"),"排除汇总",IF(L136&lt;&gt;"有效","待补记录状态",IF(COUNTIFS('方案版本'!$A$7:$A$306,C136,'方案版本'!$B$7:$B$306,B136,'方案版本'!$L$7:$L$306,"已冻结")&lt;&gt;1,"方案引用无效",IF(OR(D136="",NOT(ISNUMBER(E136)),NOT(ISNUMBER(F136)),G136="",K136=""),"待补执行信息",IF(OR(NOT(ISNUMBER(H136)),H136&lt;0,NOT(ISNUMBER(J136)),J136&lt;0),"支出或耗时待补",IF(COUNTIFS('问题总览'!$A$7:$A$306,B136,'问题总览'!$J$7:$J$306,I136)&lt;&gt;1,"币种不匹配",IF(AND(M136&lt;&gt;"",OR(M136=A136,COUNTIFS('执行日志'!$A$7:$A$306,M136,'执行日志'!$B$7:$B$306,B136,'执行日志'!$L$7:$L$306,"已更正")&lt;&gt;1)),"更正引用待核对","有效输入"))))))))))</x:f>
      </x:c>
    </x:row>
    <x:row r="137" ht="25" customHeight="1">
      <x:c r="A137" s="3"/>
      <x:c r="B137" s="3"/>
      <x:c r="C137" s="3"/>
      <x:c r="D137" s="3"/>
      <x:c r="E137" s="25"/>
      <x:c r="F137" s="25"/>
      <x:c r="G137" s="3"/>
      <x:c r="H137" s="22"/>
      <x:c r="I137" s="3"/>
      <x:c r="J137" s="22"/>
      <x:c r="K137" s="3"/>
      <x:c r="L137" s="3"/>
      <x:c r="M137" s="3"/>
      <x:c r="N137" s="3"/>
      <x:c r="O137" s="3"/>
      <x:c r="P137" s="19" t="str">
        <x:f>IF(A137="","",IF(COUNTIFS('执行日志'!$A$7:$A$306,A137)&lt;&gt;1,"编号重复",IF(COUNTIFS('问题总览'!$A$7:$A$306,B137)&lt;&gt;1,"问题引用无效",IF(OR(L137="已更正",L137="撤销"),"排除汇总",IF(L137&lt;&gt;"有效","待补记录状态",IF(COUNTIFS('方案版本'!$A$7:$A$306,C137,'方案版本'!$B$7:$B$306,B137,'方案版本'!$L$7:$L$306,"已冻结")&lt;&gt;1,"方案引用无效",IF(OR(D137="",NOT(ISNUMBER(E137)),NOT(ISNUMBER(F137)),G137="",K137=""),"待补执行信息",IF(OR(NOT(ISNUMBER(H137)),H137&lt;0,NOT(ISNUMBER(J137)),J137&lt;0),"支出或耗时待补",IF(COUNTIFS('问题总览'!$A$7:$A$306,B137,'问题总览'!$J$7:$J$306,I137)&lt;&gt;1,"币种不匹配",IF(AND(M137&lt;&gt;"",OR(M137=A137,COUNTIFS('执行日志'!$A$7:$A$306,M137,'执行日志'!$B$7:$B$306,B137,'执行日志'!$L$7:$L$306,"已更正")&lt;&gt;1)),"更正引用待核对","有效输入"))))))))))</x:f>
      </x:c>
    </x:row>
    <x:row r="138" ht="25" customHeight="1">
      <x:c r="A138" s="3"/>
      <x:c r="B138" s="3"/>
      <x:c r="C138" s="3"/>
      <x:c r="D138" s="3"/>
      <x:c r="E138" s="25"/>
      <x:c r="F138" s="25"/>
      <x:c r="G138" s="3"/>
      <x:c r="H138" s="22"/>
      <x:c r="I138" s="3"/>
      <x:c r="J138" s="22"/>
      <x:c r="K138" s="3"/>
      <x:c r="L138" s="3"/>
      <x:c r="M138" s="3"/>
      <x:c r="N138" s="3"/>
      <x:c r="O138" s="3"/>
      <x:c r="P138" s="19" t="str">
        <x:f>IF(A138="","",IF(COUNTIFS('执行日志'!$A$7:$A$306,A138)&lt;&gt;1,"编号重复",IF(COUNTIFS('问题总览'!$A$7:$A$306,B138)&lt;&gt;1,"问题引用无效",IF(OR(L138="已更正",L138="撤销"),"排除汇总",IF(L138&lt;&gt;"有效","待补记录状态",IF(COUNTIFS('方案版本'!$A$7:$A$306,C138,'方案版本'!$B$7:$B$306,B138,'方案版本'!$L$7:$L$306,"已冻结")&lt;&gt;1,"方案引用无效",IF(OR(D138="",NOT(ISNUMBER(E138)),NOT(ISNUMBER(F138)),G138="",K138=""),"待补执行信息",IF(OR(NOT(ISNUMBER(H138)),H138&lt;0,NOT(ISNUMBER(J138)),J138&lt;0),"支出或耗时待补",IF(COUNTIFS('问题总览'!$A$7:$A$306,B138,'问题总览'!$J$7:$J$306,I138)&lt;&gt;1,"币种不匹配",IF(AND(M138&lt;&gt;"",OR(M138=A138,COUNTIFS('执行日志'!$A$7:$A$306,M138,'执行日志'!$B$7:$B$306,B138,'执行日志'!$L$7:$L$306,"已更正")&lt;&gt;1)),"更正引用待核对","有效输入"))))))))))</x:f>
      </x:c>
    </x:row>
    <x:row r="139" ht="25" customHeight="1">
      <x:c r="A139" s="3"/>
      <x:c r="B139" s="3"/>
      <x:c r="C139" s="3"/>
      <x:c r="D139" s="3"/>
      <x:c r="E139" s="25"/>
      <x:c r="F139" s="25"/>
      <x:c r="G139" s="3"/>
      <x:c r="H139" s="22"/>
      <x:c r="I139" s="3"/>
      <x:c r="J139" s="22"/>
      <x:c r="K139" s="3"/>
      <x:c r="L139" s="3"/>
      <x:c r="M139" s="3"/>
      <x:c r="N139" s="3"/>
      <x:c r="O139" s="3"/>
      <x:c r="P139" s="19" t="str">
        <x:f>IF(A139="","",IF(COUNTIFS('执行日志'!$A$7:$A$306,A139)&lt;&gt;1,"编号重复",IF(COUNTIFS('问题总览'!$A$7:$A$306,B139)&lt;&gt;1,"问题引用无效",IF(OR(L139="已更正",L139="撤销"),"排除汇总",IF(L139&lt;&gt;"有效","待补记录状态",IF(COUNTIFS('方案版本'!$A$7:$A$306,C139,'方案版本'!$B$7:$B$306,B139,'方案版本'!$L$7:$L$306,"已冻结")&lt;&gt;1,"方案引用无效",IF(OR(D139="",NOT(ISNUMBER(E139)),NOT(ISNUMBER(F139)),G139="",K139=""),"待补执行信息",IF(OR(NOT(ISNUMBER(H139)),H139&lt;0,NOT(ISNUMBER(J139)),J139&lt;0),"支出或耗时待补",IF(COUNTIFS('问题总览'!$A$7:$A$306,B139,'问题总览'!$J$7:$J$306,I139)&lt;&gt;1,"币种不匹配",IF(AND(M139&lt;&gt;"",OR(M139=A139,COUNTIFS('执行日志'!$A$7:$A$306,M139,'执行日志'!$B$7:$B$306,B139,'执行日志'!$L$7:$L$306,"已更正")&lt;&gt;1)),"更正引用待核对","有效输入"))))))))))</x:f>
      </x:c>
    </x:row>
    <x:row r="140" ht="25" customHeight="1">
      <x:c r="A140" s="3"/>
      <x:c r="B140" s="3"/>
      <x:c r="C140" s="3"/>
      <x:c r="D140" s="3"/>
      <x:c r="E140" s="25"/>
      <x:c r="F140" s="25"/>
      <x:c r="G140" s="3"/>
      <x:c r="H140" s="22"/>
      <x:c r="I140" s="3"/>
      <x:c r="J140" s="22"/>
      <x:c r="K140" s="3"/>
      <x:c r="L140" s="3"/>
      <x:c r="M140" s="3"/>
      <x:c r="N140" s="3"/>
      <x:c r="O140" s="3"/>
      <x:c r="P140" s="19" t="str">
        <x:f>IF(A140="","",IF(COUNTIFS('执行日志'!$A$7:$A$306,A140)&lt;&gt;1,"编号重复",IF(COUNTIFS('问题总览'!$A$7:$A$306,B140)&lt;&gt;1,"问题引用无效",IF(OR(L140="已更正",L140="撤销"),"排除汇总",IF(L140&lt;&gt;"有效","待补记录状态",IF(COUNTIFS('方案版本'!$A$7:$A$306,C140,'方案版本'!$B$7:$B$306,B140,'方案版本'!$L$7:$L$306,"已冻结")&lt;&gt;1,"方案引用无效",IF(OR(D140="",NOT(ISNUMBER(E140)),NOT(ISNUMBER(F140)),G140="",K140=""),"待补执行信息",IF(OR(NOT(ISNUMBER(H140)),H140&lt;0,NOT(ISNUMBER(J140)),J140&lt;0),"支出或耗时待补",IF(COUNTIFS('问题总览'!$A$7:$A$306,B140,'问题总览'!$J$7:$J$306,I140)&lt;&gt;1,"币种不匹配",IF(AND(M140&lt;&gt;"",OR(M140=A140,COUNTIFS('执行日志'!$A$7:$A$306,M140,'执行日志'!$B$7:$B$306,B140,'执行日志'!$L$7:$L$306,"已更正")&lt;&gt;1)),"更正引用待核对","有效输入"))))))))))</x:f>
      </x:c>
    </x:row>
    <x:row r="141" ht="25" customHeight="1">
      <x:c r="A141" s="3"/>
      <x:c r="B141" s="3"/>
      <x:c r="C141" s="3"/>
      <x:c r="D141" s="3"/>
      <x:c r="E141" s="25"/>
      <x:c r="F141" s="25"/>
      <x:c r="G141" s="3"/>
      <x:c r="H141" s="22"/>
      <x:c r="I141" s="3"/>
      <x:c r="J141" s="22"/>
      <x:c r="K141" s="3"/>
      <x:c r="L141" s="3"/>
      <x:c r="M141" s="3"/>
      <x:c r="N141" s="3"/>
      <x:c r="O141" s="3"/>
      <x:c r="P141" s="19" t="str">
        <x:f>IF(A141="","",IF(COUNTIFS('执行日志'!$A$7:$A$306,A141)&lt;&gt;1,"编号重复",IF(COUNTIFS('问题总览'!$A$7:$A$306,B141)&lt;&gt;1,"问题引用无效",IF(OR(L141="已更正",L141="撤销"),"排除汇总",IF(L141&lt;&gt;"有效","待补记录状态",IF(COUNTIFS('方案版本'!$A$7:$A$306,C141,'方案版本'!$B$7:$B$306,B141,'方案版本'!$L$7:$L$306,"已冻结")&lt;&gt;1,"方案引用无效",IF(OR(D141="",NOT(ISNUMBER(E141)),NOT(ISNUMBER(F141)),G141="",K141=""),"待补执行信息",IF(OR(NOT(ISNUMBER(H141)),H141&lt;0,NOT(ISNUMBER(J141)),J141&lt;0),"支出或耗时待补",IF(COUNTIFS('问题总览'!$A$7:$A$306,B141,'问题总览'!$J$7:$J$306,I141)&lt;&gt;1,"币种不匹配",IF(AND(M141&lt;&gt;"",OR(M141=A141,COUNTIFS('执行日志'!$A$7:$A$306,M141,'执行日志'!$B$7:$B$306,B141,'执行日志'!$L$7:$L$306,"已更正")&lt;&gt;1)),"更正引用待核对","有效输入"))))))))))</x:f>
      </x:c>
    </x:row>
    <x:row r="142" ht="25" customHeight="1">
      <x:c r="A142" s="3"/>
      <x:c r="B142" s="3"/>
      <x:c r="C142" s="3"/>
      <x:c r="D142" s="3"/>
      <x:c r="E142" s="25"/>
      <x:c r="F142" s="25"/>
      <x:c r="G142" s="3"/>
      <x:c r="H142" s="22"/>
      <x:c r="I142" s="3"/>
      <x:c r="J142" s="22"/>
      <x:c r="K142" s="3"/>
      <x:c r="L142" s="3"/>
      <x:c r="M142" s="3"/>
      <x:c r="N142" s="3"/>
      <x:c r="O142" s="3"/>
      <x:c r="P142" s="19" t="str">
        <x:f>IF(A142="","",IF(COUNTIFS('执行日志'!$A$7:$A$306,A142)&lt;&gt;1,"编号重复",IF(COUNTIFS('问题总览'!$A$7:$A$306,B142)&lt;&gt;1,"问题引用无效",IF(OR(L142="已更正",L142="撤销"),"排除汇总",IF(L142&lt;&gt;"有效","待补记录状态",IF(COUNTIFS('方案版本'!$A$7:$A$306,C142,'方案版本'!$B$7:$B$306,B142,'方案版本'!$L$7:$L$306,"已冻结")&lt;&gt;1,"方案引用无效",IF(OR(D142="",NOT(ISNUMBER(E142)),NOT(ISNUMBER(F142)),G142="",K142=""),"待补执行信息",IF(OR(NOT(ISNUMBER(H142)),H142&lt;0,NOT(ISNUMBER(J142)),J142&lt;0),"支出或耗时待补",IF(COUNTIFS('问题总览'!$A$7:$A$306,B142,'问题总览'!$J$7:$J$306,I142)&lt;&gt;1,"币种不匹配",IF(AND(M142&lt;&gt;"",OR(M142=A142,COUNTIFS('执行日志'!$A$7:$A$306,M142,'执行日志'!$B$7:$B$306,B142,'执行日志'!$L$7:$L$306,"已更正")&lt;&gt;1)),"更正引用待核对","有效输入"))))))))))</x:f>
      </x:c>
    </x:row>
    <x:row r="143" ht="25" customHeight="1">
      <x:c r="A143" s="3"/>
      <x:c r="B143" s="3"/>
      <x:c r="C143" s="3"/>
      <x:c r="D143" s="3"/>
      <x:c r="E143" s="25"/>
      <x:c r="F143" s="25"/>
      <x:c r="G143" s="3"/>
      <x:c r="H143" s="22"/>
      <x:c r="I143" s="3"/>
      <x:c r="J143" s="22"/>
      <x:c r="K143" s="3"/>
      <x:c r="L143" s="3"/>
      <x:c r="M143" s="3"/>
      <x:c r="N143" s="3"/>
      <x:c r="O143" s="3"/>
      <x:c r="P143" s="19" t="str">
        <x:f>IF(A143="","",IF(COUNTIFS('执行日志'!$A$7:$A$306,A143)&lt;&gt;1,"编号重复",IF(COUNTIFS('问题总览'!$A$7:$A$306,B143)&lt;&gt;1,"问题引用无效",IF(OR(L143="已更正",L143="撤销"),"排除汇总",IF(L143&lt;&gt;"有效","待补记录状态",IF(COUNTIFS('方案版本'!$A$7:$A$306,C143,'方案版本'!$B$7:$B$306,B143,'方案版本'!$L$7:$L$306,"已冻结")&lt;&gt;1,"方案引用无效",IF(OR(D143="",NOT(ISNUMBER(E143)),NOT(ISNUMBER(F143)),G143="",K143=""),"待补执行信息",IF(OR(NOT(ISNUMBER(H143)),H143&lt;0,NOT(ISNUMBER(J143)),J143&lt;0),"支出或耗时待补",IF(COUNTIFS('问题总览'!$A$7:$A$306,B143,'问题总览'!$J$7:$J$306,I143)&lt;&gt;1,"币种不匹配",IF(AND(M143&lt;&gt;"",OR(M143=A143,COUNTIFS('执行日志'!$A$7:$A$306,M143,'执行日志'!$B$7:$B$306,B143,'执行日志'!$L$7:$L$306,"已更正")&lt;&gt;1)),"更正引用待核对","有效输入"))))))))))</x:f>
      </x:c>
    </x:row>
    <x:row r="144" ht="25" customHeight="1">
      <x:c r="A144" s="3"/>
      <x:c r="B144" s="3"/>
      <x:c r="C144" s="3"/>
      <x:c r="D144" s="3"/>
      <x:c r="E144" s="25"/>
      <x:c r="F144" s="25"/>
      <x:c r="G144" s="3"/>
      <x:c r="H144" s="22"/>
      <x:c r="I144" s="3"/>
      <x:c r="J144" s="22"/>
      <x:c r="K144" s="3"/>
      <x:c r="L144" s="3"/>
      <x:c r="M144" s="3"/>
      <x:c r="N144" s="3"/>
      <x:c r="O144" s="3"/>
      <x:c r="P144" s="19" t="str">
        <x:f>IF(A144="","",IF(COUNTIFS('执行日志'!$A$7:$A$306,A144)&lt;&gt;1,"编号重复",IF(COUNTIFS('问题总览'!$A$7:$A$306,B144)&lt;&gt;1,"问题引用无效",IF(OR(L144="已更正",L144="撤销"),"排除汇总",IF(L144&lt;&gt;"有效","待补记录状态",IF(COUNTIFS('方案版本'!$A$7:$A$306,C144,'方案版本'!$B$7:$B$306,B144,'方案版本'!$L$7:$L$306,"已冻结")&lt;&gt;1,"方案引用无效",IF(OR(D144="",NOT(ISNUMBER(E144)),NOT(ISNUMBER(F144)),G144="",K144=""),"待补执行信息",IF(OR(NOT(ISNUMBER(H144)),H144&lt;0,NOT(ISNUMBER(J144)),J144&lt;0),"支出或耗时待补",IF(COUNTIFS('问题总览'!$A$7:$A$306,B144,'问题总览'!$J$7:$J$306,I144)&lt;&gt;1,"币种不匹配",IF(AND(M144&lt;&gt;"",OR(M144=A144,COUNTIFS('执行日志'!$A$7:$A$306,M144,'执行日志'!$B$7:$B$306,B144,'执行日志'!$L$7:$L$306,"已更正")&lt;&gt;1)),"更正引用待核对","有效输入"))))))))))</x:f>
      </x:c>
    </x:row>
    <x:row r="145" ht="25" customHeight="1">
      <x:c r="A145" s="3"/>
      <x:c r="B145" s="3"/>
      <x:c r="C145" s="3"/>
      <x:c r="D145" s="3"/>
      <x:c r="E145" s="25"/>
      <x:c r="F145" s="25"/>
      <x:c r="G145" s="3"/>
      <x:c r="H145" s="22"/>
      <x:c r="I145" s="3"/>
      <x:c r="J145" s="22"/>
      <x:c r="K145" s="3"/>
      <x:c r="L145" s="3"/>
      <x:c r="M145" s="3"/>
      <x:c r="N145" s="3"/>
      <x:c r="O145" s="3"/>
      <x:c r="P145" s="19" t="str">
        <x:f>IF(A145="","",IF(COUNTIFS('执行日志'!$A$7:$A$306,A145)&lt;&gt;1,"编号重复",IF(COUNTIFS('问题总览'!$A$7:$A$306,B145)&lt;&gt;1,"问题引用无效",IF(OR(L145="已更正",L145="撤销"),"排除汇总",IF(L145&lt;&gt;"有效","待补记录状态",IF(COUNTIFS('方案版本'!$A$7:$A$306,C145,'方案版本'!$B$7:$B$306,B145,'方案版本'!$L$7:$L$306,"已冻结")&lt;&gt;1,"方案引用无效",IF(OR(D145="",NOT(ISNUMBER(E145)),NOT(ISNUMBER(F145)),G145="",K145=""),"待补执行信息",IF(OR(NOT(ISNUMBER(H145)),H145&lt;0,NOT(ISNUMBER(J145)),J145&lt;0),"支出或耗时待补",IF(COUNTIFS('问题总览'!$A$7:$A$306,B145,'问题总览'!$J$7:$J$306,I145)&lt;&gt;1,"币种不匹配",IF(AND(M145&lt;&gt;"",OR(M145=A145,COUNTIFS('执行日志'!$A$7:$A$306,M145,'执行日志'!$B$7:$B$306,B145,'执行日志'!$L$7:$L$306,"已更正")&lt;&gt;1)),"更正引用待核对","有效输入"))))))))))</x:f>
      </x:c>
    </x:row>
    <x:row r="146" ht="25" customHeight="1">
      <x:c r="A146" s="3"/>
      <x:c r="B146" s="3"/>
      <x:c r="C146" s="3"/>
      <x:c r="D146" s="3"/>
      <x:c r="E146" s="25"/>
      <x:c r="F146" s="25"/>
      <x:c r="G146" s="3"/>
      <x:c r="H146" s="22"/>
      <x:c r="I146" s="3"/>
      <x:c r="J146" s="22"/>
      <x:c r="K146" s="3"/>
      <x:c r="L146" s="3"/>
      <x:c r="M146" s="3"/>
      <x:c r="N146" s="3"/>
      <x:c r="O146" s="3"/>
      <x:c r="P146" s="19" t="str">
        <x:f>IF(A146="","",IF(COUNTIFS('执行日志'!$A$7:$A$306,A146)&lt;&gt;1,"编号重复",IF(COUNTIFS('问题总览'!$A$7:$A$306,B146)&lt;&gt;1,"问题引用无效",IF(OR(L146="已更正",L146="撤销"),"排除汇总",IF(L146&lt;&gt;"有效","待补记录状态",IF(COUNTIFS('方案版本'!$A$7:$A$306,C146,'方案版本'!$B$7:$B$306,B146,'方案版本'!$L$7:$L$306,"已冻结")&lt;&gt;1,"方案引用无效",IF(OR(D146="",NOT(ISNUMBER(E146)),NOT(ISNUMBER(F146)),G146="",K146=""),"待补执行信息",IF(OR(NOT(ISNUMBER(H146)),H146&lt;0,NOT(ISNUMBER(J146)),J146&lt;0),"支出或耗时待补",IF(COUNTIFS('问题总览'!$A$7:$A$306,B146,'问题总览'!$J$7:$J$306,I146)&lt;&gt;1,"币种不匹配",IF(AND(M146&lt;&gt;"",OR(M146=A146,COUNTIFS('执行日志'!$A$7:$A$306,M146,'执行日志'!$B$7:$B$306,B146,'执行日志'!$L$7:$L$306,"已更正")&lt;&gt;1)),"更正引用待核对","有效输入"))))))))))</x:f>
      </x:c>
    </x:row>
    <x:row r="147" ht="25" customHeight="1">
      <x:c r="A147" s="3"/>
      <x:c r="B147" s="3"/>
      <x:c r="C147" s="3"/>
      <x:c r="D147" s="3"/>
      <x:c r="E147" s="25"/>
      <x:c r="F147" s="25"/>
      <x:c r="G147" s="3"/>
      <x:c r="H147" s="22"/>
      <x:c r="I147" s="3"/>
      <x:c r="J147" s="22"/>
      <x:c r="K147" s="3"/>
      <x:c r="L147" s="3"/>
      <x:c r="M147" s="3"/>
      <x:c r="N147" s="3"/>
      <x:c r="O147" s="3"/>
      <x:c r="P147" s="19" t="str">
        <x:f>IF(A147="","",IF(COUNTIFS('执行日志'!$A$7:$A$306,A147)&lt;&gt;1,"编号重复",IF(COUNTIFS('问题总览'!$A$7:$A$306,B147)&lt;&gt;1,"问题引用无效",IF(OR(L147="已更正",L147="撤销"),"排除汇总",IF(L147&lt;&gt;"有效","待补记录状态",IF(COUNTIFS('方案版本'!$A$7:$A$306,C147,'方案版本'!$B$7:$B$306,B147,'方案版本'!$L$7:$L$306,"已冻结")&lt;&gt;1,"方案引用无效",IF(OR(D147="",NOT(ISNUMBER(E147)),NOT(ISNUMBER(F147)),G147="",K147=""),"待补执行信息",IF(OR(NOT(ISNUMBER(H147)),H147&lt;0,NOT(ISNUMBER(J147)),J147&lt;0),"支出或耗时待补",IF(COUNTIFS('问题总览'!$A$7:$A$306,B147,'问题总览'!$J$7:$J$306,I147)&lt;&gt;1,"币种不匹配",IF(AND(M147&lt;&gt;"",OR(M147=A147,COUNTIFS('执行日志'!$A$7:$A$306,M147,'执行日志'!$B$7:$B$306,B147,'执行日志'!$L$7:$L$306,"已更正")&lt;&gt;1)),"更正引用待核对","有效输入"))))))))))</x:f>
      </x:c>
    </x:row>
    <x:row r="148" ht="25" customHeight="1">
      <x:c r="A148" s="3"/>
      <x:c r="B148" s="3"/>
      <x:c r="C148" s="3"/>
      <x:c r="D148" s="3"/>
      <x:c r="E148" s="25"/>
      <x:c r="F148" s="25"/>
      <x:c r="G148" s="3"/>
      <x:c r="H148" s="22"/>
      <x:c r="I148" s="3"/>
      <x:c r="J148" s="22"/>
      <x:c r="K148" s="3"/>
      <x:c r="L148" s="3"/>
      <x:c r="M148" s="3"/>
      <x:c r="N148" s="3"/>
      <x:c r="O148" s="3"/>
      <x:c r="P148" s="19" t="str">
        <x:f>IF(A148="","",IF(COUNTIFS('执行日志'!$A$7:$A$306,A148)&lt;&gt;1,"编号重复",IF(COUNTIFS('问题总览'!$A$7:$A$306,B148)&lt;&gt;1,"问题引用无效",IF(OR(L148="已更正",L148="撤销"),"排除汇总",IF(L148&lt;&gt;"有效","待补记录状态",IF(COUNTIFS('方案版本'!$A$7:$A$306,C148,'方案版本'!$B$7:$B$306,B148,'方案版本'!$L$7:$L$306,"已冻结")&lt;&gt;1,"方案引用无效",IF(OR(D148="",NOT(ISNUMBER(E148)),NOT(ISNUMBER(F148)),G148="",K148=""),"待补执行信息",IF(OR(NOT(ISNUMBER(H148)),H148&lt;0,NOT(ISNUMBER(J148)),J148&lt;0),"支出或耗时待补",IF(COUNTIFS('问题总览'!$A$7:$A$306,B148,'问题总览'!$J$7:$J$306,I148)&lt;&gt;1,"币种不匹配",IF(AND(M148&lt;&gt;"",OR(M148=A148,COUNTIFS('执行日志'!$A$7:$A$306,M148,'执行日志'!$B$7:$B$306,B148,'执行日志'!$L$7:$L$306,"已更正")&lt;&gt;1)),"更正引用待核对","有效输入"))))))))))</x:f>
      </x:c>
    </x:row>
    <x:row r="149" ht="25" customHeight="1">
      <x:c r="A149" s="3"/>
      <x:c r="B149" s="3"/>
      <x:c r="C149" s="3"/>
      <x:c r="D149" s="3"/>
      <x:c r="E149" s="25"/>
      <x:c r="F149" s="25"/>
      <x:c r="G149" s="3"/>
      <x:c r="H149" s="22"/>
      <x:c r="I149" s="3"/>
      <x:c r="J149" s="22"/>
      <x:c r="K149" s="3"/>
      <x:c r="L149" s="3"/>
      <x:c r="M149" s="3"/>
      <x:c r="N149" s="3"/>
      <x:c r="O149" s="3"/>
      <x:c r="P149" s="19" t="str">
        <x:f>IF(A149="","",IF(COUNTIFS('执行日志'!$A$7:$A$306,A149)&lt;&gt;1,"编号重复",IF(COUNTIFS('问题总览'!$A$7:$A$306,B149)&lt;&gt;1,"问题引用无效",IF(OR(L149="已更正",L149="撤销"),"排除汇总",IF(L149&lt;&gt;"有效","待补记录状态",IF(COUNTIFS('方案版本'!$A$7:$A$306,C149,'方案版本'!$B$7:$B$306,B149,'方案版本'!$L$7:$L$306,"已冻结")&lt;&gt;1,"方案引用无效",IF(OR(D149="",NOT(ISNUMBER(E149)),NOT(ISNUMBER(F149)),G149="",K149=""),"待补执行信息",IF(OR(NOT(ISNUMBER(H149)),H149&lt;0,NOT(ISNUMBER(J149)),J149&lt;0),"支出或耗时待补",IF(COUNTIFS('问题总览'!$A$7:$A$306,B149,'问题总览'!$J$7:$J$306,I149)&lt;&gt;1,"币种不匹配",IF(AND(M149&lt;&gt;"",OR(M149=A149,COUNTIFS('执行日志'!$A$7:$A$306,M149,'执行日志'!$B$7:$B$306,B149,'执行日志'!$L$7:$L$306,"已更正")&lt;&gt;1)),"更正引用待核对","有效输入"))))))))))</x:f>
      </x:c>
    </x:row>
    <x:row r="150" ht="25" customHeight="1">
      <x:c r="A150" s="3"/>
      <x:c r="B150" s="3"/>
      <x:c r="C150" s="3"/>
      <x:c r="D150" s="3"/>
      <x:c r="E150" s="25"/>
      <x:c r="F150" s="25"/>
      <x:c r="G150" s="3"/>
      <x:c r="H150" s="22"/>
      <x:c r="I150" s="3"/>
      <x:c r="J150" s="22"/>
      <x:c r="K150" s="3"/>
      <x:c r="L150" s="3"/>
      <x:c r="M150" s="3"/>
      <x:c r="N150" s="3"/>
      <x:c r="O150" s="3"/>
      <x:c r="P150" s="19" t="str">
        <x:f>IF(A150="","",IF(COUNTIFS('执行日志'!$A$7:$A$306,A150)&lt;&gt;1,"编号重复",IF(COUNTIFS('问题总览'!$A$7:$A$306,B150)&lt;&gt;1,"问题引用无效",IF(OR(L150="已更正",L150="撤销"),"排除汇总",IF(L150&lt;&gt;"有效","待补记录状态",IF(COUNTIFS('方案版本'!$A$7:$A$306,C150,'方案版本'!$B$7:$B$306,B150,'方案版本'!$L$7:$L$306,"已冻结")&lt;&gt;1,"方案引用无效",IF(OR(D150="",NOT(ISNUMBER(E150)),NOT(ISNUMBER(F150)),G150="",K150=""),"待补执行信息",IF(OR(NOT(ISNUMBER(H150)),H150&lt;0,NOT(ISNUMBER(J150)),J150&lt;0),"支出或耗时待补",IF(COUNTIFS('问题总览'!$A$7:$A$306,B150,'问题总览'!$J$7:$J$306,I150)&lt;&gt;1,"币种不匹配",IF(AND(M150&lt;&gt;"",OR(M150=A150,COUNTIFS('执行日志'!$A$7:$A$306,M150,'执行日志'!$B$7:$B$306,B150,'执行日志'!$L$7:$L$306,"已更正")&lt;&gt;1)),"更正引用待核对","有效输入"))))))))))</x:f>
      </x:c>
    </x:row>
    <x:row r="151" ht="25" customHeight="1">
      <x:c r="A151" s="3"/>
      <x:c r="B151" s="3"/>
      <x:c r="C151" s="3"/>
      <x:c r="D151" s="3"/>
      <x:c r="E151" s="25"/>
      <x:c r="F151" s="25"/>
      <x:c r="G151" s="3"/>
      <x:c r="H151" s="22"/>
      <x:c r="I151" s="3"/>
      <x:c r="J151" s="22"/>
      <x:c r="K151" s="3"/>
      <x:c r="L151" s="3"/>
      <x:c r="M151" s="3"/>
      <x:c r="N151" s="3"/>
      <x:c r="O151" s="3"/>
      <x:c r="P151" s="19" t="str">
        <x:f>IF(A151="","",IF(COUNTIFS('执行日志'!$A$7:$A$306,A151)&lt;&gt;1,"编号重复",IF(COUNTIFS('问题总览'!$A$7:$A$306,B151)&lt;&gt;1,"问题引用无效",IF(OR(L151="已更正",L151="撤销"),"排除汇总",IF(L151&lt;&gt;"有效","待补记录状态",IF(COUNTIFS('方案版本'!$A$7:$A$306,C151,'方案版本'!$B$7:$B$306,B151,'方案版本'!$L$7:$L$306,"已冻结")&lt;&gt;1,"方案引用无效",IF(OR(D151="",NOT(ISNUMBER(E151)),NOT(ISNUMBER(F151)),G151="",K151=""),"待补执行信息",IF(OR(NOT(ISNUMBER(H151)),H151&lt;0,NOT(ISNUMBER(J151)),J151&lt;0),"支出或耗时待补",IF(COUNTIFS('问题总览'!$A$7:$A$306,B151,'问题总览'!$J$7:$J$306,I151)&lt;&gt;1,"币种不匹配",IF(AND(M151&lt;&gt;"",OR(M151=A151,COUNTIFS('执行日志'!$A$7:$A$306,M151,'执行日志'!$B$7:$B$306,B151,'执行日志'!$L$7:$L$306,"已更正")&lt;&gt;1)),"更正引用待核对","有效输入"))))))))))</x:f>
      </x:c>
    </x:row>
    <x:row r="152" ht="25" customHeight="1">
      <x:c r="A152" s="3"/>
      <x:c r="B152" s="3"/>
      <x:c r="C152" s="3"/>
      <x:c r="D152" s="3"/>
      <x:c r="E152" s="25"/>
      <x:c r="F152" s="25"/>
      <x:c r="G152" s="3"/>
      <x:c r="H152" s="22"/>
      <x:c r="I152" s="3"/>
      <x:c r="J152" s="22"/>
      <x:c r="K152" s="3"/>
      <x:c r="L152" s="3"/>
      <x:c r="M152" s="3"/>
      <x:c r="N152" s="3"/>
      <x:c r="O152" s="3"/>
      <x:c r="P152" s="19" t="str">
        <x:f>IF(A152="","",IF(COUNTIFS('执行日志'!$A$7:$A$306,A152)&lt;&gt;1,"编号重复",IF(COUNTIFS('问题总览'!$A$7:$A$306,B152)&lt;&gt;1,"问题引用无效",IF(OR(L152="已更正",L152="撤销"),"排除汇总",IF(L152&lt;&gt;"有效","待补记录状态",IF(COUNTIFS('方案版本'!$A$7:$A$306,C152,'方案版本'!$B$7:$B$306,B152,'方案版本'!$L$7:$L$306,"已冻结")&lt;&gt;1,"方案引用无效",IF(OR(D152="",NOT(ISNUMBER(E152)),NOT(ISNUMBER(F152)),G152="",K152=""),"待补执行信息",IF(OR(NOT(ISNUMBER(H152)),H152&lt;0,NOT(ISNUMBER(J152)),J152&lt;0),"支出或耗时待补",IF(COUNTIFS('问题总览'!$A$7:$A$306,B152,'问题总览'!$J$7:$J$306,I152)&lt;&gt;1,"币种不匹配",IF(AND(M152&lt;&gt;"",OR(M152=A152,COUNTIFS('执行日志'!$A$7:$A$306,M152,'执行日志'!$B$7:$B$306,B152,'执行日志'!$L$7:$L$306,"已更正")&lt;&gt;1)),"更正引用待核对","有效输入"))))))))))</x:f>
      </x:c>
    </x:row>
    <x:row r="153" ht="25" customHeight="1">
      <x:c r="A153" s="3"/>
      <x:c r="B153" s="3"/>
      <x:c r="C153" s="3"/>
      <x:c r="D153" s="3"/>
      <x:c r="E153" s="25"/>
      <x:c r="F153" s="25"/>
      <x:c r="G153" s="3"/>
      <x:c r="H153" s="22"/>
      <x:c r="I153" s="3"/>
      <x:c r="J153" s="22"/>
      <x:c r="K153" s="3"/>
      <x:c r="L153" s="3"/>
      <x:c r="M153" s="3"/>
      <x:c r="N153" s="3"/>
      <x:c r="O153" s="3"/>
      <x:c r="P153" s="19" t="str">
        <x:f>IF(A153="","",IF(COUNTIFS('执行日志'!$A$7:$A$306,A153)&lt;&gt;1,"编号重复",IF(COUNTIFS('问题总览'!$A$7:$A$306,B153)&lt;&gt;1,"问题引用无效",IF(OR(L153="已更正",L153="撤销"),"排除汇总",IF(L153&lt;&gt;"有效","待补记录状态",IF(COUNTIFS('方案版本'!$A$7:$A$306,C153,'方案版本'!$B$7:$B$306,B153,'方案版本'!$L$7:$L$306,"已冻结")&lt;&gt;1,"方案引用无效",IF(OR(D153="",NOT(ISNUMBER(E153)),NOT(ISNUMBER(F153)),G153="",K153=""),"待补执行信息",IF(OR(NOT(ISNUMBER(H153)),H153&lt;0,NOT(ISNUMBER(J153)),J153&lt;0),"支出或耗时待补",IF(COUNTIFS('问题总览'!$A$7:$A$306,B153,'问题总览'!$J$7:$J$306,I153)&lt;&gt;1,"币种不匹配",IF(AND(M153&lt;&gt;"",OR(M153=A153,COUNTIFS('执行日志'!$A$7:$A$306,M153,'执行日志'!$B$7:$B$306,B153,'执行日志'!$L$7:$L$306,"已更正")&lt;&gt;1)),"更正引用待核对","有效输入"))))))))))</x:f>
      </x:c>
    </x:row>
    <x:row r="154" ht="25" customHeight="1">
      <x:c r="A154" s="3"/>
      <x:c r="B154" s="3"/>
      <x:c r="C154" s="3"/>
      <x:c r="D154" s="3"/>
      <x:c r="E154" s="25"/>
      <x:c r="F154" s="25"/>
      <x:c r="G154" s="3"/>
      <x:c r="H154" s="22"/>
      <x:c r="I154" s="3"/>
      <x:c r="J154" s="22"/>
      <x:c r="K154" s="3"/>
      <x:c r="L154" s="3"/>
      <x:c r="M154" s="3"/>
      <x:c r="N154" s="3"/>
      <x:c r="O154" s="3"/>
      <x:c r="P154" s="19" t="str">
        <x:f>IF(A154="","",IF(COUNTIFS('执行日志'!$A$7:$A$306,A154)&lt;&gt;1,"编号重复",IF(COUNTIFS('问题总览'!$A$7:$A$306,B154)&lt;&gt;1,"问题引用无效",IF(OR(L154="已更正",L154="撤销"),"排除汇总",IF(L154&lt;&gt;"有效","待补记录状态",IF(COUNTIFS('方案版本'!$A$7:$A$306,C154,'方案版本'!$B$7:$B$306,B154,'方案版本'!$L$7:$L$306,"已冻结")&lt;&gt;1,"方案引用无效",IF(OR(D154="",NOT(ISNUMBER(E154)),NOT(ISNUMBER(F154)),G154="",K154=""),"待补执行信息",IF(OR(NOT(ISNUMBER(H154)),H154&lt;0,NOT(ISNUMBER(J154)),J154&lt;0),"支出或耗时待补",IF(COUNTIFS('问题总览'!$A$7:$A$306,B154,'问题总览'!$J$7:$J$306,I154)&lt;&gt;1,"币种不匹配",IF(AND(M154&lt;&gt;"",OR(M154=A154,COUNTIFS('执行日志'!$A$7:$A$306,M154,'执行日志'!$B$7:$B$306,B154,'执行日志'!$L$7:$L$306,"已更正")&lt;&gt;1)),"更正引用待核对","有效输入"))))))))))</x:f>
      </x:c>
    </x:row>
    <x:row r="155" ht="25" customHeight="1">
      <x:c r="A155" s="3"/>
      <x:c r="B155" s="3"/>
      <x:c r="C155" s="3"/>
      <x:c r="D155" s="3"/>
      <x:c r="E155" s="25"/>
      <x:c r="F155" s="25"/>
      <x:c r="G155" s="3"/>
      <x:c r="H155" s="22"/>
      <x:c r="I155" s="3"/>
      <x:c r="J155" s="22"/>
      <x:c r="K155" s="3"/>
      <x:c r="L155" s="3"/>
      <x:c r="M155" s="3"/>
      <x:c r="N155" s="3"/>
      <x:c r="O155" s="3"/>
      <x:c r="P155" s="19" t="str">
        <x:f>IF(A155="","",IF(COUNTIFS('执行日志'!$A$7:$A$306,A155)&lt;&gt;1,"编号重复",IF(COUNTIFS('问题总览'!$A$7:$A$306,B155)&lt;&gt;1,"问题引用无效",IF(OR(L155="已更正",L155="撤销"),"排除汇总",IF(L155&lt;&gt;"有效","待补记录状态",IF(COUNTIFS('方案版本'!$A$7:$A$306,C155,'方案版本'!$B$7:$B$306,B155,'方案版本'!$L$7:$L$306,"已冻结")&lt;&gt;1,"方案引用无效",IF(OR(D155="",NOT(ISNUMBER(E155)),NOT(ISNUMBER(F155)),G155="",K155=""),"待补执行信息",IF(OR(NOT(ISNUMBER(H155)),H155&lt;0,NOT(ISNUMBER(J155)),J155&lt;0),"支出或耗时待补",IF(COUNTIFS('问题总览'!$A$7:$A$306,B155,'问题总览'!$J$7:$J$306,I155)&lt;&gt;1,"币种不匹配",IF(AND(M155&lt;&gt;"",OR(M155=A155,COUNTIFS('执行日志'!$A$7:$A$306,M155,'执行日志'!$B$7:$B$306,B155,'执行日志'!$L$7:$L$306,"已更正")&lt;&gt;1)),"更正引用待核对","有效输入"))))))))))</x:f>
      </x:c>
    </x:row>
    <x:row r="156" ht="25" customHeight="1">
      <x:c r="A156" s="3"/>
      <x:c r="B156" s="3"/>
      <x:c r="C156" s="3"/>
      <x:c r="D156" s="3"/>
      <x:c r="E156" s="25"/>
      <x:c r="F156" s="25"/>
      <x:c r="G156" s="3"/>
      <x:c r="H156" s="22"/>
      <x:c r="I156" s="3"/>
      <x:c r="J156" s="22"/>
      <x:c r="K156" s="3"/>
      <x:c r="L156" s="3"/>
      <x:c r="M156" s="3"/>
      <x:c r="N156" s="3"/>
      <x:c r="O156" s="3"/>
      <x:c r="P156" s="19" t="str">
        <x:f>IF(A156="","",IF(COUNTIFS('执行日志'!$A$7:$A$306,A156)&lt;&gt;1,"编号重复",IF(COUNTIFS('问题总览'!$A$7:$A$306,B156)&lt;&gt;1,"问题引用无效",IF(OR(L156="已更正",L156="撤销"),"排除汇总",IF(L156&lt;&gt;"有效","待补记录状态",IF(COUNTIFS('方案版本'!$A$7:$A$306,C156,'方案版本'!$B$7:$B$306,B156,'方案版本'!$L$7:$L$306,"已冻结")&lt;&gt;1,"方案引用无效",IF(OR(D156="",NOT(ISNUMBER(E156)),NOT(ISNUMBER(F156)),G156="",K156=""),"待补执行信息",IF(OR(NOT(ISNUMBER(H156)),H156&lt;0,NOT(ISNUMBER(J156)),J156&lt;0),"支出或耗时待补",IF(COUNTIFS('问题总览'!$A$7:$A$306,B156,'问题总览'!$J$7:$J$306,I156)&lt;&gt;1,"币种不匹配",IF(AND(M156&lt;&gt;"",OR(M156=A156,COUNTIFS('执行日志'!$A$7:$A$306,M156,'执行日志'!$B$7:$B$306,B156,'执行日志'!$L$7:$L$306,"已更正")&lt;&gt;1)),"更正引用待核对","有效输入"))))))))))</x:f>
      </x:c>
    </x:row>
    <x:row r="157" ht="25" customHeight="1">
      <x:c r="A157" s="3"/>
      <x:c r="B157" s="3"/>
      <x:c r="C157" s="3"/>
      <x:c r="D157" s="3"/>
      <x:c r="E157" s="25"/>
      <x:c r="F157" s="25"/>
      <x:c r="G157" s="3"/>
      <x:c r="H157" s="22"/>
      <x:c r="I157" s="3"/>
      <x:c r="J157" s="22"/>
      <x:c r="K157" s="3"/>
      <x:c r="L157" s="3"/>
      <x:c r="M157" s="3"/>
      <x:c r="N157" s="3"/>
      <x:c r="O157" s="3"/>
      <x:c r="P157" s="19" t="str">
        <x:f>IF(A157="","",IF(COUNTIFS('执行日志'!$A$7:$A$306,A157)&lt;&gt;1,"编号重复",IF(COUNTIFS('问题总览'!$A$7:$A$306,B157)&lt;&gt;1,"问题引用无效",IF(OR(L157="已更正",L157="撤销"),"排除汇总",IF(L157&lt;&gt;"有效","待补记录状态",IF(COUNTIFS('方案版本'!$A$7:$A$306,C157,'方案版本'!$B$7:$B$306,B157,'方案版本'!$L$7:$L$306,"已冻结")&lt;&gt;1,"方案引用无效",IF(OR(D157="",NOT(ISNUMBER(E157)),NOT(ISNUMBER(F157)),G157="",K157=""),"待补执行信息",IF(OR(NOT(ISNUMBER(H157)),H157&lt;0,NOT(ISNUMBER(J157)),J157&lt;0),"支出或耗时待补",IF(COUNTIFS('问题总览'!$A$7:$A$306,B157,'问题总览'!$J$7:$J$306,I157)&lt;&gt;1,"币种不匹配",IF(AND(M157&lt;&gt;"",OR(M157=A157,COUNTIFS('执行日志'!$A$7:$A$306,M157,'执行日志'!$B$7:$B$306,B157,'执行日志'!$L$7:$L$306,"已更正")&lt;&gt;1)),"更正引用待核对","有效输入"))))))))))</x:f>
      </x:c>
    </x:row>
    <x:row r="158" ht="25" customHeight="1">
      <x:c r="A158" s="3"/>
      <x:c r="B158" s="3"/>
      <x:c r="C158" s="3"/>
      <x:c r="D158" s="3"/>
      <x:c r="E158" s="25"/>
      <x:c r="F158" s="25"/>
      <x:c r="G158" s="3"/>
      <x:c r="H158" s="22"/>
      <x:c r="I158" s="3"/>
      <x:c r="J158" s="22"/>
      <x:c r="K158" s="3"/>
      <x:c r="L158" s="3"/>
      <x:c r="M158" s="3"/>
      <x:c r="N158" s="3"/>
      <x:c r="O158" s="3"/>
      <x:c r="P158" s="19" t="str">
        <x:f>IF(A158="","",IF(COUNTIFS('执行日志'!$A$7:$A$306,A158)&lt;&gt;1,"编号重复",IF(COUNTIFS('问题总览'!$A$7:$A$306,B158)&lt;&gt;1,"问题引用无效",IF(OR(L158="已更正",L158="撤销"),"排除汇总",IF(L158&lt;&gt;"有效","待补记录状态",IF(COUNTIFS('方案版本'!$A$7:$A$306,C158,'方案版本'!$B$7:$B$306,B158,'方案版本'!$L$7:$L$306,"已冻结")&lt;&gt;1,"方案引用无效",IF(OR(D158="",NOT(ISNUMBER(E158)),NOT(ISNUMBER(F158)),G158="",K158=""),"待补执行信息",IF(OR(NOT(ISNUMBER(H158)),H158&lt;0,NOT(ISNUMBER(J158)),J158&lt;0),"支出或耗时待补",IF(COUNTIFS('问题总览'!$A$7:$A$306,B158,'问题总览'!$J$7:$J$306,I158)&lt;&gt;1,"币种不匹配",IF(AND(M158&lt;&gt;"",OR(M158=A158,COUNTIFS('执行日志'!$A$7:$A$306,M158,'执行日志'!$B$7:$B$306,B158,'执行日志'!$L$7:$L$306,"已更正")&lt;&gt;1)),"更正引用待核对","有效输入"))))))))))</x:f>
      </x:c>
    </x:row>
    <x:row r="159" ht="25" customHeight="1">
      <x:c r="A159" s="3"/>
      <x:c r="B159" s="3"/>
      <x:c r="C159" s="3"/>
      <x:c r="D159" s="3"/>
      <x:c r="E159" s="25"/>
      <x:c r="F159" s="25"/>
      <x:c r="G159" s="3"/>
      <x:c r="H159" s="22"/>
      <x:c r="I159" s="3"/>
      <x:c r="J159" s="22"/>
      <x:c r="K159" s="3"/>
      <x:c r="L159" s="3"/>
      <x:c r="M159" s="3"/>
      <x:c r="N159" s="3"/>
      <x:c r="O159" s="3"/>
      <x:c r="P159" s="19" t="str">
        <x:f>IF(A159="","",IF(COUNTIFS('执行日志'!$A$7:$A$306,A159)&lt;&gt;1,"编号重复",IF(COUNTIFS('问题总览'!$A$7:$A$306,B159)&lt;&gt;1,"问题引用无效",IF(OR(L159="已更正",L159="撤销"),"排除汇总",IF(L159&lt;&gt;"有效","待补记录状态",IF(COUNTIFS('方案版本'!$A$7:$A$306,C159,'方案版本'!$B$7:$B$306,B159,'方案版本'!$L$7:$L$306,"已冻结")&lt;&gt;1,"方案引用无效",IF(OR(D159="",NOT(ISNUMBER(E159)),NOT(ISNUMBER(F159)),G159="",K159=""),"待补执行信息",IF(OR(NOT(ISNUMBER(H159)),H159&lt;0,NOT(ISNUMBER(J159)),J159&lt;0),"支出或耗时待补",IF(COUNTIFS('问题总览'!$A$7:$A$306,B159,'问题总览'!$J$7:$J$306,I159)&lt;&gt;1,"币种不匹配",IF(AND(M159&lt;&gt;"",OR(M159=A159,COUNTIFS('执行日志'!$A$7:$A$306,M159,'执行日志'!$B$7:$B$306,B159,'执行日志'!$L$7:$L$306,"已更正")&lt;&gt;1)),"更正引用待核对","有效输入"))))))))))</x:f>
      </x:c>
    </x:row>
    <x:row r="160" ht="25" customHeight="1">
      <x:c r="A160" s="3"/>
      <x:c r="B160" s="3"/>
      <x:c r="C160" s="3"/>
      <x:c r="D160" s="3"/>
      <x:c r="E160" s="25"/>
      <x:c r="F160" s="25"/>
      <x:c r="G160" s="3"/>
      <x:c r="H160" s="22"/>
      <x:c r="I160" s="3"/>
      <x:c r="J160" s="22"/>
      <x:c r="K160" s="3"/>
      <x:c r="L160" s="3"/>
      <x:c r="M160" s="3"/>
      <x:c r="N160" s="3"/>
      <x:c r="O160" s="3"/>
      <x:c r="P160" s="19" t="str">
        <x:f>IF(A160="","",IF(COUNTIFS('执行日志'!$A$7:$A$306,A160)&lt;&gt;1,"编号重复",IF(COUNTIFS('问题总览'!$A$7:$A$306,B160)&lt;&gt;1,"问题引用无效",IF(OR(L160="已更正",L160="撤销"),"排除汇总",IF(L160&lt;&gt;"有效","待补记录状态",IF(COUNTIFS('方案版本'!$A$7:$A$306,C160,'方案版本'!$B$7:$B$306,B160,'方案版本'!$L$7:$L$306,"已冻结")&lt;&gt;1,"方案引用无效",IF(OR(D160="",NOT(ISNUMBER(E160)),NOT(ISNUMBER(F160)),G160="",K160=""),"待补执行信息",IF(OR(NOT(ISNUMBER(H160)),H160&lt;0,NOT(ISNUMBER(J160)),J160&lt;0),"支出或耗时待补",IF(COUNTIFS('问题总览'!$A$7:$A$306,B160,'问题总览'!$J$7:$J$306,I160)&lt;&gt;1,"币种不匹配",IF(AND(M160&lt;&gt;"",OR(M160=A160,COUNTIFS('执行日志'!$A$7:$A$306,M160,'执行日志'!$B$7:$B$306,B160,'执行日志'!$L$7:$L$306,"已更正")&lt;&gt;1)),"更正引用待核对","有效输入"))))))))))</x:f>
      </x:c>
    </x:row>
    <x:row r="161" ht="25" customHeight="1">
      <x:c r="A161" s="3"/>
      <x:c r="B161" s="3"/>
      <x:c r="C161" s="3"/>
      <x:c r="D161" s="3"/>
      <x:c r="E161" s="25"/>
      <x:c r="F161" s="25"/>
      <x:c r="G161" s="3"/>
      <x:c r="H161" s="22"/>
      <x:c r="I161" s="3"/>
      <x:c r="J161" s="22"/>
      <x:c r="K161" s="3"/>
      <x:c r="L161" s="3"/>
      <x:c r="M161" s="3"/>
      <x:c r="N161" s="3"/>
      <x:c r="O161" s="3"/>
      <x:c r="P161" s="19" t="str">
        <x:f>IF(A161="","",IF(COUNTIFS('执行日志'!$A$7:$A$306,A161)&lt;&gt;1,"编号重复",IF(COUNTIFS('问题总览'!$A$7:$A$306,B161)&lt;&gt;1,"问题引用无效",IF(OR(L161="已更正",L161="撤销"),"排除汇总",IF(L161&lt;&gt;"有效","待补记录状态",IF(COUNTIFS('方案版本'!$A$7:$A$306,C161,'方案版本'!$B$7:$B$306,B161,'方案版本'!$L$7:$L$306,"已冻结")&lt;&gt;1,"方案引用无效",IF(OR(D161="",NOT(ISNUMBER(E161)),NOT(ISNUMBER(F161)),G161="",K161=""),"待补执行信息",IF(OR(NOT(ISNUMBER(H161)),H161&lt;0,NOT(ISNUMBER(J161)),J161&lt;0),"支出或耗时待补",IF(COUNTIFS('问题总览'!$A$7:$A$306,B161,'问题总览'!$J$7:$J$306,I161)&lt;&gt;1,"币种不匹配",IF(AND(M161&lt;&gt;"",OR(M161=A161,COUNTIFS('执行日志'!$A$7:$A$306,M161,'执行日志'!$B$7:$B$306,B161,'执行日志'!$L$7:$L$306,"已更正")&lt;&gt;1)),"更正引用待核对","有效输入"))))))))))</x:f>
      </x:c>
    </x:row>
    <x:row r="162" ht="25" customHeight="1">
      <x:c r="A162" s="3"/>
      <x:c r="B162" s="3"/>
      <x:c r="C162" s="3"/>
      <x:c r="D162" s="3"/>
      <x:c r="E162" s="25"/>
      <x:c r="F162" s="25"/>
      <x:c r="G162" s="3"/>
      <x:c r="H162" s="22"/>
      <x:c r="I162" s="3"/>
      <x:c r="J162" s="22"/>
      <x:c r="K162" s="3"/>
      <x:c r="L162" s="3"/>
      <x:c r="M162" s="3"/>
      <x:c r="N162" s="3"/>
      <x:c r="O162" s="3"/>
      <x:c r="P162" s="19" t="str">
        <x:f>IF(A162="","",IF(COUNTIFS('执行日志'!$A$7:$A$306,A162)&lt;&gt;1,"编号重复",IF(COUNTIFS('问题总览'!$A$7:$A$306,B162)&lt;&gt;1,"问题引用无效",IF(OR(L162="已更正",L162="撤销"),"排除汇总",IF(L162&lt;&gt;"有效","待补记录状态",IF(COUNTIFS('方案版本'!$A$7:$A$306,C162,'方案版本'!$B$7:$B$306,B162,'方案版本'!$L$7:$L$306,"已冻结")&lt;&gt;1,"方案引用无效",IF(OR(D162="",NOT(ISNUMBER(E162)),NOT(ISNUMBER(F162)),G162="",K162=""),"待补执行信息",IF(OR(NOT(ISNUMBER(H162)),H162&lt;0,NOT(ISNUMBER(J162)),J162&lt;0),"支出或耗时待补",IF(COUNTIFS('问题总览'!$A$7:$A$306,B162,'问题总览'!$J$7:$J$306,I162)&lt;&gt;1,"币种不匹配",IF(AND(M162&lt;&gt;"",OR(M162=A162,COUNTIFS('执行日志'!$A$7:$A$306,M162,'执行日志'!$B$7:$B$306,B162,'执行日志'!$L$7:$L$306,"已更正")&lt;&gt;1)),"更正引用待核对","有效输入"))))))))))</x:f>
      </x:c>
    </x:row>
    <x:row r="163" ht="25" customHeight="1">
      <x:c r="A163" s="3"/>
      <x:c r="B163" s="3"/>
      <x:c r="C163" s="3"/>
      <x:c r="D163" s="3"/>
      <x:c r="E163" s="25"/>
      <x:c r="F163" s="25"/>
      <x:c r="G163" s="3"/>
      <x:c r="H163" s="22"/>
      <x:c r="I163" s="3"/>
      <x:c r="J163" s="22"/>
      <x:c r="K163" s="3"/>
      <x:c r="L163" s="3"/>
      <x:c r="M163" s="3"/>
      <x:c r="N163" s="3"/>
      <x:c r="O163" s="3"/>
      <x:c r="P163" s="19" t="str">
        <x:f>IF(A163="","",IF(COUNTIFS('执行日志'!$A$7:$A$306,A163)&lt;&gt;1,"编号重复",IF(COUNTIFS('问题总览'!$A$7:$A$306,B163)&lt;&gt;1,"问题引用无效",IF(OR(L163="已更正",L163="撤销"),"排除汇总",IF(L163&lt;&gt;"有效","待补记录状态",IF(COUNTIFS('方案版本'!$A$7:$A$306,C163,'方案版本'!$B$7:$B$306,B163,'方案版本'!$L$7:$L$306,"已冻结")&lt;&gt;1,"方案引用无效",IF(OR(D163="",NOT(ISNUMBER(E163)),NOT(ISNUMBER(F163)),G163="",K163=""),"待补执行信息",IF(OR(NOT(ISNUMBER(H163)),H163&lt;0,NOT(ISNUMBER(J163)),J163&lt;0),"支出或耗时待补",IF(COUNTIFS('问题总览'!$A$7:$A$306,B163,'问题总览'!$J$7:$J$306,I163)&lt;&gt;1,"币种不匹配",IF(AND(M163&lt;&gt;"",OR(M163=A163,COUNTIFS('执行日志'!$A$7:$A$306,M163,'执行日志'!$B$7:$B$306,B163,'执行日志'!$L$7:$L$306,"已更正")&lt;&gt;1)),"更正引用待核对","有效输入"))))))))))</x:f>
      </x:c>
    </x:row>
    <x:row r="164" ht="25" customHeight="1">
      <x:c r="A164" s="3"/>
      <x:c r="B164" s="3"/>
      <x:c r="C164" s="3"/>
      <x:c r="D164" s="3"/>
      <x:c r="E164" s="25"/>
      <x:c r="F164" s="25"/>
      <x:c r="G164" s="3"/>
      <x:c r="H164" s="22"/>
      <x:c r="I164" s="3"/>
      <x:c r="J164" s="22"/>
      <x:c r="K164" s="3"/>
      <x:c r="L164" s="3"/>
      <x:c r="M164" s="3"/>
      <x:c r="N164" s="3"/>
      <x:c r="O164" s="3"/>
      <x:c r="P164" s="19" t="str">
        <x:f>IF(A164="","",IF(COUNTIFS('执行日志'!$A$7:$A$306,A164)&lt;&gt;1,"编号重复",IF(COUNTIFS('问题总览'!$A$7:$A$306,B164)&lt;&gt;1,"问题引用无效",IF(OR(L164="已更正",L164="撤销"),"排除汇总",IF(L164&lt;&gt;"有效","待补记录状态",IF(COUNTIFS('方案版本'!$A$7:$A$306,C164,'方案版本'!$B$7:$B$306,B164,'方案版本'!$L$7:$L$306,"已冻结")&lt;&gt;1,"方案引用无效",IF(OR(D164="",NOT(ISNUMBER(E164)),NOT(ISNUMBER(F164)),G164="",K164=""),"待补执行信息",IF(OR(NOT(ISNUMBER(H164)),H164&lt;0,NOT(ISNUMBER(J164)),J164&lt;0),"支出或耗时待补",IF(COUNTIFS('问题总览'!$A$7:$A$306,B164,'问题总览'!$J$7:$J$306,I164)&lt;&gt;1,"币种不匹配",IF(AND(M164&lt;&gt;"",OR(M164=A164,COUNTIFS('执行日志'!$A$7:$A$306,M164,'执行日志'!$B$7:$B$306,B164,'执行日志'!$L$7:$L$306,"已更正")&lt;&gt;1)),"更正引用待核对","有效输入"))))))))))</x:f>
      </x:c>
    </x:row>
    <x:row r="165" ht="25" customHeight="1">
      <x:c r="A165" s="3"/>
      <x:c r="B165" s="3"/>
      <x:c r="C165" s="3"/>
      <x:c r="D165" s="3"/>
      <x:c r="E165" s="25"/>
      <x:c r="F165" s="25"/>
      <x:c r="G165" s="3"/>
      <x:c r="H165" s="22"/>
      <x:c r="I165" s="3"/>
      <x:c r="J165" s="22"/>
      <x:c r="K165" s="3"/>
      <x:c r="L165" s="3"/>
      <x:c r="M165" s="3"/>
      <x:c r="N165" s="3"/>
      <x:c r="O165" s="3"/>
      <x:c r="P165" s="19" t="str">
        <x:f>IF(A165="","",IF(COUNTIFS('执行日志'!$A$7:$A$306,A165)&lt;&gt;1,"编号重复",IF(COUNTIFS('问题总览'!$A$7:$A$306,B165)&lt;&gt;1,"问题引用无效",IF(OR(L165="已更正",L165="撤销"),"排除汇总",IF(L165&lt;&gt;"有效","待补记录状态",IF(COUNTIFS('方案版本'!$A$7:$A$306,C165,'方案版本'!$B$7:$B$306,B165,'方案版本'!$L$7:$L$306,"已冻结")&lt;&gt;1,"方案引用无效",IF(OR(D165="",NOT(ISNUMBER(E165)),NOT(ISNUMBER(F165)),G165="",K165=""),"待补执行信息",IF(OR(NOT(ISNUMBER(H165)),H165&lt;0,NOT(ISNUMBER(J165)),J165&lt;0),"支出或耗时待补",IF(COUNTIFS('问题总览'!$A$7:$A$306,B165,'问题总览'!$J$7:$J$306,I165)&lt;&gt;1,"币种不匹配",IF(AND(M165&lt;&gt;"",OR(M165=A165,COUNTIFS('执行日志'!$A$7:$A$306,M165,'执行日志'!$B$7:$B$306,B165,'执行日志'!$L$7:$L$306,"已更正")&lt;&gt;1)),"更正引用待核对","有效输入"))))))))))</x:f>
      </x:c>
    </x:row>
    <x:row r="166" ht="25" customHeight="1">
      <x:c r="A166" s="3"/>
      <x:c r="B166" s="3"/>
      <x:c r="C166" s="3"/>
      <x:c r="D166" s="3"/>
      <x:c r="E166" s="25"/>
      <x:c r="F166" s="25"/>
      <x:c r="G166" s="3"/>
      <x:c r="H166" s="22"/>
      <x:c r="I166" s="3"/>
      <x:c r="J166" s="22"/>
      <x:c r="K166" s="3"/>
      <x:c r="L166" s="3"/>
      <x:c r="M166" s="3"/>
      <x:c r="N166" s="3"/>
      <x:c r="O166" s="3"/>
      <x:c r="P166" s="19" t="str">
        <x:f>IF(A166="","",IF(COUNTIFS('执行日志'!$A$7:$A$306,A166)&lt;&gt;1,"编号重复",IF(COUNTIFS('问题总览'!$A$7:$A$306,B166)&lt;&gt;1,"问题引用无效",IF(OR(L166="已更正",L166="撤销"),"排除汇总",IF(L166&lt;&gt;"有效","待补记录状态",IF(COUNTIFS('方案版本'!$A$7:$A$306,C166,'方案版本'!$B$7:$B$306,B166,'方案版本'!$L$7:$L$306,"已冻结")&lt;&gt;1,"方案引用无效",IF(OR(D166="",NOT(ISNUMBER(E166)),NOT(ISNUMBER(F166)),G166="",K166=""),"待补执行信息",IF(OR(NOT(ISNUMBER(H166)),H166&lt;0,NOT(ISNUMBER(J166)),J166&lt;0),"支出或耗时待补",IF(COUNTIFS('问题总览'!$A$7:$A$306,B166,'问题总览'!$J$7:$J$306,I166)&lt;&gt;1,"币种不匹配",IF(AND(M166&lt;&gt;"",OR(M166=A166,COUNTIFS('执行日志'!$A$7:$A$306,M166,'执行日志'!$B$7:$B$306,B166,'执行日志'!$L$7:$L$306,"已更正")&lt;&gt;1)),"更正引用待核对","有效输入"))))))))))</x:f>
      </x:c>
    </x:row>
    <x:row r="167" ht="25" customHeight="1">
      <x:c r="A167" s="3"/>
      <x:c r="B167" s="3"/>
      <x:c r="C167" s="3"/>
      <x:c r="D167" s="3"/>
      <x:c r="E167" s="25"/>
      <x:c r="F167" s="25"/>
      <x:c r="G167" s="3"/>
      <x:c r="H167" s="22"/>
      <x:c r="I167" s="3"/>
      <x:c r="J167" s="22"/>
      <x:c r="K167" s="3"/>
      <x:c r="L167" s="3"/>
      <x:c r="M167" s="3"/>
      <x:c r="N167" s="3"/>
      <x:c r="O167" s="3"/>
      <x:c r="P167" s="19" t="str">
        <x:f>IF(A167="","",IF(COUNTIFS('执行日志'!$A$7:$A$306,A167)&lt;&gt;1,"编号重复",IF(COUNTIFS('问题总览'!$A$7:$A$306,B167)&lt;&gt;1,"问题引用无效",IF(OR(L167="已更正",L167="撤销"),"排除汇总",IF(L167&lt;&gt;"有效","待补记录状态",IF(COUNTIFS('方案版本'!$A$7:$A$306,C167,'方案版本'!$B$7:$B$306,B167,'方案版本'!$L$7:$L$306,"已冻结")&lt;&gt;1,"方案引用无效",IF(OR(D167="",NOT(ISNUMBER(E167)),NOT(ISNUMBER(F167)),G167="",K167=""),"待补执行信息",IF(OR(NOT(ISNUMBER(H167)),H167&lt;0,NOT(ISNUMBER(J167)),J167&lt;0),"支出或耗时待补",IF(COUNTIFS('问题总览'!$A$7:$A$306,B167,'问题总览'!$J$7:$J$306,I167)&lt;&gt;1,"币种不匹配",IF(AND(M167&lt;&gt;"",OR(M167=A167,COUNTIFS('执行日志'!$A$7:$A$306,M167,'执行日志'!$B$7:$B$306,B167,'执行日志'!$L$7:$L$306,"已更正")&lt;&gt;1)),"更正引用待核对","有效输入"))))))))))</x:f>
      </x:c>
    </x:row>
    <x:row r="168" ht="25" customHeight="1">
      <x:c r="A168" s="3"/>
      <x:c r="B168" s="3"/>
      <x:c r="C168" s="3"/>
      <x:c r="D168" s="3"/>
      <x:c r="E168" s="25"/>
      <x:c r="F168" s="25"/>
      <x:c r="G168" s="3"/>
      <x:c r="H168" s="22"/>
      <x:c r="I168" s="3"/>
      <x:c r="J168" s="22"/>
      <x:c r="K168" s="3"/>
      <x:c r="L168" s="3"/>
      <x:c r="M168" s="3"/>
      <x:c r="N168" s="3"/>
      <x:c r="O168" s="3"/>
      <x:c r="P168" s="19" t="str">
        <x:f>IF(A168="","",IF(COUNTIFS('执行日志'!$A$7:$A$306,A168)&lt;&gt;1,"编号重复",IF(COUNTIFS('问题总览'!$A$7:$A$306,B168)&lt;&gt;1,"问题引用无效",IF(OR(L168="已更正",L168="撤销"),"排除汇总",IF(L168&lt;&gt;"有效","待补记录状态",IF(COUNTIFS('方案版本'!$A$7:$A$306,C168,'方案版本'!$B$7:$B$306,B168,'方案版本'!$L$7:$L$306,"已冻结")&lt;&gt;1,"方案引用无效",IF(OR(D168="",NOT(ISNUMBER(E168)),NOT(ISNUMBER(F168)),G168="",K168=""),"待补执行信息",IF(OR(NOT(ISNUMBER(H168)),H168&lt;0,NOT(ISNUMBER(J168)),J168&lt;0),"支出或耗时待补",IF(COUNTIFS('问题总览'!$A$7:$A$306,B168,'问题总览'!$J$7:$J$306,I168)&lt;&gt;1,"币种不匹配",IF(AND(M168&lt;&gt;"",OR(M168=A168,COUNTIFS('执行日志'!$A$7:$A$306,M168,'执行日志'!$B$7:$B$306,B168,'执行日志'!$L$7:$L$306,"已更正")&lt;&gt;1)),"更正引用待核对","有效输入"))))))))))</x:f>
      </x:c>
    </x:row>
    <x:row r="169" ht="25" customHeight="1">
      <x:c r="A169" s="3"/>
      <x:c r="B169" s="3"/>
      <x:c r="C169" s="3"/>
      <x:c r="D169" s="3"/>
      <x:c r="E169" s="25"/>
      <x:c r="F169" s="25"/>
      <x:c r="G169" s="3"/>
      <x:c r="H169" s="22"/>
      <x:c r="I169" s="3"/>
      <x:c r="J169" s="22"/>
      <x:c r="K169" s="3"/>
      <x:c r="L169" s="3"/>
      <x:c r="M169" s="3"/>
      <x:c r="N169" s="3"/>
      <x:c r="O169" s="3"/>
      <x:c r="P169" s="19" t="str">
        <x:f>IF(A169="","",IF(COUNTIFS('执行日志'!$A$7:$A$306,A169)&lt;&gt;1,"编号重复",IF(COUNTIFS('问题总览'!$A$7:$A$306,B169)&lt;&gt;1,"问题引用无效",IF(OR(L169="已更正",L169="撤销"),"排除汇总",IF(L169&lt;&gt;"有效","待补记录状态",IF(COUNTIFS('方案版本'!$A$7:$A$306,C169,'方案版本'!$B$7:$B$306,B169,'方案版本'!$L$7:$L$306,"已冻结")&lt;&gt;1,"方案引用无效",IF(OR(D169="",NOT(ISNUMBER(E169)),NOT(ISNUMBER(F169)),G169="",K169=""),"待补执行信息",IF(OR(NOT(ISNUMBER(H169)),H169&lt;0,NOT(ISNUMBER(J169)),J169&lt;0),"支出或耗时待补",IF(COUNTIFS('问题总览'!$A$7:$A$306,B169,'问题总览'!$J$7:$J$306,I169)&lt;&gt;1,"币种不匹配",IF(AND(M169&lt;&gt;"",OR(M169=A169,COUNTIFS('执行日志'!$A$7:$A$306,M169,'执行日志'!$B$7:$B$306,B169,'执行日志'!$L$7:$L$306,"已更正")&lt;&gt;1)),"更正引用待核对","有效输入"))))))))))</x:f>
      </x:c>
    </x:row>
    <x:row r="170" ht="25" customHeight="1">
      <x:c r="A170" s="3"/>
      <x:c r="B170" s="3"/>
      <x:c r="C170" s="3"/>
      <x:c r="D170" s="3"/>
      <x:c r="E170" s="25"/>
      <x:c r="F170" s="25"/>
      <x:c r="G170" s="3"/>
      <x:c r="H170" s="22"/>
      <x:c r="I170" s="3"/>
      <x:c r="J170" s="22"/>
      <x:c r="K170" s="3"/>
      <x:c r="L170" s="3"/>
      <x:c r="M170" s="3"/>
      <x:c r="N170" s="3"/>
      <x:c r="O170" s="3"/>
      <x:c r="P170" s="19" t="str">
        <x:f>IF(A170="","",IF(COUNTIFS('执行日志'!$A$7:$A$306,A170)&lt;&gt;1,"编号重复",IF(COUNTIFS('问题总览'!$A$7:$A$306,B170)&lt;&gt;1,"问题引用无效",IF(OR(L170="已更正",L170="撤销"),"排除汇总",IF(L170&lt;&gt;"有效","待补记录状态",IF(COUNTIFS('方案版本'!$A$7:$A$306,C170,'方案版本'!$B$7:$B$306,B170,'方案版本'!$L$7:$L$306,"已冻结")&lt;&gt;1,"方案引用无效",IF(OR(D170="",NOT(ISNUMBER(E170)),NOT(ISNUMBER(F170)),G170="",K170=""),"待补执行信息",IF(OR(NOT(ISNUMBER(H170)),H170&lt;0,NOT(ISNUMBER(J170)),J170&lt;0),"支出或耗时待补",IF(COUNTIFS('问题总览'!$A$7:$A$306,B170,'问题总览'!$J$7:$J$306,I170)&lt;&gt;1,"币种不匹配",IF(AND(M170&lt;&gt;"",OR(M170=A170,COUNTIFS('执行日志'!$A$7:$A$306,M170,'执行日志'!$B$7:$B$306,B170,'执行日志'!$L$7:$L$306,"已更正")&lt;&gt;1)),"更正引用待核对","有效输入"))))))))))</x:f>
      </x:c>
    </x:row>
    <x:row r="171" ht="25" customHeight="1">
      <x:c r="A171" s="3"/>
      <x:c r="B171" s="3"/>
      <x:c r="C171" s="3"/>
      <x:c r="D171" s="3"/>
      <x:c r="E171" s="25"/>
      <x:c r="F171" s="25"/>
      <x:c r="G171" s="3"/>
      <x:c r="H171" s="22"/>
      <x:c r="I171" s="3"/>
      <x:c r="J171" s="22"/>
      <x:c r="K171" s="3"/>
      <x:c r="L171" s="3"/>
      <x:c r="M171" s="3"/>
      <x:c r="N171" s="3"/>
      <x:c r="O171" s="3"/>
      <x:c r="P171" s="19" t="str">
        <x:f>IF(A171="","",IF(COUNTIFS('执行日志'!$A$7:$A$306,A171)&lt;&gt;1,"编号重复",IF(COUNTIFS('问题总览'!$A$7:$A$306,B171)&lt;&gt;1,"问题引用无效",IF(OR(L171="已更正",L171="撤销"),"排除汇总",IF(L171&lt;&gt;"有效","待补记录状态",IF(COUNTIFS('方案版本'!$A$7:$A$306,C171,'方案版本'!$B$7:$B$306,B171,'方案版本'!$L$7:$L$306,"已冻结")&lt;&gt;1,"方案引用无效",IF(OR(D171="",NOT(ISNUMBER(E171)),NOT(ISNUMBER(F171)),G171="",K171=""),"待补执行信息",IF(OR(NOT(ISNUMBER(H171)),H171&lt;0,NOT(ISNUMBER(J171)),J171&lt;0),"支出或耗时待补",IF(COUNTIFS('问题总览'!$A$7:$A$306,B171,'问题总览'!$J$7:$J$306,I171)&lt;&gt;1,"币种不匹配",IF(AND(M171&lt;&gt;"",OR(M171=A171,COUNTIFS('执行日志'!$A$7:$A$306,M171,'执行日志'!$B$7:$B$306,B171,'执行日志'!$L$7:$L$306,"已更正")&lt;&gt;1)),"更正引用待核对","有效输入"))))))))))</x:f>
      </x:c>
    </x:row>
    <x:row r="172" ht="25" customHeight="1">
      <x:c r="A172" s="3"/>
      <x:c r="B172" s="3"/>
      <x:c r="C172" s="3"/>
      <x:c r="D172" s="3"/>
      <x:c r="E172" s="25"/>
      <x:c r="F172" s="25"/>
      <x:c r="G172" s="3"/>
      <x:c r="H172" s="22"/>
      <x:c r="I172" s="3"/>
      <x:c r="J172" s="22"/>
      <x:c r="K172" s="3"/>
      <x:c r="L172" s="3"/>
      <x:c r="M172" s="3"/>
      <x:c r="N172" s="3"/>
      <x:c r="O172" s="3"/>
      <x:c r="P172" s="19" t="str">
        <x:f>IF(A172="","",IF(COUNTIFS('执行日志'!$A$7:$A$306,A172)&lt;&gt;1,"编号重复",IF(COUNTIFS('问题总览'!$A$7:$A$306,B172)&lt;&gt;1,"问题引用无效",IF(OR(L172="已更正",L172="撤销"),"排除汇总",IF(L172&lt;&gt;"有效","待补记录状态",IF(COUNTIFS('方案版本'!$A$7:$A$306,C172,'方案版本'!$B$7:$B$306,B172,'方案版本'!$L$7:$L$306,"已冻结")&lt;&gt;1,"方案引用无效",IF(OR(D172="",NOT(ISNUMBER(E172)),NOT(ISNUMBER(F172)),G172="",K172=""),"待补执行信息",IF(OR(NOT(ISNUMBER(H172)),H172&lt;0,NOT(ISNUMBER(J172)),J172&lt;0),"支出或耗时待补",IF(COUNTIFS('问题总览'!$A$7:$A$306,B172,'问题总览'!$J$7:$J$306,I172)&lt;&gt;1,"币种不匹配",IF(AND(M172&lt;&gt;"",OR(M172=A172,COUNTIFS('执行日志'!$A$7:$A$306,M172,'执行日志'!$B$7:$B$306,B172,'执行日志'!$L$7:$L$306,"已更正")&lt;&gt;1)),"更正引用待核对","有效输入"))))))))))</x:f>
      </x:c>
    </x:row>
    <x:row r="173" ht="25" customHeight="1">
      <x:c r="A173" s="3"/>
      <x:c r="B173" s="3"/>
      <x:c r="C173" s="3"/>
      <x:c r="D173" s="3"/>
      <x:c r="E173" s="25"/>
      <x:c r="F173" s="25"/>
      <x:c r="G173" s="3"/>
      <x:c r="H173" s="22"/>
      <x:c r="I173" s="3"/>
      <x:c r="J173" s="22"/>
      <x:c r="K173" s="3"/>
      <x:c r="L173" s="3"/>
      <x:c r="M173" s="3"/>
      <x:c r="N173" s="3"/>
      <x:c r="O173" s="3"/>
      <x:c r="P173" s="19" t="str">
        <x:f>IF(A173="","",IF(COUNTIFS('执行日志'!$A$7:$A$306,A173)&lt;&gt;1,"编号重复",IF(COUNTIFS('问题总览'!$A$7:$A$306,B173)&lt;&gt;1,"问题引用无效",IF(OR(L173="已更正",L173="撤销"),"排除汇总",IF(L173&lt;&gt;"有效","待补记录状态",IF(COUNTIFS('方案版本'!$A$7:$A$306,C173,'方案版本'!$B$7:$B$306,B173,'方案版本'!$L$7:$L$306,"已冻结")&lt;&gt;1,"方案引用无效",IF(OR(D173="",NOT(ISNUMBER(E173)),NOT(ISNUMBER(F173)),G173="",K173=""),"待补执行信息",IF(OR(NOT(ISNUMBER(H173)),H173&lt;0,NOT(ISNUMBER(J173)),J173&lt;0),"支出或耗时待补",IF(COUNTIFS('问题总览'!$A$7:$A$306,B173,'问题总览'!$J$7:$J$306,I173)&lt;&gt;1,"币种不匹配",IF(AND(M173&lt;&gt;"",OR(M173=A173,COUNTIFS('执行日志'!$A$7:$A$306,M173,'执行日志'!$B$7:$B$306,B173,'执行日志'!$L$7:$L$306,"已更正")&lt;&gt;1)),"更正引用待核对","有效输入"))))))))))</x:f>
      </x:c>
    </x:row>
    <x:row r="174" ht="25" customHeight="1">
      <x:c r="A174" s="3"/>
      <x:c r="B174" s="3"/>
      <x:c r="C174" s="3"/>
      <x:c r="D174" s="3"/>
      <x:c r="E174" s="25"/>
      <x:c r="F174" s="25"/>
      <x:c r="G174" s="3"/>
      <x:c r="H174" s="22"/>
      <x:c r="I174" s="3"/>
      <x:c r="J174" s="22"/>
      <x:c r="K174" s="3"/>
      <x:c r="L174" s="3"/>
      <x:c r="M174" s="3"/>
      <x:c r="N174" s="3"/>
      <x:c r="O174" s="3"/>
      <x:c r="P174" s="19" t="str">
        <x:f>IF(A174="","",IF(COUNTIFS('执行日志'!$A$7:$A$306,A174)&lt;&gt;1,"编号重复",IF(COUNTIFS('问题总览'!$A$7:$A$306,B174)&lt;&gt;1,"问题引用无效",IF(OR(L174="已更正",L174="撤销"),"排除汇总",IF(L174&lt;&gt;"有效","待补记录状态",IF(COUNTIFS('方案版本'!$A$7:$A$306,C174,'方案版本'!$B$7:$B$306,B174,'方案版本'!$L$7:$L$306,"已冻结")&lt;&gt;1,"方案引用无效",IF(OR(D174="",NOT(ISNUMBER(E174)),NOT(ISNUMBER(F174)),G174="",K174=""),"待补执行信息",IF(OR(NOT(ISNUMBER(H174)),H174&lt;0,NOT(ISNUMBER(J174)),J174&lt;0),"支出或耗时待补",IF(COUNTIFS('问题总览'!$A$7:$A$306,B174,'问题总览'!$J$7:$J$306,I174)&lt;&gt;1,"币种不匹配",IF(AND(M174&lt;&gt;"",OR(M174=A174,COUNTIFS('执行日志'!$A$7:$A$306,M174,'执行日志'!$B$7:$B$306,B174,'执行日志'!$L$7:$L$306,"已更正")&lt;&gt;1)),"更正引用待核对","有效输入"))))))))))</x:f>
      </x:c>
    </x:row>
    <x:row r="175" ht="25" customHeight="1">
      <x:c r="A175" s="3"/>
      <x:c r="B175" s="3"/>
      <x:c r="C175" s="3"/>
      <x:c r="D175" s="3"/>
      <x:c r="E175" s="25"/>
      <x:c r="F175" s="25"/>
      <x:c r="G175" s="3"/>
      <x:c r="H175" s="22"/>
      <x:c r="I175" s="3"/>
      <x:c r="J175" s="22"/>
      <x:c r="K175" s="3"/>
      <x:c r="L175" s="3"/>
      <x:c r="M175" s="3"/>
      <x:c r="N175" s="3"/>
      <x:c r="O175" s="3"/>
      <x:c r="P175" s="19" t="str">
        <x:f>IF(A175="","",IF(COUNTIFS('执行日志'!$A$7:$A$306,A175)&lt;&gt;1,"编号重复",IF(COUNTIFS('问题总览'!$A$7:$A$306,B175)&lt;&gt;1,"问题引用无效",IF(OR(L175="已更正",L175="撤销"),"排除汇总",IF(L175&lt;&gt;"有效","待补记录状态",IF(COUNTIFS('方案版本'!$A$7:$A$306,C175,'方案版本'!$B$7:$B$306,B175,'方案版本'!$L$7:$L$306,"已冻结")&lt;&gt;1,"方案引用无效",IF(OR(D175="",NOT(ISNUMBER(E175)),NOT(ISNUMBER(F175)),G175="",K175=""),"待补执行信息",IF(OR(NOT(ISNUMBER(H175)),H175&lt;0,NOT(ISNUMBER(J175)),J175&lt;0),"支出或耗时待补",IF(COUNTIFS('问题总览'!$A$7:$A$306,B175,'问题总览'!$J$7:$J$306,I175)&lt;&gt;1,"币种不匹配",IF(AND(M175&lt;&gt;"",OR(M175=A175,COUNTIFS('执行日志'!$A$7:$A$306,M175,'执行日志'!$B$7:$B$306,B175,'执行日志'!$L$7:$L$306,"已更正")&lt;&gt;1)),"更正引用待核对","有效输入"))))))))))</x:f>
      </x:c>
    </x:row>
    <x:row r="176" ht="25" customHeight="1">
      <x:c r="A176" s="3"/>
      <x:c r="B176" s="3"/>
      <x:c r="C176" s="3"/>
      <x:c r="D176" s="3"/>
      <x:c r="E176" s="25"/>
      <x:c r="F176" s="25"/>
      <x:c r="G176" s="3"/>
      <x:c r="H176" s="22"/>
      <x:c r="I176" s="3"/>
      <x:c r="J176" s="22"/>
      <x:c r="K176" s="3"/>
      <x:c r="L176" s="3"/>
      <x:c r="M176" s="3"/>
      <x:c r="N176" s="3"/>
      <x:c r="O176" s="3"/>
      <x:c r="P176" s="19" t="str">
        <x:f>IF(A176="","",IF(COUNTIFS('执行日志'!$A$7:$A$306,A176)&lt;&gt;1,"编号重复",IF(COUNTIFS('问题总览'!$A$7:$A$306,B176)&lt;&gt;1,"问题引用无效",IF(OR(L176="已更正",L176="撤销"),"排除汇总",IF(L176&lt;&gt;"有效","待补记录状态",IF(COUNTIFS('方案版本'!$A$7:$A$306,C176,'方案版本'!$B$7:$B$306,B176,'方案版本'!$L$7:$L$306,"已冻结")&lt;&gt;1,"方案引用无效",IF(OR(D176="",NOT(ISNUMBER(E176)),NOT(ISNUMBER(F176)),G176="",K176=""),"待补执行信息",IF(OR(NOT(ISNUMBER(H176)),H176&lt;0,NOT(ISNUMBER(J176)),J176&lt;0),"支出或耗时待补",IF(COUNTIFS('问题总览'!$A$7:$A$306,B176,'问题总览'!$J$7:$J$306,I176)&lt;&gt;1,"币种不匹配",IF(AND(M176&lt;&gt;"",OR(M176=A176,COUNTIFS('执行日志'!$A$7:$A$306,M176,'执行日志'!$B$7:$B$306,B176,'执行日志'!$L$7:$L$306,"已更正")&lt;&gt;1)),"更正引用待核对","有效输入"))))))))))</x:f>
      </x:c>
    </x:row>
    <x:row r="177" ht="25" customHeight="1">
      <x:c r="A177" s="3"/>
      <x:c r="B177" s="3"/>
      <x:c r="C177" s="3"/>
      <x:c r="D177" s="3"/>
      <x:c r="E177" s="25"/>
      <x:c r="F177" s="25"/>
      <x:c r="G177" s="3"/>
      <x:c r="H177" s="22"/>
      <x:c r="I177" s="3"/>
      <x:c r="J177" s="22"/>
      <x:c r="K177" s="3"/>
      <x:c r="L177" s="3"/>
      <x:c r="M177" s="3"/>
      <x:c r="N177" s="3"/>
      <x:c r="O177" s="3"/>
      <x:c r="P177" s="19" t="str">
        <x:f>IF(A177="","",IF(COUNTIFS('执行日志'!$A$7:$A$306,A177)&lt;&gt;1,"编号重复",IF(COUNTIFS('问题总览'!$A$7:$A$306,B177)&lt;&gt;1,"问题引用无效",IF(OR(L177="已更正",L177="撤销"),"排除汇总",IF(L177&lt;&gt;"有效","待补记录状态",IF(COUNTIFS('方案版本'!$A$7:$A$306,C177,'方案版本'!$B$7:$B$306,B177,'方案版本'!$L$7:$L$306,"已冻结")&lt;&gt;1,"方案引用无效",IF(OR(D177="",NOT(ISNUMBER(E177)),NOT(ISNUMBER(F177)),G177="",K177=""),"待补执行信息",IF(OR(NOT(ISNUMBER(H177)),H177&lt;0,NOT(ISNUMBER(J177)),J177&lt;0),"支出或耗时待补",IF(COUNTIFS('问题总览'!$A$7:$A$306,B177,'问题总览'!$J$7:$J$306,I177)&lt;&gt;1,"币种不匹配",IF(AND(M177&lt;&gt;"",OR(M177=A177,COUNTIFS('执行日志'!$A$7:$A$306,M177,'执行日志'!$B$7:$B$306,B177,'执行日志'!$L$7:$L$306,"已更正")&lt;&gt;1)),"更正引用待核对","有效输入"))))))))))</x:f>
      </x:c>
    </x:row>
    <x:row r="178" ht="25" customHeight="1">
      <x:c r="A178" s="3"/>
      <x:c r="B178" s="3"/>
      <x:c r="C178" s="3"/>
      <x:c r="D178" s="3"/>
      <x:c r="E178" s="25"/>
      <x:c r="F178" s="25"/>
      <x:c r="G178" s="3"/>
      <x:c r="H178" s="22"/>
      <x:c r="I178" s="3"/>
      <x:c r="J178" s="22"/>
      <x:c r="K178" s="3"/>
      <x:c r="L178" s="3"/>
      <x:c r="M178" s="3"/>
      <x:c r="N178" s="3"/>
      <x:c r="O178" s="3"/>
      <x:c r="P178" s="19" t="str">
        <x:f>IF(A178="","",IF(COUNTIFS('执行日志'!$A$7:$A$306,A178)&lt;&gt;1,"编号重复",IF(COUNTIFS('问题总览'!$A$7:$A$306,B178)&lt;&gt;1,"问题引用无效",IF(OR(L178="已更正",L178="撤销"),"排除汇总",IF(L178&lt;&gt;"有效","待补记录状态",IF(COUNTIFS('方案版本'!$A$7:$A$306,C178,'方案版本'!$B$7:$B$306,B178,'方案版本'!$L$7:$L$306,"已冻结")&lt;&gt;1,"方案引用无效",IF(OR(D178="",NOT(ISNUMBER(E178)),NOT(ISNUMBER(F178)),G178="",K178=""),"待补执行信息",IF(OR(NOT(ISNUMBER(H178)),H178&lt;0,NOT(ISNUMBER(J178)),J178&lt;0),"支出或耗时待补",IF(COUNTIFS('问题总览'!$A$7:$A$306,B178,'问题总览'!$J$7:$J$306,I178)&lt;&gt;1,"币种不匹配",IF(AND(M178&lt;&gt;"",OR(M178=A178,COUNTIFS('执行日志'!$A$7:$A$306,M178,'执行日志'!$B$7:$B$306,B178,'执行日志'!$L$7:$L$306,"已更正")&lt;&gt;1)),"更正引用待核对","有效输入"))))))))))</x:f>
      </x:c>
    </x:row>
    <x:row r="179" ht="25" customHeight="1">
      <x:c r="A179" s="3"/>
      <x:c r="B179" s="3"/>
      <x:c r="C179" s="3"/>
      <x:c r="D179" s="3"/>
      <x:c r="E179" s="25"/>
      <x:c r="F179" s="25"/>
      <x:c r="G179" s="3"/>
      <x:c r="H179" s="22"/>
      <x:c r="I179" s="3"/>
      <x:c r="J179" s="22"/>
      <x:c r="K179" s="3"/>
      <x:c r="L179" s="3"/>
      <x:c r="M179" s="3"/>
      <x:c r="N179" s="3"/>
      <x:c r="O179" s="3"/>
      <x:c r="P179" s="19" t="str">
        <x:f>IF(A179="","",IF(COUNTIFS('执行日志'!$A$7:$A$306,A179)&lt;&gt;1,"编号重复",IF(COUNTIFS('问题总览'!$A$7:$A$306,B179)&lt;&gt;1,"问题引用无效",IF(OR(L179="已更正",L179="撤销"),"排除汇总",IF(L179&lt;&gt;"有效","待补记录状态",IF(COUNTIFS('方案版本'!$A$7:$A$306,C179,'方案版本'!$B$7:$B$306,B179,'方案版本'!$L$7:$L$306,"已冻结")&lt;&gt;1,"方案引用无效",IF(OR(D179="",NOT(ISNUMBER(E179)),NOT(ISNUMBER(F179)),G179="",K179=""),"待补执行信息",IF(OR(NOT(ISNUMBER(H179)),H179&lt;0,NOT(ISNUMBER(J179)),J179&lt;0),"支出或耗时待补",IF(COUNTIFS('问题总览'!$A$7:$A$306,B179,'问题总览'!$J$7:$J$306,I179)&lt;&gt;1,"币种不匹配",IF(AND(M179&lt;&gt;"",OR(M179=A179,COUNTIFS('执行日志'!$A$7:$A$306,M179,'执行日志'!$B$7:$B$306,B179,'执行日志'!$L$7:$L$306,"已更正")&lt;&gt;1)),"更正引用待核对","有效输入"))))))))))</x:f>
      </x:c>
    </x:row>
    <x:row r="180" ht="25" customHeight="1">
      <x:c r="A180" s="3"/>
      <x:c r="B180" s="3"/>
      <x:c r="C180" s="3"/>
      <x:c r="D180" s="3"/>
      <x:c r="E180" s="25"/>
      <x:c r="F180" s="25"/>
      <x:c r="G180" s="3"/>
      <x:c r="H180" s="22"/>
      <x:c r="I180" s="3"/>
      <x:c r="J180" s="22"/>
      <x:c r="K180" s="3"/>
      <x:c r="L180" s="3"/>
      <x:c r="M180" s="3"/>
      <x:c r="N180" s="3"/>
      <x:c r="O180" s="3"/>
      <x:c r="P180" s="19" t="str">
        <x:f>IF(A180="","",IF(COUNTIFS('执行日志'!$A$7:$A$306,A180)&lt;&gt;1,"编号重复",IF(COUNTIFS('问题总览'!$A$7:$A$306,B180)&lt;&gt;1,"问题引用无效",IF(OR(L180="已更正",L180="撤销"),"排除汇总",IF(L180&lt;&gt;"有效","待补记录状态",IF(COUNTIFS('方案版本'!$A$7:$A$306,C180,'方案版本'!$B$7:$B$306,B180,'方案版本'!$L$7:$L$306,"已冻结")&lt;&gt;1,"方案引用无效",IF(OR(D180="",NOT(ISNUMBER(E180)),NOT(ISNUMBER(F180)),G180="",K180=""),"待补执行信息",IF(OR(NOT(ISNUMBER(H180)),H180&lt;0,NOT(ISNUMBER(J180)),J180&lt;0),"支出或耗时待补",IF(COUNTIFS('问题总览'!$A$7:$A$306,B180,'问题总览'!$J$7:$J$306,I180)&lt;&gt;1,"币种不匹配",IF(AND(M180&lt;&gt;"",OR(M180=A180,COUNTIFS('执行日志'!$A$7:$A$306,M180,'执行日志'!$B$7:$B$306,B180,'执行日志'!$L$7:$L$306,"已更正")&lt;&gt;1)),"更正引用待核对","有效输入"))))))))))</x:f>
      </x:c>
    </x:row>
    <x:row r="181" ht="25" customHeight="1">
      <x:c r="A181" s="3"/>
      <x:c r="B181" s="3"/>
      <x:c r="C181" s="3"/>
      <x:c r="D181" s="3"/>
      <x:c r="E181" s="25"/>
      <x:c r="F181" s="25"/>
      <x:c r="G181" s="3"/>
      <x:c r="H181" s="22"/>
      <x:c r="I181" s="3"/>
      <x:c r="J181" s="22"/>
      <x:c r="K181" s="3"/>
      <x:c r="L181" s="3"/>
      <x:c r="M181" s="3"/>
      <x:c r="N181" s="3"/>
      <x:c r="O181" s="3"/>
      <x:c r="P181" s="19" t="str">
        <x:f>IF(A181="","",IF(COUNTIFS('执行日志'!$A$7:$A$306,A181)&lt;&gt;1,"编号重复",IF(COUNTIFS('问题总览'!$A$7:$A$306,B181)&lt;&gt;1,"问题引用无效",IF(OR(L181="已更正",L181="撤销"),"排除汇总",IF(L181&lt;&gt;"有效","待补记录状态",IF(COUNTIFS('方案版本'!$A$7:$A$306,C181,'方案版本'!$B$7:$B$306,B181,'方案版本'!$L$7:$L$306,"已冻结")&lt;&gt;1,"方案引用无效",IF(OR(D181="",NOT(ISNUMBER(E181)),NOT(ISNUMBER(F181)),G181="",K181=""),"待补执行信息",IF(OR(NOT(ISNUMBER(H181)),H181&lt;0,NOT(ISNUMBER(J181)),J181&lt;0),"支出或耗时待补",IF(COUNTIFS('问题总览'!$A$7:$A$306,B181,'问题总览'!$J$7:$J$306,I181)&lt;&gt;1,"币种不匹配",IF(AND(M181&lt;&gt;"",OR(M181=A181,COUNTIFS('执行日志'!$A$7:$A$306,M181,'执行日志'!$B$7:$B$306,B181,'执行日志'!$L$7:$L$306,"已更正")&lt;&gt;1)),"更正引用待核对","有效输入"))))))))))</x:f>
      </x:c>
    </x:row>
    <x:row r="182" ht="25" customHeight="1">
      <x:c r="A182" s="3"/>
      <x:c r="B182" s="3"/>
      <x:c r="C182" s="3"/>
      <x:c r="D182" s="3"/>
      <x:c r="E182" s="25"/>
      <x:c r="F182" s="25"/>
      <x:c r="G182" s="3"/>
      <x:c r="H182" s="22"/>
      <x:c r="I182" s="3"/>
      <x:c r="J182" s="22"/>
      <x:c r="K182" s="3"/>
      <x:c r="L182" s="3"/>
      <x:c r="M182" s="3"/>
      <x:c r="N182" s="3"/>
      <x:c r="O182" s="3"/>
      <x:c r="P182" s="19" t="str">
        <x:f>IF(A182="","",IF(COUNTIFS('执行日志'!$A$7:$A$306,A182)&lt;&gt;1,"编号重复",IF(COUNTIFS('问题总览'!$A$7:$A$306,B182)&lt;&gt;1,"问题引用无效",IF(OR(L182="已更正",L182="撤销"),"排除汇总",IF(L182&lt;&gt;"有效","待补记录状态",IF(COUNTIFS('方案版本'!$A$7:$A$306,C182,'方案版本'!$B$7:$B$306,B182,'方案版本'!$L$7:$L$306,"已冻结")&lt;&gt;1,"方案引用无效",IF(OR(D182="",NOT(ISNUMBER(E182)),NOT(ISNUMBER(F182)),G182="",K182=""),"待补执行信息",IF(OR(NOT(ISNUMBER(H182)),H182&lt;0,NOT(ISNUMBER(J182)),J182&lt;0),"支出或耗时待补",IF(COUNTIFS('问题总览'!$A$7:$A$306,B182,'问题总览'!$J$7:$J$306,I182)&lt;&gt;1,"币种不匹配",IF(AND(M182&lt;&gt;"",OR(M182=A182,COUNTIFS('执行日志'!$A$7:$A$306,M182,'执行日志'!$B$7:$B$306,B182,'执行日志'!$L$7:$L$306,"已更正")&lt;&gt;1)),"更正引用待核对","有效输入"))))))))))</x:f>
      </x:c>
    </x:row>
    <x:row r="183" ht="25" customHeight="1">
      <x:c r="A183" s="3"/>
      <x:c r="B183" s="3"/>
      <x:c r="C183" s="3"/>
      <x:c r="D183" s="3"/>
      <x:c r="E183" s="25"/>
      <x:c r="F183" s="25"/>
      <x:c r="G183" s="3"/>
      <x:c r="H183" s="22"/>
      <x:c r="I183" s="3"/>
      <x:c r="J183" s="22"/>
      <x:c r="K183" s="3"/>
      <x:c r="L183" s="3"/>
      <x:c r="M183" s="3"/>
      <x:c r="N183" s="3"/>
      <x:c r="O183" s="3"/>
      <x:c r="P183" s="19" t="str">
        <x:f>IF(A183="","",IF(COUNTIFS('执行日志'!$A$7:$A$306,A183)&lt;&gt;1,"编号重复",IF(COUNTIFS('问题总览'!$A$7:$A$306,B183)&lt;&gt;1,"问题引用无效",IF(OR(L183="已更正",L183="撤销"),"排除汇总",IF(L183&lt;&gt;"有效","待补记录状态",IF(COUNTIFS('方案版本'!$A$7:$A$306,C183,'方案版本'!$B$7:$B$306,B183,'方案版本'!$L$7:$L$306,"已冻结")&lt;&gt;1,"方案引用无效",IF(OR(D183="",NOT(ISNUMBER(E183)),NOT(ISNUMBER(F183)),G183="",K183=""),"待补执行信息",IF(OR(NOT(ISNUMBER(H183)),H183&lt;0,NOT(ISNUMBER(J183)),J183&lt;0),"支出或耗时待补",IF(COUNTIFS('问题总览'!$A$7:$A$306,B183,'问题总览'!$J$7:$J$306,I183)&lt;&gt;1,"币种不匹配",IF(AND(M183&lt;&gt;"",OR(M183=A183,COUNTIFS('执行日志'!$A$7:$A$306,M183,'执行日志'!$B$7:$B$306,B183,'执行日志'!$L$7:$L$306,"已更正")&lt;&gt;1)),"更正引用待核对","有效输入"))))))))))</x:f>
      </x:c>
    </x:row>
    <x:row r="184" ht="25" customHeight="1">
      <x:c r="A184" s="3"/>
      <x:c r="B184" s="3"/>
      <x:c r="C184" s="3"/>
      <x:c r="D184" s="3"/>
      <x:c r="E184" s="25"/>
      <x:c r="F184" s="25"/>
      <x:c r="G184" s="3"/>
      <x:c r="H184" s="22"/>
      <x:c r="I184" s="3"/>
      <x:c r="J184" s="22"/>
      <x:c r="K184" s="3"/>
      <x:c r="L184" s="3"/>
      <x:c r="M184" s="3"/>
      <x:c r="N184" s="3"/>
      <x:c r="O184" s="3"/>
      <x:c r="P184" s="19" t="str">
        <x:f>IF(A184="","",IF(COUNTIFS('执行日志'!$A$7:$A$306,A184)&lt;&gt;1,"编号重复",IF(COUNTIFS('问题总览'!$A$7:$A$306,B184)&lt;&gt;1,"问题引用无效",IF(OR(L184="已更正",L184="撤销"),"排除汇总",IF(L184&lt;&gt;"有效","待补记录状态",IF(COUNTIFS('方案版本'!$A$7:$A$306,C184,'方案版本'!$B$7:$B$306,B184,'方案版本'!$L$7:$L$306,"已冻结")&lt;&gt;1,"方案引用无效",IF(OR(D184="",NOT(ISNUMBER(E184)),NOT(ISNUMBER(F184)),G184="",K184=""),"待补执行信息",IF(OR(NOT(ISNUMBER(H184)),H184&lt;0,NOT(ISNUMBER(J184)),J184&lt;0),"支出或耗时待补",IF(COUNTIFS('问题总览'!$A$7:$A$306,B184,'问题总览'!$J$7:$J$306,I184)&lt;&gt;1,"币种不匹配",IF(AND(M184&lt;&gt;"",OR(M184=A184,COUNTIFS('执行日志'!$A$7:$A$306,M184,'执行日志'!$B$7:$B$306,B184,'执行日志'!$L$7:$L$306,"已更正")&lt;&gt;1)),"更正引用待核对","有效输入"))))))))))</x:f>
      </x:c>
    </x:row>
    <x:row r="185" ht="25" customHeight="1">
      <x:c r="A185" s="3"/>
      <x:c r="B185" s="3"/>
      <x:c r="C185" s="3"/>
      <x:c r="D185" s="3"/>
      <x:c r="E185" s="25"/>
      <x:c r="F185" s="25"/>
      <x:c r="G185" s="3"/>
      <x:c r="H185" s="22"/>
      <x:c r="I185" s="3"/>
      <x:c r="J185" s="22"/>
      <x:c r="K185" s="3"/>
      <x:c r="L185" s="3"/>
      <x:c r="M185" s="3"/>
      <x:c r="N185" s="3"/>
      <x:c r="O185" s="3"/>
      <x:c r="P185" s="19" t="str">
        <x:f>IF(A185="","",IF(COUNTIFS('执行日志'!$A$7:$A$306,A185)&lt;&gt;1,"编号重复",IF(COUNTIFS('问题总览'!$A$7:$A$306,B185)&lt;&gt;1,"问题引用无效",IF(OR(L185="已更正",L185="撤销"),"排除汇总",IF(L185&lt;&gt;"有效","待补记录状态",IF(COUNTIFS('方案版本'!$A$7:$A$306,C185,'方案版本'!$B$7:$B$306,B185,'方案版本'!$L$7:$L$306,"已冻结")&lt;&gt;1,"方案引用无效",IF(OR(D185="",NOT(ISNUMBER(E185)),NOT(ISNUMBER(F185)),G185="",K185=""),"待补执行信息",IF(OR(NOT(ISNUMBER(H185)),H185&lt;0,NOT(ISNUMBER(J185)),J185&lt;0),"支出或耗时待补",IF(COUNTIFS('问题总览'!$A$7:$A$306,B185,'问题总览'!$J$7:$J$306,I185)&lt;&gt;1,"币种不匹配",IF(AND(M185&lt;&gt;"",OR(M185=A185,COUNTIFS('执行日志'!$A$7:$A$306,M185,'执行日志'!$B$7:$B$306,B185,'执行日志'!$L$7:$L$306,"已更正")&lt;&gt;1)),"更正引用待核对","有效输入"))))))))))</x:f>
      </x:c>
    </x:row>
    <x:row r="186" ht="25" customHeight="1">
      <x:c r="A186" s="3"/>
      <x:c r="B186" s="3"/>
      <x:c r="C186" s="3"/>
      <x:c r="D186" s="3"/>
      <x:c r="E186" s="25"/>
      <x:c r="F186" s="25"/>
      <x:c r="G186" s="3"/>
      <x:c r="H186" s="22"/>
      <x:c r="I186" s="3"/>
      <x:c r="J186" s="22"/>
      <x:c r="K186" s="3"/>
      <x:c r="L186" s="3"/>
      <x:c r="M186" s="3"/>
      <x:c r="N186" s="3"/>
      <x:c r="O186" s="3"/>
      <x:c r="P186" s="19" t="str">
        <x:f>IF(A186="","",IF(COUNTIFS('执行日志'!$A$7:$A$306,A186)&lt;&gt;1,"编号重复",IF(COUNTIFS('问题总览'!$A$7:$A$306,B186)&lt;&gt;1,"问题引用无效",IF(OR(L186="已更正",L186="撤销"),"排除汇总",IF(L186&lt;&gt;"有效","待补记录状态",IF(COUNTIFS('方案版本'!$A$7:$A$306,C186,'方案版本'!$B$7:$B$306,B186,'方案版本'!$L$7:$L$306,"已冻结")&lt;&gt;1,"方案引用无效",IF(OR(D186="",NOT(ISNUMBER(E186)),NOT(ISNUMBER(F186)),G186="",K186=""),"待补执行信息",IF(OR(NOT(ISNUMBER(H186)),H186&lt;0,NOT(ISNUMBER(J186)),J186&lt;0),"支出或耗时待补",IF(COUNTIFS('问题总览'!$A$7:$A$306,B186,'问题总览'!$J$7:$J$306,I186)&lt;&gt;1,"币种不匹配",IF(AND(M186&lt;&gt;"",OR(M186=A186,COUNTIFS('执行日志'!$A$7:$A$306,M186,'执行日志'!$B$7:$B$306,B186,'执行日志'!$L$7:$L$306,"已更正")&lt;&gt;1)),"更正引用待核对","有效输入"))))))))))</x:f>
      </x:c>
    </x:row>
    <x:row r="187" ht="25" customHeight="1">
      <x:c r="A187" s="3"/>
      <x:c r="B187" s="3"/>
      <x:c r="C187" s="3"/>
      <x:c r="D187" s="3"/>
      <x:c r="E187" s="25"/>
      <x:c r="F187" s="25"/>
      <x:c r="G187" s="3"/>
      <x:c r="H187" s="22"/>
      <x:c r="I187" s="3"/>
      <x:c r="J187" s="22"/>
      <x:c r="K187" s="3"/>
      <x:c r="L187" s="3"/>
      <x:c r="M187" s="3"/>
      <x:c r="N187" s="3"/>
      <x:c r="O187" s="3"/>
      <x:c r="P187" s="19" t="str">
        <x:f>IF(A187="","",IF(COUNTIFS('执行日志'!$A$7:$A$306,A187)&lt;&gt;1,"编号重复",IF(COUNTIFS('问题总览'!$A$7:$A$306,B187)&lt;&gt;1,"问题引用无效",IF(OR(L187="已更正",L187="撤销"),"排除汇总",IF(L187&lt;&gt;"有效","待补记录状态",IF(COUNTIFS('方案版本'!$A$7:$A$306,C187,'方案版本'!$B$7:$B$306,B187,'方案版本'!$L$7:$L$306,"已冻结")&lt;&gt;1,"方案引用无效",IF(OR(D187="",NOT(ISNUMBER(E187)),NOT(ISNUMBER(F187)),G187="",K187=""),"待补执行信息",IF(OR(NOT(ISNUMBER(H187)),H187&lt;0,NOT(ISNUMBER(J187)),J187&lt;0),"支出或耗时待补",IF(COUNTIFS('问题总览'!$A$7:$A$306,B187,'问题总览'!$J$7:$J$306,I187)&lt;&gt;1,"币种不匹配",IF(AND(M187&lt;&gt;"",OR(M187=A187,COUNTIFS('执行日志'!$A$7:$A$306,M187,'执行日志'!$B$7:$B$306,B187,'执行日志'!$L$7:$L$306,"已更正")&lt;&gt;1)),"更正引用待核对","有效输入"))))))))))</x:f>
      </x:c>
    </x:row>
    <x:row r="188" ht="25" customHeight="1">
      <x:c r="A188" s="3"/>
      <x:c r="B188" s="3"/>
      <x:c r="C188" s="3"/>
      <x:c r="D188" s="3"/>
      <x:c r="E188" s="25"/>
      <x:c r="F188" s="25"/>
      <x:c r="G188" s="3"/>
      <x:c r="H188" s="22"/>
      <x:c r="I188" s="3"/>
      <x:c r="J188" s="22"/>
      <x:c r="K188" s="3"/>
      <x:c r="L188" s="3"/>
      <x:c r="M188" s="3"/>
      <x:c r="N188" s="3"/>
      <x:c r="O188" s="3"/>
      <x:c r="P188" s="19" t="str">
        <x:f>IF(A188="","",IF(COUNTIFS('执行日志'!$A$7:$A$306,A188)&lt;&gt;1,"编号重复",IF(COUNTIFS('问题总览'!$A$7:$A$306,B188)&lt;&gt;1,"问题引用无效",IF(OR(L188="已更正",L188="撤销"),"排除汇总",IF(L188&lt;&gt;"有效","待补记录状态",IF(COUNTIFS('方案版本'!$A$7:$A$306,C188,'方案版本'!$B$7:$B$306,B188,'方案版本'!$L$7:$L$306,"已冻结")&lt;&gt;1,"方案引用无效",IF(OR(D188="",NOT(ISNUMBER(E188)),NOT(ISNUMBER(F188)),G188="",K188=""),"待补执行信息",IF(OR(NOT(ISNUMBER(H188)),H188&lt;0,NOT(ISNUMBER(J188)),J188&lt;0),"支出或耗时待补",IF(COUNTIFS('问题总览'!$A$7:$A$306,B188,'问题总览'!$J$7:$J$306,I188)&lt;&gt;1,"币种不匹配",IF(AND(M188&lt;&gt;"",OR(M188=A188,COUNTIFS('执行日志'!$A$7:$A$306,M188,'执行日志'!$B$7:$B$306,B188,'执行日志'!$L$7:$L$306,"已更正")&lt;&gt;1)),"更正引用待核对","有效输入"))))))))))</x:f>
      </x:c>
    </x:row>
    <x:row r="189" ht="25" customHeight="1">
      <x:c r="A189" s="3"/>
      <x:c r="B189" s="3"/>
      <x:c r="C189" s="3"/>
      <x:c r="D189" s="3"/>
      <x:c r="E189" s="25"/>
      <x:c r="F189" s="25"/>
      <x:c r="G189" s="3"/>
      <x:c r="H189" s="22"/>
      <x:c r="I189" s="3"/>
      <x:c r="J189" s="22"/>
      <x:c r="K189" s="3"/>
      <x:c r="L189" s="3"/>
      <x:c r="M189" s="3"/>
      <x:c r="N189" s="3"/>
      <x:c r="O189" s="3"/>
      <x:c r="P189" s="19" t="str">
        <x:f>IF(A189="","",IF(COUNTIFS('执行日志'!$A$7:$A$306,A189)&lt;&gt;1,"编号重复",IF(COUNTIFS('问题总览'!$A$7:$A$306,B189)&lt;&gt;1,"问题引用无效",IF(OR(L189="已更正",L189="撤销"),"排除汇总",IF(L189&lt;&gt;"有效","待补记录状态",IF(COUNTIFS('方案版本'!$A$7:$A$306,C189,'方案版本'!$B$7:$B$306,B189,'方案版本'!$L$7:$L$306,"已冻结")&lt;&gt;1,"方案引用无效",IF(OR(D189="",NOT(ISNUMBER(E189)),NOT(ISNUMBER(F189)),G189="",K189=""),"待补执行信息",IF(OR(NOT(ISNUMBER(H189)),H189&lt;0,NOT(ISNUMBER(J189)),J189&lt;0),"支出或耗时待补",IF(COUNTIFS('问题总览'!$A$7:$A$306,B189,'问题总览'!$J$7:$J$306,I189)&lt;&gt;1,"币种不匹配",IF(AND(M189&lt;&gt;"",OR(M189=A189,COUNTIFS('执行日志'!$A$7:$A$306,M189,'执行日志'!$B$7:$B$306,B189,'执行日志'!$L$7:$L$306,"已更正")&lt;&gt;1)),"更正引用待核对","有效输入"))))))))))</x:f>
      </x:c>
    </x:row>
    <x:row r="190" ht="25" customHeight="1">
      <x:c r="A190" s="3"/>
      <x:c r="B190" s="3"/>
      <x:c r="C190" s="3"/>
      <x:c r="D190" s="3"/>
      <x:c r="E190" s="25"/>
      <x:c r="F190" s="25"/>
      <x:c r="G190" s="3"/>
      <x:c r="H190" s="22"/>
      <x:c r="I190" s="3"/>
      <x:c r="J190" s="22"/>
      <x:c r="K190" s="3"/>
      <x:c r="L190" s="3"/>
      <x:c r="M190" s="3"/>
      <x:c r="N190" s="3"/>
      <x:c r="O190" s="3"/>
      <x:c r="P190" s="19" t="str">
        <x:f>IF(A190="","",IF(COUNTIFS('执行日志'!$A$7:$A$306,A190)&lt;&gt;1,"编号重复",IF(COUNTIFS('问题总览'!$A$7:$A$306,B190)&lt;&gt;1,"问题引用无效",IF(OR(L190="已更正",L190="撤销"),"排除汇总",IF(L190&lt;&gt;"有效","待补记录状态",IF(COUNTIFS('方案版本'!$A$7:$A$306,C190,'方案版本'!$B$7:$B$306,B190,'方案版本'!$L$7:$L$306,"已冻结")&lt;&gt;1,"方案引用无效",IF(OR(D190="",NOT(ISNUMBER(E190)),NOT(ISNUMBER(F190)),G190="",K190=""),"待补执行信息",IF(OR(NOT(ISNUMBER(H190)),H190&lt;0,NOT(ISNUMBER(J190)),J190&lt;0),"支出或耗时待补",IF(COUNTIFS('问题总览'!$A$7:$A$306,B190,'问题总览'!$J$7:$J$306,I190)&lt;&gt;1,"币种不匹配",IF(AND(M190&lt;&gt;"",OR(M190=A190,COUNTIFS('执行日志'!$A$7:$A$306,M190,'执行日志'!$B$7:$B$306,B190,'执行日志'!$L$7:$L$306,"已更正")&lt;&gt;1)),"更正引用待核对","有效输入"))))))))))</x:f>
      </x:c>
    </x:row>
    <x:row r="191" ht="25" customHeight="1">
      <x:c r="A191" s="3"/>
      <x:c r="B191" s="3"/>
      <x:c r="C191" s="3"/>
      <x:c r="D191" s="3"/>
      <x:c r="E191" s="25"/>
      <x:c r="F191" s="25"/>
      <x:c r="G191" s="3"/>
      <x:c r="H191" s="22"/>
      <x:c r="I191" s="3"/>
      <x:c r="J191" s="22"/>
      <x:c r="K191" s="3"/>
      <x:c r="L191" s="3"/>
      <x:c r="M191" s="3"/>
      <x:c r="N191" s="3"/>
      <x:c r="O191" s="3"/>
      <x:c r="P191" s="19" t="str">
        <x:f>IF(A191="","",IF(COUNTIFS('执行日志'!$A$7:$A$306,A191)&lt;&gt;1,"编号重复",IF(COUNTIFS('问题总览'!$A$7:$A$306,B191)&lt;&gt;1,"问题引用无效",IF(OR(L191="已更正",L191="撤销"),"排除汇总",IF(L191&lt;&gt;"有效","待补记录状态",IF(COUNTIFS('方案版本'!$A$7:$A$306,C191,'方案版本'!$B$7:$B$306,B191,'方案版本'!$L$7:$L$306,"已冻结")&lt;&gt;1,"方案引用无效",IF(OR(D191="",NOT(ISNUMBER(E191)),NOT(ISNUMBER(F191)),G191="",K191=""),"待补执行信息",IF(OR(NOT(ISNUMBER(H191)),H191&lt;0,NOT(ISNUMBER(J191)),J191&lt;0),"支出或耗时待补",IF(COUNTIFS('问题总览'!$A$7:$A$306,B191,'问题总览'!$J$7:$J$306,I191)&lt;&gt;1,"币种不匹配",IF(AND(M191&lt;&gt;"",OR(M191=A191,COUNTIFS('执行日志'!$A$7:$A$306,M191,'执行日志'!$B$7:$B$306,B191,'执行日志'!$L$7:$L$306,"已更正")&lt;&gt;1)),"更正引用待核对","有效输入"))))))))))</x:f>
      </x:c>
    </x:row>
    <x:row r="192" ht="25" customHeight="1">
      <x:c r="A192" s="3"/>
      <x:c r="B192" s="3"/>
      <x:c r="C192" s="3"/>
      <x:c r="D192" s="3"/>
      <x:c r="E192" s="25"/>
      <x:c r="F192" s="25"/>
      <x:c r="G192" s="3"/>
      <x:c r="H192" s="22"/>
      <x:c r="I192" s="3"/>
      <x:c r="J192" s="22"/>
      <x:c r="K192" s="3"/>
      <x:c r="L192" s="3"/>
      <x:c r="M192" s="3"/>
      <x:c r="N192" s="3"/>
      <x:c r="O192" s="3"/>
      <x:c r="P192" s="19" t="str">
        <x:f>IF(A192="","",IF(COUNTIFS('执行日志'!$A$7:$A$306,A192)&lt;&gt;1,"编号重复",IF(COUNTIFS('问题总览'!$A$7:$A$306,B192)&lt;&gt;1,"问题引用无效",IF(OR(L192="已更正",L192="撤销"),"排除汇总",IF(L192&lt;&gt;"有效","待补记录状态",IF(COUNTIFS('方案版本'!$A$7:$A$306,C192,'方案版本'!$B$7:$B$306,B192,'方案版本'!$L$7:$L$306,"已冻结")&lt;&gt;1,"方案引用无效",IF(OR(D192="",NOT(ISNUMBER(E192)),NOT(ISNUMBER(F192)),G192="",K192=""),"待补执行信息",IF(OR(NOT(ISNUMBER(H192)),H192&lt;0,NOT(ISNUMBER(J192)),J192&lt;0),"支出或耗时待补",IF(COUNTIFS('问题总览'!$A$7:$A$306,B192,'问题总览'!$J$7:$J$306,I192)&lt;&gt;1,"币种不匹配",IF(AND(M192&lt;&gt;"",OR(M192=A192,COUNTIFS('执行日志'!$A$7:$A$306,M192,'执行日志'!$B$7:$B$306,B192,'执行日志'!$L$7:$L$306,"已更正")&lt;&gt;1)),"更正引用待核对","有效输入"))))))))))</x:f>
      </x:c>
    </x:row>
    <x:row r="193" ht="25" customHeight="1">
      <x:c r="A193" s="3"/>
      <x:c r="B193" s="3"/>
      <x:c r="C193" s="3"/>
      <x:c r="D193" s="3"/>
      <x:c r="E193" s="25"/>
      <x:c r="F193" s="25"/>
      <x:c r="G193" s="3"/>
      <x:c r="H193" s="22"/>
      <x:c r="I193" s="3"/>
      <x:c r="J193" s="22"/>
      <x:c r="K193" s="3"/>
      <x:c r="L193" s="3"/>
      <x:c r="M193" s="3"/>
      <x:c r="N193" s="3"/>
      <x:c r="O193" s="3"/>
      <x:c r="P193" s="19" t="str">
        <x:f>IF(A193="","",IF(COUNTIFS('执行日志'!$A$7:$A$306,A193)&lt;&gt;1,"编号重复",IF(COUNTIFS('问题总览'!$A$7:$A$306,B193)&lt;&gt;1,"问题引用无效",IF(OR(L193="已更正",L193="撤销"),"排除汇总",IF(L193&lt;&gt;"有效","待补记录状态",IF(COUNTIFS('方案版本'!$A$7:$A$306,C193,'方案版本'!$B$7:$B$306,B193,'方案版本'!$L$7:$L$306,"已冻结")&lt;&gt;1,"方案引用无效",IF(OR(D193="",NOT(ISNUMBER(E193)),NOT(ISNUMBER(F193)),G193="",K193=""),"待补执行信息",IF(OR(NOT(ISNUMBER(H193)),H193&lt;0,NOT(ISNUMBER(J193)),J193&lt;0),"支出或耗时待补",IF(COUNTIFS('问题总览'!$A$7:$A$306,B193,'问题总览'!$J$7:$J$306,I193)&lt;&gt;1,"币种不匹配",IF(AND(M193&lt;&gt;"",OR(M193=A193,COUNTIFS('执行日志'!$A$7:$A$306,M193,'执行日志'!$B$7:$B$306,B193,'执行日志'!$L$7:$L$306,"已更正")&lt;&gt;1)),"更正引用待核对","有效输入"))))))))))</x:f>
      </x:c>
    </x:row>
    <x:row r="194" ht="25" customHeight="1">
      <x:c r="A194" s="3"/>
      <x:c r="B194" s="3"/>
      <x:c r="C194" s="3"/>
      <x:c r="D194" s="3"/>
      <x:c r="E194" s="25"/>
      <x:c r="F194" s="25"/>
      <x:c r="G194" s="3"/>
      <x:c r="H194" s="22"/>
      <x:c r="I194" s="3"/>
      <x:c r="J194" s="22"/>
      <x:c r="K194" s="3"/>
      <x:c r="L194" s="3"/>
      <x:c r="M194" s="3"/>
      <x:c r="N194" s="3"/>
      <x:c r="O194" s="3"/>
      <x:c r="P194" s="19" t="str">
        <x:f>IF(A194="","",IF(COUNTIFS('执行日志'!$A$7:$A$306,A194)&lt;&gt;1,"编号重复",IF(COUNTIFS('问题总览'!$A$7:$A$306,B194)&lt;&gt;1,"问题引用无效",IF(OR(L194="已更正",L194="撤销"),"排除汇总",IF(L194&lt;&gt;"有效","待补记录状态",IF(COUNTIFS('方案版本'!$A$7:$A$306,C194,'方案版本'!$B$7:$B$306,B194,'方案版本'!$L$7:$L$306,"已冻结")&lt;&gt;1,"方案引用无效",IF(OR(D194="",NOT(ISNUMBER(E194)),NOT(ISNUMBER(F194)),G194="",K194=""),"待补执行信息",IF(OR(NOT(ISNUMBER(H194)),H194&lt;0,NOT(ISNUMBER(J194)),J194&lt;0),"支出或耗时待补",IF(COUNTIFS('问题总览'!$A$7:$A$306,B194,'问题总览'!$J$7:$J$306,I194)&lt;&gt;1,"币种不匹配",IF(AND(M194&lt;&gt;"",OR(M194=A194,COUNTIFS('执行日志'!$A$7:$A$306,M194,'执行日志'!$B$7:$B$306,B194,'执行日志'!$L$7:$L$306,"已更正")&lt;&gt;1)),"更正引用待核对","有效输入"))))))))))</x:f>
      </x:c>
    </x:row>
    <x:row r="195" ht="25" customHeight="1">
      <x:c r="A195" s="3"/>
      <x:c r="B195" s="3"/>
      <x:c r="C195" s="3"/>
      <x:c r="D195" s="3"/>
      <x:c r="E195" s="25"/>
      <x:c r="F195" s="25"/>
      <x:c r="G195" s="3"/>
      <x:c r="H195" s="22"/>
      <x:c r="I195" s="3"/>
      <x:c r="J195" s="22"/>
      <x:c r="K195" s="3"/>
      <x:c r="L195" s="3"/>
      <x:c r="M195" s="3"/>
      <x:c r="N195" s="3"/>
      <x:c r="O195" s="3"/>
      <x:c r="P195" s="19" t="str">
        <x:f>IF(A195="","",IF(COUNTIFS('执行日志'!$A$7:$A$306,A195)&lt;&gt;1,"编号重复",IF(COUNTIFS('问题总览'!$A$7:$A$306,B195)&lt;&gt;1,"问题引用无效",IF(OR(L195="已更正",L195="撤销"),"排除汇总",IF(L195&lt;&gt;"有效","待补记录状态",IF(COUNTIFS('方案版本'!$A$7:$A$306,C195,'方案版本'!$B$7:$B$306,B195,'方案版本'!$L$7:$L$306,"已冻结")&lt;&gt;1,"方案引用无效",IF(OR(D195="",NOT(ISNUMBER(E195)),NOT(ISNUMBER(F195)),G195="",K195=""),"待补执行信息",IF(OR(NOT(ISNUMBER(H195)),H195&lt;0,NOT(ISNUMBER(J195)),J195&lt;0),"支出或耗时待补",IF(COUNTIFS('问题总览'!$A$7:$A$306,B195,'问题总览'!$J$7:$J$306,I195)&lt;&gt;1,"币种不匹配",IF(AND(M195&lt;&gt;"",OR(M195=A195,COUNTIFS('执行日志'!$A$7:$A$306,M195,'执行日志'!$B$7:$B$306,B195,'执行日志'!$L$7:$L$306,"已更正")&lt;&gt;1)),"更正引用待核对","有效输入"))))))))))</x:f>
      </x:c>
    </x:row>
    <x:row r="196" ht="25" customHeight="1">
      <x:c r="A196" s="3"/>
      <x:c r="B196" s="3"/>
      <x:c r="C196" s="3"/>
      <x:c r="D196" s="3"/>
      <x:c r="E196" s="25"/>
      <x:c r="F196" s="25"/>
      <x:c r="G196" s="3"/>
      <x:c r="H196" s="22"/>
      <x:c r="I196" s="3"/>
      <x:c r="J196" s="22"/>
      <x:c r="K196" s="3"/>
      <x:c r="L196" s="3"/>
      <x:c r="M196" s="3"/>
      <x:c r="N196" s="3"/>
      <x:c r="O196" s="3"/>
      <x:c r="P196" s="19" t="str">
        <x:f>IF(A196="","",IF(COUNTIFS('执行日志'!$A$7:$A$306,A196)&lt;&gt;1,"编号重复",IF(COUNTIFS('问题总览'!$A$7:$A$306,B196)&lt;&gt;1,"问题引用无效",IF(OR(L196="已更正",L196="撤销"),"排除汇总",IF(L196&lt;&gt;"有效","待补记录状态",IF(COUNTIFS('方案版本'!$A$7:$A$306,C196,'方案版本'!$B$7:$B$306,B196,'方案版本'!$L$7:$L$306,"已冻结")&lt;&gt;1,"方案引用无效",IF(OR(D196="",NOT(ISNUMBER(E196)),NOT(ISNUMBER(F196)),G196="",K196=""),"待补执行信息",IF(OR(NOT(ISNUMBER(H196)),H196&lt;0,NOT(ISNUMBER(J196)),J196&lt;0),"支出或耗时待补",IF(COUNTIFS('问题总览'!$A$7:$A$306,B196,'问题总览'!$J$7:$J$306,I196)&lt;&gt;1,"币种不匹配",IF(AND(M196&lt;&gt;"",OR(M196=A196,COUNTIFS('执行日志'!$A$7:$A$306,M196,'执行日志'!$B$7:$B$306,B196,'执行日志'!$L$7:$L$306,"已更正")&lt;&gt;1)),"更正引用待核对","有效输入"))))))))))</x:f>
      </x:c>
    </x:row>
    <x:row r="197" ht="25" customHeight="1">
      <x:c r="A197" s="3"/>
      <x:c r="B197" s="3"/>
      <x:c r="C197" s="3"/>
      <x:c r="D197" s="3"/>
      <x:c r="E197" s="25"/>
      <x:c r="F197" s="25"/>
      <x:c r="G197" s="3"/>
      <x:c r="H197" s="22"/>
      <x:c r="I197" s="3"/>
      <x:c r="J197" s="22"/>
      <x:c r="K197" s="3"/>
      <x:c r="L197" s="3"/>
      <x:c r="M197" s="3"/>
      <x:c r="N197" s="3"/>
      <x:c r="O197" s="3"/>
      <x:c r="P197" s="19" t="str">
        <x:f>IF(A197="","",IF(COUNTIFS('执行日志'!$A$7:$A$306,A197)&lt;&gt;1,"编号重复",IF(COUNTIFS('问题总览'!$A$7:$A$306,B197)&lt;&gt;1,"问题引用无效",IF(OR(L197="已更正",L197="撤销"),"排除汇总",IF(L197&lt;&gt;"有效","待补记录状态",IF(COUNTIFS('方案版本'!$A$7:$A$306,C197,'方案版本'!$B$7:$B$306,B197,'方案版本'!$L$7:$L$306,"已冻结")&lt;&gt;1,"方案引用无效",IF(OR(D197="",NOT(ISNUMBER(E197)),NOT(ISNUMBER(F197)),G197="",K197=""),"待补执行信息",IF(OR(NOT(ISNUMBER(H197)),H197&lt;0,NOT(ISNUMBER(J197)),J197&lt;0),"支出或耗时待补",IF(COUNTIFS('问题总览'!$A$7:$A$306,B197,'问题总览'!$J$7:$J$306,I197)&lt;&gt;1,"币种不匹配",IF(AND(M197&lt;&gt;"",OR(M197=A197,COUNTIFS('执行日志'!$A$7:$A$306,M197,'执行日志'!$B$7:$B$306,B197,'执行日志'!$L$7:$L$306,"已更正")&lt;&gt;1)),"更正引用待核对","有效输入"))))))))))</x:f>
      </x:c>
    </x:row>
    <x:row r="198" ht="25" customHeight="1">
      <x:c r="A198" s="3"/>
      <x:c r="B198" s="3"/>
      <x:c r="C198" s="3"/>
      <x:c r="D198" s="3"/>
      <x:c r="E198" s="25"/>
      <x:c r="F198" s="25"/>
      <x:c r="G198" s="3"/>
      <x:c r="H198" s="22"/>
      <x:c r="I198" s="3"/>
      <x:c r="J198" s="22"/>
      <x:c r="K198" s="3"/>
      <x:c r="L198" s="3"/>
      <x:c r="M198" s="3"/>
      <x:c r="N198" s="3"/>
      <x:c r="O198" s="3"/>
      <x:c r="P198" s="19" t="str">
        <x:f>IF(A198="","",IF(COUNTIFS('执行日志'!$A$7:$A$306,A198)&lt;&gt;1,"编号重复",IF(COUNTIFS('问题总览'!$A$7:$A$306,B198)&lt;&gt;1,"问题引用无效",IF(OR(L198="已更正",L198="撤销"),"排除汇总",IF(L198&lt;&gt;"有效","待补记录状态",IF(COUNTIFS('方案版本'!$A$7:$A$306,C198,'方案版本'!$B$7:$B$306,B198,'方案版本'!$L$7:$L$306,"已冻结")&lt;&gt;1,"方案引用无效",IF(OR(D198="",NOT(ISNUMBER(E198)),NOT(ISNUMBER(F198)),G198="",K198=""),"待补执行信息",IF(OR(NOT(ISNUMBER(H198)),H198&lt;0,NOT(ISNUMBER(J198)),J198&lt;0),"支出或耗时待补",IF(COUNTIFS('问题总览'!$A$7:$A$306,B198,'问题总览'!$J$7:$J$306,I198)&lt;&gt;1,"币种不匹配",IF(AND(M198&lt;&gt;"",OR(M198=A198,COUNTIFS('执行日志'!$A$7:$A$306,M198,'执行日志'!$B$7:$B$306,B198,'执行日志'!$L$7:$L$306,"已更正")&lt;&gt;1)),"更正引用待核对","有效输入"))))))))))</x:f>
      </x:c>
    </x:row>
    <x:row r="199" ht="25" customHeight="1">
      <x:c r="A199" s="3"/>
      <x:c r="B199" s="3"/>
      <x:c r="C199" s="3"/>
      <x:c r="D199" s="3"/>
      <x:c r="E199" s="25"/>
      <x:c r="F199" s="25"/>
      <x:c r="G199" s="3"/>
      <x:c r="H199" s="22"/>
      <x:c r="I199" s="3"/>
      <x:c r="J199" s="22"/>
      <x:c r="K199" s="3"/>
      <x:c r="L199" s="3"/>
      <x:c r="M199" s="3"/>
      <x:c r="N199" s="3"/>
      <x:c r="O199" s="3"/>
      <x:c r="P199" s="19" t="str">
        <x:f>IF(A199="","",IF(COUNTIFS('执行日志'!$A$7:$A$306,A199)&lt;&gt;1,"编号重复",IF(COUNTIFS('问题总览'!$A$7:$A$306,B199)&lt;&gt;1,"问题引用无效",IF(OR(L199="已更正",L199="撤销"),"排除汇总",IF(L199&lt;&gt;"有效","待补记录状态",IF(COUNTIFS('方案版本'!$A$7:$A$306,C199,'方案版本'!$B$7:$B$306,B199,'方案版本'!$L$7:$L$306,"已冻结")&lt;&gt;1,"方案引用无效",IF(OR(D199="",NOT(ISNUMBER(E199)),NOT(ISNUMBER(F199)),G199="",K199=""),"待补执行信息",IF(OR(NOT(ISNUMBER(H199)),H199&lt;0,NOT(ISNUMBER(J199)),J199&lt;0),"支出或耗时待补",IF(COUNTIFS('问题总览'!$A$7:$A$306,B199,'问题总览'!$J$7:$J$306,I199)&lt;&gt;1,"币种不匹配",IF(AND(M199&lt;&gt;"",OR(M199=A199,COUNTIFS('执行日志'!$A$7:$A$306,M199,'执行日志'!$B$7:$B$306,B199,'执行日志'!$L$7:$L$306,"已更正")&lt;&gt;1)),"更正引用待核对","有效输入"))))))))))</x:f>
      </x:c>
    </x:row>
    <x:row r="200" ht="25" customHeight="1">
      <x:c r="A200" s="3"/>
      <x:c r="B200" s="3"/>
      <x:c r="C200" s="3"/>
      <x:c r="D200" s="3"/>
      <x:c r="E200" s="25"/>
      <x:c r="F200" s="25"/>
      <x:c r="G200" s="3"/>
      <x:c r="H200" s="22"/>
      <x:c r="I200" s="3"/>
      <x:c r="J200" s="22"/>
      <x:c r="K200" s="3"/>
      <x:c r="L200" s="3"/>
      <x:c r="M200" s="3"/>
      <x:c r="N200" s="3"/>
      <x:c r="O200" s="3"/>
      <x:c r="P200" s="19" t="str">
        <x:f>IF(A200="","",IF(COUNTIFS('执行日志'!$A$7:$A$306,A200)&lt;&gt;1,"编号重复",IF(COUNTIFS('问题总览'!$A$7:$A$306,B200)&lt;&gt;1,"问题引用无效",IF(OR(L200="已更正",L200="撤销"),"排除汇总",IF(L200&lt;&gt;"有效","待补记录状态",IF(COUNTIFS('方案版本'!$A$7:$A$306,C200,'方案版本'!$B$7:$B$306,B200,'方案版本'!$L$7:$L$306,"已冻结")&lt;&gt;1,"方案引用无效",IF(OR(D200="",NOT(ISNUMBER(E200)),NOT(ISNUMBER(F200)),G200="",K200=""),"待补执行信息",IF(OR(NOT(ISNUMBER(H200)),H200&lt;0,NOT(ISNUMBER(J200)),J200&lt;0),"支出或耗时待补",IF(COUNTIFS('问题总览'!$A$7:$A$306,B200,'问题总览'!$J$7:$J$306,I200)&lt;&gt;1,"币种不匹配",IF(AND(M200&lt;&gt;"",OR(M200=A200,COUNTIFS('执行日志'!$A$7:$A$306,M200,'执行日志'!$B$7:$B$306,B200,'执行日志'!$L$7:$L$306,"已更正")&lt;&gt;1)),"更正引用待核对","有效输入"))))))))))</x:f>
      </x:c>
    </x:row>
    <x:row r="201" ht="25" customHeight="1">
      <x:c r="A201" s="3"/>
      <x:c r="B201" s="3"/>
      <x:c r="C201" s="3"/>
      <x:c r="D201" s="3"/>
      <x:c r="E201" s="25"/>
      <x:c r="F201" s="25"/>
      <x:c r="G201" s="3"/>
      <x:c r="H201" s="22"/>
      <x:c r="I201" s="3"/>
      <x:c r="J201" s="22"/>
      <x:c r="K201" s="3"/>
      <x:c r="L201" s="3"/>
      <x:c r="M201" s="3"/>
      <x:c r="N201" s="3"/>
      <x:c r="O201" s="3"/>
      <x:c r="P201" s="19" t="str">
        <x:f>IF(A201="","",IF(COUNTIFS('执行日志'!$A$7:$A$306,A201)&lt;&gt;1,"编号重复",IF(COUNTIFS('问题总览'!$A$7:$A$306,B201)&lt;&gt;1,"问题引用无效",IF(OR(L201="已更正",L201="撤销"),"排除汇总",IF(L201&lt;&gt;"有效","待补记录状态",IF(COUNTIFS('方案版本'!$A$7:$A$306,C201,'方案版本'!$B$7:$B$306,B201,'方案版本'!$L$7:$L$306,"已冻结")&lt;&gt;1,"方案引用无效",IF(OR(D201="",NOT(ISNUMBER(E201)),NOT(ISNUMBER(F201)),G201="",K201=""),"待补执行信息",IF(OR(NOT(ISNUMBER(H201)),H201&lt;0,NOT(ISNUMBER(J201)),J201&lt;0),"支出或耗时待补",IF(COUNTIFS('问题总览'!$A$7:$A$306,B201,'问题总览'!$J$7:$J$306,I201)&lt;&gt;1,"币种不匹配",IF(AND(M201&lt;&gt;"",OR(M201=A201,COUNTIFS('执行日志'!$A$7:$A$306,M201,'执行日志'!$B$7:$B$306,B201,'执行日志'!$L$7:$L$306,"已更正")&lt;&gt;1)),"更正引用待核对","有效输入"))))))))))</x:f>
      </x:c>
    </x:row>
    <x:row r="202" ht="25" customHeight="1">
      <x:c r="A202" s="3"/>
      <x:c r="B202" s="3"/>
      <x:c r="C202" s="3"/>
      <x:c r="D202" s="3"/>
      <x:c r="E202" s="25"/>
      <x:c r="F202" s="25"/>
      <x:c r="G202" s="3"/>
      <x:c r="H202" s="22"/>
      <x:c r="I202" s="3"/>
      <x:c r="J202" s="22"/>
      <x:c r="K202" s="3"/>
      <x:c r="L202" s="3"/>
      <x:c r="M202" s="3"/>
      <x:c r="N202" s="3"/>
      <x:c r="O202" s="3"/>
      <x:c r="P202" s="19" t="str">
        <x:f>IF(A202="","",IF(COUNTIFS('执行日志'!$A$7:$A$306,A202)&lt;&gt;1,"编号重复",IF(COUNTIFS('问题总览'!$A$7:$A$306,B202)&lt;&gt;1,"问题引用无效",IF(OR(L202="已更正",L202="撤销"),"排除汇总",IF(L202&lt;&gt;"有效","待补记录状态",IF(COUNTIFS('方案版本'!$A$7:$A$306,C202,'方案版本'!$B$7:$B$306,B202,'方案版本'!$L$7:$L$306,"已冻结")&lt;&gt;1,"方案引用无效",IF(OR(D202="",NOT(ISNUMBER(E202)),NOT(ISNUMBER(F202)),G202="",K202=""),"待补执行信息",IF(OR(NOT(ISNUMBER(H202)),H202&lt;0,NOT(ISNUMBER(J202)),J202&lt;0),"支出或耗时待补",IF(COUNTIFS('问题总览'!$A$7:$A$306,B202,'问题总览'!$J$7:$J$306,I202)&lt;&gt;1,"币种不匹配",IF(AND(M202&lt;&gt;"",OR(M202=A202,COUNTIFS('执行日志'!$A$7:$A$306,M202,'执行日志'!$B$7:$B$306,B202,'执行日志'!$L$7:$L$306,"已更正")&lt;&gt;1)),"更正引用待核对","有效输入"))))))))))</x:f>
      </x:c>
    </x:row>
    <x:row r="203" ht="25" customHeight="1">
      <x:c r="A203" s="3"/>
      <x:c r="B203" s="3"/>
      <x:c r="C203" s="3"/>
      <x:c r="D203" s="3"/>
      <x:c r="E203" s="25"/>
      <x:c r="F203" s="25"/>
      <x:c r="G203" s="3"/>
      <x:c r="H203" s="22"/>
      <x:c r="I203" s="3"/>
      <x:c r="J203" s="22"/>
      <x:c r="K203" s="3"/>
      <x:c r="L203" s="3"/>
      <x:c r="M203" s="3"/>
      <x:c r="N203" s="3"/>
      <x:c r="O203" s="3"/>
      <x:c r="P203" s="19" t="str">
        <x:f>IF(A203="","",IF(COUNTIFS('执行日志'!$A$7:$A$306,A203)&lt;&gt;1,"编号重复",IF(COUNTIFS('问题总览'!$A$7:$A$306,B203)&lt;&gt;1,"问题引用无效",IF(OR(L203="已更正",L203="撤销"),"排除汇总",IF(L203&lt;&gt;"有效","待补记录状态",IF(COUNTIFS('方案版本'!$A$7:$A$306,C203,'方案版本'!$B$7:$B$306,B203,'方案版本'!$L$7:$L$306,"已冻结")&lt;&gt;1,"方案引用无效",IF(OR(D203="",NOT(ISNUMBER(E203)),NOT(ISNUMBER(F203)),G203="",K203=""),"待补执行信息",IF(OR(NOT(ISNUMBER(H203)),H203&lt;0,NOT(ISNUMBER(J203)),J203&lt;0),"支出或耗时待补",IF(COUNTIFS('问题总览'!$A$7:$A$306,B203,'问题总览'!$J$7:$J$306,I203)&lt;&gt;1,"币种不匹配",IF(AND(M203&lt;&gt;"",OR(M203=A203,COUNTIFS('执行日志'!$A$7:$A$306,M203,'执行日志'!$B$7:$B$306,B203,'执行日志'!$L$7:$L$306,"已更正")&lt;&gt;1)),"更正引用待核对","有效输入"))))))))))</x:f>
      </x:c>
    </x:row>
    <x:row r="204" ht="25" customHeight="1">
      <x:c r="A204" s="3"/>
      <x:c r="B204" s="3"/>
      <x:c r="C204" s="3"/>
      <x:c r="D204" s="3"/>
      <x:c r="E204" s="25"/>
      <x:c r="F204" s="25"/>
      <x:c r="G204" s="3"/>
      <x:c r="H204" s="22"/>
      <x:c r="I204" s="3"/>
      <x:c r="J204" s="22"/>
      <x:c r="K204" s="3"/>
      <x:c r="L204" s="3"/>
      <x:c r="M204" s="3"/>
      <x:c r="N204" s="3"/>
      <x:c r="O204" s="3"/>
      <x:c r="P204" s="19" t="str">
        <x:f>IF(A204="","",IF(COUNTIFS('执行日志'!$A$7:$A$306,A204)&lt;&gt;1,"编号重复",IF(COUNTIFS('问题总览'!$A$7:$A$306,B204)&lt;&gt;1,"问题引用无效",IF(OR(L204="已更正",L204="撤销"),"排除汇总",IF(L204&lt;&gt;"有效","待补记录状态",IF(COUNTIFS('方案版本'!$A$7:$A$306,C204,'方案版本'!$B$7:$B$306,B204,'方案版本'!$L$7:$L$306,"已冻结")&lt;&gt;1,"方案引用无效",IF(OR(D204="",NOT(ISNUMBER(E204)),NOT(ISNUMBER(F204)),G204="",K204=""),"待补执行信息",IF(OR(NOT(ISNUMBER(H204)),H204&lt;0,NOT(ISNUMBER(J204)),J204&lt;0),"支出或耗时待补",IF(COUNTIFS('问题总览'!$A$7:$A$306,B204,'问题总览'!$J$7:$J$306,I204)&lt;&gt;1,"币种不匹配",IF(AND(M204&lt;&gt;"",OR(M204=A204,COUNTIFS('执行日志'!$A$7:$A$306,M204,'执行日志'!$B$7:$B$306,B204,'执行日志'!$L$7:$L$306,"已更正")&lt;&gt;1)),"更正引用待核对","有效输入"))))))))))</x:f>
      </x:c>
    </x:row>
    <x:row r="205" ht="25" customHeight="1">
      <x:c r="A205" s="3"/>
      <x:c r="B205" s="3"/>
      <x:c r="C205" s="3"/>
      <x:c r="D205" s="3"/>
      <x:c r="E205" s="25"/>
      <x:c r="F205" s="25"/>
      <x:c r="G205" s="3"/>
      <x:c r="H205" s="22"/>
      <x:c r="I205" s="3"/>
      <x:c r="J205" s="22"/>
      <x:c r="K205" s="3"/>
      <x:c r="L205" s="3"/>
      <x:c r="M205" s="3"/>
      <x:c r="N205" s="3"/>
      <x:c r="O205" s="3"/>
      <x:c r="P205" s="19" t="str">
        <x:f>IF(A205="","",IF(COUNTIFS('执行日志'!$A$7:$A$306,A205)&lt;&gt;1,"编号重复",IF(COUNTIFS('问题总览'!$A$7:$A$306,B205)&lt;&gt;1,"问题引用无效",IF(OR(L205="已更正",L205="撤销"),"排除汇总",IF(L205&lt;&gt;"有效","待补记录状态",IF(COUNTIFS('方案版本'!$A$7:$A$306,C205,'方案版本'!$B$7:$B$306,B205,'方案版本'!$L$7:$L$306,"已冻结")&lt;&gt;1,"方案引用无效",IF(OR(D205="",NOT(ISNUMBER(E205)),NOT(ISNUMBER(F205)),G205="",K205=""),"待补执行信息",IF(OR(NOT(ISNUMBER(H205)),H205&lt;0,NOT(ISNUMBER(J205)),J205&lt;0),"支出或耗时待补",IF(COUNTIFS('问题总览'!$A$7:$A$306,B205,'问题总览'!$J$7:$J$306,I205)&lt;&gt;1,"币种不匹配",IF(AND(M205&lt;&gt;"",OR(M205=A205,COUNTIFS('执行日志'!$A$7:$A$306,M205,'执行日志'!$B$7:$B$306,B205,'执行日志'!$L$7:$L$306,"已更正")&lt;&gt;1)),"更正引用待核对","有效输入"))))))))))</x:f>
      </x:c>
    </x:row>
    <x:row r="206" ht="25" customHeight="1">
      <x:c r="A206" s="3"/>
      <x:c r="B206" s="3"/>
      <x:c r="C206" s="3"/>
      <x:c r="D206" s="3"/>
      <x:c r="E206" s="25"/>
      <x:c r="F206" s="25"/>
      <x:c r="G206" s="3"/>
      <x:c r="H206" s="22"/>
      <x:c r="I206" s="3"/>
      <x:c r="J206" s="22"/>
      <x:c r="K206" s="3"/>
      <x:c r="L206" s="3"/>
      <x:c r="M206" s="3"/>
      <x:c r="N206" s="3"/>
      <x:c r="O206" s="3"/>
      <x:c r="P206" s="19" t="str">
        <x:f>IF(A206="","",IF(COUNTIFS('执行日志'!$A$7:$A$306,A206)&lt;&gt;1,"编号重复",IF(COUNTIFS('问题总览'!$A$7:$A$306,B206)&lt;&gt;1,"问题引用无效",IF(OR(L206="已更正",L206="撤销"),"排除汇总",IF(L206&lt;&gt;"有效","待补记录状态",IF(COUNTIFS('方案版本'!$A$7:$A$306,C206,'方案版本'!$B$7:$B$306,B206,'方案版本'!$L$7:$L$306,"已冻结")&lt;&gt;1,"方案引用无效",IF(OR(D206="",NOT(ISNUMBER(E206)),NOT(ISNUMBER(F206)),G206="",K206=""),"待补执行信息",IF(OR(NOT(ISNUMBER(H206)),H206&lt;0,NOT(ISNUMBER(J206)),J206&lt;0),"支出或耗时待补",IF(COUNTIFS('问题总览'!$A$7:$A$306,B206,'问题总览'!$J$7:$J$306,I206)&lt;&gt;1,"币种不匹配",IF(AND(M206&lt;&gt;"",OR(M206=A206,COUNTIFS('执行日志'!$A$7:$A$306,M206,'执行日志'!$B$7:$B$306,B206,'执行日志'!$L$7:$L$306,"已更正")&lt;&gt;1)),"更正引用待核对","有效输入"))))))))))</x:f>
      </x:c>
    </x:row>
    <x:row r="207" ht="25" customHeight="1">
      <x:c r="A207" s="3"/>
      <x:c r="B207" s="3"/>
      <x:c r="C207" s="3"/>
      <x:c r="D207" s="3"/>
      <x:c r="E207" s="25"/>
      <x:c r="F207" s="25"/>
      <x:c r="G207" s="3"/>
      <x:c r="H207" s="22"/>
      <x:c r="I207" s="3"/>
      <x:c r="J207" s="22"/>
      <x:c r="K207" s="3"/>
      <x:c r="L207" s="3"/>
      <x:c r="M207" s="3"/>
      <x:c r="N207" s="3"/>
      <x:c r="O207" s="3"/>
      <x:c r="P207" s="19" t="str">
        <x:f>IF(A207="","",IF(COUNTIFS('执行日志'!$A$7:$A$306,A207)&lt;&gt;1,"编号重复",IF(COUNTIFS('问题总览'!$A$7:$A$306,B207)&lt;&gt;1,"问题引用无效",IF(OR(L207="已更正",L207="撤销"),"排除汇总",IF(L207&lt;&gt;"有效","待补记录状态",IF(COUNTIFS('方案版本'!$A$7:$A$306,C207,'方案版本'!$B$7:$B$306,B207,'方案版本'!$L$7:$L$306,"已冻结")&lt;&gt;1,"方案引用无效",IF(OR(D207="",NOT(ISNUMBER(E207)),NOT(ISNUMBER(F207)),G207="",K207=""),"待补执行信息",IF(OR(NOT(ISNUMBER(H207)),H207&lt;0,NOT(ISNUMBER(J207)),J207&lt;0),"支出或耗时待补",IF(COUNTIFS('问题总览'!$A$7:$A$306,B207,'问题总览'!$J$7:$J$306,I207)&lt;&gt;1,"币种不匹配",IF(AND(M207&lt;&gt;"",OR(M207=A207,COUNTIFS('执行日志'!$A$7:$A$306,M207,'执行日志'!$B$7:$B$306,B207,'执行日志'!$L$7:$L$306,"已更正")&lt;&gt;1)),"更正引用待核对","有效输入"))))))))))</x:f>
      </x:c>
    </x:row>
    <x:row r="208" ht="25" customHeight="1">
      <x:c r="A208" s="3"/>
      <x:c r="B208" s="3"/>
      <x:c r="C208" s="3"/>
      <x:c r="D208" s="3"/>
      <x:c r="E208" s="25"/>
      <x:c r="F208" s="25"/>
      <x:c r="G208" s="3"/>
      <x:c r="H208" s="22"/>
      <x:c r="I208" s="3"/>
      <x:c r="J208" s="22"/>
      <x:c r="K208" s="3"/>
      <x:c r="L208" s="3"/>
      <x:c r="M208" s="3"/>
      <x:c r="N208" s="3"/>
      <x:c r="O208" s="3"/>
      <x:c r="P208" s="19" t="str">
        <x:f>IF(A208="","",IF(COUNTIFS('执行日志'!$A$7:$A$306,A208)&lt;&gt;1,"编号重复",IF(COUNTIFS('问题总览'!$A$7:$A$306,B208)&lt;&gt;1,"问题引用无效",IF(OR(L208="已更正",L208="撤销"),"排除汇总",IF(L208&lt;&gt;"有效","待补记录状态",IF(COUNTIFS('方案版本'!$A$7:$A$306,C208,'方案版本'!$B$7:$B$306,B208,'方案版本'!$L$7:$L$306,"已冻结")&lt;&gt;1,"方案引用无效",IF(OR(D208="",NOT(ISNUMBER(E208)),NOT(ISNUMBER(F208)),G208="",K208=""),"待补执行信息",IF(OR(NOT(ISNUMBER(H208)),H208&lt;0,NOT(ISNUMBER(J208)),J208&lt;0),"支出或耗时待补",IF(COUNTIFS('问题总览'!$A$7:$A$306,B208,'问题总览'!$J$7:$J$306,I208)&lt;&gt;1,"币种不匹配",IF(AND(M208&lt;&gt;"",OR(M208=A208,COUNTIFS('执行日志'!$A$7:$A$306,M208,'执行日志'!$B$7:$B$306,B208,'执行日志'!$L$7:$L$306,"已更正")&lt;&gt;1)),"更正引用待核对","有效输入"))))))))))</x:f>
      </x:c>
    </x:row>
    <x:row r="209" ht="25" customHeight="1">
      <x:c r="A209" s="3"/>
      <x:c r="B209" s="3"/>
      <x:c r="C209" s="3"/>
      <x:c r="D209" s="3"/>
      <x:c r="E209" s="25"/>
      <x:c r="F209" s="25"/>
      <x:c r="G209" s="3"/>
      <x:c r="H209" s="22"/>
      <x:c r="I209" s="3"/>
      <x:c r="J209" s="22"/>
      <x:c r="K209" s="3"/>
      <x:c r="L209" s="3"/>
      <x:c r="M209" s="3"/>
      <x:c r="N209" s="3"/>
      <x:c r="O209" s="3"/>
      <x:c r="P209" s="19" t="str">
        <x:f>IF(A209="","",IF(COUNTIFS('执行日志'!$A$7:$A$306,A209)&lt;&gt;1,"编号重复",IF(COUNTIFS('问题总览'!$A$7:$A$306,B209)&lt;&gt;1,"问题引用无效",IF(OR(L209="已更正",L209="撤销"),"排除汇总",IF(L209&lt;&gt;"有效","待补记录状态",IF(COUNTIFS('方案版本'!$A$7:$A$306,C209,'方案版本'!$B$7:$B$306,B209,'方案版本'!$L$7:$L$306,"已冻结")&lt;&gt;1,"方案引用无效",IF(OR(D209="",NOT(ISNUMBER(E209)),NOT(ISNUMBER(F209)),G209="",K209=""),"待补执行信息",IF(OR(NOT(ISNUMBER(H209)),H209&lt;0,NOT(ISNUMBER(J209)),J209&lt;0),"支出或耗时待补",IF(COUNTIFS('问题总览'!$A$7:$A$306,B209,'问题总览'!$J$7:$J$306,I209)&lt;&gt;1,"币种不匹配",IF(AND(M209&lt;&gt;"",OR(M209=A209,COUNTIFS('执行日志'!$A$7:$A$306,M209,'执行日志'!$B$7:$B$306,B209,'执行日志'!$L$7:$L$306,"已更正")&lt;&gt;1)),"更正引用待核对","有效输入"))))))))))</x:f>
      </x:c>
    </x:row>
    <x:row r="210" ht="25" customHeight="1">
      <x:c r="A210" s="3"/>
      <x:c r="B210" s="3"/>
      <x:c r="C210" s="3"/>
      <x:c r="D210" s="3"/>
      <x:c r="E210" s="25"/>
      <x:c r="F210" s="25"/>
      <x:c r="G210" s="3"/>
      <x:c r="H210" s="22"/>
      <x:c r="I210" s="3"/>
      <x:c r="J210" s="22"/>
      <x:c r="K210" s="3"/>
      <x:c r="L210" s="3"/>
      <x:c r="M210" s="3"/>
      <x:c r="N210" s="3"/>
      <x:c r="O210" s="3"/>
      <x:c r="P210" s="19" t="str">
        <x:f>IF(A210="","",IF(COUNTIFS('执行日志'!$A$7:$A$306,A210)&lt;&gt;1,"编号重复",IF(COUNTIFS('问题总览'!$A$7:$A$306,B210)&lt;&gt;1,"问题引用无效",IF(OR(L210="已更正",L210="撤销"),"排除汇总",IF(L210&lt;&gt;"有效","待补记录状态",IF(COUNTIFS('方案版本'!$A$7:$A$306,C210,'方案版本'!$B$7:$B$306,B210,'方案版本'!$L$7:$L$306,"已冻结")&lt;&gt;1,"方案引用无效",IF(OR(D210="",NOT(ISNUMBER(E210)),NOT(ISNUMBER(F210)),G210="",K210=""),"待补执行信息",IF(OR(NOT(ISNUMBER(H210)),H210&lt;0,NOT(ISNUMBER(J210)),J210&lt;0),"支出或耗时待补",IF(COUNTIFS('问题总览'!$A$7:$A$306,B210,'问题总览'!$J$7:$J$306,I210)&lt;&gt;1,"币种不匹配",IF(AND(M210&lt;&gt;"",OR(M210=A210,COUNTIFS('执行日志'!$A$7:$A$306,M210,'执行日志'!$B$7:$B$306,B210,'执行日志'!$L$7:$L$306,"已更正")&lt;&gt;1)),"更正引用待核对","有效输入"))))))))))</x:f>
      </x:c>
    </x:row>
    <x:row r="211" ht="25" customHeight="1">
      <x:c r="A211" s="3"/>
      <x:c r="B211" s="3"/>
      <x:c r="C211" s="3"/>
      <x:c r="D211" s="3"/>
      <x:c r="E211" s="25"/>
      <x:c r="F211" s="25"/>
      <x:c r="G211" s="3"/>
      <x:c r="H211" s="22"/>
      <x:c r="I211" s="3"/>
      <x:c r="J211" s="22"/>
      <x:c r="K211" s="3"/>
      <x:c r="L211" s="3"/>
      <x:c r="M211" s="3"/>
      <x:c r="N211" s="3"/>
      <x:c r="O211" s="3"/>
      <x:c r="P211" s="19" t="str">
        <x:f>IF(A211="","",IF(COUNTIFS('执行日志'!$A$7:$A$306,A211)&lt;&gt;1,"编号重复",IF(COUNTIFS('问题总览'!$A$7:$A$306,B211)&lt;&gt;1,"问题引用无效",IF(OR(L211="已更正",L211="撤销"),"排除汇总",IF(L211&lt;&gt;"有效","待补记录状态",IF(COUNTIFS('方案版本'!$A$7:$A$306,C211,'方案版本'!$B$7:$B$306,B211,'方案版本'!$L$7:$L$306,"已冻结")&lt;&gt;1,"方案引用无效",IF(OR(D211="",NOT(ISNUMBER(E211)),NOT(ISNUMBER(F211)),G211="",K211=""),"待补执行信息",IF(OR(NOT(ISNUMBER(H211)),H211&lt;0,NOT(ISNUMBER(J211)),J211&lt;0),"支出或耗时待补",IF(COUNTIFS('问题总览'!$A$7:$A$306,B211,'问题总览'!$J$7:$J$306,I211)&lt;&gt;1,"币种不匹配",IF(AND(M211&lt;&gt;"",OR(M211=A211,COUNTIFS('执行日志'!$A$7:$A$306,M211,'执行日志'!$B$7:$B$306,B211,'执行日志'!$L$7:$L$306,"已更正")&lt;&gt;1)),"更正引用待核对","有效输入"))))))))))</x:f>
      </x:c>
    </x:row>
    <x:row r="212" ht="25" customHeight="1">
      <x:c r="A212" s="3"/>
      <x:c r="B212" s="3"/>
      <x:c r="C212" s="3"/>
      <x:c r="D212" s="3"/>
      <x:c r="E212" s="25"/>
      <x:c r="F212" s="25"/>
      <x:c r="G212" s="3"/>
      <x:c r="H212" s="22"/>
      <x:c r="I212" s="3"/>
      <x:c r="J212" s="22"/>
      <x:c r="K212" s="3"/>
      <x:c r="L212" s="3"/>
      <x:c r="M212" s="3"/>
      <x:c r="N212" s="3"/>
      <x:c r="O212" s="3"/>
      <x:c r="P212" s="19" t="str">
        <x:f>IF(A212="","",IF(COUNTIFS('执行日志'!$A$7:$A$306,A212)&lt;&gt;1,"编号重复",IF(COUNTIFS('问题总览'!$A$7:$A$306,B212)&lt;&gt;1,"问题引用无效",IF(OR(L212="已更正",L212="撤销"),"排除汇总",IF(L212&lt;&gt;"有效","待补记录状态",IF(COUNTIFS('方案版本'!$A$7:$A$306,C212,'方案版本'!$B$7:$B$306,B212,'方案版本'!$L$7:$L$306,"已冻结")&lt;&gt;1,"方案引用无效",IF(OR(D212="",NOT(ISNUMBER(E212)),NOT(ISNUMBER(F212)),G212="",K212=""),"待补执行信息",IF(OR(NOT(ISNUMBER(H212)),H212&lt;0,NOT(ISNUMBER(J212)),J212&lt;0),"支出或耗时待补",IF(COUNTIFS('问题总览'!$A$7:$A$306,B212,'问题总览'!$J$7:$J$306,I212)&lt;&gt;1,"币种不匹配",IF(AND(M212&lt;&gt;"",OR(M212=A212,COUNTIFS('执行日志'!$A$7:$A$306,M212,'执行日志'!$B$7:$B$306,B212,'执行日志'!$L$7:$L$306,"已更正")&lt;&gt;1)),"更正引用待核对","有效输入"))))))))))</x:f>
      </x:c>
    </x:row>
    <x:row r="213" ht="25" customHeight="1">
      <x:c r="A213" s="3"/>
      <x:c r="B213" s="3"/>
      <x:c r="C213" s="3"/>
      <x:c r="D213" s="3"/>
      <x:c r="E213" s="25"/>
      <x:c r="F213" s="25"/>
      <x:c r="G213" s="3"/>
      <x:c r="H213" s="22"/>
      <x:c r="I213" s="3"/>
      <x:c r="J213" s="22"/>
      <x:c r="K213" s="3"/>
      <x:c r="L213" s="3"/>
      <x:c r="M213" s="3"/>
      <x:c r="N213" s="3"/>
      <x:c r="O213" s="3"/>
      <x:c r="P213" s="19" t="str">
        <x:f>IF(A213="","",IF(COUNTIFS('执行日志'!$A$7:$A$306,A213)&lt;&gt;1,"编号重复",IF(COUNTIFS('问题总览'!$A$7:$A$306,B213)&lt;&gt;1,"问题引用无效",IF(OR(L213="已更正",L213="撤销"),"排除汇总",IF(L213&lt;&gt;"有效","待补记录状态",IF(COUNTIFS('方案版本'!$A$7:$A$306,C213,'方案版本'!$B$7:$B$306,B213,'方案版本'!$L$7:$L$306,"已冻结")&lt;&gt;1,"方案引用无效",IF(OR(D213="",NOT(ISNUMBER(E213)),NOT(ISNUMBER(F213)),G213="",K213=""),"待补执行信息",IF(OR(NOT(ISNUMBER(H213)),H213&lt;0,NOT(ISNUMBER(J213)),J213&lt;0),"支出或耗时待补",IF(COUNTIFS('问题总览'!$A$7:$A$306,B213,'问题总览'!$J$7:$J$306,I213)&lt;&gt;1,"币种不匹配",IF(AND(M213&lt;&gt;"",OR(M213=A213,COUNTIFS('执行日志'!$A$7:$A$306,M213,'执行日志'!$B$7:$B$306,B213,'执行日志'!$L$7:$L$306,"已更正")&lt;&gt;1)),"更正引用待核对","有效输入"))))))))))</x:f>
      </x:c>
    </x:row>
    <x:row r="214" ht="25" customHeight="1">
      <x:c r="A214" s="3"/>
      <x:c r="B214" s="3"/>
      <x:c r="C214" s="3"/>
      <x:c r="D214" s="3"/>
      <x:c r="E214" s="25"/>
      <x:c r="F214" s="25"/>
      <x:c r="G214" s="3"/>
      <x:c r="H214" s="22"/>
      <x:c r="I214" s="3"/>
      <x:c r="J214" s="22"/>
      <x:c r="K214" s="3"/>
      <x:c r="L214" s="3"/>
      <x:c r="M214" s="3"/>
      <x:c r="N214" s="3"/>
      <x:c r="O214" s="3"/>
      <x:c r="P214" s="19" t="str">
        <x:f>IF(A214="","",IF(COUNTIFS('执行日志'!$A$7:$A$306,A214)&lt;&gt;1,"编号重复",IF(COUNTIFS('问题总览'!$A$7:$A$306,B214)&lt;&gt;1,"问题引用无效",IF(OR(L214="已更正",L214="撤销"),"排除汇总",IF(L214&lt;&gt;"有效","待补记录状态",IF(COUNTIFS('方案版本'!$A$7:$A$306,C214,'方案版本'!$B$7:$B$306,B214,'方案版本'!$L$7:$L$306,"已冻结")&lt;&gt;1,"方案引用无效",IF(OR(D214="",NOT(ISNUMBER(E214)),NOT(ISNUMBER(F214)),G214="",K214=""),"待补执行信息",IF(OR(NOT(ISNUMBER(H214)),H214&lt;0,NOT(ISNUMBER(J214)),J214&lt;0),"支出或耗时待补",IF(COUNTIFS('问题总览'!$A$7:$A$306,B214,'问题总览'!$J$7:$J$306,I214)&lt;&gt;1,"币种不匹配",IF(AND(M214&lt;&gt;"",OR(M214=A214,COUNTIFS('执行日志'!$A$7:$A$306,M214,'执行日志'!$B$7:$B$306,B214,'执行日志'!$L$7:$L$306,"已更正")&lt;&gt;1)),"更正引用待核对","有效输入"))))))))))</x:f>
      </x:c>
    </x:row>
    <x:row r="215" ht="25" customHeight="1">
      <x:c r="A215" s="3"/>
      <x:c r="B215" s="3"/>
      <x:c r="C215" s="3"/>
      <x:c r="D215" s="3"/>
      <x:c r="E215" s="25"/>
      <x:c r="F215" s="25"/>
      <x:c r="G215" s="3"/>
      <x:c r="H215" s="22"/>
      <x:c r="I215" s="3"/>
      <x:c r="J215" s="22"/>
      <x:c r="K215" s="3"/>
      <x:c r="L215" s="3"/>
      <x:c r="M215" s="3"/>
      <x:c r="N215" s="3"/>
      <x:c r="O215" s="3"/>
      <x:c r="P215" s="19" t="str">
        <x:f>IF(A215="","",IF(COUNTIFS('执行日志'!$A$7:$A$306,A215)&lt;&gt;1,"编号重复",IF(COUNTIFS('问题总览'!$A$7:$A$306,B215)&lt;&gt;1,"问题引用无效",IF(OR(L215="已更正",L215="撤销"),"排除汇总",IF(L215&lt;&gt;"有效","待补记录状态",IF(COUNTIFS('方案版本'!$A$7:$A$306,C215,'方案版本'!$B$7:$B$306,B215,'方案版本'!$L$7:$L$306,"已冻结")&lt;&gt;1,"方案引用无效",IF(OR(D215="",NOT(ISNUMBER(E215)),NOT(ISNUMBER(F215)),G215="",K215=""),"待补执行信息",IF(OR(NOT(ISNUMBER(H215)),H215&lt;0,NOT(ISNUMBER(J215)),J215&lt;0),"支出或耗时待补",IF(COUNTIFS('问题总览'!$A$7:$A$306,B215,'问题总览'!$J$7:$J$306,I215)&lt;&gt;1,"币种不匹配",IF(AND(M215&lt;&gt;"",OR(M215=A215,COUNTIFS('执行日志'!$A$7:$A$306,M215,'执行日志'!$B$7:$B$306,B215,'执行日志'!$L$7:$L$306,"已更正")&lt;&gt;1)),"更正引用待核对","有效输入"))))))))))</x:f>
      </x:c>
    </x:row>
    <x:row r="216" ht="25" customHeight="1">
      <x:c r="A216" s="3"/>
      <x:c r="B216" s="3"/>
      <x:c r="C216" s="3"/>
      <x:c r="D216" s="3"/>
      <x:c r="E216" s="25"/>
      <x:c r="F216" s="25"/>
      <x:c r="G216" s="3"/>
      <x:c r="H216" s="22"/>
      <x:c r="I216" s="3"/>
      <x:c r="J216" s="22"/>
      <x:c r="K216" s="3"/>
      <x:c r="L216" s="3"/>
      <x:c r="M216" s="3"/>
      <x:c r="N216" s="3"/>
      <x:c r="O216" s="3"/>
      <x:c r="P216" s="19" t="str">
        <x:f>IF(A216="","",IF(COUNTIFS('执行日志'!$A$7:$A$306,A216)&lt;&gt;1,"编号重复",IF(COUNTIFS('问题总览'!$A$7:$A$306,B216)&lt;&gt;1,"问题引用无效",IF(OR(L216="已更正",L216="撤销"),"排除汇总",IF(L216&lt;&gt;"有效","待补记录状态",IF(COUNTIFS('方案版本'!$A$7:$A$306,C216,'方案版本'!$B$7:$B$306,B216,'方案版本'!$L$7:$L$306,"已冻结")&lt;&gt;1,"方案引用无效",IF(OR(D216="",NOT(ISNUMBER(E216)),NOT(ISNUMBER(F216)),G216="",K216=""),"待补执行信息",IF(OR(NOT(ISNUMBER(H216)),H216&lt;0,NOT(ISNUMBER(J216)),J216&lt;0),"支出或耗时待补",IF(COUNTIFS('问题总览'!$A$7:$A$306,B216,'问题总览'!$J$7:$J$306,I216)&lt;&gt;1,"币种不匹配",IF(AND(M216&lt;&gt;"",OR(M216=A216,COUNTIFS('执行日志'!$A$7:$A$306,M216,'执行日志'!$B$7:$B$306,B216,'执行日志'!$L$7:$L$306,"已更正")&lt;&gt;1)),"更正引用待核对","有效输入"))))))))))</x:f>
      </x:c>
    </x:row>
    <x:row r="217" ht="25" customHeight="1">
      <x:c r="A217" s="3"/>
      <x:c r="B217" s="3"/>
      <x:c r="C217" s="3"/>
      <x:c r="D217" s="3"/>
      <x:c r="E217" s="25"/>
      <x:c r="F217" s="25"/>
      <x:c r="G217" s="3"/>
      <x:c r="H217" s="22"/>
      <x:c r="I217" s="3"/>
      <x:c r="J217" s="22"/>
      <x:c r="K217" s="3"/>
      <x:c r="L217" s="3"/>
      <x:c r="M217" s="3"/>
      <x:c r="N217" s="3"/>
      <x:c r="O217" s="3"/>
      <x:c r="P217" s="19" t="str">
        <x:f>IF(A217="","",IF(COUNTIFS('执行日志'!$A$7:$A$306,A217)&lt;&gt;1,"编号重复",IF(COUNTIFS('问题总览'!$A$7:$A$306,B217)&lt;&gt;1,"问题引用无效",IF(OR(L217="已更正",L217="撤销"),"排除汇总",IF(L217&lt;&gt;"有效","待补记录状态",IF(COUNTIFS('方案版本'!$A$7:$A$306,C217,'方案版本'!$B$7:$B$306,B217,'方案版本'!$L$7:$L$306,"已冻结")&lt;&gt;1,"方案引用无效",IF(OR(D217="",NOT(ISNUMBER(E217)),NOT(ISNUMBER(F217)),G217="",K217=""),"待补执行信息",IF(OR(NOT(ISNUMBER(H217)),H217&lt;0,NOT(ISNUMBER(J217)),J217&lt;0),"支出或耗时待补",IF(COUNTIFS('问题总览'!$A$7:$A$306,B217,'问题总览'!$J$7:$J$306,I217)&lt;&gt;1,"币种不匹配",IF(AND(M217&lt;&gt;"",OR(M217=A217,COUNTIFS('执行日志'!$A$7:$A$306,M217,'执行日志'!$B$7:$B$306,B217,'执行日志'!$L$7:$L$306,"已更正")&lt;&gt;1)),"更正引用待核对","有效输入"))))))))))</x:f>
      </x:c>
    </x:row>
    <x:row r="218" ht="25" customHeight="1">
      <x:c r="A218" s="3"/>
      <x:c r="B218" s="3"/>
      <x:c r="C218" s="3"/>
      <x:c r="D218" s="3"/>
      <x:c r="E218" s="25"/>
      <x:c r="F218" s="25"/>
      <x:c r="G218" s="3"/>
      <x:c r="H218" s="22"/>
      <x:c r="I218" s="3"/>
      <x:c r="J218" s="22"/>
      <x:c r="K218" s="3"/>
      <x:c r="L218" s="3"/>
      <x:c r="M218" s="3"/>
      <x:c r="N218" s="3"/>
      <x:c r="O218" s="3"/>
      <x:c r="P218" s="19" t="str">
        <x:f>IF(A218="","",IF(COUNTIFS('执行日志'!$A$7:$A$306,A218)&lt;&gt;1,"编号重复",IF(COUNTIFS('问题总览'!$A$7:$A$306,B218)&lt;&gt;1,"问题引用无效",IF(OR(L218="已更正",L218="撤销"),"排除汇总",IF(L218&lt;&gt;"有效","待补记录状态",IF(COUNTIFS('方案版本'!$A$7:$A$306,C218,'方案版本'!$B$7:$B$306,B218,'方案版本'!$L$7:$L$306,"已冻结")&lt;&gt;1,"方案引用无效",IF(OR(D218="",NOT(ISNUMBER(E218)),NOT(ISNUMBER(F218)),G218="",K218=""),"待补执行信息",IF(OR(NOT(ISNUMBER(H218)),H218&lt;0,NOT(ISNUMBER(J218)),J218&lt;0),"支出或耗时待补",IF(COUNTIFS('问题总览'!$A$7:$A$306,B218,'问题总览'!$J$7:$J$306,I218)&lt;&gt;1,"币种不匹配",IF(AND(M218&lt;&gt;"",OR(M218=A218,COUNTIFS('执行日志'!$A$7:$A$306,M218,'执行日志'!$B$7:$B$306,B218,'执行日志'!$L$7:$L$306,"已更正")&lt;&gt;1)),"更正引用待核对","有效输入"))))))))))</x:f>
      </x:c>
    </x:row>
    <x:row r="219" ht="25" customHeight="1">
      <x:c r="A219" s="3"/>
      <x:c r="B219" s="3"/>
      <x:c r="C219" s="3"/>
      <x:c r="D219" s="3"/>
      <x:c r="E219" s="25"/>
      <x:c r="F219" s="25"/>
      <x:c r="G219" s="3"/>
      <x:c r="H219" s="22"/>
      <x:c r="I219" s="3"/>
      <x:c r="J219" s="22"/>
      <x:c r="K219" s="3"/>
      <x:c r="L219" s="3"/>
      <x:c r="M219" s="3"/>
      <x:c r="N219" s="3"/>
      <x:c r="O219" s="3"/>
      <x:c r="P219" s="19" t="str">
        <x:f>IF(A219="","",IF(COUNTIFS('执行日志'!$A$7:$A$306,A219)&lt;&gt;1,"编号重复",IF(COUNTIFS('问题总览'!$A$7:$A$306,B219)&lt;&gt;1,"问题引用无效",IF(OR(L219="已更正",L219="撤销"),"排除汇总",IF(L219&lt;&gt;"有效","待补记录状态",IF(COUNTIFS('方案版本'!$A$7:$A$306,C219,'方案版本'!$B$7:$B$306,B219,'方案版本'!$L$7:$L$306,"已冻结")&lt;&gt;1,"方案引用无效",IF(OR(D219="",NOT(ISNUMBER(E219)),NOT(ISNUMBER(F219)),G219="",K219=""),"待补执行信息",IF(OR(NOT(ISNUMBER(H219)),H219&lt;0,NOT(ISNUMBER(J219)),J219&lt;0),"支出或耗时待补",IF(COUNTIFS('问题总览'!$A$7:$A$306,B219,'问题总览'!$J$7:$J$306,I219)&lt;&gt;1,"币种不匹配",IF(AND(M219&lt;&gt;"",OR(M219=A219,COUNTIFS('执行日志'!$A$7:$A$306,M219,'执行日志'!$B$7:$B$306,B219,'执行日志'!$L$7:$L$306,"已更正")&lt;&gt;1)),"更正引用待核对","有效输入"))))))))))</x:f>
      </x:c>
    </x:row>
    <x:row r="220" ht="25" customHeight="1">
      <x:c r="A220" s="3"/>
      <x:c r="B220" s="3"/>
      <x:c r="C220" s="3"/>
      <x:c r="D220" s="3"/>
      <x:c r="E220" s="25"/>
      <x:c r="F220" s="25"/>
      <x:c r="G220" s="3"/>
      <x:c r="H220" s="22"/>
      <x:c r="I220" s="3"/>
      <x:c r="J220" s="22"/>
      <x:c r="K220" s="3"/>
      <x:c r="L220" s="3"/>
      <x:c r="M220" s="3"/>
      <x:c r="N220" s="3"/>
      <x:c r="O220" s="3"/>
      <x:c r="P220" s="19" t="str">
        <x:f>IF(A220="","",IF(COUNTIFS('执行日志'!$A$7:$A$306,A220)&lt;&gt;1,"编号重复",IF(COUNTIFS('问题总览'!$A$7:$A$306,B220)&lt;&gt;1,"问题引用无效",IF(OR(L220="已更正",L220="撤销"),"排除汇总",IF(L220&lt;&gt;"有效","待补记录状态",IF(COUNTIFS('方案版本'!$A$7:$A$306,C220,'方案版本'!$B$7:$B$306,B220,'方案版本'!$L$7:$L$306,"已冻结")&lt;&gt;1,"方案引用无效",IF(OR(D220="",NOT(ISNUMBER(E220)),NOT(ISNUMBER(F220)),G220="",K220=""),"待补执行信息",IF(OR(NOT(ISNUMBER(H220)),H220&lt;0,NOT(ISNUMBER(J220)),J220&lt;0),"支出或耗时待补",IF(COUNTIFS('问题总览'!$A$7:$A$306,B220,'问题总览'!$J$7:$J$306,I220)&lt;&gt;1,"币种不匹配",IF(AND(M220&lt;&gt;"",OR(M220=A220,COUNTIFS('执行日志'!$A$7:$A$306,M220,'执行日志'!$B$7:$B$306,B220,'执行日志'!$L$7:$L$306,"已更正")&lt;&gt;1)),"更正引用待核对","有效输入"))))))))))</x:f>
      </x:c>
    </x:row>
    <x:row r="221" ht="25" customHeight="1">
      <x:c r="A221" s="3"/>
      <x:c r="B221" s="3"/>
      <x:c r="C221" s="3"/>
      <x:c r="D221" s="3"/>
      <x:c r="E221" s="25"/>
      <x:c r="F221" s="25"/>
      <x:c r="G221" s="3"/>
      <x:c r="H221" s="22"/>
      <x:c r="I221" s="3"/>
      <x:c r="J221" s="22"/>
      <x:c r="K221" s="3"/>
      <x:c r="L221" s="3"/>
      <x:c r="M221" s="3"/>
      <x:c r="N221" s="3"/>
      <x:c r="O221" s="3"/>
      <x:c r="P221" s="19" t="str">
        <x:f>IF(A221="","",IF(COUNTIFS('执行日志'!$A$7:$A$306,A221)&lt;&gt;1,"编号重复",IF(COUNTIFS('问题总览'!$A$7:$A$306,B221)&lt;&gt;1,"问题引用无效",IF(OR(L221="已更正",L221="撤销"),"排除汇总",IF(L221&lt;&gt;"有效","待补记录状态",IF(COUNTIFS('方案版本'!$A$7:$A$306,C221,'方案版本'!$B$7:$B$306,B221,'方案版本'!$L$7:$L$306,"已冻结")&lt;&gt;1,"方案引用无效",IF(OR(D221="",NOT(ISNUMBER(E221)),NOT(ISNUMBER(F221)),G221="",K221=""),"待补执行信息",IF(OR(NOT(ISNUMBER(H221)),H221&lt;0,NOT(ISNUMBER(J221)),J221&lt;0),"支出或耗时待补",IF(COUNTIFS('问题总览'!$A$7:$A$306,B221,'问题总览'!$J$7:$J$306,I221)&lt;&gt;1,"币种不匹配",IF(AND(M221&lt;&gt;"",OR(M221=A221,COUNTIFS('执行日志'!$A$7:$A$306,M221,'执行日志'!$B$7:$B$306,B221,'执行日志'!$L$7:$L$306,"已更正")&lt;&gt;1)),"更正引用待核对","有效输入"))))))))))</x:f>
      </x:c>
    </x:row>
    <x:row r="222" ht="25" customHeight="1">
      <x:c r="A222" s="3"/>
      <x:c r="B222" s="3"/>
      <x:c r="C222" s="3"/>
      <x:c r="D222" s="3"/>
      <x:c r="E222" s="25"/>
      <x:c r="F222" s="25"/>
      <x:c r="G222" s="3"/>
      <x:c r="H222" s="22"/>
      <x:c r="I222" s="3"/>
      <x:c r="J222" s="22"/>
      <x:c r="K222" s="3"/>
      <x:c r="L222" s="3"/>
      <x:c r="M222" s="3"/>
      <x:c r="N222" s="3"/>
      <x:c r="O222" s="3"/>
      <x:c r="P222" s="19" t="str">
        <x:f>IF(A222="","",IF(COUNTIFS('执行日志'!$A$7:$A$306,A222)&lt;&gt;1,"编号重复",IF(COUNTIFS('问题总览'!$A$7:$A$306,B222)&lt;&gt;1,"问题引用无效",IF(OR(L222="已更正",L222="撤销"),"排除汇总",IF(L222&lt;&gt;"有效","待补记录状态",IF(COUNTIFS('方案版本'!$A$7:$A$306,C222,'方案版本'!$B$7:$B$306,B222,'方案版本'!$L$7:$L$306,"已冻结")&lt;&gt;1,"方案引用无效",IF(OR(D222="",NOT(ISNUMBER(E222)),NOT(ISNUMBER(F222)),G222="",K222=""),"待补执行信息",IF(OR(NOT(ISNUMBER(H222)),H222&lt;0,NOT(ISNUMBER(J222)),J222&lt;0),"支出或耗时待补",IF(COUNTIFS('问题总览'!$A$7:$A$306,B222,'问题总览'!$J$7:$J$306,I222)&lt;&gt;1,"币种不匹配",IF(AND(M222&lt;&gt;"",OR(M222=A222,COUNTIFS('执行日志'!$A$7:$A$306,M222,'执行日志'!$B$7:$B$306,B222,'执行日志'!$L$7:$L$306,"已更正")&lt;&gt;1)),"更正引用待核对","有效输入"))))))))))</x:f>
      </x:c>
    </x:row>
    <x:row r="223" ht="25" customHeight="1">
      <x:c r="A223" s="3"/>
      <x:c r="B223" s="3"/>
      <x:c r="C223" s="3"/>
      <x:c r="D223" s="3"/>
      <x:c r="E223" s="25"/>
      <x:c r="F223" s="25"/>
      <x:c r="G223" s="3"/>
      <x:c r="H223" s="22"/>
      <x:c r="I223" s="3"/>
      <x:c r="J223" s="22"/>
      <x:c r="K223" s="3"/>
      <x:c r="L223" s="3"/>
      <x:c r="M223" s="3"/>
      <x:c r="N223" s="3"/>
      <x:c r="O223" s="3"/>
      <x:c r="P223" s="19" t="str">
        <x:f>IF(A223="","",IF(COUNTIFS('执行日志'!$A$7:$A$306,A223)&lt;&gt;1,"编号重复",IF(COUNTIFS('问题总览'!$A$7:$A$306,B223)&lt;&gt;1,"问题引用无效",IF(OR(L223="已更正",L223="撤销"),"排除汇总",IF(L223&lt;&gt;"有效","待补记录状态",IF(COUNTIFS('方案版本'!$A$7:$A$306,C223,'方案版本'!$B$7:$B$306,B223,'方案版本'!$L$7:$L$306,"已冻结")&lt;&gt;1,"方案引用无效",IF(OR(D223="",NOT(ISNUMBER(E223)),NOT(ISNUMBER(F223)),G223="",K223=""),"待补执行信息",IF(OR(NOT(ISNUMBER(H223)),H223&lt;0,NOT(ISNUMBER(J223)),J223&lt;0),"支出或耗时待补",IF(COUNTIFS('问题总览'!$A$7:$A$306,B223,'问题总览'!$J$7:$J$306,I223)&lt;&gt;1,"币种不匹配",IF(AND(M223&lt;&gt;"",OR(M223=A223,COUNTIFS('执行日志'!$A$7:$A$306,M223,'执行日志'!$B$7:$B$306,B223,'执行日志'!$L$7:$L$306,"已更正")&lt;&gt;1)),"更正引用待核对","有效输入"))))))))))</x:f>
      </x:c>
    </x:row>
    <x:row r="224" ht="25" customHeight="1">
      <x:c r="A224" s="3"/>
      <x:c r="B224" s="3"/>
      <x:c r="C224" s="3"/>
      <x:c r="D224" s="3"/>
      <x:c r="E224" s="25"/>
      <x:c r="F224" s="25"/>
      <x:c r="G224" s="3"/>
      <x:c r="H224" s="22"/>
      <x:c r="I224" s="3"/>
      <x:c r="J224" s="22"/>
      <x:c r="K224" s="3"/>
      <x:c r="L224" s="3"/>
      <x:c r="M224" s="3"/>
      <x:c r="N224" s="3"/>
      <x:c r="O224" s="3"/>
      <x:c r="P224" s="19" t="str">
        <x:f>IF(A224="","",IF(COUNTIFS('执行日志'!$A$7:$A$306,A224)&lt;&gt;1,"编号重复",IF(COUNTIFS('问题总览'!$A$7:$A$306,B224)&lt;&gt;1,"问题引用无效",IF(OR(L224="已更正",L224="撤销"),"排除汇总",IF(L224&lt;&gt;"有效","待补记录状态",IF(COUNTIFS('方案版本'!$A$7:$A$306,C224,'方案版本'!$B$7:$B$306,B224,'方案版本'!$L$7:$L$306,"已冻结")&lt;&gt;1,"方案引用无效",IF(OR(D224="",NOT(ISNUMBER(E224)),NOT(ISNUMBER(F224)),G224="",K224=""),"待补执行信息",IF(OR(NOT(ISNUMBER(H224)),H224&lt;0,NOT(ISNUMBER(J224)),J224&lt;0),"支出或耗时待补",IF(COUNTIFS('问题总览'!$A$7:$A$306,B224,'问题总览'!$J$7:$J$306,I224)&lt;&gt;1,"币种不匹配",IF(AND(M224&lt;&gt;"",OR(M224=A224,COUNTIFS('执行日志'!$A$7:$A$306,M224,'执行日志'!$B$7:$B$306,B224,'执行日志'!$L$7:$L$306,"已更正")&lt;&gt;1)),"更正引用待核对","有效输入"))))))))))</x:f>
      </x:c>
    </x:row>
    <x:row r="225" ht="25" customHeight="1">
      <x:c r="A225" s="3"/>
      <x:c r="B225" s="3"/>
      <x:c r="C225" s="3"/>
      <x:c r="D225" s="3"/>
      <x:c r="E225" s="25"/>
      <x:c r="F225" s="25"/>
      <x:c r="G225" s="3"/>
      <x:c r="H225" s="22"/>
      <x:c r="I225" s="3"/>
      <x:c r="J225" s="22"/>
      <x:c r="K225" s="3"/>
      <x:c r="L225" s="3"/>
      <x:c r="M225" s="3"/>
      <x:c r="N225" s="3"/>
      <x:c r="O225" s="3"/>
      <x:c r="P225" s="19" t="str">
        <x:f>IF(A225="","",IF(COUNTIFS('执行日志'!$A$7:$A$306,A225)&lt;&gt;1,"编号重复",IF(COUNTIFS('问题总览'!$A$7:$A$306,B225)&lt;&gt;1,"问题引用无效",IF(OR(L225="已更正",L225="撤销"),"排除汇总",IF(L225&lt;&gt;"有效","待补记录状态",IF(COUNTIFS('方案版本'!$A$7:$A$306,C225,'方案版本'!$B$7:$B$306,B225,'方案版本'!$L$7:$L$306,"已冻结")&lt;&gt;1,"方案引用无效",IF(OR(D225="",NOT(ISNUMBER(E225)),NOT(ISNUMBER(F225)),G225="",K225=""),"待补执行信息",IF(OR(NOT(ISNUMBER(H225)),H225&lt;0,NOT(ISNUMBER(J225)),J225&lt;0),"支出或耗时待补",IF(COUNTIFS('问题总览'!$A$7:$A$306,B225,'问题总览'!$J$7:$J$306,I225)&lt;&gt;1,"币种不匹配",IF(AND(M225&lt;&gt;"",OR(M225=A225,COUNTIFS('执行日志'!$A$7:$A$306,M225,'执行日志'!$B$7:$B$306,B225,'执行日志'!$L$7:$L$306,"已更正")&lt;&gt;1)),"更正引用待核对","有效输入"))))))))))</x:f>
      </x:c>
    </x:row>
    <x:row r="226" ht="25" customHeight="1">
      <x:c r="A226" s="3"/>
      <x:c r="B226" s="3"/>
      <x:c r="C226" s="3"/>
      <x:c r="D226" s="3"/>
      <x:c r="E226" s="25"/>
      <x:c r="F226" s="25"/>
      <x:c r="G226" s="3"/>
      <x:c r="H226" s="22"/>
      <x:c r="I226" s="3"/>
      <x:c r="J226" s="22"/>
      <x:c r="K226" s="3"/>
      <x:c r="L226" s="3"/>
      <x:c r="M226" s="3"/>
      <x:c r="N226" s="3"/>
      <x:c r="O226" s="3"/>
      <x:c r="P226" s="19" t="str">
        <x:f>IF(A226="","",IF(COUNTIFS('执行日志'!$A$7:$A$306,A226)&lt;&gt;1,"编号重复",IF(COUNTIFS('问题总览'!$A$7:$A$306,B226)&lt;&gt;1,"问题引用无效",IF(OR(L226="已更正",L226="撤销"),"排除汇总",IF(L226&lt;&gt;"有效","待补记录状态",IF(COUNTIFS('方案版本'!$A$7:$A$306,C226,'方案版本'!$B$7:$B$306,B226,'方案版本'!$L$7:$L$306,"已冻结")&lt;&gt;1,"方案引用无效",IF(OR(D226="",NOT(ISNUMBER(E226)),NOT(ISNUMBER(F226)),G226="",K226=""),"待补执行信息",IF(OR(NOT(ISNUMBER(H226)),H226&lt;0,NOT(ISNUMBER(J226)),J226&lt;0),"支出或耗时待补",IF(COUNTIFS('问题总览'!$A$7:$A$306,B226,'问题总览'!$J$7:$J$306,I226)&lt;&gt;1,"币种不匹配",IF(AND(M226&lt;&gt;"",OR(M226=A226,COUNTIFS('执行日志'!$A$7:$A$306,M226,'执行日志'!$B$7:$B$306,B226,'执行日志'!$L$7:$L$306,"已更正")&lt;&gt;1)),"更正引用待核对","有效输入"))))))))))</x:f>
      </x:c>
    </x:row>
    <x:row r="227" ht="25" customHeight="1">
      <x:c r="A227" s="3"/>
      <x:c r="B227" s="3"/>
      <x:c r="C227" s="3"/>
      <x:c r="D227" s="3"/>
      <x:c r="E227" s="25"/>
      <x:c r="F227" s="25"/>
      <x:c r="G227" s="3"/>
      <x:c r="H227" s="22"/>
      <x:c r="I227" s="3"/>
      <x:c r="J227" s="22"/>
      <x:c r="K227" s="3"/>
      <x:c r="L227" s="3"/>
      <x:c r="M227" s="3"/>
      <x:c r="N227" s="3"/>
      <x:c r="O227" s="3"/>
      <x:c r="P227" s="19" t="str">
        <x:f>IF(A227="","",IF(COUNTIFS('执行日志'!$A$7:$A$306,A227)&lt;&gt;1,"编号重复",IF(COUNTIFS('问题总览'!$A$7:$A$306,B227)&lt;&gt;1,"问题引用无效",IF(OR(L227="已更正",L227="撤销"),"排除汇总",IF(L227&lt;&gt;"有效","待补记录状态",IF(COUNTIFS('方案版本'!$A$7:$A$306,C227,'方案版本'!$B$7:$B$306,B227,'方案版本'!$L$7:$L$306,"已冻结")&lt;&gt;1,"方案引用无效",IF(OR(D227="",NOT(ISNUMBER(E227)),NOT(ISNUMBER(F227)),G227="",K227=""),"待补执行信息",IF(OR(NOT(ISNUMBER(H227)),H227&lt;0,NOT(ISNUMBER(J227)),J227&lt;0),"支出或耗时待补",IF(COUNTIFS('问题总览'!$A$7:$A$306,B227,'问题总览'!$J$7:$J$306,I227)&lt;&gt;1,"币种不匹配",IF(AND(M227&lt;&gt;"",OR(M227=A227,COUNTIFS('执行日志'!$A$7:$A$306,M227,'执行日志'!$B$7:$B$306,B227,'执行日志'!$L$7:$L$306,"已更正")&lt;&gt;1)),"更正引用待核对","有效输入"))))))))))</x:f>
      </x:c>
    </x:row>
    <x:row r="228" ht="25" customHeight="1">
      <x:c r="A228" s="3"/>
      <x:c r="B228" s="3"/>
      <x:c r="C228" s="3"/>
      <x:c r="D228" s="3"/>
      <x:c r="E228" s="25"/>
      <x:c r="F228" s="25"/>
      <x:c r="G228" s="3"/>
      <x:c r="H228" s="22"/>
      <x:c r="I228" s="3"/>
      <x:c r="J228" s="22"/>
      <x:c r="K228" s="3"/>
      <x:c r="L228" s="3"/>
      <x:c r="M228" s="3"/>
      <x:c r="N228" s="3"/>
      <x:c r="O228" s="3"/>
      <x:c r="P228" s="19" t="str">
        <x:f>IF(A228="","",IF(COUNTIFS('执行日志'!$A$7:$A$306,A228)&lt;&gt;1,"编号重复",IF(COUNTIFS('问题总览'!$A$7:$A$306,B228)&lt;&gt;1,"问题引用无效",IF(OR(L228="已更正",L228="撤销"),"排除汇总",IF(L228&lt;&gt;"有效","待补记录状态",IF(COUNTIFS('方案版本'!$A$7:$A$306,C228,'方案版本'!$B$7:$B$306,B228,'方案版本'!$L$7:$L$306,"已冻结")&lt;&gt;1,"方案引用无效",IF(OR(D228="",NOT(ISNUMBER(E228)),NOT(ISNUMBER(F228)),G228="",K228=""),"待补执行信息",IF(OR(NOT(ISNUMBER(H228)),H228&lt;0,NOT(ISNUMBER(J228)),J228&lt;0),"支出或耗时待补",IF(COUNTIFS('问题总览'!$A$7:$A$306,B228,'问题总览'!$J$7:$J$306,I228)&lt;&gt;1,"币种不匹配",IF(AND(M228&lt;&gt;"",OR(M228=A228,COUNTIFS('执行日志'!$A$7:$A$306,M228,'执行日志'!$B$7:$B$306,B228,'执行日志'!$L$7:$L$306,"已更正")&lt;&gt;1)),"更正引用待核对","有效输入"))))))))))</x:f>
      </x:c>
    </x:row>
    <x:row r="229" ht="25" customHeight="1">
      <x:c r="A229" s="3"/>
      <x:c r="B229" s="3"/>
      <x:c r="C229" s="3"/>
      <x:c r="D229" s="3"/>
      <x:c r="E229" s="25"/>
      <x:c r="F229" s="25"/>
      <x:c r="G229" s="3"/>
      <x:c r="H229" s="22"/>
      <x:c r="I229" s="3"/>
      <x:c r="J229" s="22"/>
      <x:c r="K229" s="3"/>
      <x:c r="L229" s="3"/>
      <x:c r="M229" s="3"/>
      <x:c r="N229" s="3"/>
      <x:c r="O229" s="3"/>
      <x:c r="P229" s="19" t="str">
        <x:f>IF(A229="","",IF(COUNTIFS('执行日志'!$A$7:$A$306,A229)&lt;&gt;1,"编号重复",IF(COUNTIFS('问题总览'!$A$7:$A$306,B229)&lt;&gt;1,"问题引用无效",IF(OR(L229="已更正",L229="撤销"),"排除汇总",IF(L229&lt;&gt;"有效","待补记录状态",IF(COUNTIFS('方案版本'!$A$7:$A$306,C229,'方案版本'!$B$7:$B$306,B229,'方案版本'!$L$7:$L$306,"已冻结")&lt;&gt;1,"方案引用无效",IF(OR(D229="",NOT(ISNUMBER(E229)),NOT(ISNUMBER(F229)),G229="",K229=""),"待补执行信息",IF(OR(NOT(ISNUMBER(H229)),H229&lt;0,NOT(ISNUMBER(J229)),J229&lt;0),"支出或耗时待补",IF(COUNTIFS('问题总览'!$A$7:$A$306,B229,'问题总览'!$J$7:$J$306,I229)&lt;&gt;1,"币种不匹配",IF(AND(M229&lt;&gt;"",OR(M229=A229,COUNTIFS('执行日志'!$A$7:$A$306,M229,'执行日志'!$B$7:$B$306,B229,'执行日志'!$L$7:$L$306,"已更正")&lt;&gt;1)),"更正引用待核对","有效输入"))))))))))</x:f>
      </x:c>
    </x:row>
    <x:row r="230" ht="25" customHeight="1">
      <x:c r="A230" s="3"/>
      <x:c r="B230" s="3"/>
      <x:c r="C230" s="3"/>
      <x:c r="D230" s="3"/>
      <x:c r="E230" s="25"/>
      <x:c r="F230" s="25"/>
      <x:c r="G230" s="3"/>
      <x:c r="H230" s="22"/>
      <x:c r="I230" s="3"/>
      <x:c r="J230" s="22"/>
      <x:c r="K230" s="3"/>
      <x:c r="L230" s="3"/>
      <x:c r="M230" s="3"/>
      <x:c r="N230" s="3"/>
      <x:c r="O230" s="3"/>
      <x:c r="P230" s="19" t="str">
        <x:f>IF(A230="","",IF(COUNTIFS('执行日志'!$A$7:$A$306,A230)&lt;&gt;1,"编号重复",IF(COUNTIFS('问题总览'!$A$7:$A$306,B230)&lt;&gt;1,"问题引用无效",IF(OR(L230="已更正",L230="撤销"),"排除汇总",IF(L230&lt;&gt;"有效","待补记录状态",IF(COUNTIFS('方案版本'!$A$7:$A$306,C230,'方案版本'!$B$7:$B$306,B230,'方案版本'!$L$7:$L$306,"已冻结")&lt;&gt;1,"方案引用无效",IF(OR(D230="",NOT(ISNUMBER(E230)),NOT(ISNUMBER(F230)),G230="",K230=""),"待补执行信息",IF(OR(NOT(ISNUMBER(H230)),H230&lt;0,NOT(ISNUMBER(J230)),J230&lt;0),"支出或耗时待补",IF(COUNTIFS('问题总览'!$A$7:$A$306,B230,'问题总览'!$J$7:$J$306,I230)&lt;&gt;1,"币种不匹配",IF(AND(M230&lt;&gt;"",OR(M230=A230,COUNTIFS('执行日志'!$A$7:$A$306,M230,'执行日志'!$B$7:$B$306,B230,'执行日志'!$L$7:$L$306,"已更正")&lt;&gt;1)),"更正引用待核对","有效输入"))))))))))</x:f>
      </x:c>
    </x:row>
    <x:row r="231" ht="25" customHeight="1">
      <x:c r="A231" s="3"/>
      <x:c r="B231" s="3"/>
      <x:c r="C231" s="3"/>
      <x:c r="D231" s="3"/>
      <x:c r="E231" s="25"/>
      <x:c r="F231" s="25"/>
      <x:c r="G231" s="3"/>
      <x:c r="H231" s="22"/>
      <x:c r="I231" s="3"/>
      <x:c r="J231" s="22"/>
      <x:c r="K231" s="3"/>
      <x:c r="L231" s="3"/>
      <x:c r="M231" s="3"/>
      <x:c r="N231" s="3"/>
      <x:c r="O231" s="3"/>
      <x:c r="P231" s="19" t="str">
        <x:f>IF(A231="","",IF(COUNTIFS('执行日志'!$A$7:$A$306,A231)&lt;&gt;1,"编号重复",IF(COUNTIFS('问题总览'!$A$7:$A$306,B231)&lt;&gt;1,"问题引用无效",IF(OR(L231="已更正",L231="撤销"),"排除汇总",IF(L231&lt;&gt;"有效","待补记录状态",IF(COUNTIFS('方案版本'!$A$7:$A$306,C231,'方案版本'!$B$7:$B$306,B231,'方案版本'!$L$7:$L$306,"已冻结")&lt;&gt;1,"方案引用无效",IF(OR(D231="",NOT(ISNUMBER(E231)),NOT(ISNUMBER(F231)),G231="",K231=""),"待补执行信息",IF(OR(NOT(ISNUMBER(H231)),H231&lt;0,NOT(ISNUMBER(J231)),J231&lt;0),"支出或耗时待补",IF(COUNTIFS('问题总览'!$A$7:$A$306,B231,'问题总览'!$J$7:$J$306,I231)&lt;&gt;1,"币种不匹配",IF(AND(M231&lt;&gt;"",OR(M231=A231,COUNTIFS('执行日志'!$A$7:$A$306,M231,'执行日志'!$B$7:$B$306,B231,'执行日志'!$L$7:$L$306,"已更正")&lt;&gt;1)),"更正引用待核对","有效输入"))))))))))</x:f>
      </x:c>
    </x:row>
    <x:row r="232" ht="25" customHeight="1">
      <x:c r="A232" s="3"/>
      <x:c r="B232" s="3"/>
      <x:c r="C232" s="3"/>
      <x:c r="D232" s="3"/>
      <x:c r="E232" s="25"/>
      <x:c r="F232" s="25"/>
      <x:c r="G232" s="3"/>
      <x:c r="H232" s="22"/>
      <x:c r="I232" s="3"/>
      <x:c r="J232" s="22"/>
      <x:c r="K232" s="3"/>
      <x:c r="L232" s="3"/>
      <x:c r="M232" s="3"/>
      <x:c r="N232" s="3"/>
      <x:c r="O232" s="3"/>
      <x:c r="P232" s="19" t="str">
        <x:f>IF(A232="","",IF(COUNTIFS('执行日志'!$A$7:$A$306,A232)&lt;&gt;1,"编号重复",IF(COUNTIFS('问题总览'!$A$7:$A$306,B232)&lt;&gt;1,"问题引用无效",IF(OR(L232="已更正",L232="撤销"),"排除汇总",IF(L232&lt;&gt;"有效","待补记录状态",IF(COUNTIFS('方案版本'!$A$7:$A$306,C232,'方案版本'!$B$7:$B$306,B232,'方案版本'!$L$7:$L$306,"已冻结")&lt;&gt;1,"方案引用无效",IF(OR(D232="",NOT(ISNUMBER(E232)),NOT(ISNUMBER(F232)),G232="",K232=""),"待补执行信息",IF(OR(NOT(ISNUMBER(H232)),H232&lt;0,NOT(ISNUMBER(J232)),J232&lt;0),"支出或耗时待补",IF(COUNTIFS('问题总览'!$A$7:$A$306,B232,'问题总览'!$J$7:$J$306,I232)&lt;&gt;1,"币种不匹配",IF(AND(M232&lt;&gt;"",OR(M232=A232,COUNTIFS('执行日志'!$A$7:$A$306,M232,'执行日志'!$B$7:$B$306,B232,'执行日志'!$L$7:$L$306,"已更正")&lt;&gt;1)),"更正引用待核对","有效输入"))))))))))</x:f>
      </x:c>
    </x:row>
    <x:row r="233" ht="25" customHeight="1">
      <x:c r="A233" s="3"/>
      <x:c r="B233" s="3"/>
      <x:c r="C233" s="3"/>
      <x:c r="D233" s="3"/>
      <x:c r="E233" s="25"/>
      <x:c r="F233" s="25"/>
      <x:c r="G233" s="3"/>
      <x:c r="H233" s="22"/>
      <x:c r="I233" s="3"/>
      <x:c r="J233" s="22"/>
      <x:c r="K233" s="3"/>
      <x:c r="L233" s="3"/>
      <x:c r="M233" s="3"/>
      <x:c r="N233" s="3"/>
      <x:c r="O233" s="3"/>
      <x:c r="P233" s="19" t="str">
        <x:f>IF(A233="","",IF(COUNTIFS('执行日志'!$A$7:$A$306,A233)&lt;&gt;1,"编号重复",IF(COUNTIFS('问题总览'!$A$7:$A$306,B233)&lt;&gt;1,"问题引用无效",IF(OR(L233="已更正",L233="撤销"),"排除汇总",IF(L233&lt;&gt;"有效","待补记录状态",IF(COUNTIFS('方案版本'!$A$7:$A$306,C233,'方案版本'!$B$7:$B$306,B233,'方案版本'!$L$7:$L$306,"已冻结")&lt;&gt;1,"方案引用无效",IF(OR(D233="",NOT(ISNUMBER(E233)),NOT(ISNUMBER(F233)),G233="",K233=""),"待补执行信息",IF(OR(NOT(ISNUMBER(H233)),H233&lt;0,NOT(ISNUMBER(J233)),J233&lt;0),"支出或耗时待补",IF(COUNTIFS('问题总览'!$A$7:$A$306,B233,'问题总览'!$J$7:$J$306,I233)&lt;&gt;1,"币种不匹配",IF(AND(M233&lt;&gt;"",OR(M233=A233,COUNTIFS('执行日志'!$A$7:$A$306,M233,'执行日志'!$B$7:$B$306,B233,'执行日志'!$L$7:$L$306,"已更正")&lt;&gt;1)),"更正引用待核对","有效输入"))))))))))</x:f>
      </x:c>
    </x:row>
    <x:row r="234" ht="25" customHeight="1">
      <x:c r="A234" s="3"/>
      <x:c r="B234" s="3"/>
      <x:c r="C234" s="3"/>
      <x:c r="D234" s="3"/>
      <x:c r="E234" s="25"/>
      <x:c r="F234" s="25"/>
      <x:c r="G234" s="3"/>
      <x:c r="H234" s="22"/>
      <x:c r="I234" s="3"/>
      <x:c r="J234" s="22"/>
      <x:c r="K234" s="3"/>
      <x:c r="L234" s="3"/>
      <x:c r="M234" s="3"/>
      <x:c r="N234" s="3"/>
      <x:c r="O234" s="3"/>
      <x:c r="P234" s="19" t="str">
        <x:f>IF(A234="","",IF(COUNTIFS('执行日志'!$A$7:$A$306,A234)&lt;&gt;1,"编号重复",IF(COUNTIFS('问题总览'!$A$7:$A$306,B234)&lt;&gt;1,"问题引用无效",IF(OR(L234="已更正",L234="撤销"),"排除汇总",IF(L234&lt;&gt;"有效","待补记录状态",IF(COUNTIFS('方案版本'!$A$7:$A$306,C234,'方案版本'!$B$7:$B$306,B234,'方案版本'!$L$7:$L$306,"已冻结")&lt;&gt;1,"方案引用无效",IF(OR(D234="",NOT(ISNUMBER(E234)),NOT(ISNUMBER(F234)),G234="",K234=""),"待补执行信息",IF(OR(NOT(ISNUMBER(H234)),H234&lt;0,NOT(ISNUMBER(J234)),J234&lt;0),"支出或耗时待补",IF(COUNTIFS('问题总览'!$A$7:$A$306,B234,'问题总览'!$J$7:$J$306,I234)&lt;&gt;1,"币种不匹配",IF(AND(M234&lt;&gt;"",OR(M234=A234,COUNTIFS('执行日志'!$A$7:$A$306,M234,'执行日志'!$B$7:$B$306,B234,'执行日志'!$L$7:$L$306,"已更正")&lt;&gt;1)),"更正引用待核对","有效输入"))))))))))</x:f>
      </x:c>
    </x:row>
    <x:row r="235" ht="25" customHeight="1">
      <x:c r="A235" s="3"/>
      <x:c r="B235" s="3"/>
      <x:c r="C235" s="3"/>
      <x:c r="D235" s="3"/>
      <x:c r="E235" s="25"/>
      <x:c r="F235" s="25"/>
      <x:c r="G235" s="3"/>
      <x:c r="H235" s="22"/>
      <x:c r="I235" s="3"/>
      <x:c r="J235" s="22"/>
      <x:c r="K235" s="3"/>
      <x:c r="L235" s="3"/>
      <x:c r="M235" s="3"/>
      <x:c r="N235" s="3"/>
      <x:c r="O235" s="3"/>
      <x:c r="P235" s="19" t="str">
        <x:f>IF(A235="","",IF(COUNTIFS('执行日志'!$A$7:$A$306,A235)&lt;&gt;1,"编号重复",IF(COUNTIFS('问题总览'!$A$7:$A$306,B235)&lt;&gt;1,"问题引用无效",IF(OR(L235="已更正",L235="撤销"),"排除汇总",IF(L235&lt;&gt;"有效","待补记录状态",IF(COUNTIFS('方案版本'!$A$7:$A$306,C235,'方案版本'!$B$7:$B$306,B235,'方案版本'!$L$7:$L$306,"已冻结")&lt;&gt;1,"方案引用无效",IF(OR(D235="",NOT(ISNUMBER(E235)),NOT(ISNUMBER(F235)),G235="",K235=""),"待补执行信息",IF(OR(NOT(ISNUMBER(H235)),H235&lt;0,NOT(ISNUMBER(J235)),J235&lt;0),"支出或耗时待补",IF(COUNTIFS('问题总览'!$A$7:$A$306,B235,'问题总览'!$J$7:$J$306,I235)&lt;&gt;1,"币种不匹配",IF(AND(M235&lt;&gt;"",OR(M235=A235,COUNTIFS('执行日志'!$A$7:$A$306,M235,'执行日志'!$B$7:$B$306,B235,'执行日志'!$L$7:$L$306,"已更正")&lt;&gt;1)),"更正引用待核对","有效输入"))))))))))</x:f>
      </x:c>
    </x:row>
    <x:row r="236" ht="25" customHeight="1">
      <x:c r="A236" s="3"/>
      <x:c r="B236" s="3"/>
      <x:c r="C236" s="3"/>
      <x:c r="D236" s="3"/>
      <x:c r="E236" s="25"/>
      <x:c r="F236" s="25"/>
      <x:c r="G236" s="3"/>
      <x:c r="H236" s="22"/>
      <x:c r="I236" s="3"/>
      <x:c r="J236" s="22"/>
      <x:c r="K236" s="3"/>
      <x:c r="L236" s="3"/>
      <x:c r="M236" s="3"/>
      <x:c r="N236" s="3"/>
      <x:c r="O236" s="3"/>
      <x:c r="P236" s="19" t="str">
        <x:f>IF(A236="","",IF(COUNTIFS('执行日志'!$A$7:$A$306,A236)&lt;&gt;1,"编号重复",IF(COUNTIFS('问题总览'!$A$7:$A$306,B236)&lt;&gt;1,"问题引用无效",IF(OR(L236="已更正",L236="撤销"),"排除汇总",IF(L236&lt;&gt;"有效","待补记录状态",IF(COUNTIFS('方案版本'!$A$7:$A$306,C236,'方案版本'!$B$7:$B$306,B236,'方案版本'!$L$7:$L$306,"已冻结")&lt;&gt;1,"方案引用无效",IF(OR(D236="",NOT(ISNUMBER(E236)),NOT(ISNUMBER(F236)),G236="",K236=""),"待补执行信息",IF(OR(NOT(ISNUMBER(H236)),H236&lt;0,NOT(ISNUMBER(J236)),J236&lt;0),"支出或耗时待补",IF(COUNTIFS('问题总览'!$A$7:$A$306,B236,'问题总览'!$J$7:$J$306,I236)&lt;&gt;1,"币种不匹配",IF(AND(M236&lt;&gt;"",OR(M236=A236,COUNTIFS('执行日志'!$A$7:$A$306,M236,'执行日志'!$B$7:$B$306,B236,'执行日志'!$L$7:$L$306,"已更正")&lt;&gt;1)),"更正引用待核对","有效输入"))))))))))</x:f>
      </x:c>
    </x:row>
    <x:row r="237" ht="25" customHeight="1">
      <x:c r="A237" s="3"/>
      <x:c r="B237" s="3"/>
      <x:c r="C237" s="3"/>
      <x:c r="D237" s="3"/>
      <x:c r="E237" s="25"/>
      <x:c r="F237" s="25"/>
      <x:c r="G237" s="3"/>
      <x:c r="H237" s="22"/>
      <x:c r="I237" s="3"/>
      <x:c r="J237" s="22"/>
      <x:c r="K237" s="3"/>
      <x:c r="L237" s="3"/>
      <x:c r="M237" s="3"/>
      <x:c r="N237" s="3"/>
      <x:c r="O237" s="3"/>
      <x:c r="P237" s="19" t="str">
        <x:f>IF(A237="","",IF(COUNTIFS('执行日志'!$A$7:$A$306,A237)&lt;&gt;1,"编号重复",IF(COUNTIFS('问题总览'!$A$7:$A$306,B237)&lt;&gt;1,"问题引用无效",IF(OR(L237="已更正",L237="撤销"),"排除汇总",IF(L237&lt;&gt;"有效","待补记录状态",IF(COUNTIFS('方案版本'!$A$7:$A$306,C237,'方案版本'!$B$7:$B$306,B237,'方案版本'!$L$7:$L$306,"已冻结")&lt;&gt;1,"方案引用无效",IF(OR(D237="",NOT(ISNUMBER(E237)),NOT(ISNUMBER(F237)),G237="",K237=""),"待补执行信息",IF(OR(NOT(ISNUMBER(H237)),H237&lt;0,NOT(ISNUMBER(J237)),J237&lt;0),"支出或耗时待补",IF(COUNTIFS('问题总览'!$A$7:$A$306,B237,'问题总览'!$J$7:$J$306,I237)&lt;&gt;1,"币种不匹配",IF(AND(M237&lt;&gt;"",OR(M237=A237,COUNTIFS('执行日志'!$A$7:$A$306,M237,'执行日志'!$B$7:$B$306,B237,'执行日志'!$L$7:$L$306,"已更正")&lt;&gt;1)),"更正引用待核对","有效输入"))))))))))</x:f>
      </x:c>
    </x:row>
    <x:row r="238" ht="25" customHeight="1">
      <x:c r="A238" s="3"/>
      <x:c r="B238" s="3"/>
      <x:c r="C238" s="3"/>
      <x:c r="D238" s="3"/>
      <x:c r="E238" s="25"/>
      <x:c r="F238" s="25"/>
      <x:c r="G238" s="3"/>
      <x:c r="H238" s="22"/>
      <x:c r="I238" s="3"/>
      <x:c r="J238" s="22"/>
      <x:c r="K238" s="3"/>
      <x:c r="L238" s="3"/>
      <x:c r="M238" s="3"/>
      <x:c r="N238" s="3"/>
      <x:c r="O238" s="3"/>
      <x:c r="P238" s="19" t="str">
        <x:f>IF(A238="","",IF(COUNTIFS('执行日志'!$A$7:$A$306,A238)&lt;&gt;1,"编号重复",IF(COUNTIFS('问题总览'!$A$7:$A$306,B238)&lt;&gt;1,"问题引用无效",IF(OR(L238="已更正",L238="撤销"),"排除汇总",IF(L238&lt;&gt;"有效","待补记录状态",IF(COUNTIFS('方案版本'!$A$7:$A$306,C238,'方案版本'!$B$7:$B$306,B238,'方案版本'!$L$7:$L$306,"已冻结")&lt;&gt;1,"方案引用无效",IF(OR(D238="",NOT(ISNUMBER(E238)),NOT(ISNUMBER(F238)),G238="",K238=""),"待补执行信息",IF(OR(NOT(ISNUMBER(H238)),H238&lt;0,NOT(ISNUMBER(J238)),J238&lt;0),"支出或耗时待补",IF(COUNTIFS('问题总览'!$A$7:$A$306,B238,'问题总览'!$J$7:$J$306,I238)&lt;&gt;1,"币种不匹配",IF(AND(M238&lt;&gt;"",OR(M238=A238,COUNTIFS('执行日志'!$A$7:$A$306,M238,'执行日志'!$B$7:$B$306,B238,'执行日志'!$L$7:$L$306,"已更正")&lt;&gt;1)),"更正引用待核对","有效输入"))))))))))</x:f>
      </x:c>
    </x:row>
    <x:row r="239" ht="25" customHeight="1">
      <x:c r="A239" s="3"/>
      <x:c r="B239" s="3"/>
      <x:c r="C239" s="3"/>
      <x:c r="D239" s="3"/>
      <x:c r="E239" s="25"/>
      <x:c r="F239" s="25"/>
      <x:c r="G239" s="3"/>
      <x:c r="H239" s="22"/>
      <x:c r="I239" s="3"/>
      <x:c r="J239" s="22"/>
      <x:c r="K239" s="3"/>
      <x:c r="L239" s="3"/>
      <x:c r="M239" s="3"/>
      <x:c r="N239" s="3"/>
      <x:c r="O239" s="3"/>
      <x:c r="P239" s="19" t="str">
        <x:f>IF(A239="","",IF(COUNTIFS('执行日志'!$A$7:$A$306,A239)&lt;&gt;1,"编号重复",IF(COUNTIFS('问题总览'!$A$7:$A$306,B239)&lt;&gt;1,"问题引用无效",IF(OR(L239="已更正",L239="撤销"),"排除汇总",IF(L239&lt;&gt;"有效","待补记录状态",IF(COUNTIFS('方案版本'!$A$7:$A$306,C239,'方案版本'!$B$7:$B$306,B239,'方案版本'!$L$7:$L$306,"已冻结")&lt;&gt;1,"方案引用无效",IF(OR(D239="",NOT(ISNUMBER(E239)),NOT(ISNUMBER(F239)),G239="",K239=""),"待补执行信息",IF(OR(NOT(ISNUMBER(H239)),H239&lt;0,NOT(ISNUMBER(J239)),J239&lt;0),"支出或耗时待补",IF(COUNTIFS('问题总览'!$A$7:$A$306,B239,'问题总览'!$J$7:$J$306,I239)&lt;&gt;1,"币种不匹配",IF(AND(M239&lt;&gt;"",OR(M239=A239,COUNTIFS('执行日志'!$A$7:$A$306,M239,'执行日志'!$B$7:$B$306,B239,'执行日志'!$L$7:$L$306,"已更正")&lt;&gt;1)),"更正引用待核对","有效输入"))))))))))</x:f>
      </x:c>
    </x:row>
    <x:row r="240" ht="25" customHeight="1">
      <x:c r="A240" s="3"/>
      <x:c r="B240" s="3"/>
      <x:c r="C240" s="3"/>
      <x:c r="D240" s="3"/>
      <x:c r="E240" s="25"/>
      <x:c r="F240" s="25"/>
      <x:c r="G240" s="3"/>
      <x:c r="H240" s="22"/>
      <x:c r="I240" s="3"/>
      <x:c r="J240" s="22"/>
      <x:c r="K240" s="3"/>
      <x:c r="L240" s="3"/>
      <x:c r="M240" s="3"/>
      <x:c r="N240" s="3"/>
      <x:c r="O240" s="3"/>
      <x:c r="P240" s="19" t="str">
        <x:f>IF(A240="","",IF(COUNTIFS('执行日志'!$A$7:$A$306,A240)&lt;&gt;1,"编号重复",IF(COUNTIFS('问题总览'!$A$7:$A$306,B240)&lt;&gt;1,"问题引用无效",IF(OR(L240="已更正",L240="撤销"),"排除汇总",IF(L240&lt;&gt;"有效","待补记录状态",IF(COUNTIFS('方案版本'!$A$7:$A$306,C240,'方案版本'!$B$7:$B$306,B240,'方案版本'!$L$7:$L$306,"已冻结")&lt;&gt;1,"方案引用无效",IF(OR(D240="",NOT(ISNUMBER(E240)),NOT(ISNUMBER(F240)),G240="",K240=""),"待补执行信息",IF(OR(NOT(ISNUMBER(H240)),H240&lt;0,NOT(ISNUMBER(J240)),J240&lt;0),"支出或耗时待补",IF(COUNTIFS('问题总览'!$A$7:$A$306,B240,'问题总览'!$J$7:$J$306,I240)&lt;&gt;1,"币种不匹配",IF(AND(M240&lt;&gt;"",OR(M240=A240,COUNTIFS('执行日志'!$A$7:$A$306,M240,'执行日志'!$B$7:$B$306,B240,'执行日志'!$L$7:$L$306,"已更正")&lt;&gt;1)),"更正引用待核对","有效输入"))))))))))</x:f>
      </x:c>
    </x:row>
    <x:row r="241" ht="25" customHeight="1">
      <x:c r="A241" s="3"/>
      <x:c r="B241" s="3"/>
      <x:c r="C241" s="3"/>
      <x:c r="D241" s="3"/>
      <x:c r="E241" s="25"/>
      <x:c r="F241" s="25"/>
      <x:c r="G241" s="3"/>
      <x:c r="H241" s="22"/>
      <x:c r="I241" s="3"/>
      <x:c r="J241" s="22"/>
      <x:c r="K241" s="3"/>
      <x:c r="L241" s="3"/>
      <x:c r="M241" s="3"/>
      <x:c r="N241" s="3"/>
      <x:c r="O241" s="3"/>
      <x:c r="P241" s="19" t="str">
        <x:f>IF(A241="","",IF(COUNTIFS('执行日志'!$A$7:$A$306,A241)&lt;&gt;1,"编号重复",IF(COUNTIFS('问题总览'!$A$7:$A$306,B241)&lt;&gt;1,"问题引用无效",IF(OR(L241="已更正",L241="撤销"),"排除汇总",IF(L241&lt;&gt;"有效","待补记录状态",IF(COUNTIFS('方案版本'!$A$7:$A$306,C241,'方案版本'!$B$7:$B$306,B241,'方案版本'!$L$7:$L$306,"已冻结")&lt;&gt;1,"方案引用无效",IF(OR(D241="",NOT(ISNUMBER(E241)),NOT(ISNUMBER(F241)),G241="",K241=""),"待补执行信息",IF(OR(NOT(ISNUMBER(H241)),H241&lt;0,NOT(ISNUMBER(J241)),J241&lt;0),"支出或耗时待补",IF(COUNTIFS('问题总览'!$A$7:$A$306,B241,'问题总览'!$J$7:$J$306,I241)&lt;&gt;1,"币种不匹配",IF(AND(M241&lt;&gt;"",OR(M241=A241,COUNTIFS('执行日志'!$A$7:$A$306,M241,'执行日志'!$B$7:$B$306,B241,'执行日志'!$L$7:$L$306,"已更正")&lt;&gt;1)),"更正引用待核对","有效输入"))))))))))</x:f>
      </x:c>
    </x:row>
    <x:row r="242" ht="25" customHeight="1">
      <x:c r="A242" s="3"/>
      <x:c r="B242" s="3"/>
      <x:c r="C242" s="3"/>
      <x:c r="D242" s="3"/>
      <x:c r="E242" s="25"/>
      <x:c r="F242" s="25"/>
      <x:c r="G242" s="3"/>
      <x:c r="H242" s="22"/>
      <x:c r="I242" s="3"/>
      <x:c r="J242" s="22"/>
      <x:c r="K242" s="3"/>
      <x:c r="L242" s="3"/>
      <x:c r="M242" s="3"/>
      <x:c r="N242" s="3"/>
      <x:c r="O242" s="3"/>
      <x:c r="P242" s="19" t="str">
        <x:f>IF(A242="","",IF(COUNTIFS('执行日志'!$A$7:$A$306,A242)&lt;&gt;1,"编号重复",IF(COUNTIFS('问题总览'!$A$7:$A$306,B242)&lt;&gt;1,"问题引用无效",IF(OR(L242="已更正",L242="撤销"),"排除汇总",IF(L242&lt;&gt;"有效","待补记录状态",IF(COUNTIFS('方案版本'!$A$7:$A$306,C242,'方案版本'!$B$7:$B$306,B242,'方案版本'!$L$7:$L$306,"已冻结")&lt;&gt;1,"方案引用无效",IF(OR(D242="",NOT(ISNUMBER(E242)),NOT(ISNUMBER(F242)),G242="",K242=""),"待补执行信息",IF(OR(NOT(ISNUMBER(H242)),H242&lt;0,NOT(ISNUMBER(J242)),J242&lt;0),"支出或耗时待补",IF(COUNTIFS('问题总览'!$A$7:$A$306,B242,'问题总览'!$J$7:$J$306,I242)&lt;&gt;1,"币种不匹配",IF(AND(M242&lt;&gt;"",OR(M242=A242,COUNTIFS('执行日志'!$A$7:$A$306,M242,'执行日志'!$B$7:$B$306,B242,'执行日志'!$L$7:$L$306,"已更正")&lt;&gt;1)),"更正引用待核对","有效输入"))))))))))</x:f>
      </x:c>
    </x:row>
    <x:row r="243" ht="25" customHeight="1">
      <x:c r="A243" s="3"/>
      <x:c r="B243" s="3"/>
      <x:c r="C243" s="3"/>
      <x:c r="D243" s="3"/>
      <x:c r="E243" s="25"/>
      <x:c r="F243" s="25"/>
      <x:c r="G243" s="3"/>
      <x:c r="H243" s="22"/>
      <x:c r="I243" s="3"/>
      <x:c r="J243" s="22"/>
      <x:c r="K243" s="3"/>
      <x:c r="L243" s="3"/>
      <x:c r="M243" s="3"/>
      <x:c r="N243" s="3"/>
      <x:c r="O243" s="3"/>
      <x:c r="P243" s="19" t="str">
        <x:f>IF(A243="","",IF(COUNTIFS('执行日志'!$A$7:$A$306,A243)&lt;&gt;1,"编号重复",IF(COUNTIFS('问题总览'!$A$7:$A$306,B243)&lt;&gt;1,"问题引用无效",IF(OR(L243="已更正",L243="撤销"),"排除汇总",IF(L243&lt;&gt;"有效","待补记录状态",IF(COUNTIFS('方案版本'!$A$7:$A$306,C243,'方案版本'!$B$7:$B$306,B243,'方案版本'!$L$7:$L$306,"已冻结")&lt;&gt;1,"方案引用无效",IF(OR(D243="",NOT(ISNUMBER(E243)),NOT(ISNUMBER(F243)),G243="",K243=""),"待补执行信息",IF(OR(NOT(ISNUMBER(H243)),H243&lt;0,NOT(ISNUMBER(J243)),J243&lt;0),"支出或耗时待补",IF(COUNTIFS('问题总览'!$A$7:$A$306,B243,'问题总览'!$J$7:$J$306,I243)&lt;&gt;1,"币种不匹配",IF(AND(M243&lt;&gt;"",OR(M243=A243,COUNTIFS('执行日志'!$A$7:$A$306,M243,'执行日志'!$B$7:$B$306,B243,'执行日志'!$L$7:$L$306,"已更正")&lt;&gt;1)),"更正引用待核对","有效输入"))))))))))</x:f>
      </x:c>
    </x:row>
    <x:row r="244" ht="25" customHeight="1">
      <x:c r="A244" s="3"/>
      <x:c r="B244" s="3"/>
      <x:c r="C244" s="3"/>
      <x:c r="D244" s="3"/>
      <x:c r="E244" s="25"/>
      <x:c r="F244" s="25"/>
      <x:c r="G244" s="3"/>
      <x:c r="H244" s="22"/>
      <x:c r="I244" s="3"/>
      <x:c r="J244" s="22"/>
      <x:c r="K244" s="3"/>
      <x:c r="L244" s="3"/>
      <x:c r="M244" s="3"/>
      <x:c r="N244" s="3"/>
      <x:c r="O244" s="3"/>
      <x:c r="P244" s="19" t="str">
        <x:f>IF(A244="","",IF(COUNTIFS('执行日志'!$A$7:$A$306,A244)&lt;&gt;1,"编号重复",IF(COUNTIFS('问题总览'!$A$7:$A$306,B244)&lt;&gt;1,"问题引用无效",IF(OR(L244="已更正",L244="撤销"),"排除汇总",IF(L244&lt;&gt;"有效","待补记录状态",IF(COUNTIFS('方案版本'!$A$7:$A$306,C244,'方案版本'!$B$7:$B$306,B244,'方案版本'!$L$7:$L$306,"已冻结")&lt;&gt;1,"方案引用无效",IF(OR(D244="",NOT(ISNUMBER(E244)),NOT(ISNUMBER(F244)),G244="",K244=""),"待补执行信息",IF(OR(NOT(ISNUMBER(H244)),H244&lt;0,NOT(ISNUMBER(J244)),J244&lt;0),"支出或耗时待补",IF(COUNTIFS('问题总览'!$A$7:$A$306,B244,'问题总览'!$J$7:$J$306,I244)&lt;&gt;1,"币种不匹配",IF(AND(M244&lt;&gt;"",OR(M244=A244,COUNTIFS('执行日志'!$A$7:$A$306,M244,'执行日志'!$B$7:$B$306,B244,'执行日志'!$L$7:$L$306,"已更正")&lt;&gt;1)),"更正引用待核对","有效输入"))))))))))</x:f>
      </x:c>
    </x:row>
    <x:row r="245" ht="25" customHeight="1">
      <x:c r="A245" s="3"/>
      <x:c r="B245" s="3"/>
      <x:c r="C245" s="3"/>
      <x:c r="D245" s="3"/>
      <x:c r="E245" s="25"/>
      <x:c r="F245" s="25"/>
      <x:c r="G245" s="3"/>
      <x:c r="H245" s="22"/>
      <x:c r="I245" s="3"/>
      <x:c r="J245" s="22"/>
      <x:c r="K245" s="3"/>
      <x:c r="L245" s="3"/>
      <x:c r="M245" s="3"/>
      <x:c r="N245" s="3"/>
      <x:c r="O245" s="3"/>
      <x:c r="P245" s="19" t="str">
        <x:f>IF(A245="","",IF(COUNTIFS('执行日志'!$A$7:$A$306,A245)&lt;&gt;1,"编号重复",IF(COUNTIFS('问题总览'!$A$7:$A$306,B245)&lt;&gt;1,"问题引用无效",IF(OR(L245="已更正",L245="撤销"),"排除汇总",IF(L245&lt;&gt;"有效","待补记录状态",IF(COUNTIFS('方案版本'!$A$7:$A$306,C245,'方案版本'!$B$7:$B$306,B245,'方案版本'!$L$7:$L$306,"已冻结")&lt;&gt;1,"方案引用无效",IF(OR(D245="",NOT(ISNUMBER(E245)),NOT(ISNUMBER(F245)),G245="",K245=""),"待补执行信息",IF(OR(NOT(ISNUMBER(H245)),H245&lt;0,NOT(ISNUMBER(J245)),J245&lt;0),"支出或耗时待补",IF(COUNTIFS('问题总览'!$A$7:$A$306,B245,'问题总览'!$J$7:$J$306,I245)&lt;&gt;1,"币种不匹配",IF(AND(M245&lt;&gt;"",OR(M245=A245,COUNTIFS('执行日志'!$A$7:$A$306,M245,'执行日志'!$B$7:$B$306,B245,'执行日志'!$L$7:$L$306,"已更正")&lt;&gt;1)),"更正引用待核对","有效输入"))))))))))</x:f>
      </x:c>
    </x:row>
    <x:row r="246" ht="25" customHeight="1">
      <x:c r="A246" s="3"/>
      <x:c r="B246" s="3"/>
      <x:c r="C246" s="3"/>
      <x:c r="D246" s="3"/>
      <x:c r="E246" s="25"/>
      <x:c r="F246" s="25"/>
      <x:c r="G246" s="3"/>
      <x:c r="H246" s="22"/>
      <x:c r="I246" s="3"/>
      <x:c r="J246" s="22"/>
      <x:c r="K246" s="3"/>
      <x:c r="L246" s="3"/>
      <x:c r="M246" s="3"/>
      <x:c r="N246" s="3"/>
      <x:c r="O246" s="3"/>
      <x:c r="P246" s="19" t="str">
        <x:f>IF(A246="","",IF(COUNTIFS('执行日志'!$A$7:$A$306,A246)&lt;&gt;1,"编号重复",IF(COUNTIFS('问题总览'!$A$7:$A$306,B246)&lt;&gt;1,"问题引用无效",IF(OR(L246="已更正",L246="撤销"),"排除汇总",IF(L246&lt;&gt;"有效","待补记录状态",IF(COUNTIFS('方案版本'!$A$7:$A$306,C246,'方案版本'!$B$7:$B$306,B246,'方案版本'!$L$7:$L$306,"已冻结")&lt;&gt;1,"方案引用无效",IF(OR(D246="",NOT(ISNUMBER(E246)),NOT(ISNUMBER(F246)),G246="",K246=""),"待补执行信息",IF(OR(NOT(ISNUMBER(H246)),H246&lt;0,NOT(ISNUMBER(J246)),J246&lt;0),"支出或耗时待补",IF(COUNTIFS('问题总览'!$A$7:$A$306,B246,'问题总览'!$J$7:$J$306,I246)&lt;&gt;1,"币种不匹配",IF(AND(M246&lt;&gt;"",OR(M246=A246,COUNTIFS('执行日志'!$A$7:$A$306,M246,'执行日志'!$B$7:$B$306,B246,'执行日志'!$L$7:$L$306,"已更正")&lt;&gt;1)),"更正引用待核对","有效输入"))))))))))</x:f>
      </x:c>
    </x:row>
    <x:row r="247" ht="25" customHeight="1">
      <x:c r="A247" s="3"/>
      <x:c r="B247" s="3"/>
      <x:c r="C247" s="3"/>
      <x:c r="D247" s="3"/>
      <x:c r="E247" s="25"/>
      <x:c r="F247" s="25"/>
      <x:c r="G247" s="3"/>
      <x:c r="H247" s="22"/>
      <x:c r="I247" s="3"/>
      <x:c r="J247" s="22"/>
      <x:c r="K247" s="3"/>
      <x:c r="L247" s="3"/>
      <x:c r="M247" s="3"/>
      <x:c r="N247" s="3"/>
      <x:c r="O247" s="3"/>
      <x:c r="P247" s="19" t="str">
        <x:f>IF(A247="","",IF(COUNTIFS('执行日志'!$A$7:$A$306,A247)&lt;&gt;1,"编号重复",IF(COUNTIFS('问题总览'!$A$7:$A$306,B247)&lt;&gt;1,"问题引用无效",IF(OR(L247="已更正",L247="撤销"),"排除汇总",IF(L247&lt;&gt;"有效","待补记录状态",IF(COUNTIFS('方案版本'!$A$7:$A$306,C247,'方案版本'!$B$7:$B$306,B247,'方案版本'!$L$7:$L$306,"已冻结")&lt;&gt;1,"方案引用无效",IF(OR(D247="",NOT(ISNUMBER(E247)),NOT(ISNUMBER(F247)),G247="",K247=""),"待补执行信息",IF(OR(NOT(ISNUMBER(H247)),H247&lt;0,NOT(ISNUMBER(J247)),J247&lt;0),"支出或耗时待补",IF(COUNTIFS('问题总览'!$A$7:$A$306,B247,'问题总览'!$J$7:$J$306,I247)&lt;&gt;1,"币种不匹配",IF(AND(M247&lt;&gt;"",OR(M247=A247,COUNTIFS('执行日志'!$A$7:$A$306,M247,'执行日志'!$B$7:$B$306,B247,'执行日志'!$L$7:$L$306,"已更正")&lt;&gt;1)),"更正引用待核对","有效输入"))))))))))</x:f>
      </x:c>
    </x:row>
    <x:row r="248" ht="25" customHeight="1">
      <x:c r="A248" s="3"/>
      <x:c r="B248" s="3"/>
      <x:c r="C248" s="3"/>
      <x:c r="D248" s="3"/>
      <x:c r="E248" s="25"/>
      <x:c r="F248" s="25"/>
      <x:c r="G248" s="3"/>
      <x:c r="H248" s="22"/>
      <x:c r="I248" s="3"/>
      <x:c r="J248" s="22"/>
      <x:c r="K248" s="3"/>
      <x:c r="L248" s="3"/>
      <x:c r="M248" s="3"/>
      <x:c r="N248" s="3"/>
      <x:c r="O248" s="3"/>
      <x:c r="P248" s="19" t="str">
        <x:f>IF(A248="","",IF(COUNTIFS('执行日志'!$A$7:$A$306,A248)&lt;&gt;1,"编号重复",IF(COUNTIFS('问题总览'!$A$7:$A$306,B248)&lt;&gt;1,"问题引用无效",IF(OR(L248="已更正",L248="撤销"),"排除汇总",IF(L248&lt;&gt;"有效","待补记录状态",IF(COUNTIFS('方案版本'!$A$7:$A$306,C248,'方案版本'!$B$7:$B$306,B248,'方案版本'!$L$7:$L$306,"已冻结")&lt;&gt;1,"方案引用无效",IF(OR(D248="",NOT(ISNUMBER(E248)),NOT(ISNUMBER(F248)),G248="",K248=""),"待补执行信息",IF(OR(NOT(ISNUMBER(H248)),H248&lt;0,NOT(ISNUMBER(J248)),J248&lt;0),"支出或耗时待补",IF(COUNTIFS('问题总览'!$A$7:$A$306,B248,'问题总览'!$J$7:$J$306,I248)&lt;&gt;1,"币种不匹配",IF(AND(M248&lt;&gt;"",OR(M248=A248,COUNTIFS('执行日志'!$A$7:$A$306,M248,'执行日志'!$B$7:$B$306,B248,'执行日志'!$L$7:$L$306,"已更正")&lt;&gt;1)),"更正引用待核对","有效输入"))))))))))</x:f>
      </x:c>
    </x:row>
    <x:row r="249" ht="25" customHeight="1">
      <x:c r="A249" s="3"/>
      <x:c r="B249" s="3"/>
      <x:c r="C249" s="3"/>
      <x:c r="D249" s="3"/>
      <x:c r="E249" s="25"/>
      <x:c r="F249" s="25"/>
      <x:c r="G249" s="3"/>
      <x:c r="H249" s="22"/>
      <x:c r="I249" s="3"/>
      <x:c r="J249" s="22"/>
      <x:c r="K249" s="3"/>
      <x:c r="L249" s="3"/>
      <x:c r="M249" s="3"/>
      <x:c r="N249" s="3"/>
      <x:c r="O249" s="3"/>
      <x:c r="P249" s="19" t="str">
        <x:f>IF(A249="","",IF(COUNTIFS('执行日志'!$A$7:$A$306,A249)&lt;&gt;1,"编号重复",IF(COUNTIFS('问题总览'!$A$7:$A$306,B249)&lt;&gt;1,"问题引用无效",IF(OR(L249="已更正",L249="撤销"),"排除汇总",IF(L249&lt;&gt;"有效","待补记录状态",IF(COUNTIFS('方案版本'!$A$7:$A$306,C249,'方案版本'!$B$7:$B$306,B249,'方案版本'!$L$7:$L$306,"已冻结")&lt;&gt;1,"方案引用无效",IF(OR(D249="",NOT(ISNUMBER(E249)),NOT(ISNUMBER(F249)),G249="",K249=""),"待补执行信息",IF(OR(NOT(ISNUMBER(H249)),H249&lt;0,NOT(ISNUMBER(J249)),J249&lt;0),"支出或耗时待补",IF(COUNTIFS('问题总览'!$A$7:$A$306,B249,'问题总览'!$J$7:$J$306,I249)&lt;&gt;1,"币种不匹配",IF(AND(M249&lt;&gt;"",OR(M249=A249,COUNTIFS('执行日志'!$A$7:$A$306,M249,'执行日志'!$B$7:$B$306,B249,'执行日志'!$L$7:$L$306,"已更正")&lt;&gt;1)),"更正引用待核对","有效输入"))))))))))</x:f>
      </x:c>
    </x:row>
    <x:row r="250" ht="25" customHeight="1">
      <x:c r="A250" s="3"/>
      <x:c r="B250" s="3"/>
      <x:c r="C250" s="3"/>
      <x:c r="D250" s="3"/>
      <x:c r="E250" s="25"/>
      <x:c r="F250" s="25"/>
      <x:c r="G250" s="3"/>
      <x:c r="H250" s="22"/>
      <x:c r="I250" s="3"/>
      <x:c r="J250" s="22"/>
      <x:c r="K250" s="3"/>
      <x:c r="L250" s="3"/>
      <x:c r="M250" s="3"/>
      <x:c r="N250" s="3"/>
      <x:c r="O250" s="3"/>
      <x:c r="P250" s="19" t="str">
        <x:f>IF(A250="","",IF(COUNTIFS('执行日志'!$A$7:$A$306,A250)&lt;&gt;1,"编号重复",IF(COUNTIFS('问题总览'!$A$7:$A$306,B250)&lt;&gt;1,"问题引用无效",IF(OR(L250="已更正",L250="撤销"),"排除汇总",IF(L250&lt;&gt;"有效","待补记录状态",IF(COUNTIFS('方案版本'!$A$7:$A$306,C250,'方案版本'!$B$7:$B$306,B250,'方案版本'!$L$7:$L$306,"已冻结")&lt;&gt;1,"方案引用无效",IF(OR(D250="",NOT(ISNUMBER(E250)),NOT(ISNUMBER(F250)),G250="",K250=""),"待补执行信息",IF(OR(NOT(ISNUMBER(H250)),H250&lt;0,NOT(ISNUMBER(J250)),J250&lt;0),"支出或耗时待补",IF(COUNTIFS('问题总览'!$A$7:$A$306,B250,'问题总览'!$J$7:$J$306,I250)&lt;&gt;1,"币种不匹配",IF(AND(M250&lt;&gt;"",OR(M250=A250,COUNTIFS('执行日志'!$A$7:$A$306,M250,'执行日志'!$B$7:$B$306,B250,'执行日志'!$L$7:$L$306,"已更正")&lt;&gt;1)),"更正引用待核对","有效输入"))))))))))</x:f>
      </x:c>
    </x:row>
    <x:row r="251" ht="25" customHeight="1">
      <x:c r="A251" s="3"/>
      <x:c r="B251" s="3"/>
      <x:c r="C251" s="3"/>
      <x:c r="D251" s="3"/>
      <x:c r="E251" s="25"/>
      <x:c r="F251" s="25"/>
      <x:c r="G251" s="3"/>
      <x:c r="H251" s="22"/>
      <x:c r="I251" s="3"/>
      <x:c r="J251" s="22"/>
      <x:c r="K251" s="3"/>
      <x:c r="L251" s="3"/>
      <x:c r="M251" s="3"/>
      <x:c r="N251" s="3"/>
      <x:c r="O251" s="3"/>
      <x:c r="P251" s="19" t="str">
        <x:f>IF(A251="","",IF(COUNTIFS('执行日志'!$A$7:$A$306,A251)&lt;&gt;1,"编号重复",IF(COUNTIFS('问题总览'!$A$7:$A$306,B251)&lt;&gt;1,"问题引用无效",IF(OR(L251="已更正",L251="撤销"),"排除汇总",IF(L251&lt;&gt;"有效","待补记录状态",IF(COUNTIFS('方案版本'!$A$7:$A$306,C251,'方案版本'!$B$7:$B$306,B251,'方案版本'!$L$7:$L$306,"已冻结")&lt;&gt;1,"方案引用无效",IF(OR(D251="",NOT(ISNUMBER(E251)),NOT(ISNUMBER(F251)),G251="",K251=""),"待补执行信息",IF(OR(NOT(ISNUMBER(H251)),H251&lt;0,NOT(ISNUMBER(J251)),J251&lt;0),"支出或耗时待补",IF(COUNTIFS('问题总览'!$A$7:$A$306,B251,'问题总览'!$J$7:$J$306,I251)&lt;&gt;1,"币种不匹配",IF(AND(M251&lt;&gt;"",OR(M251=A251,COUNTIFS('执行日志'!$A$7:$A$306,M251,'执行日志'!$B$7:$B$306,B251,'执行日志'!$L$7:$L$306,"已更正")&lt;&gt;1)),"更正引用待核对","有效输入"))))))))))</x:f>
      </x:c>
    </x:row>
    <x:row r="252" ht="25" customHeight="1">
      <x:c r="A252" s="3"/>
      <x:c r="B252" s="3"/>
      <x:c r="C252" s="3"/>
      <x:c r="D252" s="3"/>
      <x:c r="E252" s="25"/>
      <x:c r="F252" s="25"/>
      <x:c r="G252" s="3"/>
      <x:c r="H252" s="22"/>
      <x:c r="I252" s="3"/>
      <x:c r="J252" s="22"/>
      <x:c r="K252" s="3"/>
      <x:c r="L252" s="3"/>
      <x:c r="M252" s="3"/>
      <x:c r="N252" s="3"/>
      <x:c r="O252" s="3"/>
      <x:c r="P252" s="19" t="str">
        <x:f>IF(A252="","",IF(COUNTIFS('执行日志'!$A$7:$A$306,A252)&lt;&gt;1,"编号重复",IF(COUNTIFS('问题总览'!$A$7:$A$306,B252)&lt;&gt;1,"问题引用无效",IF(OR(L252="已更正",L252="撤销"),"排除汇总",IF(L252&lt;&gt;"有效","待补记录状态",IF(COUNTIFS('方案版本'!$A$7:$A$306,C252,'方案版本'!$B$7:$B$306,B252,'方案版本'!$L$7:$L$306,"已冻结")&lt;&gt;1,"方案引用无效",IF(OR(D252="",NOT(ISNUMBER(E252)),NOT(ISNUMBER(F252)),G252="",K252=""),"待补执行信息",IF(OR(NOT(ISNUMBER(H252)),H252&lt;0,NOT(ISNUMBER(J252)),J252&lt;0),"支出或耗时待补",IF(COUNTIFS('问题总览'!$A$7:$A$306,B252,'问题总览'!$J$7:$J$306,I252)&lt;&gt;1,"币种不匹配",IF(AND(M252&lt;&gt;"",OR(M252=A252,COUNTIFS('执行日志'!$A$7:$A$306,M252,'执行日志'!$B$7:$B$306,B252,'执行日志'!$L$7:$L$306,"已更正")&lt;&gt;1)),"更正引用待核对","有效输入"))))))))))</x:f>
      </x:c>
    </x:row>
    <x:row r="253" ht="25" customHeight="1">
      <x:c r="A253" s="3"/>
      <x:c r="B253" s="3"/>
      <x:c r="C253" s="3"/>
      <x:c r="D253" s="3"/>
      <x:c r="E253" s="25"/>
      <x:c r="F253" s="25"/>
      <x:c r="G253" s="3"/>
      <x:c r="H253" s="22"/>
      <x:c r="I253" s="3"/>
      <x:c r="J253" s="22"/>
      <x:c r="K253" s="3"/>
      <x:c r="L253" s="3"/>
      <x:c r="M253" s="3"/>
      <x:c r="N253" s="3"/>
      <x:c r="O253" s="3"/>
      <x:c r="P253" s="19" t="str">
        <x:f>IF(A253="","",IF(COUNTIFS('执行日志'!$A$7:$A$306,A253)&lt;&gt;1,"编号重复",IF(COUNTIFS('问题总览'!$A$7:$A$306,B253)&lt;&gt;1,"问题引用无效",IF(OR(L253="已更正",L253="撤销"),"排除汇总",IF(L253&lt;&gt;"有效","待补记录状态",IF(COUNTIFS('方案版本'!$A$7:$A$306,C253,'方案版本'!$B$7:$B$306,B253,'方案版本'!$L$7:$L$306,"已冻结")&lt;&gt;1,"方案引用无效",IF(OR(D253="",NOT(ISNUMBER(E253)),NOT(ISNUMBER(F253)),G253="",K253=""),"待补执行信息",IF(OR(NOT(ISNUMBER(H253)),H253&lt;0,NOT(ISNUMBER(J253)),J253&lt;0),"支出或耗时待补",IF(COUNTIFS('问题总览'!$A$7:$A$306,B253,'问题总览'!$J$7:$J$306,I253)&lt;&gt;1,"币种不匹配",IF(AND(M253&lt;&gt;"",OR(M253=A253,COUNTIFS('执行日志'!$A$7:$A$306,M253,'执行日志'!$B$7:$B$306,B253,'执行日志'!$L$7:$L$306,"已更正")&lt;&gt;1)),"更正引用待核对","有效输入"))))))))))</x:f>
      </x:c>
    </x:row>
    <x:row r="254" ht="25" customHeight="1">
      <x:c r="A254" s="3"/>
      <x:c r="B254" s="3"/>
      <x:c r="C254" s="3"/>
      <x:c r="D254" s="3"/>
      <x:c r="E254" s="25"/>
      <x:c r="F254" s="25"/>
      <x:c r="G254" s="3"/>
      <x:c r="H254" s="22"/>
      <x:c r="I254" s="3"/>
      <x:c r="J254" s="22"/>
      <x:c r="K254" s="3"/>
      <x:c r="L254" s="3"/>
      <x:c r="M254" s="3"/>
      <x:c r="N254" s="3"/>
      <x:c r="O254" s="3"/>
      <x:c r="P254" s="19" t="str">
        <x:f>IF(A254="","",IF(COUNTIFS('执行日志'!$A$7:$A$306,A254)&lt;&gt;1,"编号重复",IF(COUNTIFS('问题总览'!$A$7:$A$306,B254)&lt;&gt;1,"问题引用无效",IF(OR(L254="已更正",L254="撤销"),"排除汇总",IF(L254&lt;&gt;"有效","待补记录状态",IF(COUNTIFS('方案版本'!$A$7:$A$306,C254,'方案版本'!$B$7:$B$306,B254,'方案版本'!$L$7:$L$306,"已冻结")&lt;&gt;1,"方案引用无效",IF(OR(D254="",NOT(ISNUMBER(E254)),NOT(ISNUMBER(F254)),G254="",K254=""),"待补执行信息",IF(OR(NOT(ISNUMBER(H254)),H254&lt;0,NOT(ISNUMBER(J254)),J254&lt;0),"支出或耗时待补",IF(COUNTIFS('问题总览'!$A$7:$A$306,B254,'问题总览'!$J$7:$J$306,I254)&lt;&gt;1,"币种不匹配",IF(AND(M254&lt;&gt;"",OR(M254=A254,COUNTIFS('执行日志'!$A$7:$A$306,M254,'执行日志'!$B$7:$B$306,B254,'执行日志'!$L$7:$L$306,"已更正")&lt;&gt;1)),"更正引用待核对","有效输入"))))))))))</x:f>
      </x:c>
    </x:row>
    <x:row r="255" ht="25" customHeight="1">
      <x:c r="A255" s="3"/>
      <x:c r="B255" s="3"/>
      <x:c r="C255" s="3"/>
      <x:c r="D255" s="3"/>
      <x:c r="E255" s="25"/>
      <x:c r="F255" s="25"/>
      <x:c r="G255" s="3"/>
      <x:c r="H255" s="22"/>
      <x:c r="I255" s="3"/>
      <x:c r="J255" s="22"/>
      <x:c r="K255" s="3"/>
      <x:c r="L255" s="3"/>
      <x:c r="M255" s="3"/>
      <x:c r="N255" s="3"/>
      <x:c r="O255" s="3"/>
      <x:c r="P255" s="19" t="str">
        <x:f>IF(A255="","",IF(COUNTIFS('执行日志'!$A$7:$A$306,A255)&lt;&gt;1,"编号重复",IF(COUNTIFS('问题总览'!$A$7:$A$306,B255)&lt;&gt;1,"问题引用无效",IF(OR(L255="已更正",L255="撤销"),"排除汇总",IF(L255&lt;&gt;"有效","待补记录状态",IF(COUNTIFS('方案版本'!$A$7:$A$306,C255,'方案版本'!$B$7:$B$306,B255,'方案版本'!$L$7:$L$306,"已冻结")&lt;&gt;1,"方案引用无效",IF(OR(D255="",NOT(ISNUMBER(E255)),NOT(ISNUMBER(F255)),G255="",K255=""),"待补执行信息",IF(OR(NOT(ISNUMBER(H255)),H255&lt;0,NOT(ISNUMBER(J255)),J255&lt;0),"支出或耗时待补",IF(COUNTIFS('问题总览'!$A$7:$A$306,B255,'问题总览'!$J$7:$J$306,I255)&lt;&gt;1,"币种不匹配",IF(AND(M255&lt;&gt;"",OR(M255=A255,COUNTIFS('执行日志'!$A$7:$A$306,M255,'执行日志'!$B$7:$B$306,B255,'执行日志'!$L$7:$L$306,"已更正")&lt;&gt;1)),"更正引用待核对","有效输入"))))))))))</x:f>
      </x:c>
    </x:row>
    <x:row r="256" ht="25" customHeight="1">
      <x:c r="A256" s="3"/>
      <x:c r="B256" s="3"/>
      <x:c r="C256" s="3"/>
      <x:c r="D256" s="3"/>
      <x:c r="E256" s="25"/>
      <x:c r="F256" s="25"/>
      <x:c r="G256" s="3"/>
      <x:c r="H256" s="22"/>
      <x:c r="I256" s="3"/>
      <x:c r="J256" s="22"/>
      <x:c r="K256" s="3"/>
      <x:c r="L256" s="3"/>
      <x:c r="M256" s="3"/>
      <x:c r="N256" s="3"/>
      <x:c r="O256" s="3"/>
      <x:c r="P256" s="19" t="str">
        <x:f>IF(A256="","",IF(COUNTIFS('执行日志'!$A$7:$A$306,A256)&lt;&gt;1,"编号重复",IF(COUNTIFS('问题总览'!$A$7:$A$306,B256)&lt;&gt;1,"问题引用无效",IF(OR(L256="已更正",L256="撤销"),"排除汇总",IF(L256&lt;&gt;"有效","待补记录状态",IF(COUNTIFS('方案版本'!$A$7:$A$306,C256,'方案版本'!$B$7:$B$306,B256,'方案版本'!$L$7:$L$306,"已冻结")&lt;&gt;1,"方案引用无效",IF(OR(D256="",NOT(ISNUMBER(E256)),NOT(ISNUMBER(F256)),G256="",K256=""),"待补执行信息",IF(OR(NOT(ISNUMBER(H256)),H256&lt;0,NOT(ISNUMBER(J256)),J256&lt;0),"支出或耗时待补",IF(COUNTIFS('问题总览'!$A$7:$A$306,B256,'问题总览'!$J$7:$J$306,I256)&lt;&gt;1,"币种不匹配",IF(AND(M256&lt;&gt;"",OR(M256=A256,COUNTIFS('执行日志'!$A$7:$A$306,M256,'执行日志'!$B$7:$B$306,B256,'执行日志'!$L$7:$L$306,"已更正")&lt;&gt;1)),"更正引用待核对","有效输入"))))))))))</x:f>
      </x:c>
    </x:row>
    <x:row r="257" ht="25" customHeight="1">
      <x:c r="A257" s="3"/>
      <x:c r="B257" s="3"/>
      <x:c r="C257" s="3"/>
      <x:c r="D257" s="3"/>
      <x:c r="E257" s="25"/>
      <x:c r="F257" s="25"/>
      <x:c r="G257" s="3"/>
      <x:c r="H257" s="22"/>
      <x:c r="I257" s="3"/>
      <x:c r="J257" s="22"/>
      <x:c r="K257" s="3"/>
      <x:c r="L257" s="3"/>
      <x:c r="M257" s="3"/>
      <x:c r="N257" s="3"/>
      <x:c r="O257" s="3"/>
      <x:c r="P257" s="19" t="str">
        <x:f>IF(A257="","",IF(COUNTIFS('执行日志'!$A$7:$A$306,A257)&lt;&gt;1,"编号重复",IF(COUNTIFS('问题总览'!$A$7:$A$306,B257)&lt;&gt;1,"问题引用无效",IF(OR(L257="已更正",L257="撤销"),"排除汇总",IF(L257&lt;&gt;"有效","待补记录状态",IF(COUNTIFS('方案版本'!$A$7:$A$306,C257,'方案版本'!$B$7:$B$306,B257,'方案版本'!$L$7:$L$306,"已冻结")&lt;&gt;1,"方案引用无效",IF(OR(D257="",NOT(ISNUMBER(E257)),NOT(ISNUMBER(F257)),G257="",K257=""),"待补执行信息",IF(OR(NOT(ISNUMBER(H257)),H257&lt;0,NOT(ISNUMBER(J257)),J257&lt;0),"支出或耗时待补",IF(COUNTIFS('问题总览'!$A$7:$A$306,B257,'问题总览'!$J$7:$J$306,I257)&lt;&gt;1,"币种不匹配",IF(AND(M257&lt;&gt;"",OR(M257=A257,COUNTIFS('执行日志'!$A$7:$A$306,M257,'执行日志'!$B$7:$B$306,B257,'执行日志'!$L$7:$L$306,"已更正")&lt;&gt;1)),"更正引用待核对","有效输入"))))))))))</x:f>
      </x:c>
    </x:row>
    <x:row r="258" ht="25" customHeight="1">
      <x:c r="A258" s="3"/>
      <x:c r="B258" s="3"/>
      <x:c r="C258" s="3"/>
      <x:c r="D258" s="3"/>
      <x:c r="E258" s="25"/>
      <x:c r="F258" s="25"/>
      <x:c r="G258" s="3"/>
      <x:c r="H258" s="22"/>
      <x:c r="I258" s="3"/>
      <x:c r="J258" s="22"/>
      <x:c r="K258" s="3"/>
      <x:c r="L258" s="3"/>
      <x:c r="M258" s="3"/>
      <x:c r="N258" s="3"/>
      <x:c r="O258" s="3"/>
      <x:c r="P258" s="19" t="str">
        <x:f>IF(A258="","",IF(COUNTIFS('执行日志'!$A$7:$A$306,A258)&lt;&gt;1,"编号重复",IF(COUNTIFS('问题总览'!$A$7:$A$306,B258)&lt;&gt;1,"问题引用无效",IF(OR(L258="已更正",L258="撤销"),"排除汇总",IF(L258&lt;&gt;"有效","待补记录状态",IF(COUNTIFS('方案版本'!$A$7:$A$306,C258,'方案版本'!$B$7:$B$306,B258,'方案版本'!$L$7:$L$306,"已冻结")&lt;&gt;1,"方案引用无效",IF(OR(D258="",NOT(ISNUMBER(E258)),NOT(ISNUMBER(F258)),G258="",K258=""),"待补执行信息",IF(OR(NOT(ISNUMBER(H258)),H258&lt;0,NOT(ISNUMBER(J258)),J258&lt;0),"支出或耗时待补",IF(COUNTIFS('问题总览'!$A$7:$A$306,B258,'问题总览'!$J$7:$J$306,I258)&lt;&gt;1,"币种不匹配",IF(AND(M258&lt;&gt;"",OR(M258=A258,COUNTIFS('执行日志'!$A$7:$A$306,M258,'执行日志'!$B$7:$B$306,B258,'执行日志'!$L$7:$L$306,"已更正")&lt;&gt;1)),"更正引用待核对","有效输入"))))))))))</x:f>
      </x:c>
    </x:row>
    <x:row r="259" ht="25" customHeight="1">
      <x:c r="A259" s="3"/>
      <x:c r="B259" s="3"/>
      <x:c r="C259" s="3"/>
      <x:c r="D259" s="3"/>
      <x:c r="E259" s="25"/>
      <x:c r="F259" s="25"/>
      <x:c r="G259" s="3"/>
      <x:c r="H259" s="22"/>
      <x:c r="I259" s="3"/>
      <x:c r="J259" s="22"/>
      <x:c r="K259" s="3"/>
      <x:c r="L259" s="3"/>
      <x:c r="M259" s="3"/>
      <x:c r="N259" s="3"/>
      <x:c r="O259" s="3"/>
      <x:c r="P259" s="19" t="str">
        <x:f>IF(A259="","",IF(COUNTIFS('执行日志'!$A$7:$A$306,A259)&lt;&gt;1,"编号重复",IF(COUNTIFS('问题总览'!$A$7:$A$306,B259)&lt;&gt;1,"问题引用无效",IF(OR(L259="已更正",L259="撤销"),"排除汇总",IF(L259&lt;&gt;"有效","待补记录状态",IF(COUNTIFS('方案版本'!$A$7:$A$306,C259,'方案版本'!$B$7:$B$306,B259,'方案版本'!$L$7:$L$306,"已冻结")&lt;&gt;1,"方案引用无效",IF(OR(D259="",NOT(ISNUMBER(E259)),NOT(ISNUMBER(F259)),G259="",K259=""),"待补执行信息",IF(OR(NOT(ISNUMBER(H259)),H259&lt;0,NOT(ISNUMBER(J259)),J259&lt;0),"支出或耗时待补",IF(COUNTIFS('问题总览'!$A$7:$A$306,B259,'问题总览'!$J$7:$J$306,I259)&lt;&gt;1,"币种不匹配",IF(AND(M259&lt;&gt;"",OR(M259=A259,COUNTIFS('执行日志'!$A$7:$A$306,M259,'执行日志'!$B$7:$B$306,B259,'执行日志'!$L$7:$L$306,"已更正")&lt;&gt;1)),"更正引用待核对","有效输入"))))))))))</x:f>
      </x:c>
    </x:row>
    <x:row r="260" ht="25" customHeight="1">
      <x:c r="A260" s="3"/>
      <x:c r="B260" s="3"/>
      <x:c r="C260" s="3"/>
      <x:c r="D260" s="3"/>
      <x:c r="E260" s="25"/>
      <x:c r="F260" s="25"/>
      <x:c r="G260" s="3"/>
      <x:c r="H260" s="22"/>
      <x:c r="I260" s="3"/>
      <x:c r="J260" s="22"/>
      <x:c r="K260" s="3"/>
      <x:c r="L260" s="3"/>
      <x:c r="M260" s="3"/>
      <x:c r="N260" s="3"/>
      <x:c r="O260" s="3"/>
      <x:c r="P260" s="19" t="str">
        <x:f>IF(A260="","",IF(COUNTIFS('执行日志'!$A$7:$A$306,A260)&lt;&gt;1,"编号重复",IF(COUNTIFS('问题总览'!$A$7:$A$306,B260)&lt;&gt;1,"问题引用无效",IF(OR(L260="已更正",L260="撤销"),"排除汇总",IF(L260&lt;&gt;"有效","待补记录状态",IF(COUNTIFS('方案版本'!$A$7:$A$306,C260,'方案版本'!$B$7:$B$306,B260,'方案版本'!$L$7:$L$306,"已冻结")&lt;&gt;1,"方案引用无效",IF(OR(D260="",NOT(ISNUMBER(E260)),NOT(ISNUMBER(F260)),G260="",K260=""),"待补执行信息",IF(OR(NOT(ISNUMBER(H260)),H260&lt;0,NOT(ISNUMBER(J260)),J260&lt;0),"支出或耗时待补",IF(COUNTIFS('问题总览'!$A$7:$A$306,B260,'问题总览'!$J$7:$J$306,I260)&lt;&gt;1,"币种不匹配",IF(AND(M260&lt;&gt;"",OR(M260=A260,COUNTIFS('执行日志'!$A$7:$A$306,M260,'执行日志'!$B$7:$B$306,B260,'执行日志'!$L$7:$L$306,"已更正")&lt;&gt;1)),"更正引用待核对","有效输入"))))))))))</x:f>
      </x:c>
    </x:row>
    <x:row r="261" ht="25" customHeight="1">
      <x:c r="A261" s="3"/>
      <x:c r="B261" s="3"/>
      <x:c r="C261" s="3"/>
      <x:c r="D261" s="3"/>
      <x:c r="E261" s="25"/>
      <x:c r="F261" s="25"/>
      <x:c r="G261" s="3"/>
      <x:c r="H261" s="22"/>
      <x:c r="I261" s="3"/>
      <x:c r="J261" s="22"/>
      <x:c r="K261" s="3"/>
      <x:c r="L261" s="3"/>
      <x:c r="M261" s="3"/>
      <x:c r="N261" s="3"/>
      <x:c r="O261" s="3"/>
      <x:c r="P261" s="19" t="str">
        <x:f>IF(A261="","",IF(COUNTIFS('执行日志'!$A$7:$A$306,A261)&lt;&gt;1,"编号重复",IF(COUNTIFS('问题总览'!$A$7:$A$306,B261)&lt;&gt;1,"问题引用无效",IF(OR(L261="已更正",L261="撤销"),"排除汇总",IF(L261&lt;&gt;"有效","待补记录状态",IF(COUNTIFS('方案版本'!$A$7:$A$306,C261,'方案版本'!$B$7:$B$306,B261,'方案版本'!$L$7:$L$306,"已冻结")&lt;&gt;1,"方案引用无效",IF(OR(D261="",NOT(ISNUMBER(E261)),NOT(ISNUMBER(F261)),G261="",K261=""),"待补执行信息",IF(OR(NOT(ISNUMBER(H261)),H261&lt;0,NOT(ISNUMBER(J261)),J261&lt;0),"支出或耗时待补",IF(COUNTIFS('问题总览'!$A$7:$A$306,B261,'问题总览'!$J$7:$J$306,I261)&lt;&gt;1,"币种不匹配",IF(AND(M261&lt;&gt;"",OR(M261=A261,COUNTIFS('执行日志'!$A$7:$A$306,M261,'执行日志'!$B$7:$B$306,B261,'执行日志'!$L$7:$L$306,"已更正")&lt;&gt;1)),"更正引用待核对","有效输入"))))))))))</x:f>
      </x:c>
    </x:row>
    <x:row r="262" ht="25" customHeight="1">
      <x:c r="A262" s="3"/>
      <x:c r="B262" s="3"/>
      <x:c r="C262" s="3"/>
      <x:c r="D262" s="3"/>
      <x:c r="E262" s="25"/>
      <x:c r="F262" s="25"/>
      <x:c r="G262" s="3"/>
      <x:c r="H262" s="22"/>
      <x:c r="I262" s="3"/>
      <x:c r="J262" s="22"/>
      <x:c r="K262" s="3"/>
      <x:c r="L262" s="3"/>
      <x:c r="M262" s="3"/>
      <x:c r="N262" s="3"/>
      <x:c r="O262" s="3"/>
      <x:c r="P262" s="19" t="str">
        <x:f>IF(A262="","",IF(COUNTIFS('执行日志'!$A$7:$A$306,A262)&lt;&gt;1,"编号重复",IF(COUNTIFS('问题总览'!$A$7:$A$306,B262)&lt;&gt;1,"问题引用无效",IF(OR(L262="已更正",L262="撤销"),"排除汇总",IF(L262&lt;&gt;"有效","待补记录状态",IF(COUNTIFS('方案版本'!$A$7:$A$306,C262,'方案版本'!$B$7:$B$306,B262,'方案版本'!$L$7:$L$306,"已冻结")&lt;&gt;1,"方案引用无效",IF(OR(D262="",NOT(ISNUMBER(E262)),NOT(ISNUMBER(F262)),G262="",K262=""),"待补执行信息",IF(OR(NOT(ISNUMBER(H262)),H262&lt;0,NOT(ISNUMBER(J262)),J262&lt;0),"支出或耗时待补",IF(COUNTIFS('问题总览'!$A$7:$A$306,B262,'问题总览'!$J$7:$J$306,I262)&lt;&gt;1,"币种不匹配",IF(AND(M262&lt;&gt;"",OR(M262=A262,COUNTIFS('执行日志'!$A$7:$A$306,M262,'执行日志'!$B$7:$B$306,B262,'执行日志'!$L$7:$L$306,"已更正")&lt;&gt;1)),"更正引用待核对","有效输入"))))))))))</x:f>
      </x:c>
    </x:row>
    <x:row r="263" ht="25" customHeight="1">
      <x:c r="A263" s="3"/>
      <x:c r="B263" s="3"/>
      <x:c r="C263" s="3"/>
      <x:c r="D263" s="3"/>
      <x:c r="E263" s="25"/>
      <x:c r="F263" s="25"/>
      <x:c r="G263" s="3"/>
      <x:c r="H263" s="22"/>
      <x:c r="I263" s="3"/>
      <x:c r="J263" s="22"/>
      <x:c r="K263" s="3"/>
      <x:c r="L263" s="3"/>
      <x:c r="M263" s="3"/>
      <x:c r="N263" s="3"/>
      <x:c r="O263" s="3"/>
      <x:c r="P263" s="19" t="str">
        <x:f>IF(A263="","",IF(COUNTIFS('执行日志'!$A$7:$A$306,A263)&lt;&gt;1,"编号重复",IF(COUNTIFS('问题总览'!$A$7:$A$306,B263)&lt;&gt;1,"问题引用无效",IF(OR(L263="已更正",L263="撤销"),"排除汇总",IF(L263&lt;&gt;"有效","待补记录状态",IF(COUNTIFS('方案版本'!$A$7:$A$306,C263,'方案版本'!$B$7:$B$306,B263,'方案版本'!$L$7:$L$306,"已冻结")&lt;&gt;1,"方案引用无效",IF(OR(D263="",NOT(ISNUMBER(E263)),NOT(ISNUMBER(F263)),G263="",K263=""),"待补执行信息",IF(OR(NOT(ISNUMBER(H263)),H263&lt;0,NOT(ISNUMBER(J263)),J263&lt;0),"支出或耗时待补",IF(COUNTIFS('问题总览'!$A$7:$A$306,B263,'问题总览'!$J$7:$J$306,I263)&lt;&gt;1,"币种不匹配",IF(AND(M263&lt;&gt;"",OR(M263=A263,COUNTIFS('执行日志'!$A$7:$A$306,M263,'执行日志'!$B$7:$B$306,B263,'执行日志'!$L$7:$L$306,"已更正")&lt;&gt;1)),"更正引用待核对","有效输入"))))))))))</x:f>
      </x:c>
    </x:row>
    <x:row r="264" ht="25" customHeight="1">
      <x:c r="A264" s="3"/>
      <x:c r="B264" s="3"/>
      <x:c r="C264" s="3"/>
      <x:c r="D264" s="3"/>
      <x:c r="E264" s="25"/>
      <x:c r="F264" s="25"/>
      <x:c r="G264" s="3"/>
      <x:c r="H264" s="22"/>
      <x:c r="I264" s="3"/>
      <x:c r="J264" s="22"/>
      <x:c r="K264" s="3"/>
      <x:c r="L264" s="3"/>
      <x:c r="M264" s="3"/>
      <x:c r="N264" s="3"/>
      <x:c r="O264" s="3"/>
      <x:c r="P264" s="19" t="str">
        <x:f>IF(A264="","",IF(COUNTIFS('执行日志'!$A$7:$A$306,A264)&lt;&gt;1,"编号重复",IF(COUNTIFS('问题总览'!$A$7:$A$306,B264)&lt;&gt;1,"问题引用无效",IF(OR(L264="已更正",L264="撤销"),"排除汇总",IF(L264&lt;&gt;"有效","待补记录状态",IF(COUNTIFS('方案版本'!$A$7:$A$306,C264,'方案版本'!$B$7:$B$306,B264,'方案版本'!$L$7:$L$306,"已冻结")&lt;&gt;1,"方案引用无效",IF(OR(D264="",NOT(ISNUMBER(E264)),NOT(ISNUMBER(F264)),G264="",K264=""),"待补执行信息",IF(OR(NOT(ISNUMBER(H264)),H264&lt;0,NOT(ISNUMBER(J264)),J264&lt;0),"支出或耗时待补",IF(COUNTIFS('问题总览'!$A$7:$A$306,B264,'问题总览'!$J$7:$J$306,I264)&lt;&gt;1,"币种不匹配",IF(AND(M264&lt;&gt;"",OR(M264=A264,COUNTIFS('执行日志'!$A$7:$A$306,M264,'执行日志'!$B$7:$B$306,B264,'执行日志'!$L$7:$L$306,"已更正")&lt;&gt;1)),"更正引用待核对","有效输入"))))))))))</x:f>
      </x:c>
    </x:row>
    <x:row r="265" ht="25" customHeight="1">
      <x:c r="A265" s="3"/>
      <x:c r="B265" s="3"/>
      <x:c r="C265" s="3"/>
      <x:c r="D265" s="3"/>
      <x:c r="E265" s="25"/>
      <x:c r="F265" s="25"/>
      <x:c r="G265" s="3"/>
      <x:c r="H265" s="22"/>
      <x:c r="I265" s="3"/>
      <x:c r="J265" s="22"/>
      <x:c r="K265" s="3"/>
      <x:c r="L265" s="3"/>
      <x:c r="M265" s="3"/>
      <x:c r="N265" s="3"/>
      <x:c r="O265" s="3"/>
      <x:c r="P265" s="19" t="str">
        <x:f>IF(A265="","",IF(COUNTIFS('执行日志'!$A$7:$A$306,A265)&lt;&gt;1,"编号重复",IF(COUNTIFS('问题总览'!$A$7:$A$306,B265)&lt;&gt;1,"问题引用无效",IF(OR(L265="已更正",L265="撤销"),"排除汇总",IF(L265&lt;&gt;"有效","待补记录状态",IF(COUNTIFS('方案版本'!$A$7:$A$306,C265,'方案版本'!$B$7:$B$306,B265,'方案版本'!$L$7:$L$306,"已冻结")&lt;&gt;1,"方案引用无效",IF(OR(D265="",NOT(ISNUMBER(E265)),NOT(ISNUMBER(F265)),G265="",K265=""),"待补执行信息",IF(OR(NOT(ISNUMBER(H265)),H265&lt;0,NOT(ISNUMBER(J265)),J265&lt;0),"支出或耗时待补",IF(COUNTIFS('问题总览'!$A$7:$A$306,B265,'问题总览'!$J$7:$J$306,I265)&lt;&gt;1,"币种不匹配",IF(AND(M265&lt;&gt;"",OR(M265=A265,COUNTIFS('执行日志'!$A$7:$A$306,M265,'执行日志'!$B$7:$B$306,B265,'执行日志'!$L$7:$L$306,"已更正")&lt;&gt;1)),"更正引用待核对","有效输入"))))))))))</x:f>
      </x:c>
    </x:row>
    <x:row r="266" ht="25" customHeight="1">
      <x:c r="A266" s="3"/>
      <x:c r="B266" s="3"/>
      <x:c r="C266" s="3"/>
      <x:c r="D266" s="3"/>
      <x:c r="E266" s="25"/>
      <x:c r="F266" s="25"/>
      <x:c r="G266" s="3"/>
      <x:c r="H266" s="22"/>
      <x:c r="I266" s="3"/>
      <x:c r="J266" s="22"/>
      <x:c r="K266" s="3"/>
      <x:c r="L266" s="3"/>
      <x:c r="M266" s="3"/>
      <x:c r="N266" s="3"/>
      <x:c r="O266" s="3"/>
      <x:c r="P266" s="19" t="str">
        <x:f>IF(A266="","",IF(COUNTIFS('执行日志'!$A$7:$A$306,A266)&lt;&gt;1,"编号重复",IF(COUNTIFS('问题总览'!$A$7:$A$306,B266)&lt;&gt;1,"问题引用无效",IF(OR(L266="已更正",L266="撤销"),"排除汇总",IF(L266&lt;&gt;"有效","待补记录状态",IF(COUNTIFS('方案版本'!$A$7:$A$306,C266,'方案版本'!$B$7:$B$306,B266,'方案版本'!$L$7:$L$306,"已冻结")&lt;&gt;1,"方案引用无效",IF(OR(D266="",NOT(ISNUMBER(E266)),NOT(ISNUMBER(F266)),G266="",K266=""),"待补执行信息",IF(OR(NOT(ISNUMBER(H266)),H266&lt;0,NOT(ISNUMBER(J266)),J266&lt;0),"支出或耗时待补",IF(COUNTIFS('问题总览'!$A$7:$A$306,B266,'问题总览'!$J$7:$J$306,I266)&lt;&gt;1,"币种不匹配",IF(AND(M266&lt;&gt;"",OR(M266=A266,COUNTIFS('执行日志'!$A$7:$A$306,M266,'执行日志'!$B$7:$B$306,B266,'执行日志'!$L$7:$L$306,"已更正")&lt;&gt;1)),"更正引用待核对","有效输入"))))))))))</x:f>
      </x:c>
    </x:row>
    <x:row r="267" ht="25" customHeight="1">
      <x:c r="A267" s="3"/>
      <x:c r="B267" s="3"/>
      <x:c r="C267" s="3"/>
      <x:c r="D267" s="3"/>
      <x:c r="E267" s="25"/>
      <x:c r="F267" s="25"/>
      <x:c r="G267" s="3"/>
      <x:c r="H267" s="22"/>
      <x:c r="I267" s="3"/>
      <x:c r="J267" s="22"/>
      <x:c r="K267" s="3"/>
      <x:c r="L267" s="3"/>
      <x:c r="M267" s="3"/>
      <x:c r="N267" s="3"/>
      <x:c r="O267" s="3"/>
      <x:c r="P267" s="19" t="str">
        <x:f>IF(A267="","",IF(COUNTIFS('执行日志'!$A$7:$A$306,A267)&lt;&gt;1,"编号重复",IF(COUNTIFS('问题总览'!$A$7:$A$306,B267)&lt;&gt;1,"问题引用无效",IF(OR(L267="已更正",L267="撤销"),"排除汇总",IF(L267&lt;&gt;"有效","待补记录状态",IF(COUNTIFS('方案版本'!$A$7:$A$306,C267,'方案版本'!$B$7:$B$306,B267,'方案版本'!$L$7:$L$306,"已冻结")&lt;&gt;1,"方案引用无效",IF(OR(D267="",NOT(ISNUMBER(E267)),NOT(ISNUMBER(F267)),G267="",K267=""),"待补执行信息",IF(OR(NOT(ISNUMBER(H267)),H267&lt;0,NOT(ISNUMBER(J267)),J267&lt;0),"支出或耗时待补",IF(COUNTIFS('问题总览'!$A$7:$A$306,B267,'问题总览'!$J$7:$J$306,I267)&lt;&gt;1,"币种不匹配",IF(AND(M267&lt;&gt;"",OR(M267=A267,COUNTIFS('执行日志'!$A$7:$A$306,M267,'执行日志'!$B$7:$B$306,B267,'执行日志'!$L$7:$L$306,"已更正")&lt;&gt;1)),"更正引用待核对","有效输入"))))))))))</x:f>
      </x:c>
    </x:row>
    <x:row r="268" ht="25" customHeight="1">
      <x:c r="A268" s="3"/>
      <x:c r="B268" s="3"/>
      <x:c r="C268" s="3"/>
      <x:c r="D268" s="3"/>
      <x:c r="E268" s="25"/>
      <x:c r="F268" s="25"/>
      <x:c r="G268" s="3"/>
      <x:c r="H268" s="22"/>
      <x:c r="I268" s="3"/>
      <x:c r="J268" s="22"/>
      <x:c r="K268" s="3"/>
      <x:c r="L268" s="3"/>
      <x:c r="M268" s="3"/>
      <x:c r="N268" s="3"/>
      <x:c r="O268" s="3"/>
      <x:c r="P268" s="19" t="str">
        <x:f>IF(A268="","",IF(COUNTIFS('执行日志'!$A$7:$A$306,A268)&lt;&gt;1,"编号重复",IF(COUNTIFS('问题总览'!$A$7:$A$306,B268)&lt;&gt;1,"问题引用无效",IF(OR(L268="已更正",L268="撤销"),"排除汇总",IF(L268&lt;&gt;"有效","待补记录状态",IF(COUNTIFS('方案版本'!$A$7:$A$306,C268,'方案版本'!$B$7:$B$306,B268,'方案版本'!$L$7:$L$306,"已冻结")&lt;&gt;1,"方案引用无效",IF(OR(D268="",NOT(ISNUMBER(E268)),NOT(ISNUMBER(F268)),G268="",K268=""),"待补执行信息",IF(OR(NOT(ISNUMBER(H268)),H268&lt;0,NOT(ISNUMBER(J268)),J268&lt;0),"支出或耗时待补",IF(COUNTIFS('问题总览'!$A$7:$A$306,B268,'问题总览'!$J$7:$J$306,I268)&lt;&gt;1,"币种不匹配",IF(AND(M268&lt;&gt;"",OR(M268=A268,COUNTIFS('执行日志'!$A$7:$A$306,M268,'执行日志'!$B$7:$B$306,B268,'执行日志'!$L$7:$L$306,"已更正")&lt;&gt;1)),"更正引用待核对","有效输入"))))))))))</x:f>
      </x:c>
    </x:row>
    <x:row r="269" ht="25" customHeight="1">
      <x:c r="A269" s="3"/>
      <x:c r="B269" s="3"/>
      <x:c r="C269" s="3"/>
      <x:c r="D269" s="3"/>
      <x:c r="E269" s="25"/>
      <x:c r="F269" s="25"/>
      <x:c r="G269" s="3"/>
      <x:c r="H269" s="22"/>
      <x:c r="I269" s="3"/>
      <x:c r="J269" s="22"/>
      <x:c r="K269" s="3"/>
      <x:c r="L269" s="3"/>
      <x:c r="M269" s="3"/>
      <x:c r="N269" s="3"/>
      <x:c r="O269" s="3"/>
      <x:c r="P269" s="19" t="str">
        <x:f>IF(A269="","",IF(COUNTIFS('执行日志'!$A$7:$A$306,A269)&lt;&gt;1,"编号重复",IF(COUNTIFS('问题总览'!$A$7:$A$306,B269)&lt;&gt;1,"问题引用无效",IF(OR(L269="已更正",L269="撤销"),"排除汇总",IF(L269&lt;&gt;"有效","待补记录状态",IF(COUNTIFS('方案版本'!$A$7:$A$306,C269,'方案版本'!$B$7:$B$306,B269,'方案版本'!$L$7:$L$306,"已冻结")&lt;&gt;1,"方案引用无效",IF(OR(D269="",NOT(ISNUMBER(E269)),NOT(ISNUMBER(F269)),G269="",K269=""),"待补执行信息",IF(OR(NOT(ISNUMBER(H269)),H269&lt;0,NOT(ISNUMBER(J269)),J269&lt;0),"支出或耗时待补",IF(COUNTIFS('问题总览'!$A$7:$A$306,B269,'问题总览'!$J$7:$J$306,I269)&lt;&gt;1,"币种不匹配",IF(AND(M269&lt;&gt;"",OR(M269=A269,COUNTIFS('执行日志'!$A$7:$A$306,M269,'执行日志'!$B$7:$B$306,B269,'执行日志'!$L$7:$L$306,"已更正")&lt;&gt;1)),"更正引用待核对","有效输入"))))))))))</x:f>
      </x:c>
    </x:row>
    <x:row r="270" ht="25" customHeight="1">
      <x:c r="A270" s="3"/>
      <x:c r="B270" s="3"/>
      <x:c r="C270" s="3"/>
      <x:c r="D270" s="3"/>
      <x:c r="E270" s="25"/>
      <x:c r="F270" s="25"/>
      <x:c r="G270" s="3"/>
      <x:c r="H270" s="22"/>
      <x:c r="I270" s="3"/>
      <x:c r="J270" s="22"/>
      <x:c r="K270" s="3"/>
      <x:c r="L270" s="3"/>
      <x:c r="M270" s="3"/>
      <x:c r="N270" s="3"/>
      <x:c r="O270" s="3"/>
      <x:c r="P270" s="19" t="str">
        <x:f>IF(A270="","",IF(COUNTIFS('执行日志'!$A$7:$A$306,A270)&lt;&gt;1,"编号重复",IF(COUNTIFS('问题总览'!$A$7:$A$306,B270)&lt;&gt;1,"问题引用无效",IF(OR(L270="已更正",L270="撤销"),"排除汇总",IF(L270&lt;&gt;"有效","待补记录状态",IF(COUNTIFS('方案版本'!$A$7:$A$306,C270,'方案版本'!$B$7:$B$306,B270,'方案版本'!$L$7:$L$306,"已冻结")&lt;&gt;1,"方案引用无效",IF(OR(D270="",NOT(ISNUMBER(E270)),NOT(ISNUMBER(F270)),G270="",K270=""),"待补执行信息",IF(OR(NOT(ISNUMBER(H270)),H270&lt;0,NOT(ISNUMBER(J270)),J270&lt;0),"支出或耗时待补",IF(COUNTIFS('问题总览'!$A$7:$A$306,B270,'问题总览'!$J$7:$J$306,I270)&lt;&gt;1,"币种不匹配",IF(AND(M270&lt;&gt;"",OR(M270=A270,COUNTIFS('执行日志'!$A$7:$A$306,M270,'执行日志'!$B$7:$B$306,B270,'执行日志'!$L$7:$L$306,"已更正")&lt;&gt;1)),"更正引用待核对","有效输入"))))))))))</x:f>
      </x:c>
    </x:row>
    <x:row r="271" ht="25" customHeight="1">
      <x:c r="A271" s="3"/>
      <x:c r="B271" s="3"/>
      <x:c r="C271" s="3"/>
      <x:c r="D271" s="3"/>
      <x:c r="E271" s="25"/>
      <x:c r="F271" s="25"/>
      <x:c r="G271" s="3"/>
      <x:c r="H271" s="22"/>
      <x:c r="I271" s="3"/>
      <x:c r="J271" s="22"/>
      <x:c r="K271" s="3"/>
      <x:c r="L271" s="3"/>
      <x:c r="M271" s="3"/>
      <x:c r="N271" s="3"/>
      <x:c r="O271" s="3"/>
      <x:c r="P271" s="19" t="str">
        <x:f>IF(A271="","",IF(COUNTIFS('执行日志'!$A$7:$A$306,A271)&lt;&gt;1,"编号重复",IF(COUNTIFS('问题总览'!$A$7:$A$306,B271)&lt;&gt;1,"问题引用无效",IF(OR(L271="已更正",L271="撤销"),"排除汇总",IF(L271&lt;&gt;"有效","待补记录状态",IF(COUNTIFS('方案版本'!$A$7:$A$306,C271,'方案版本'!$B$7:$B$306,B271,'方案版本'!$L$7:$L$306,"已冻结")&lt;&gt;1,"方案引用无效",IF(OR(D271="",NOT(ISNUMBER(E271)),NOT(ISNUMBER(F271)),G271="",K271=""),"待补执行信息",IF(OR(NOT(ISNUMBER(H271)),H271&lt;0,NOT(ISNUMBER(J271)),J271&lt;0),"支出或耗时待补",IF(COUNTIFS('问题总览'!$A$7:$A$306,B271,'问题总览'!$J$7:$J$306,I271)&lt;&gt;1,"币种不匹配",IF(AND(M271&lt;&gt;"",OR(M271=A271,COUNTIFS('执行日志'!$A$7:$A$306,M271,'执行日志'!$B$7:$B$306,B271,'执行日志'!$L$7:$L$306,"已更正")&lt;&gt;1)),"更正引用待核对","有效输入"))))))))))</x:f>
      </x:c>
    </x:row>
    <x:row r="272" ht="25" customHeight="1">
      <x:c r="A272" s="3"/>
      <x:c r="B272" s="3"/>
      <x:c r="C272" s="3"/>
      <x:c r="D272" s="3"/>
      <x:c r="E272" s="25"/>
      <x:c r="F272" s="25"/>
      <x:c r="G272" s="3"/>
      <x:c r="H272" s="22"/>
      <x:c r="I272" s="3"/>
      <x:c r="J272" s="22"/>
      <x:c r="K272" s="3"/>
      <x:c r="L272" s="3"/>
      <x:c r="M272" s="3"/>
      <x:c r="N272" s="3"/>
      <x:c r="O272" s="3"/>
      <x:c r="P272" s="19" t="str">
        <x:f>IF(A272="","",IF(COUNTIFS('执行日志'!$A$7:$A$306,A272)&lt;&gt;1,"编号重复",IF(COUNTIFS('问题总览'!$A$7:$A$306,B272)&lt;&gt;1,"问题引用无效",IF(OR(L272="已更正",L272="撤销"),"排除汇总",IF(L272&lt;&gt;"有效","待补记录状态",IF(COUNTIFS('方案版本'!$A$7:$A$306,C272,'方案版本'!$B$7:$B$306,B272,'方案版本'!$L$7:$L$306,"已冻结")&lt;&gt;1,"方案引用无效",IF(OR(D272="",NOT(ISNUMBER(E272)),NOT(ISNUMBER(F272)),G272="",K272=""),"待补执行信息",IF(OR(NOT(ISNUMBER(H272)),H272&lt;0,NOT(ISNUMBER(J272)),J272&lt;0),"支出或耗时待补",IF(COUNTIFS('问题总览'!$A$7:$A$306,B272,'问题总览'!$J$7:$J$306,I272)&lt;&gt;1,"币种不匹配",IF(AND(M272&lt;&gt;"",OR(M272=A272,COUNTIFS('执行日志'!$A$7:$A$306,M272,'执行日志'!$B$7:$B$306,B272,'执行日志'!$L$7:$L$306,"已更正")&lt;&gt;1)),"更正引用待核对","有效输入"))))))))))</x:f>
      </x:c>
    </x:row>
    <x:row r="273" ht="25" customHeight="1">
      <x:c r="A273" s="3"/>
      <x:c r="B273" s="3"/>
      <x:c r="C273" s="3"/>
      <x:c r="D273" s="3"/>
      <x:c r="E273" s="25"/>
      <x:c r="F273" s="25"/>
      <x:c r="G273" s="3"/>
      <x:c r="H273" s="22"/>
      <x:c r="I273" s="3"/>
      <x:c r="J273" s="22"/>
      <x:c r="K273" s="3"/>
      <x:c r="L273" s="3"/>
      <x:c r="M273" s="3"/>
      <x:c r="N273" s="3"/>
      <x:c r="O273" s="3"/>
      <x:c r="P273" s="19" t="str">
        <x:f>IF(A273="","",IF(COUNTIFS('执行日志'!$A$7:$A$306,A273)&lt;&gt;1,"编号重复",IF(COUNTIFS('问题总览'!$A$7:$A$306,B273)&lt;&gt;1,"问题引用无效",IF(OR(L273="已更正",L273="撤销"),"排除汇总",IF(L273&lt;&gt;"有效","待补记录状态",IF(COUNTIFS('方案版本'!$A$7:$A$306,C273,'方案版本'!$B$7:$B$306,B273,'方案版本'!$L$7:$L$306,"已冻结")&lt;&gt;1,"方案引用无效",IF(OR(D273="",NOT(ISNUMBER(E273)),NOT(ISNUMBER(F273)),G273="",K273=""),"待补执行信息",IF(OR(NOT(ISNUMBER(H273)),H273&lt;0,NOT(ISNUMBER(J273)),J273&lt;0),"支出或耗时待补",IF(COUNTIFS('问题总览'!$A$7:$A$306,B273,'问题总览'!$J$7:$J$306,I273)&lt;&gt;1,"币种不匹配",IF(AND(M273&lt;&gt;"",OR(M273=A273,COUNTIFS('执行日志'!$A$7:$A$306,M273,'执行日志'!$B$7:$B$306,B273,'执行日志'!$L$7:$L$306,"已更正")&lt;&gt;1)),"更正引用待核对","有效输入"))))))))))</x:f>
      </x:c>
    </x:row>
    <x:row r="274" ht="25" customHeight="1">
      <x:c r="A274" s="3"/>
      <x:c r="B274" s="3"/>
      <x:c r="C274" s="3"/>
      <x:c r="D274" s="3"/>
      <x:c r="E274" s="25"/>
      <x:c r="F274" s="25"/>
      <x:c r="G274" s="3"/>
      <x:c r="H274" s="22"/>
      <x:c r="I274" s="3"/>
      <x:c r="J274" s="22"/>
      <x:c r="K274" s="3"/>
      <x:c r="L274" s="3"/>
      <x:c r="M274" s="3"/>
      <x:c r="N274" s="3"/>
      <x:c r="O274" s="3"/>
      <x:c r="P274" s="19" t="str">
        <x:f>IF(A274="","",IF(COUNTIFS('执行日志'!$A$7:$A$306,A274)&lt;&gt;1,"编号重复",IF(COUNTIFS('问题总览'!$A$7:$A$306,B274)&lt;&gt;1,"问题引用无效",IF(OR(L274="已更正",L274="撤销"),"排除汇总",IF(L274&lt;&gt;"有效","待补记录状态",IF(COUNTIFS('方案版本'!$A$7:$A$306,C274,'方案版本'!$B$7:$B$306,B274,'方案版本'!$L$7:$L$306,"已冻结")&lt;&gt;1,"方案引用无效",IF(OR(D274="",NOT(ISNUMBER(E274)),NOT(ISNUMBER(F274)),G274="",K274=""),"待补执行信息",IF(OR(NOT(ISNUMBER(H274)),H274&lt;0,NOT(ISNUMBER(J274)),J274&lt;0),"支出或耗时待补",IF(COUNTIFS('问题总览'!$A$7:$A$306,B274,'问题总览'!$J$7:$J$306,I274)&lt;&gt;1,"币种不匹配",IF(AND(M274&lt;&gt;"",OR(M274=A274,COUNTIFS('执行日志'!$A$7:$A$306,M274,'执行日志'!$B$7:$B$306,B274,'执行日志'!$L$7:$L$306,"已更正")&lt;&gt;1)),"更正引用待核对","有效输入"))))))))))</x:f>
      </x:c>
    </x:row>
    <x:row r="275" ht="25" customHeight="1">
      <x:c r="A275" s="3"/>
      <x:c r="B275" s="3"/>
      <x:c r="C275" s="3"/>
      <x:c r="D275" s="3"/>
      <x:c r="E275" s="25"/>
      <x:c r="F275" s="25"/>
      <x:c r="G275" s="3"/>
      <x:c r="H275" s="22"/>
      <x:c r="I275" s="3"/>
      <x:c r="J275" s="22"/>
      <x:c r="K275" s="3"/>
      <x:c r="L275" s="3"/>
      <x:c r="M275" s="3"/>
      <x:c r="N275" s="3"/>
      <x:c r="O275" s="3"/>
      <x:c r="P275" s="19" t="str">
        <x:f>IF(A275="","",IF(COUNTIFS('执行日志'!$A$7:$A$306,A275)&lt;&gt;1,"编号重复",IF(COUNTIFS('问题总览'!$A$7:$A$306,B275)&lt;&gt;1,"问题引用无效",IF(OR(L275="已更正",L275="撤销"),"排除汇总",IF(L275&lt;&gt;"有效","待补记录状态",IF(COUNTIFS('方案版本'!$A$7:$A$306,C275,'方案版本'!$B$7:$B$306,B275,'方案版本'!$L$7:$L$306,"已冻结")&lt;&gt;1,"方案引用无效",IF(OR(D275="",NOT(ISNUMBER(E275)),NOT(ISNUMBER(F275)),G275="",K275=""),"待补执行信息",IF(OR(NOT(ISNUMBER(H275)),H275&lt;0,NOT(ISNUMBER(J275)),J275&lt;0),"支出或耗时待补",IF(COUNTIFS('问题总览'!$A$7:$A$306,B275,'问题总览'!$J$7:$J$306,I275)&lt;&gt;1,"币种不匹配",IF(AND(M275&lt;&gt;"",OR(M275=A275,COUNTIFS('执行日志'!$A$7:$A$306,M275,'执行日志'!$B$7:$B$306,B275,'执行日志'!$L$7:$L$306,"已更正")&lt;&gt;1)),"更正引用待核对","有效输入"))))))))))</x:f>
      </x:c>
    </x:row>
    <x:row r="276" ht="25" customHeight="1">
      <x:c r="A276" s="3"/>
      <x:c r="B276" s="3"/>
      <x:c r="C276" s="3"/>
      <x:c r="D276" s="3"/>
      <x:c r="E276" s="25"/>
      <x:c r="F276" s="25"/>
      <x:c r="G276" s="3"/>
      <x:c r="H276" s="22"/>
      <x:c r="I276" s="3"/>
      <x:c r="J276" s="22"/>
      <x:c r="K276" s="3"/>
      <x:c r="L276" s="3"/>
      <x:c r="M276" s="3"/>
      <x:c r="N276" s="3"/>
      <x:c r="O276" s="3"/>
      <x:c r="P276" s="19" t="str">
        <x:f>IF(A276="","",IF(COUNTIFS('执行日志'!$A$7:$A$306,A276)&lt;&gt;1,"编号重复",IF(COUNTIFS('问题总览'!$A$7:$A$306,B276)&lt;&gt;1,"问题引用无效",IF(OR(L276="已更正",L276="撤销"),"排除汇总",IF(L276&lt;&gt;"有效","待补记录状态",IF(COUNTIFS('方案版本'!$A$7:$A$306,C276,'方案版本'!$B$7:$B$306,B276,'方案版本'!$L$7:$L$306,"已冻结")&lt;&gt;1,"方案引用无效",IF(OR(D276="",NOT(ISNUMBER(E276)),NOT(ISNUMBER(F276)),G276="",K276=""),"待补执行信息",IF(OR(NOT(ISNUMBER(H276)),H276&lt;0,NOT(ISNUMBER(J276)),J276&lt;0),"支出或耗时待补",IF(COUNTIFS('问题总览'!$A$7:$A$306,B276,'问题总览'!$J$7:$J$306,I276)&lt;&gt;1,"币种不匹配",IF(AND(M276&lt;&gt;"",OR(M276=A276,COUNTIFS('执行日志'!$A$7:$A$306,M276,'执行日志'!$B$7:$B$306,B276,'执行日志'!$L$7:$L$306,"已更正")&lt;&gt;1)),"更正引用待核对","有效输入"))))))))))</x:f>
      </x:c>
    </x:row>
    <x:row r="277" ht="25" customHeight="1">
      <x:c r="A277" s="3"/>
      <x:c r="B277" s="3"/>
      <x:c r="C277" s="3"/>
      <x:c r="D277" s="3"/>
      <x:c r="E277" s="25"/>
      <x:c r="F277" s="25"/>
      <x:c r="G277" s="3"/>
      <x:c r="H277" s="22"/>
      <x:c r="I277" s="3"/>
      <x:c r="J277" s="22"/>
      <x:c r="K277" s="3"/>
      <x:c r="L277" s="3"/>
      <x:c r="M277" s="3"/>
      <x:c r="N277" s="3"/>
      <x:c r="O277" s="3"/>
      <x:c r="P277" s="19" t="str">
        <x:f>IF(A277="","",IF(COUNTIFS('执行日志'!$A$7:$A$306,A277)&lt;&gt;1,"编号重复",IF(COUNTIFS('问题总览'!$A$7:$A$306,B277)&lt;&gt;1,"问题引用无效",IF(OR(L277="已更正",L277="撤销"),"排除汇总",IF(L277&lt;&gt;"有效","待补记录状态",IF(COUNTIFS('方案版本'!$A$7:$A$306,C277,'方案版本'!$B$7:$B$306,B277,'方案版本'!$L$7:$L$306,"已冻结")&lt;&gt;1,"方案引用无效",IF(OR(D277="",NOT(ISNUMBER(E277)),NOT(ISNUMBER(F277)),G277="",K277=""),"待补执行信息",IF(OR(NOT(ISNUMBER(H277)),H277&lt;0,NOT(ISNUMBER(J277)),J277&lt;0),"支出或耗时待补",IF(COUNTIFS('问题总览'!$A$7:$A$306,B277,'问题总览'!$J$7:$J$306,I277)&lt;&gt;1,"币种不匹配",IF(AND(M277&lt;&gt;"",OR(M277=A277,COUNTIFS('执行日志'!$A$7:$A$306,M277,'执行日志'!$B$7:$B$306,B277,'执行日志'!$L$7:$L$306,"已更正")&lt;&gt;1)),"更正引用待核对","有效输入"))))))))))</x:f>
      </x:c>
    </x:row>
    <x:row r="278" ht="25" customHeight="1">
      <x:c r="A278" s="3"/>
      <x:c r="B278" s="3"/>
      <x:c r="C278" s="3"/>
      <x:c r="D278" s="3"/>
      <x:c r="E278" s="25"/>
      <x:c r="F278" s="25"/>
      <x:c r="G278" s="3"/>
      <x:c r="H278" s="22"/>
      <x:c r="I278" s="3"/>
      <x:c r="J278" s="22"/>
      <x:c r="K278" s="3"/>
      <x:c r="L278" s="3"/>
      <x:c r="M278" s="3"/>
      <x:c r="N278" s="3"/>
      <x:c r="O278" s="3"/>
      <x:c r="P278" s="19" t="str">
        <x:f>IF(A278="","",IF(COUNTIFS('执行日志'!$A$7:$A$306,A278)&lt;&gt;1,"编号重复",IF(COUNTIFS('问题总览'!$A$7:$A$306,B278)&lt;&gt;1,"问题引用无效",IF(OR(L278="已更正",L278="撤销"),"排除汇总",IF(L278&lt;&gt;"有效","待补记录状态",IF(COUNTIFS('方案版本'!$A$7:$A$306,C278,'方案版本'!$B$7:$B$306,B278,'方案版本'!$L$7:$L$306,"已冻结")&lt;&gt;1,"方案引用无效",IF(OR(D278="",NOT(ISNUMBER(E278)),NOT(ISNUMBER(F278)),G278="",K278=""),"待补执行信息",IF(OR(NOT(ISNUMBER(H278)),H278&lt;0,NOT(ISNUMBER(J278)),J278&lt;0),"支出或耗时待补",IF(COUNTIFS('问题总览'!$A$7:$A$306,B278,'问题总览'!$J$7:$J$306,I278)&lt;&gt;1,"币种不匹配",IF(AND(M278&lt;&gt;"",OR(M278=A278,COUNTIFS('执行日志'!$A$7:$A$306,M278,'执行日志'!$B$7:$B$306,B278,'执行日志'!$L$7:$L$306,"已更正")&lt;&gt;1)),"更正引用待核对","有效输入"))))))))))</x:f>
      </x:c>
    </x:row>
    <x:row r="279" ht="25" customHeight="1">
      <x:c r="A279" s="3"/>
      <x:c r="B279" s="3"/>
      <x:c r="C279" s="3"/>
      <x:c r="D279" s="3"/>
      <x:c r="E279" s="25"/>
      <x:c r="F279" s="25"/>
      <x:c r="G279" s="3"/>
      <x:c r="H279" s="22"/>
      <x:c r="I279" s="3"/>
      <x:c r="J279" s="22"/>
      <x:c r="K279" s="3"/>
      <x:c r="L279" s="3"/>
      <x:c r="M279" s="3"/>
      <x:c r="N279" s="3"/>
      <x:c r="O279" s="3"/>
      <x:c r="P279" s="19" t="str">
        <x:f>IF(A279="","",IF(COUNTIFS('执行日志'!$A$7:$A$306,A279)&lt;&gt;1,"编号重复",IF(COUNTIFS('问题总览'!$A$7:$A$306,B279)&lt;&gt;1,"问题引用无效",IF(OR(L279="已更正",L279="撤销"),"排除汇总",IF(L279&lt;&gt;"有效","待补记录状态",IF(COUNTIFS('方案版本'!$A$7:$A$306,C279,'方案版本'!$B$7:$B$306,B279,'方案版本'!$L$7:$L$306,"已冻结")&lt;&gt;1,"方案引用无效",IF(OR(D279="",NOT(ISNUMBER(E279)),NOT(ISNUMBER(F279)),G279="",K279=""),"待补执行信息",IF(OR(NOT(ISNUMBER(H279)),H279&lt;0,NOT(ISNUMBER(J279)),J279&lt;0),"支出或耗时待补",IF(COUNTIFS('问题总览'!$A$7:$A$306,B279,'问题总览'!$J$7:$J$306,I279)&lt;&gt;1,"币种不匹配",IF(AND(M279&lt;&gt;"",OR(M279=A279,COUNTIFS('执行日志'!$A$7:$A$306,M279,'执行日志'!$B$7:$B$306,B279,'执行日志'!$L$7:$L$306,"已更正")&lt;&gt;1)),"更正引用待核对","有效输入"))))))))))</x:f>
      </x:c>
    </x:row>
    <x:row r="280" ht="25" customHeight="1">
      <x:c r="A280" s="3"/>
      <x:c r="B280" s="3"/>
      <x:c r="C280" s="3"/>
      <x:c r="D280" s="3"/>
      <x:c r="E280" s="25"/>
      <x:c r="F280" s="25"/>
      <x:c r="G280" s="3"/>
      <x:c r="H280" s="22"/>
      <x:c r="I280" s="3"/>
      <x:c r="J280" s="22"/>
      <x:c r="K280" s="3"/>
      <x:c r="L280" s="3"/>
      <x:c r="M280" s="3"/>
      <x:c r="N280" s="3"/>
      <x:c r="O280" s="3"/>
      <x:c r="P280" s="19" t="str">
        <x:f>IF(A280="","",IF(COUNTIFS('执行日志'!$A$7:$A$306,A280)&lt;&gt;1,"编号重复",IF(COUNTIFS('问题总览'!$A$7:$A$306,B280)&lt;&gt;1,"问题引用无效",IF(OR(L280="已更正",L280="撤销"),"排除汇总",IF(L280&lt;&gt;"有效","待补记录状态",IF(COUNTIFS('方案版本'!$A$7:$A$306,C280,'方案版本'!$B$7:$B$306,B280,'方案版本'!$L$7:$L$306,"已冻结")&lt;&gt;1,"方案引用无效",IF(OR(D280="",NOT(ISNUMBER(E280)),NOT(ISNUMBER(F280)),G280="",K280=""),"待补执行信息",IF(OR(NOT(ISNUMBER(H280)),H280&lt;0,NOT(ISNUMBER(J280)),J280&lt;0),"支出或耗时待补",IF(COUNTIFS('问题总览'!$A$7:$A$306,B280,'问题总览'!$J$7:$J$306,I280)&lt;&gt;1,"币种不匹配",IF(AND(M280&lt;&gt;"",OR(M280=A280,COUNTIFS('执行日志'!$A$7:$A$306,M280,'执行日志'!$B$7:$B$306,B280,'执行日志'!$L$7:$L$306,"已更正")&lt;&gt;1)),"更正引用待核对","有效输入"))))))))))</x:f>
      </x:c>
    </x:row>
    <x:row r="281" ht="25" customHeight="1">
      <x:c r="A281" s="3"/>
      <x:c r="B281" s="3"/>
      <x:c r="C281" s="3"/>
      <x:c r="D281" s="3"/>
      <x:c r="E281" s="25"/>
      <x:c r="F281" s="25"/>
      <x:c r="G281" s="3"/>
      <x:c r="H281" s="22"/>
      <x:c r="I281" s="3"/>
      <x:c r="J281" s="22"/>
      <x:c r="K281" s="3"/>
      <x:c r="L281" s="3"/>
      <x:c r="M281" s="3"/>
      <x:c r="N281" s="3"/>
      <x:c r="O281" s="3"/>
      <x:c r="P281" s="19" t="str">
        <x:f>IF(A281="","",IF(COUNTIFS('执行日志'!$A$7:$A$306,A281)&lt;&gt;1,"编号重复",IF(COUNTIFS('问题总览'!$A$7:$A$306,B281)&lt;&gt;1,"问题引用无效",IF(OR(L281="已更正",L281="撤销"),"排除汇总",IF(L281&lt;&gt;"有效","待补记录状态",IF(COUNTIFS('方案版本'!$A$7:$A$306,C281,'方案版本'!$B$7:$B$306,B281,'方案版本'!$L$7:$L$306,"已冻结")&lt;&gt;1,"方案引用无效",IF(OR(D281="",NOT(ISNUMBER(E281)),NOT(ISNUMBER(F281)),G281="",K281=""),"待补执行信息",IF(OR(NOT(ISNUMBER(H281)),H281&lt;0,NOT(ISNUMBER(J281)),J281&lt;0),"支出或耗时待补",IF(COUNTIFS('问题总览'!$A$7:$A$306,B281,'问题总览'!$J$7:$J$306,I281)&lt;&gt;1,"币种不匹配",IF(AND(M281&lt;&gt;"",OR(M281=A281,COUNTIFS('执行日志'!$A$7:$A$306,M281,'执行日志'!$B$7:$B$306,B281,'执行日志'!$L$7:$L$306,"已更正")&lt;&gt;1)),"更正引用待核对","有效输入"))))))))))</x:f>
      </x:c>
    </x:row>
    <x:row r="282" ht="25" customHeight="1">
      <x:c r="A282" s="3"/>
      <x:c r="B282" s="3"/>
      <x:c r="C282" s="3"/>
      <x:c r="D282" s="3"/>
      <x:c r="E282" s="25"/>
      <x:c r="F282" s="25"/>
      <x:c r="G282" s="3"/>
      <x:c r="H282" s="22"/>
      <x:c r="I282" s="3"/>
      <x:c r="J282" s="22"/>
      <x:c r="K282" s="3"/>
      <x:c r="L282" s="3"/>
      <x:c r="M282" s="3"/>
      <x:c r="N282" s="3"/>
      <x:c r="O282" s="3"/>
      <x:c r="P282" s="19" t="str">
        <x:f>IF(A282="","",IF(COUNTIFS('执行日志'!$A$7:$A$306,A282)&lt;&gt;1,"编号重复",IF(COUNTIFS('问题总览'!$A$7:$A$306,B282)&lt;&gt;1,"问题引用无效",IF(OR(L282="已更正",L282="撤销"),"排除汇总",IF(L282&lt;&gt;"有效","待补记录状态",IF(COUNTIFS('方案版本'!$A$7:$A$306,C282,'方案版本'!$B$7:$B$306,B282,'方案版本'!$L$7:$L$306,"已冻结")&lt;&gt;1,"方案引用无效",IF(OR(D282="",NOT(ISNUMBER(E282)),NOT(ISNUMBER(F282)),G282="",K282=""),"待补执行信息",IF(OR(NOT(ISNUMBER(H282)),H282&lt;0,NOT(ISNUMBER(J282)),J282&lt;0),"支出或耗时待补",IF(COUNTIFS('问题总览'!$A$7:$A$306,B282,'问题总览'!$J$7:$J$306,I282)&lt;&gt;1,"币种不匹配",IF(AND(M282&lt;&gt;"",OR(M282=A282,COUNTIFS('执行日志'!$A$7:$A$306,M282,'执行日志'!$B$7:$B$306,B282,'执行日志'!$L$7:$L$306,"已更正")&lt;&gt;1)),"更正引用待核对","有效输入"))))))))))</x:f>
      </x:c>
    </x:row>
    <x:row r="283" ht="25" customHeight="1">
      <x:c r="A283" s="3"/>
      <x:c r="B283" s="3"/>
      <x:c r="C283" s="3"/>
      <x:c r="D283" s="3"/>
      <x:c r="E283" s="25"/>
      <x:c r="F283" s="25"/>
      <x:c r="G283" s="3"/>
      <x:c r="H283" s="22"/>
      <x:c r="I283" s="3"/>
      <x:c r="J283" s="22"/>
      <x:c r="K283" s="3"/>
      <x:c r="L283" s="3"/>
      <x:c r="M283" s="3"/>
      <x:c r="N283" s="3"/>
      <x:c r="O283" s="3"/>
      <x:c r="P283" s="19" t="str">
        <x:f>IF(A283="","",IF(COUNTIFS('执行日志'!$A$7:$A$306,A283)&lt;&gt;1,"编号重复",IF(COUNTIFS('问题总览'!$A$7:$A$306,B283)&lt;&gt;1,"问题引用无效",IF(OR(L283="已更正",L283="撤销"),"排除汇总",IF(L283&lt;&gt;"有效","待补记录状态",IF(COUNTIFS('方案版本'!$A$7:$A$306,C283,'方案版本'!$B$7:$B$306,B283,'方案版本'!$L$7:$L$306,"已冻结")&lt;&gt;1,"方案引用无效",IF(OR(D283="",NOT(ISNUMBER(E283)),NOT(ISNUMBER(F283)),G283="",K283=""),"待补执行信息",IF(OR(NOT(ISNUMBER(H283)),H283&lt;0,NOT(ISNUMBER(J283)),J283&lt;0),"支出或耗时待补",IF(COUNTIFS('问题总览'!$A$7:$A$306,B283,'问题总览'!$J$7:$J$306,I283)&lt;&gt;1,"币种不匹配",IF(AND(M283&lt;&gt;"",OR(M283=A283,COUNTIFS('执行日志'!$A$7:$A$306,M283,'执行日志'!$B$7:$B$306,B283,'执行日志'!$L$7:$L$306,"已更正")&lt;&gt;1)),"更正引用待核对","有效输入"))))))))))</x:f>
      </x:c>
    </x:row>
    <x:row r="284" ht="25" customHeight="1">
      <x:c r="A284" s="3"/>
      <x:c r="B284" s="3"/>
      <x:c r="C284" s="3"/>
      <x:c r="D284" s="3"/>
      <x:c r="E284" s="25"/>
      <x:c r="F284" s="25"/>
      <x:c r="G284" s="3"/>
      <x:c r="H284" s="22"/>
      <x:c r="I284" s="3"/>
      <x:c r="J284" s="22"/>
      <x:c r="K284" s="3"/>
      <x:c r="L284" s="3"/>
      <x:c r="M284" s="3"/>
      <x:c r="N284" s="3"/>
      <x:c r="O284" s="3"/>
      <x:c r="P284" s="19" t="str">
        <x:f>IF(A284="","",IF(COUNTIFS('执行日志'!$A$7:$A$306,A284)&lt;&gt;1,"编号重复",IF(COUNTIFS('问题总览'!$A$7:$A$306,B284)&lt;&gt;1,"问题引用无效",IF(OR(L284="已更正",L284="撤销"),"排除汇总",IF(L284&lt;&gt;"有效","待补记录状态",IF(COUNTIFS('方案版本'!$A$7:$A$306,C284,'方案版本'!$B$7:$B$306,B284,'方案版本'!$L$7:$L$306,"已冻结")&lt;&gt;1,"方案引用无效",IF(OR(D284="",NOT(ISNUMBER(E284)),NOT(ISNUMBER(F284)),G284="",K284=""),"待补执行信息",IF(OR(NOT(ISNUMBER(H284)),H284&lt;0,NOT(ISNUMBER(J284)),J284&lt;0),"支出或耗时待补",IF(COUNTIFS('问题总览'!$A$7:$A$306,B284,'问题总览'!$J$7:$J$306,I284)&lt;&gt;1,"币种不匹配",IF(AND(M284&lt;&gt;"",OR(M284=A284,COUNTIFS('执行日志'!$A$7:$A$306,M284,'执行日志'!$B$7:$B$306,B284,'执行日志'!$L$7:$L$306,"已更正")&lt;&gt;1)),"更正引用待核对","有效输入"))))))))))</x:f>
      </x:c>
    </x:row>
    <x:row r="285" ht="25" customHeight="1">
      <x:c r="A285" s="3"/>
      <x:c r="B285" s="3"/>
      <x:c r="C285" s="3"/>
      <x:c r="D285" s="3"/>
      <x:c r="E285" s="25"/>
      <x:c r="F285" s="25"/>
      <x:c r="G285" s="3"/>
      <x:c r="H285" s="22"/>
      <x:c r="I285" s="3"/>
      <x:c r="J285" s="22"/>
      <x:c r="K285" s="3"/>
      <x:c r="L285" s="3"/>
      <x:c r="M285" s="3"/>
      <x:c r="N285" s="3"/>
      <x:c r="O285" s="3"/>
      <x:c r="P285" s="19" t="str">
        <x:f>IF(A285="","",IF(COUNTIFS('执行日志'!$A$7:$A$306,A285)&lt;&gt;1,"编号重复",IF(COUNTIFS('问题总览'!$A$7:$A$306,B285)&lt;&gt;1,"问题引用无效",IF(OR(L285="已更正",L285="撤销"),"排除汇总",IF(L285&lt;&gt;"有效","待补记录状态",IF(COUNTIFS('方案版本'!$A$7:$A$306,C285,'方案版本'!$B$7:$B$306,B285,'方案版本'!$L$7:$L$306,"已冻结")&lt;&gt;1,"方案引用无效",IF(OR(D285="",NOT(ISNUMBER(E285)),NOT(ISNUMBER(F285)),G285="",K285=""),"待补执行信息",IF(OR(NOT(ISNUMBER(H285)),H285&lt;0,NOT(ISNUMBER(J285)),J285&lt;0),"支出或耗时待补",IF(COUNTIFS('问题总览'!$A$7:$A$306,B285,'问题总览'!$J$7:$J$306,I285)&lt;&gt;1,"币种不匹配",IF(AND(M285&lt;&gt;"",OR(M285=A285,COUNTIFS('执行日志'!$A$7:$A$306,M285,'执行日志'!$B$7:$B$306,B285,'执行日志'!$L$7:$L$306,"已更正")&lt;&gt;1)),"更正引用待核对","有效输入"))))))))))</x:f>
      </x:c>
    </x:row>
    <x:row r="286" ht="25" customHeight="1">
      <x:c r="A286" s="3"/>
      <x:c r="B286" s="3"/>
      <x:c r="C286" s="3"/>
      <x:c r="D286" s="3"/>
      <x:c r="E286" s="25"/>
      <x:c r="F286" s="25"/>
      <x:c r="G286" s="3"/>
      <x:c r="H286" s="22"/>
      <x:c r="I286" s="3"/>
      <x:c r="J286" s="22"/>
      <x:c r="K286" s="3"/>
      <x:c r="L286" s="3"/>
      <x:c r="M286" s="3"/>
      <x:c r="N286" s="3"/>
      <x:c r="O286" s="3"/>
      <x:c r="P286" s="19" t="str">
        <x:f>IF(A286="","",IF(COUNTIFS('执行日志'!$A$7:$A$306,A286)&lt;&gt;1,"编号重复",IF(COUNTIFS('问题总览'!$A$7:$A$306,B286)&lt;&gt;1,"问题引用无效",IF(OR(L286="已更正",L286="撤销"),"排除汇总",IF(L286&lt;&gt;"有效","待补记录状态",IF(COUNTIFS('方案版本'!$A$7:$A$306,C286,'方案版本'!$B$7:$B$306,B286,'方案版本'!$L$7:$L$306,"已冻结")&lt;&gt;1,"方案引用无效",IF(OR(D286="",NOT(ISNUMBER(E286)),NOT(ISNUMBER(F286)),G286="",K286=""),"待补执行信息",IF(OR(NOT(ISNUMBER(H286)),H286&lt;0,NOT(ISNUMBER(J286)),J286&lt;0),"支出或耗时待补",IF(COUNTIFS('问题总览'!$A$7:$A$306,B286,'问题总览'!$J$7:$J$306,I286)&lt;&gt;1,"币种不匹配",IF(AND(M286&lt;&gt;"",OR(M286=A286,COUNTIFS('执行日志'!$A$7:$A$306,M286,'执行日志'!$B$7:$B$306,B286,'执行日志'!$L$7:$L$306,"已更正")&lt;&gt;1)),"更正引用待核对","有效输入"))))))))))</x:f>
      </x:c>
    </x:row>
    <x:row r="287" ht="25" customHeight="1">
      <x:c r="A287" s="3"/>
      <x:c r="B287" s="3"/>
      <x:c r="C287" s="3"/>
      <x:c r="D287" s="3"/>
      <x:c r="E287" s="25"/>
      <x:c r="F287" s="25"/>
      <x:c r="G287" s="3"/>
      <x:c r="H287" s="22"/>
      <x:c r="I287" s="3"/>
      <x:c r="J287" s="22"/>
      <x:c r="K287" s="3"/>
      <x:c r="L287" s="3"/>
      <x:c r="M287" s="3"/>
      <x:c r="N287" s="3"/>
      <x:c r="O287" s="3"/>
      <x:c r="P287" s="19" t="str">
        <x:f>IF(A287="","",IF(COUNTIFS('执行日志'!$A$7:$A$306,A287)&lt;&gt;1,"编号重复",IF(COUNTIFS('问题总览'!$A$7:$A$306,B287)&lt;&gt;1,"问题引用无效",IF(OR(L287="已更正",L287="撤销"),"排除汇总",IF(L287&lt;&gt;"有效","待补记录状态",IF(COUNTIFS('方案版本'!$A$7:$A$306,C287,'方案版本'!$B$7:$B$306,B287,'方案版本'!$L$7:$L$306,"已冻结")&lt;&gt;1,"方案引用无效",IF(OR(D287="",NOT(ISNUMBER(E287)),NOT(ISNUMBER(F287)),G287="",K287=""),"待补执行信息",IF(OR(NOT(ISNUMBER(H287)),H287&lt;0,NOT(ISNUMBER(J287)),J287&lt;0),"支出或耗时待补",IF(COUNTIFS('问题总览'!$A$7:$A$306,B287,'问题总览'!$J$7:$J$306,I287)&lt;&gt;1,"币种不匹配",IF(AND(M287&lt;&gt;"",OR(M287=A287,COUNTIFS('执行日志'!$A$7:$A$306,M287,'执行日志'!$B$7:$B$306,B287,'执行日志'!$L$7:$L$306,"已更正")&lt;&gt;1)),"更正引用待核对","有效输入"))))))))))</x:f>
      </x:c>
    </x:row>
    <x:row r="288" ht="25" customHeight="1">
      <x:c r="A288" s="3"/>
      <x:c r="B288" s="3"/>
      <x:c r="C288" s="3"/>
      <x:c r="D288" s="3"/>
      <x:c r="E288" s="25"/>
      <x:c r="F288" s="25"/>
      <x:c r="G288" s="3"/>
      <x:c r="H288" s="22"/>
      <x:c r="I288" s="3"/>
      <x:c r="J288" s="22"/>
      <x:c r="K288" s="3"/>
      <x:c r="L288" s="3"/>
      <x:c r="M288" s="3"/>
      <x:c r="N288" s="3"/>
      <x:c r="O288" s="3"/>
      <x:c r="P288" s="19" t="str">
        <x:f>IF(A288="","",IF(COUNTIFS('执行日志'!$A$7:$A$306,A288)&lt;&gt;1,"编号重复",IF(COUNTIFS('问题总览'!$A$7:$A$306,B288)&lt;&gt;1,"问题引用无效",IF(OR(L288="已更正",L288="撤销"),"排除汇总",IF(L288&lt;&gt;"有效","待补记录状态",IF(COUNTIFS('方案版本'!$A$7:$A$306,C288,'方案版本'!$B$7:$B$306,B288,'方案版本'!$L$7:$L$306,"已冻结")&lt;&gt;1,"方案引用无效",IF(OR(D288="",NOT(ISNUMBER(E288)),NOT(ISNUMBER(F288)),G288="",K288=""),"待补执行信息",IF(OR(NOT(ISNUMBER(H288)),H288&lt;0,NOT(ISNUMBER(J288)),J288&lt;0),"支出或耗时待补",IF(COUNTIFS('问题总览'!$A$7:$A$306,B288,'问题总览'!$J$7:$J$306,I288)&lt;&gt;1,"币种不匹配",IF(AND(M288&lt;&gt;"",OR(M288=A288,COUNTIFS('执行日志'!$A$7:$A$306,M288,'执行日志'!$B$7:$B$306,B288,'执行日志'!$L$7:$L$306,"已更正")&lt;&gt;1)),"更正引用待核对","有效输入"))))))))))</x:f>
      </x:c>
    </x:row>
    <x:row r="289" ht="25" customHeight="1">
      <x:c r="A289" s="3"/>
      <x:c r="B289" s="3"/>
      <x:c r="C289" s="3"/>
      <x:c r="D289" s="3"/>
      <x:c r="E289" s="25"/>
      <x:c r="F289" s="25"/>
      <x:c r="G289" s="3"/>
      <x:c r="H289" s="22"/>
      <x:c r="I289" s="3"/>
      <x:c r="J289" s="22"/>
      <x:c r="K289" s="3"/>
      <x:c r="L289" s="3"/>
      <x:c r="M289" s="3"/>
      <x:c r="N289" s="3"/>
      <x:c r="O289" s="3"/>
      <x:c r="P289" s="19" t="str">
        <x:f>IF(A289="","",IF(COUNTIFS('执行日志'!$A$7:$A$306,A289)&lt;&gt;1,"编号重复",IF(COUNTIFS('问题总览'!$A$7:$A$306,B289)&lt;&gt;1,"问题引用无效",IF(OR(L289="已更正",L289="撤销"),"排除汇总",IF(L289&lt;&gt;"有效","待补记录状态",IF(COUNTIFS('方案版本'!$A$7:$A$306,C289,'方案版本'!$B$7:$B$306,B289,'方案版本'!$L$7:$L$306,"已冻结")&lt;&gt;1,"方案引用无效",IF(OR(D289="",NOT(ISNUMBER(E289)),NOT(ISNUMBER(F289)),G289="",K289=""),"待补执行信息",IF(OR(NOT(ISNUMBER(H289)),H289&lt;0,NOT(ISNUMBER(J289)),J289&lt;0),"支出或耗时待补",IF(COUNTIFS('问题总览'!$A$7:$A$306,B289,'问题总览'!$J$7:$J$306,I289)&lt;&gt;1,"币种不匹配",IF(AND(M289&lt;&gt;"",OR(M289=A289,COUNTIFS('执行日志'!$A$7:$A$306,M289,'执行日志'!$B$7:$B$306,B289,'执行日志'!$L$7:$L$306,"已更正")&lt;&gt;1)),"更正引用待核对","有效输入"))))))))))</x:f>
      </x:c>
    </x:row>
    <x:row r="290" ht="25" customHeight="1">
      <x:c r="A290" s="3"/>
      <x:c r="B290" s="3"/>
      <x:c r="C290" s="3"/>
      <x:c r="D290" s="3"/>
      <x:c r="E290" s="25"/>
      <x:c r="F290" s="25"/>
      <x:c r="G290" s="3"/>
      <x:c r="H290" s="22"/>
      <x:c r="I290" s="3"/>
      <x:c r="J290" s="22"/>
      <x:c r="K290" s="3"/>
      <x:c r="L290" s="3"/>
      <x:c r="M290" s="3"/>
      <x:c r="N290" s="3"/>
      <x:c r="O290" s="3"/>
      <x:c r="P290" s="19" t="str">
        <x:f>IF(A290="","",IF(COUNTIFS('执行日志'!$A$7:$A$306,A290)&lt;&gt;1,"编号重复",IF(COUNTIFS('问题总览'!$A$7:$A$306,B290)&lt;&gt;1,"问题引用无效",IF(OR(L290="已更正",L290="撤销"),"排除汇总",IF(L290&lt;&gt;"有效","待补记录状态",IF(COUNTIFS('方案版本'!$A$7:$A$306,C290,'方案版本'!$B$7:$B$306,B290,'方案版本'!$L$7:$L$306,"已冻结")&lt;&gt;1,"方案引用无效",IF(OR(D290="",NOT(ISNUMBER(E290)),NOT(ISNUMBER(F290)),G290="",K290=""),"待补执行信息",IF(OR(NOT(ISNUMBER(H290)),H290&lt;0,NOT(ISNUMBER(J290)),J290&lt;0),"支出或耗时待补",IF(COUNTIFS('问题总览'!$A$7:$A$306,B290,'问题总览'!$J$7:$J$306,I290)&lt;&gt;1,"币种不匹配",IF(AND(M290&lt;&gt;"",OR(M290=A290,COUNTIFS('执行日志'!$A$7:$A$306,M290,'执行日志'!$B$7:$B$306,B290,'执行日志'!$L$7:$L$306,"已更正")&lt;&gt;1)),"更正引用待核对","有效输入"))))))))))</x:f>
      </x:c>
    </x:row>
    <x:row r="291" ht="25" customHeight="1">
      <x:c r="A291" s="3"/>
      <x:c r="B291" s="3"/>
      <x:c r="C291" s="3"/>
      <x:c r="D291" s="3"/>
      <x:c r="E291" s="25"/>
      <x:c r="F291" s="25"/>
      <x:c r="G291" s="3"/>
      <x:c r="H291" s="22"/>
      <x:c r="I291" s="3"/>
      <x:c r="J291" s="22"/>
      <x:c r="K291" s="3"/>
      <x:c r="L291" s="3"/>
      <x:c r="M291" s="3"/>
      <x:c r="N291" s="3"/>
      <x:c r="O291" s="3"/>
      <x:c r="P291" s="19" t="str">
        <x:f>IF(A291="","",IF(COUNTIFS('执行日志'!$A$7:$A$306,A291)&lt;&gt;1,"编号重复",IF(COUNTIFS('问题总览'!$A$7:$A$306,B291)&lt;&gt;1,"问题引用无效",IF(OR(L291="已更正",L291="撤销"),"排除汇总",IF(L291&lt;&gt;"有效","待补记录状态",IF(COUNTIFS('方案版本'!$A$7:$A$306,C291,'方案版本'!$B$7:$B$306,B291,'方案版本'!$L$7:$L$306,"已冻结")&lt;&gt;1,"方案引用无效",IF(OR(D291="",NOT(ISNUMBER(E291)),NOT(ISNUMBER(F291)),G291="",K291=""),"待补执行信息",IF(OR(NOT(ISNUMBER(H291)),H291&lt;0,NOT(ISNUMBER(J291)),J291&lt;0),"支出或耗时待补",IF(COUNTIFS('问题总览'!$A$7:$A$306,B291,'问题总览'!$J$7:$J$306,I291)&lt;&gt;1,"币种不匹配",IF(AND(M291&lt;&gt;"",OR(M291=A291,COUNTIFS('执行日志'!$A$7:$A$306,M291,'执行日志'!$B$7:$B$306,B291,'执行日志'!$L$7:$L$306,"已更正")&lt;&gt;1)),"更正引用待核对","有效输入"))))))))))</x:f>
      </x:c>
    </x:row>
    <x:row r="292" ht="25" customHeight="1">
      <x:c r="A292" s="3"/>
      <x:c r="B292" s="3"/>
      <x:c r="C292" s="3"/>
      <x:c r="D292" s="3"/>
      <x:c r="E292" s="25"/>
      <x:c r="F292" s="25"/>
      <x:c r="G292" s="3"/>
      <x:c r="H292" s="22"/>
      <x:c r="I292" s="3"/>
      <x:c r="J292" s="22"/>
      <x:c r="K292" s="3"/>
      <x:c r="L292" s="3"/>
      <x:c r="M292" s="3"/>
      <x:c r="N292" s="3"/>
      <x:c r="O292" s="3"/>
      <x:c r="P292" s="19" t="str">
        <x:f>IF(A292="","",IF(COUNTIFS('执行日志'!$A$7:$A$306,A292)&lt;&gt;1,"编号重复",IF(COUNTIFS('问题总览'!$A$7:$A$306,B292)&lt;&gt;1,"问题引用无效",IF(OR(L292="已更正",L292="撤销"),"排除汇总",IF(L292&lt;&gt;"有效","待补记录状态",IF(COUNTIFS('方案版本'!$A$7:$A$306,C292,'方案版本'!$B$7:$B$306,B292,'方案版本'!$L$7:$L$306,"已冻结")&lt;&gt;1,"方案引用无效",IF(OR(D292="",NOT(ISNUMBER(E292)),NOT(ISNUMBER(F292)),G292="",K292=""),"待补执行信息",IF(OR(NOT(ISNUMBER(H292)),H292&lt;0,NOT(ISNUMBER(J292)),J292&lt;0),"支出或耗时待补",IF(COUNTIFS('问题总览'!$A$7:$A$306,B292,'问题总览'!$J$7:$J$306,I292)&lt;&gt;1,"币种不匹配",IF(AND(M292&lt;&gt;"",OR(M292=A292,COUNTIFS('执行日志'!$A$7:$A$306,M292,'执行日志'!$B$7:$B$306,B292,'执行日志'!$L$7:$L$306,"已更正")&lt;&gt;1)),"更正引用待核对","有效输入"))))))))))</x:f>
      </x:c>
    </x:row>
    <x:row r="293" ht="25" customHeight="1">
      <x:c r="A293" s="3"/>
      <x:c r="B293" s="3"/>
      <x:c r="C293" s="3"/>
      <x:c r="D293" s="3"/>
      <x:c r="E293" s="25"/>
      <x:c r="F293" s="25"/>
      <x:c r="G293" s="3"/>
      <x:c r="H293" s="22"/>
      <x:c r="I293" s="3"/>
      <x:c r="J293" s="22"/>
      <x:c r="K293" s="3"/>
      <x:c r="L293" s="3"/>
      <x:c r="M293" s="3"/>
      <x:c r="N293" s="3"/>
      <x:c r="O293" s="3"/>
      <x:c r="P293" s="19" t="str">
        <x:f>IF(A293="","",IF(COUNTIFS('执行日志'!$A$7:$A$306,A293)&lt;&gt;1,"编号重复",IF(COUNTIFS('问题总览'!$A$7:$A$306,B293)&lt;&gt;1,"问题引用无效",IF(OR(L293="已更正",L293="撤销"),"排除汇总",IF(L293&lt;&gt;"有效","待补记录状态",IF(COUNTIFS('方案版本'!$A$7:$A$306,C293,'方案版本'!$B$7:$B$306,B293,'方案版本'!$L$7:$L$306,"已冻结")&lt;&gt;1,"方案引用无效",IF(OR(D293="",NOT(ISNUMBER(E293)),NOT(ISNUMBER(F293)),G293="",K293=""),"待补执行信息",IF(OR(NOT(ISNUMBER(H293)),H293&lt;0,NOT(ISNUMBER(J293)),J293&lt;0),"支出或耗时待补",IF(COUNTIFS('问题总览'!$A$7:$A$306,B293,'问题总览'!$J$7:$J$306,I293)&lt;&gt;1,"币种不匹配",IF(AND(M293&lt;&gt;"",OR(M293=A293,COUNTIFS('执行日志'!$A$7:$A$306,M293,'执行日志'!$B$7:$B$306,B293,'执行日志'!$L$7:$L$306,"已更正")&lt;&gt;1)),"更正引用待核对","有效输入"))))))))))</x:f>
      </x:c>
    </x:row>
    <x:row r="294" ht="25" customHeight="1">
      <x:c r="A294" s="3"/>
      <x:c r="B294" s="3"/>
      <x:c r="C294" s="3"/>
      <x:c r="D294" s="3"/>
      <x:c r="E294" s="25"/>
      <x:c r="F294" s="25"/>
      <x:c r="G294" s="3"/>
      <x:c r="H294" s="22"/>
      <x:c r="I294" s="3"/>
      <x:c r="J294" s="22"/>
      <x:c r="K294" s="3"/>
      <x:c r="L294" s="3"/>
      <x:c r="M294" s="3"/>
      <x:c r="N294" s="3"/>
      <x:c r="O294" s="3"/>
      <x:c r="P294" s="19" t="str">
        <x:f>IF(A294="","",IF(COUNTIFS('执行日志'!$A$7:$A$306,A294)&lt;&gt;1,"编号重复",IF(COUNTIFS('问题总览'!$A$7:$A$306,B294)&lt;&gt;1,"问题引用无效",IF(OR(L294="已更正",L294="撤销"),"排除汇总",IF(L294&lt;&gt;"有效","待补记录状态",IF(COUNTIFS('方案版本'!$A$7:$A$306,C294,'方案版本'!$B$7:$B$306,B294,'方案版本'!$L$7:$L$306,"已冻结")&lt;&gt;1,"方案引用无效",IF(OR(D294="",NOT(ISNUMBER(E294)),NOT(ISNUMBER(F294)),G294="",K294=""),"待补执行信息",IF(OR(NOT(ISNUMBER(H294)),H294&lt;0,NOT(ISNUMBER(J294)),J294&lt;0),"支出或耗时待补",IF(COUNTIFS('问题总览'!$A$7:$A$306,B294,'问题总览'!$J$7:$J$306,I294)&lt;&gt;1,"币种不匹配",IF(AND(M294&lt;&gt;"",OR(M294=A294,COUNTIFS('执行日志'!$A$7:$A$306,M294,'执行日志'!$B$7:$B$306,B294,'执行日志'!$L$7:$L$306,"已更正")&lt;&gt;1)),"更正引用待核对","有效输入"))))))))))</x:f>
      </x:c>
    </x:row>
    <x:row r="295" ht="25" customHeight="1">
      <x:c r="A295" s="3"/>
      <x:c r="B295" s="3"/>
      <x:c r="C295" s="3"/>
      <x:c r="D295" s="3"/>
      <x:c r="E295" s="25"/>
      <x:c r="F295" s="25"/>
      <x:c r="G295" s="3"/>
      <x:c r="H295" s="22"/>
      <x:c r="I295" s="3"/>
      <x:c r="J295" s="22"/>
      <x:c r="K295" s="3"/>
      <x:c r="L295" s="3"/>
      <x:c r="M295" s="3"/>
      <x:c r="N295" s="3"/>
      <x:c r="O295" s="3"/>
      <x:c r="P295" s="19" t="str">
        <x:f>IF(A295="","",IF(COUNTIFS('执行日志'!$A$7:$A$306,A295)&lt;&gt;1,"编号重复",IF(COUNTIFS('问题总览'!$A$7:$A$306,B295)&lt;&gt;1,"问题引用无效",IF(OR(L295="已更正",L295="撤销"),"排除汇总",IF(L295&lt;&gt;"有效","待补记录状态",IF(COUNTIFS('方案版本'!$A$7:$A$306,C295,'方案版本'!$B$7:$B$306,B295,'方案版本'!$L$7:$L$306,"已冻结")&lt;&gt;1,"方案引用无效",IF(OR(D295="",NOT(ISNUMBER(E295)),NOT(ISNUMBER(F295)),G295="",K295=""),"待补执行信息",IF(OR(NOT(ISNUMBER(H295)),H295&lt;0,NOT(ISNUMBER(J295)),J295&lt;0),"支出或耗时待补",IF(COUNTIFS('问题总览'!$A$7:$A$306,B295,'问题总览'!$J$7:$J$306,I295)&lt;&gt;1,"币种不匹配",IF(AND(M295&lt;&gt;"",OR(M295=A295,COUNTIFS('执行日志'!$A$7:$A$306,M295,'执行日志'!$B$7:$B$306,B295,'执行日志'!$L$7:$L$306,"已更正")&lt;&gt;1)),"更正引用待核对","有效输入"))))))))))</x:f>
      </x:c>
    </x:row>
    <x:row r="296" ht="25" customHeight="1">
      <x:c r="A296" s="3"/>
      <x:c r="B296" s="3"/>
      <x:c r="C296" s="3"/>
      <x:c r="D296" s="3"/>
      <x:c r="E296" s="25"/>
      <x:c r="F296" s="25"/>
      <x:c r="G296" s="3"/>
      <x:c r="H296" s="22"/>
      <x:c r="I296" s="3"/>
      <x:c r="J296" s="22"/>
      <x:c r="K296" s="3"/>
      <x:c r="L296" s="3"/>
      <x:c r="M296" s="3"/>
      <x:c r="N296" s="3"/>
      <x:c r="O296" s="3"/>
      <x:c r="P296" s="19" t="str">
        <x:f>IF(A296="","",IF(COUNTIFS('执行日志'!$A$7:$A$306,A296)&lt;&gt;1,"编号重复",IF(COUNTIFS('问题总览'!$A$7:$A$306,B296)&lt;&gt;1,"问题引用无效",IF(OR(L296="已更正",L296="撤销"),"排除汇总",IF(L296&lt;&gt;"有效","待补记录状态",IF(COUNTIFS('方案版本'!$A$7:$A$306,C296,'方案版本'!$B$7:$B$306,B296,'方案版本'!$L$7:$L$306,"已冻结")&lt;&gt;1,"方案引用无效",IF(OR(D296="",NOT(ISNUMBER(E296)),NOT(ISNUMBER(F296)),G296="",K296=""),"待补执行信息",IF(OR(NOT(ISNUMBER(H296)),H296&lt;0,NOT(ISNUMBER(J296)),J296&lt;0),"支出或耗时待补",IF(COUNTIFS('问题总览'!$A$7:$A$306,B296,'问题总览'!$J$7:$J$306,I296)&lt;&gt;1,"币种不匹配",IF(AND(M296&lt;&gt;"",OR(M296=A296,COUNTIFS('执行日志'!$A$7:$A$306,M296,'执行日志'!$B$7:$B$306,B296,'执行日志'!$L$7:$L$306,"已更正")&lt;&gt;1)),"更正引用待核对","有效输入"))))))))))</x:f>
      </x:c>
    </x:row>
    <x:row r="297" ht="25" customHeight="1">
      <x:c r="A297" s="3"/>
      <x:c r="B297" s="3"/>
      <x:c r="C297" s="3"/>
      <x:c r="D297" s="3"/>
      <x:c r="E297" s="25"/>
      <x:c r="F297" s="25"/>
      <x:c r="G297" s="3"/>
      <x:c r="H297" s="22"/>
      <x:c r="I297" s="3"/>
      <x:c r="J297" s="22"/>
      <x:c r="K297" s="3"/>
      <x:c r="L297" s="3"/>
      <x:c r="M297" s="3"/>
      <x:c r="N297" s="3"/>
      <x:c r="O297" s="3"/>
      <x:c r="P297" s="19" t="str">
        <x:f>IF(A297="","",IF(COUNTIFS('执行日志'!$A$7:$A$306,A297)&lt;&gt;1,"编号重复",IF(COUNTIFS('问题总览'!$A$7:$A$306,B297)&lt;&gt;1,"问题引用无效",IF(OR(L297="已更正",L297="撤销"),"排除汇总",IF(L297&lt;&gt;"有效","待补记录状态",IF(COUNTIFS('方案版本'!$A$7:$A$306,C297,'方案版本'!$B$7:$B$306,B297,'方案版本'!$L$7:$L$306,"已冻结")&lt;&gt;1,"方案引用无效",IF(OR(D297="",NOT(ISNUMBER(E297)),NOT(ISNUMBER(F297)),G297="",K297=""),"待补执行信息",IF(OR(NOT(ISNUMBER(H297)),H297&lt;0,NOT(ISNUMBER(J297)),J297&lt;0),"支出或耗时待补",IF(COUNTIFS('问题总览'!$A$7:$A$306,B297,'问题总览'!$J$7:$J$306,I297)&lt;&gt;1,"币种不匹配",IF(AND(M297&lt;&gt;"",OR(M297=A297,COUNTIFS('执行日志'!$A$7:$A$306,M297,'执行日志'!$B$7:$B$306,B297,'执行日志'!$L$7:$L$306,"已更正")&lt;&gt;1)),"更正引用待核对","有效输入"))))))))))</x:f>
      </x:c>
    </x:row>
    <x:row r="298" ht="25" customHeight="1">
      <x:c r="A298" s="3"/>
      <x:c r="B298" s="3"/>
      <x:c r="C298" s="3"/>
      <x:c r="D298" s="3"/>
      <x:c r="E298" s="25"/>
      <x:c r="F298" s="25"/>
      <x:c r="G298" s="3"/>
      <x:c r="H298" s="22"/>
      <x:c r="I298" s="3"/>
      <x:c r="J298" s="22"/>
      <x:c r="K298" s="3"/>
      <x:c r="L298" s="3"/>
      <x:c r="M298" s="3"/>
      <x:c r="N298" s="3"/>
      <x:c r="O298" s="3"/>
      <x:c r="P298" s="19" t="str">
        <x:f>IF(A298="","",IF(COUNTIFS('执行日志'!$A$7:$A$306,A298)&lt;&gt;1,"编号重复",IF(COUNTIFS('问题总览'!$A$7:$A$306,B298)&lt;&gt;1,"问题引用无效",IF(OR(L298="已更正",L298="撤销"),"排除汇总",IF(L298&lt;&gt;"有效","待补记录状态",IF(COUNTIFS('方案版本'!$A$7:$A$306,C298,'方案版本'!$B$7:$B$306,B298,'方案版本'!$L$7:$L$306,"已冻结")&lt;&gt;1,"方案引用无效",IF(OR(D298="",NOT(ISNUMBER(E298)),NOT(ISNUMBER(F298)),G298="",K298=""),"待补执行信息",IF(OR(NOT(ISNUMBER(H298)),H298&lt;0,NOT(ISNUMBER(J298)),J298&lt;0),"支出或耗时待补",IF(COUNTIFS('问题总览'!$A$7:$A$306,B298,'问题总览'!$J$7:$J$306,I298)&lt;&gt;1,"币种不匹配",IF(AND(M298&lt;&gt;"",OR(M298=A298,COUNTIFS('执行日志'!$A$7:$A$306,M298,'执行日志'!$B$7:$B$306,B298,'执行日志'!$L$7:$L$306,"已更正")&lt;&gt;1)),"更正引用待核对","有效输入"))))))))))</x:f>
      </x:c>
    </x:row>
    <x:row r="299" ht="25" customHeight="1">
      <x:c r="A299" s="3"/>
      <x:c r="B299" s="3"/>
      <x:c r="C299" s="3"/>
      <x:c r="D299" s="3"/>
      <x:c r="E299" s="25"/>
      <x:c r="F299" s="25"/>
      <x:c r="G299" s="3"/>
      <x:c r="H299" s="22"/>
      <x:c r="I299" s="3"/>
      <x:c r="J299" s="22"/>
      <x:c r="K299" s="3"/>
      <x:c r="L299" s="3"/>
      <x:c r="M299" s="3"/>
      <x:c r="N299" s="3"/>
      <x:c r="O299" s="3"/>
      <x:c r="P299" s="19" t="str">
        <x:f>IF(A299="","",IF(COUNTIFS('执行日志'!$A$7:$A$306,A299)&lt;&gt;1,"编号重复",IF(COUNTIFS('问题总览'!$A$7:$A$306,B299)&lt;&gt;1,"问题引用无效",IF(OR(L299="已更正",L299="撤销"),"排除汇总",IF(L299&lt;&gt;"有效","待补记录状态",IF(COUNTIFS('方案版本'!$A$7:$A$306,C299,'方案版本'!$B$7:$B$306,B299,'方案版本'!$L$7:$L$306,"已冻结")&lt;&gt;1,"方案引用无效",IF(OR(D299="",NOT(ISNUMBER(E299)),NOT(ISNUMBER(F299)),G299="",K299=""),"待补执行信息",IF(OR(NOT(ISNUMBER(H299)),H299&lt;0,NOT(ISNUMBER(J299)),J299&lt;0),"支出或耗时待补",IF(COUNTIFS('问题总览'!$A$7:$A$306,B299,'问题总览'!$J$7:$J$306,I299)&lt;&gt;1,"币种不匹配",IF(AND(M299&lt;&gt;"",OR(M299=A299,COUNTIFS('执行日志'!$A$7:$A$306,M299,'执行日志'!$B$7:$B$306,B299,'执行日志'!$L$7:$L$306,"已更正")&lt;&gt;1)),"更正引用待核对","有效输入"))))))))))</x:f>
      </x:c>
    </x:row>
    <x:row r="300" ht="25" customHeight="1">
      <x:c r="A300" s="3"/>
      <x:c r="B300" s="3"/>
      <x:c r="C300" s="3"/>
      <x:c r="D300" s="3"/>
      <x:c r="E300" s="25"/>
      <x:c r="F300" s="25"/>
      <x:c r="G300" s="3"/>
      <x:c r="H300" s="22"/>
      <x:c r="I300" s="3"/>
      <x:c r="J300" s="22"/>
      <x:c r="K300" s="3"/>
      <x:c r="L300" s="3"/>
      <x:c r="M300" s="3"/>
      <x:c r="N300" s="3"/>
      <x:c r="O300" s="3"/>
      <x:c r="P300" s="19" t="str">
        <x:f>IF(A300="","",IF(COUNTIFS('执行日志'!$A$7:$A$306,A300)&lt;&gt;1,"编号重复",IF(COUNTIFS('问题总览'!$A$7:$A$306,B300)&lt;&gt;1,"问题引用无效",IF(OR(L300="已更正",L300="撤销"),"排除汇总",IF(L300&lt;&gt;"有效","待补记录状态",IF(COUNTIFS('方案版本'!$A$7:$A$306,C300,'方案版本'!$B$7:$B$306,B300,'方案版本'!$L$7:$L$306,"已冻结")&lt;&gt;1,"方案引用无效",IF(OR(D300="",NOT(ISNUMBER(E300)),NOT(ISNUMBER(F300)),G300="",K300=""),"待补执行信息",IF(OR(NOT(ISNUMBER(H300)),H300&lt;0,NOT(ISNUMBER(J300)),J300&lt;0),"支出或耗时待补",IF(COUNTIFS('问题总览'!$A$7:$A$306,B300,'问题总览'!$J$7:$J$306,I300)&lt;&gt;1,"币种不匹配",IF(AND(M300&lt;&gt;"",OR(M300=A300,COUNTIFS('执行日志'!$A$7:$A$306,M300,'执行日志'!$B$7:$B$306,B300,'执行日志'!$L$7:$L$306,"已更正")&lt;&gt;1)),"更正引用待核对","有效输入"))))))))))</x:f>
      </x:c>
    </x:row>
    <x:row r="301" ht="25" customHeight="1">
      <x:c r="A301" s="3"/>
      <x:c r="B301" s="3"/>
      <x:c r="C301" s="3"/>
      <x:c r="D301" s="3"/>
      <x:c r="E301" s="25"/>
      <x:c r="F301" s="25"/>
      <x:c r="G301" s="3"/>
      <x:c r="H301" s="22"/>
      <x:c r="I301" s="3"/>
      <x:c r="J301" s="22"/>
      <x:c r="K301" s="3"/>
      <x:c r="L301" s="3"/>
      <x:c r="M301" s="3"/>
      <x:c r="N301" s="3"/>
      <x:c r="O301" s="3"/>
      <x:c r="P301" s="19" t="str">
        <x:f>IF(A301="","",IF(COUNTIFS('执行日志'!$A$7:$A$306,A301)&lt;&gt;1,"编号重复",IF(COUNTIFS('问题总览'!$A$7:$A$306,B301)&lt;&gt;1,"问题引用无效",IF(OR(L301="已更正",L301="撤销"),"排除汇总",IF(L301&lt;&gt;"有效","待补记录状态",IF(COUNTIFS('方案版本'!$A$7:$A$306,C301,'方案版本'!$B$7:$B$306,B301,'方案版本'!$L$7:$L$306,"已冻结")&lt;&gt;1,"方案引用无效",IF(OR(D301="",NOT(ISNUMBER(E301)),NOT(ISNUMBER(F301)),G301="",K301=""),"待补执行信息",IF(OR(NOT(ISNUMBER(H301)),H301&lt;0,NOT(ISNUMBER(J301)),J301&lt;0),"支出或耗时待补",IF(COUNTIFS('问题总览'!$A$7:$A$306,B301,'问题总览'!$J$7:$J$306,I301)&lt;&gt;1,"币种不匹配",IF(AND(M301&lt;&gt;"",OR(M301=A301,COUNTIFS('执行日志'!$A$7:$A$306,M301,'执行日志'!$B$7:$B$306,B301,'执行日志'!$L$7:$L$306,"已更正")&lt;&gt;1)),"更正引用待核对","有效输入"))))))))))</x:f>
      </x:c>
    </x:row>
    <x:row r="302" ht="25" customHeight="1">
      <x:c r="A302" s="3"/>
      <x:c r="B302" s="3"/>
      <x:c r="C302" s="3"/>
      <x:c r="D302" s="3"/>
      <x:c r="E302" s="25"/>
      <x:c r="F302" s="25"/>
      <x:c r="G302" s="3"/>
      <x:c r="H302" s="22"/>
      <x:c r="I302" s="3"/>
      <x:c r="J302" s="22"/>
      <x:c r="K302" s="3"/>
      <x:c r="L302" s="3"/>
      <x:c r="M302" s="3"/>
      <x:c r="N302" s="3"/>
      <x:c r="O302" s="3"/>
      <x:c r="P302" s="19" t="str">
        <x:f>IF(A302="","",IF(COUNTIFS('执行日志'!$A$7:$A$306,A302)&lt;&gt;1,"编号重复",IF(COUNTIFS('问题总览'!$A$7:$A$306,B302)&lt;&gt;1,"问题引用无效",IF(OR(L302="已更正",L302="撤销"),"排除汇总",IF(L302&lt;&gt;"有效","待补记录状态",IF(COUNTIFS('方案版本'!$A$7:$A$306,C302,'方案版本'!$B$7:$B$306,B302,'方案版本'!$L$7:$L$306,"已冻结")&lt;&gt;1,"方案引用无效",IF(OR(D302="",NOT(ISNUMBER(E302)),NOT(ISNUMBER(F302)),G302="",K302=""),"待补执行信息",IF(OR(NOT(ISNUMBER(H302)),H302&lt;0,NOT(ISNUMBER(J302)),J302&lt;0),"支出或耗时待补",IF(COUNTIFS('问题总览'!$A$7:$A$306,B302,'问题总览'!$J$7:$J$306,I302)&lt;&gt;1,"币种不匹配",IF(AND(M302&lt;&gt;"",OR(M302=A302,COUNTIFS('执行日志'!$A$7:$A$306,M302,'执行日志'!$B$7:$B$306,B302,'执行日志'!$L$7:$L$306,"已更正")&lt;&gt;1)),"更正引用待核对","有效输入"))))))))))</x:f>
      </x:c>
    </x:row>
    <x:row r="303" ht="25" customHeight="1">
      <x:c r="A303" s="3"/>
      <x:c r="B303" s="3"/>
      <x:c r="C303" s="3"/>
      <x:c r="D303" s="3"/>
      <x:c r="E303" s="25"/>
      <x:c r="F303" s="25"/>
      <x:c r="G303" s="3"/>
      <x:c r="H303" s="22"/>
      <x:c r="I303" s="3"/>
      <x:c r="J303" s="22"/>
      <x:c r="K303" s="3"/>
      <x:c r="L303" s="3"/>
      <x:c r="M303" s="3"/>
      <x:c r="N303" s="3"/>
      <x:c r="O303" s="3"/>
      <x:c r="P303" s="19" t="str">
        <x:f>IF(A303="","",IF(COUNTIFS('执行日志'!$A$7:$A$306,A303)&lt;&gt;1,"编号重复",IF(COUNTIFS('问题总览'!$A$7:$A$306,B303)&lt;&gt;1,"问题引用无效",IF(OR(L303="已更正",L303="撤销"),"排除汇总",IF(L303&lt;&gt;"有效","待补记录状态",IF(COUNTIFS('方案版本'!$A$7:$A$306,C303,'方案版本'!$B$7:$B$306,B303,'方案版本'!$L$7:$L$306,"已冻结")&lt;&gt;1,"方案引用无效",IF(OR(D303="",NOT(ISNUMBER(E303)),NOT(ISNUMBER(F303)),G303="",K303=""),"待补执行信息",IF(OR(NOT(ISNUMBER(H303)),H303&lt;0,NOT(ISNUMBER(J303)),J303&lt;0),"支出或耗时待补",IF(COUNTIFS('问题总览'!$A$7:$A$306,B303,'问题总览'!$J$7:$J$306,I303)&lt;&gt;1,"币种不匹配",IF(AND(M303&lt;&gt;"",OR(M303=A303,COUNTIFS('执行日志'!$A$7:$A$306,M303,'执行日志'!$B$7:$B$306,B303,'执行日志'!$L$7:$L$306,"已更正")&lt;&gt;1)),"更正引用待核对","有效输入"))))))))))</x:f>
      </x:c>
    </x:row>
    <x:row r="304" ht="25" customHeight="1">
      <x:c r="A304" s="3"/>
      <x:c r="B304" s="3"/>
      <x:c r="C304" s="3"/>
      <x:c r="D304" s="3"/>
      <x:c r="E304" s="25"/>
      <x:c r="F304" s="25"/>
      <x:c r="G304" s="3"/>
      <x:c r="H304" s="22"/>
      <x:c r="I304" s="3"/>
      <x:c r="J304" s="22"/>
      <x:c r="K304" s="3"/>
      <x:c r="L304" s="3"/>
      <x:c r="M304" s="3"/>
      <x:c r="N304" s="3"/>
      <x:c r="O304" s="3"/>
      <x:c r="P304" s="19" t="str">
        <x:f>IF(A304="","",IF(COUNTIFS('执行日志'!$A$7:$A$306,A304)&lt;&gt;1,"编号重复",IF(COUNTIFS('问题总览'!$A$7:$A$306,B304)&lt;&gt;1,"问题引用无效",IF(OR(L304="已更正",L304="撤销"),"排除汇总",IF(L304&lt;&gt;"有效","待补记录状态",IF(COUNTIFS('方案版本'!$A$7:$A$306,C304,'方案版本'!$B$7:$B$306,B304,'方案版本'!$L$7:$L$306,"已冻结")&lt;&gt;1,"方案引用无效",IF(OR(D304="",NOT(ISNUMBER(E304)),NOT(ISNUMBER(F304)),G304="",K304=""),"待补执行信息",IF(OR(NOT(ISNUMBER(H304)),H304&lt;0,NOT(ISNUMBER(J304)),J304&lt;0),"支出或耗时待补",IF(COUNTIFS('问题总览'!$A$7:$A$306,B304,'问题总览'!$J$7:$J$306,I304)&lt;&gt;1,"币种不匹配",IF(AND(M304&lt;&gt;"",OR(M304=A304,COUNTIFS('执行日志'!$A$7:$A$306,M304,'执行日志'!$B$7:$B$306,B304,'执行日志'!$L$7:$L$306,"已更正")&lt;&gt;1)),"更正引用待核对","有效输入"))))))))))</x:f>
      </x:c>
    </x:row>
    <x:row r="305" ht="25" customHeight="1">
      <x:c r="A305" s="3"/>
      <x:c r="B305" s="3"/>
      <x:c r="C305" s="3"/>
      <x:c r="D305" s="3"/>
      <x:c r="E305" s="25"/>
      <x:c r="F305" s="25"/>
      <x:c r="G305" s="3"/>
      <x:c r="H305" s="22"/>
      <x:c r="I305" s="3"/>
      <x:c r="J305" s="22"/>
      <x:c r="K305" s="3"/>
      <x:c r="L305" s="3"/>
      <x:c r="M305" s="3"/>
      <x:c r="N305" s="3"/>
      <x:c r="O305" s="3"/>
      <x:c r="P305" s="19" t="str">
        <x:f>IF(A305="","",IF(COUNTIFS('执行日志'!$A$7:$A$306,A305)&lt;&gt;1,"编号重复",IF(COUNTIFS('问题总览'!$A$7:$A$306,B305)&lt;&gt;1,"问题引用无效",IF(OR(L305="已更正",L305="撤销"),"排除汇总",IF(L305&lt;&gt;"有效","待补记录状态",IF(COUNTIFS('方案版本'!$A$7:$A$306,C305,'方案版本'!$B$7:$B$306,B305,'方案版本'!$L$7:$L$306,"已冻结")&lt;&gt;1,"方案引用无效",IF(OR(D305="",NOT(ISNUMBER(E305)),NOT(ISNUMBER(F305)),G305="",K305=""),"待补执行信息",IF(OR(NOT(ISNUMBER(H305)),H305&lt;0,NOT(ISNUMBER(J305)),J305&lt;0),"支出或耗时待补",IF(COUNTIFS('问题总览'!$A$7:$A$306,B305,'问题总览'!$J$7:$J$306,I305)&lt;&gt;1,"币种不匹配",IF(AND(M305&lt;&gt;"",OR(M305=A305,COUNTIFS('执行日志'!$A$7:$A$306,M305,'执行日志'!$B$7:$B$306,B305,'执行日志'!$L$7:$L$306,"已更正")&lt;&gt;1)),"更正引用待核对","有效输入"))))))))))</x:f>
      </x:c>
    </x:row>
    <x:row r="306" ht="25" customHeight="1">
      <x:c r="A306" s="3"/>
      <x:c r="B306" s="3"/>
      <x:c r="C306" s="3"/>
      <x:c r="D306" s="3"/>
      <x:c r="E306" s="25"/>
      <x:c r="F306" s="25"/>
      <x:c r="G306" s="3"/>
      <x:c r="H306" s="22"/>
      <x:c r="I306" s="3"/>
      <x:c r="J306" s="22"/>
      <x:c r="K306" s="3"/>
      <x:c r="L306" s="3"/>
      <x:c r="M306" s="3"/>
      <x:c r="N306" s="3"/>
      <x:c r="O306" s="3"/>
      <x:c r="P306" s="19" t="str">
        <x:f>IF(A306="","",IF(COUNTIFS('执行日志'!$A$7:$A$306,A306)&lt;&gt;1,"编号重复",IF(COUNTIFS('问题总览'!$A$7:$A$306,B306)&lt;&gt;1,"问题引用无效",IF(OR(L306="已更正",L306="撤销"),"排除汇总",IF(L306&lt;&gt;"有效","待补记录状态",IF(COUNTIFS('方案版本'!$A$7:$A$306,C306,'方案版本'!$B$7:$B$306,B306,'方案版本'!$L$7:$L$306,"已冻结")&lt;&gt;1,"方案引用无效",IF(OR(D306="",NOT(ISNUMBER(E306)),NOT(ISNUMBER(F306)),G306="",K306=""),"待补执行信息",IF(OR(NOT(ISNUMBER(H306)),H306&lt;0,NOT(ISNUMBER(J306)),J306&lt;0),"支出或耗时待补",IF(COUNTIFS('问题总览'!$A$7:$A$306,B306,'问题总览'!$J$7:$J$306,I306)&lt;&gt;1,"币种不匹配",IF(AND(M306&lt;&gt;"",OR(M306=A306,COUNTIFS('执行日志'!$A$7:$A$306,M306,'执行日志'!$B$7:$B$306,B306,'执行日志'!$L$7:$L$306,"已更正")&lt;&gt;1)),"更正引用待核对","有效输入"))))))))))</x:f>
      </x:c>
    </x:row>
  </x:sheetData>
  <x:conditionalFormatting sqref="P7:P306">
    <x:cfRule type="expression" dxfId="2" priority="1">
      <x:formula>AND($A7&lt;&gt;"",P7&lt;&gt;"有效输入")</x:formula>
    </x:cfRule>
  </x:conditionalFormatting>
  <x:dataValidations count="2">
    <x:dataValidation type="list" sqref="K7:K306">
      <x:formula1>"未开始,进行中,完成,中止,未执行"</x:formula1>
    </x:dataValidation>
    <x:dataValidation type="list" sqref="L7:L306">
      <x:formula1>"有效,已更正,撤销"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f9fc142ae245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3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  <x:col min="11" max="11" width="29" hidden="0" customWidth="1"/>
    <x:col min="12" max="12" width="20" hidden="0" customWidth="1"/>
    <x:col min="13" max="13" width="20" hidden="0" customWidth="1"/>
    <x:col min="14" max="14" width="29" hidden="0" customWidth="1"/>
    <x:col min="15" max="15" width="29" hidden="0" customWidth="1"/>
    <x:col min="16" max="16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16" t="str">
        <x:v>观测证据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25" customHeight="1">
      <x:c r="A3" s="18" t="str">
        <x:v>每行一条观测。结果与解释分开；同源材料保留共同来源ID，更正新增编号。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2" t="str">
        <x:v>观测ID</x:v>
      </x:c>
      <x:c r="B6" s="13" t="str">
        <x:v>问题ID</x:v>
      </x:c>
      <x:c r="C6" s="13" t="str">
        <x:v>方案ID</x:v>
      </x:c>
      <x:c r="D6" s="13" t="str">
        <x:v>指标ID及版本</x:v>
      </x:c>
      <x:c r="E6" s="13" t="str">
        <x:v>发生时间</x:v>
      </x:c>
      <x:c r="F6" s="13" t="str">
        <x:v>记录时间</x:v>
      </x:c>
      <x:c r="G6" s="13" t="str">
        <x:v>数值</x:v>
      </x:c>
      <x:c r="H6" s="13" t="str">
        <x:v>单位</x:v>
      </x:c>
      <x:c r="I6" s="13" t="str">
        <x:v>分母或样本量</x:v>
      </x:c>
      <x:c r="J6" s="13" t="str">
        <x:v>原始观察内容</x:v>
      </x:c>
      <x:c r="K6" s="13" t="str">
        <x:v>来源或附件</x:v>
      </x:c>
      <x:c r="L6" s="13" t="str">
        <x:v>同源组ID</x:v>
      </x:c>
      <x:c r="M6" s="13" t="str">
        <x:v>记录状态</x:v>
      </x:c>
      <x:c r="N6" s="13" t="str">
        <x:v>更正原OB</x:v>
      </x:c>
      <x:c r="O6" s="13" t="str">
        <x:v>记录文件</x:v>
      </x:c>
      <x:c r="P6" s="14" t="str">
        <x:v>输入检查</x:v>
      </x:c>
    </x:row>
    <x:row r="7" ht="25" customHeight="1">
      <x:c r="A7" s="3"/>
      <x:c r="B7" s="3"/>
      <x:c r="C7" s="3"/>
      <x:c r="D7" s="3"/>
      <x:c r="E7" s="25"/>
      <x:c r="F7" s="25"/>
      <x:c r="G7" s="22"/>
      <x:c r="H7" s="3"/>
      <x:c r="I7" s="22"/>
      <x:c r="J7" s="3"/>
      <x:c r="K7" s="3"/>
      <x:c r="L7" s="3"/>
      <x:c r="M7" s="3"/>
      <x:c r="N7" s="3"/>
      <x:c r="O7" s="3"/>
      <x:c r="P7" s="19" t="str">
        <x:f>IF(A7="","",IF(COUNTIFS('观测证据'!$A$7:$A$306,A7)&lt;&gt;1,"编号重复",IF(COUNTIFS('问题总览'!$A$7:$A$306,B7)&lt;&gt;1,"问题引用无效",IF(AND(C7&lt;&gt;"",COUNTIFS('方案版本'!$A$7:$A$306,C7,'方案版本'!$B$7:$B$306,B7,'方案版本'!$L$7:$L$306,"已冻结")&lt;&gt;1),"方案引用无效",IF(OR(NOT(ISNUMBER(F7)),M7=""),"待补登记信息",IF(AND(M7="已观测",OR(K7="",AND(NOT(ISNUMBER(G7)),J7=""))),"待补观测与来源",IF(AND(ISNUMBER(G7),H7=""),"待补数值单位",IF(AND(N7&lt;&gt;"",OR(N7=A7,COUNTIFS('观测证据'!$A$7:$A$306,N7,'观测证据'!$B$7:$B$306,B7,'观测证据'!$M$7:$M$306,"已更正")&lt;&gt;1)),"更正引用待核对","有效输入"))))))))</x:f>
      </x:c>
    </x:row>
    <x:row r="8" ht="25" customHeight="1">
      <x:c r="A8" s="3"/>
      <x:c r="B8" s="3"/>
      <x:c r="C8" s="3"/>
      <x:c r="D8" s="3"/>
      <x:c r="E8" s="25"/>
      <x:c r="F8" s="25"/>
      <x:c r="G8" s="22"/>
      <x:c r="H8" s="3"/>
      <x:c r="I8" s="22"/>
      <x:c r="J8" s="3"/>
      <x:c r="K8" s="3"/>
      <x:c r="L8" s="3"/>
      <x:c r="M8" s="3"/>
      <x:c r="N8" s="3"/>
      <x:c r="O8" s="3"/>
      <x:c r="P8" s="19" t="str">
        <x:f>IF(A8="","",IF(COUNTIFS('观测证据'!$A$7:$A$306,A8)&lt;&gt;1,"编号重复",IF(COUNTIFS('问题总览'!$A$7:$A$306,B8)&lt;&gt;1,"问题引用无效",IF(AND(C8&lt;&gt;"",COUNTIFS('方案版本'!$A$7:$A$306,C8,'方案版本'!$B$7:$B$306,B8,'方案版本'!$L$7:$L$306,"已冻结")&lt;&gt;1),"方案引用无效",IF(OR(NOT(ISNUMBER(F8)),M8=""),"待补登记信息",IF(AND(M8="已观测",OR(K8="",AND(NOT(ISNUMBER(G8)),J8=""))),"待补观测与来源",IF(AND(ISNUMBER(G8),H8=""),"待补数值单位",IF(AND(N8&lt;&gt;"",OR(N8=A8,COUNTIFS('观测证据'!$A$7:$A$306,N8,'观测证据'!$B$7:$B$306,B8,'观测证据'!$M$7:$M$306,"已更正")&lt;&gt;1)),"更正引用待核对","有效输入"))))))))</x:f>
      </x:c>
    </x:row>
    <x:row r="9" ht="25" customHeight="1">
      <x:c r="A9" s="3"/>
      <x:c r="B9" s="3"/>
      <x:c r="C9" s="3"/>
      <x:c r="D9" s="3"/>
      <x:c r="E9" s="25"/>
      <x:c r="F9" s="25"/>
      <x:c r="G9" s="22"/>
      <x:c r="H9" s="3"/>
      <x:c r="I9" s="22"/>
      <x:c r="J9" s="3"/>
      <x:c r="K9" s="3"/>
      <x:c r="L9" s="3"/>
      <x:c r="M9" s="3"/>
      <x:c r="N9" s="3"/>
      <x:c r="O9" s="3"/>
      <x:c r="P9" s="19" t="str">
        <x:f>IF(A9="","",IF(COUNTIFS('观测证据'!$A$7:$A$306,A9)&lt;&gt;1,"编号重复",IF(COUNTIFS('问题总览'!$A$7:$A$306,B9)&lt;&gt;1,"问题引用无效",IF(AND(C9&lt;&gt;"",COUNTIFS('方案版本'!$A$7:$A$306,C9,'方案版本'!$B$7:$B$306,B9,'方案版本'!$L$7:$L$306,"已冻结")&lt;&gt;1),"方案引用无效",IF(OR(NOT(ISNUMBER(F9)),M9=""),"待补登记信息",IF(AND(M9="已观测",OR(K9="",AND(NOT(ISNUMBER(G9)),J9=""))),"待补观测与来源",IF(AND(ISNUMBER(G9),H9=""),"待补数值单位",IF(AND(N9&lt;&gt;"",OR(N9=A9,COUNTIFS('观测证据'!$A$7:$A$306,N9,'观测证据'!$B$7:$B$306,B9,'观测证据'!$M$7:$M$306,"已更正")&lt;&gt;1)),"更正引用待核对","有效输入"))))))))</x:f>
      </x:c>
    </x:row>
    <x:row r="10" ht="25" customHeight="1">
      <x:c r="A10" s="3"/>
      <x:c r="B10" s="3"/>
      <x:c r="C10" s="3"/>
      <x:c r="D10" s="3"/>
      <x:c r="E10" s="25"/>
      <x:c r="F10" s="25"/>
      <x:c r="G10" s="22"/>
      <x:c r="H10" s="3"/>
      <x:c r="I10" s="22"/>
      <x:c r="J10" s="3"/>
      <x:c r="K10" s="3"/>
      <x:c r="L10" s="3"/>
      <x:c r="M10" s="3"/>
      <x:c r="N10" s="3"/>
      <x:c r="O10" s="3"/>
      <x:c r="P10" s="19" t="str">
        <x:f>IF(A10="","",IF(COUNTIFS('观测证据'!$A$7:$A$306,A10)&lt;&gt;1,"编号重复",IF(COUNTIFS('问题总览'!$A$7:$A$306,B10)&lt;&gt;1,"问题引用无效",IF(AND(C10&lt;&gt;"",COUNTIFS('方案版本'!$A$7:$A$306,C10,'方案版本'!$B$7:$B$306,B10,'方案版本'!$L$7:$L$306,"已冻结")&lt;&gt;1),"方案引用无效",IF(OR(NOT(ISNUMBER(F10)),M10=""),"待补登记信息",IF(AND(M10="已观测",OR(K10="",AND(NOT(ISNUMBER(G10)),J10=""))),"待补观测与来源",IF(AND(ISNUMBER(G10),H10=""),"待补数值单位",IF(AND(N10&lt;&gt;"",OR(N10=A10,COUNTIFS('观测证据'!$A$7:$A$306,N10,'观测证据'!$B$7:$B$306,B10,'观测证据'!$M$7:$M$306,"已更正")&lt;&gt;1)),"更正引用待核对","有效输入"))))))))</x:f>
      </x:c>
    </x:row>
    <x:row r="11" ht="25" customHeight="1">
      <x:c r="A11" s="3"/>
      <x:c r="B11" s="3"/>
      <x:c r="C11" s="3"/>
      <x:c r="D11" s="3"/>
      <x:c r="E11" s="25"/>
      <x:c r="F11" s="25"/>
      <x:c r="G11" s="22"/>
      <x:c r="H11" s="3"/>
      <x:c r="I11" s="22"/>
      <x:c r="J11" s="3"/>
      <x:c r="K11" s="3"/>
      <x:c r="L11" s="3"/>
      <x:c r="M11" s="3"/>
      <x:c r="N11" s="3"/>
      <x:c r="O11" s="3"/>
      <x:c r="P11" s="19" t="str">
        <x:f>IF(A11="","",IF(COUNTIFS('观测证据'!$A$7:$A$306,A11)&lt;&gt;1,"编号重复",IF(COUNTIFS('问题总览'!$A$7:$A$306,B11)&lt;&gt;1,"问题引用无效",IF(AND(C11&lt;&gt;"",COUNTIFS('方案版本'!$A$7:$A$306,C11,'方案版本'!$B$7:$B$306,B11,'方案版本'!$L$7:$L$306,"已冻结")&lt;&gt;1),"方案引用无效",IF(OR(NOT(ISNUMBER(F11)),M11=""),"待补登记信息",IF(AND(M11="已观测",OR(K11="",AND(NOT(ISNUMBER(G11)),J11=""))),"待补观测与来源",IF(AND(ISNUMBER(G11),H11=""),"待补数值单位",IF(AND(N11&lt;&gt;"",OR(N11=A11,COUNTIFS('观测证据'!$A$7:$A$306,N11,'观测证据'!$B$7:$B$306,B11,'观测证据'!$M$7:$M$306,"已更正")&lt;&gt;1)),"更正引用待核对","有效输入"))))))))</x:f>
      </x:c>
    </x:row>
    <x:row r="12" ht="25" customHeight="1">
      <x:c r="A12" s="3"/>
      <x:c r="B12" s="3"/>
      <x:c r="C12" s="3"/>
      <x:c r="D12" s="3"/>
      <x:c r="E12" s="25"/>
      <x:c r="F12" s="25"/>
      <x:c r="G12" s="22"/>
      <x:c r="H12" s="3"/>
      <x:c r="I12" s="22"/>
      <x:c r="J12" s="3"/>
      <x:c r="K12" s="3"/>
      <x:c r="L12" s="3"/>
      <x:c r="M12" s="3"/>
      <x:c r="N12" s="3"/>
      <x:c r="O12" s="3"/>
      <x:c r="P12" s="19" t="str">
        <x:f>IF(A12="","",IF(COUNTIFS('观测证据'!$A$7:$A$306,A12)&lt;&gt;1,"编号重复",IF(COUNTIFS('问题总览'!$A$7:$A$306,B12)&lt;&gt;1,"问题引用无效",IF(AND(C12&lt;&gt;"",COUNTIFS('方案版本'!$A$7:$A$306,C12,'方案版本'!$B$7:$B$306,B12,'方案版本'!$L$7:$L$306,"已冻结")&lt;&gt;1),"方案引用无效",IF(OR(NOT(ISNUMBER(F12)),M12=""),"待补登记信息",IF(AND(M12="已观测",OR(K12="",AND(NOT(ISNUMBER(G12)),J12=""))),"待补观测与来源",IF(AND(ISNUMBER(G12),H12=""),"待补数值单位",IF(AND(N12&lt;&gt;"",OR(N12=A12,COUNTIFS('观测证据'!$A$7:$A$306,N12,'观测证据'!$B$7:$B$306,B12,'观测证据'!$M$7:$M$306,"已更正")&lt;&gt;1)),"更正引用待核对","有效输入"))))))))</x:f>
      </x:c>
    </x:row>
    <x:row r="13" ht="25" customHeight="1">
      <x:c r="A13" s="3"/>
      <x:c r="B13" s="3"/>
      <x:c r="C13" s="3"/>
      <x:c r="D13" s="3"/>
      <x:c r="E13" s="25"/>
      <x:c r="F13" s="25"/>
      <x:c r="G13" s="22"/>
      <x:c r="H13" s="3"/>
      <x:c r="I13" s="22"/>
      <x:c r="J13" s="3"/>
      <x:c r="K13" s="3"/>
      <x:c r="L13" s="3"/>
      <x:c r="M13" s="3"/>
      <x:c r="N13" s="3"/>
      <x:c r="O13" s="3"/>
      <x:c r="P13" s="19" t="str">
        <x:f>IF(A13="","",IF(COUNTIFS('观测证据'!$A$7:$A$306,A13)&lt;&gt;1,"编号重复",IF(COUNTIFS('问题总览'!$A$7:$A$306,B13)&lt;&gt;1,"问题引用无效",IF(AND(C13&lt;&gt;"",COUNTIFS('方案版本'!$A$7:$A$306,C13,'方案版本'!$B$7:$B$306,B13,'方案版本'!$L$7:$L$306,"已冻结")&lt;&gt;1),"方案引用无效",IF(OR(NOT(ISNUMBER(F13)),M13=""),"待补登记信息",IF(AND(M13="已观测",OR(K13="",AND(NOT(ISNUMBER(G13)),J13=""))),"待补观测与来源",IF(AND(ISNUMBER(G13),H13=""),"待补数值单位",IF(AND(N13&lt;&gt;"",OR(N13=A13,COUNTIFS('观测证据'!$A$7:$A$306,N13,'观测证据'!$B$7:$B$306,B13,'观测证据'!$M$7:$M$306,"已更正")&lt;&gt;1)),"更正引用待核对","有效输入"))))))))</x:f>
      </x:c>
    </x:row>
    <x:row r="14" ht="25" customHeight="1">
      <x:c r="A14" s="3"/>
      <x:c r="B14" s="3"/>
      <x:c r="C14" s="3"/>
      <x:c r="D14" s="3"/>
      <x:c r="E14" s="25"/>
      <x:c r="F14" s="25"/>
      <x:c r="G14" s="22"/>
      <x:c r="H14" s="3"/>
      <x:c r="I14" s="22"/>
      <x:c r="J14" s="3"/>
      <x:c r="K14" s="3"/>
      <x:c r="L14" s="3"/>
      <x:c r="M14" s="3"/>
      <x:c r="N14" s="3"/>
      <x:c r="O14" s="3"/>
      <x:c r="P14" s="19" t="str">
        <x:f>IF(A14="","",IF(COUNTIFS('观测证据'!$A$7:$A$306,A14)&lt;&gt;1,"编号重复",IF(COUNTIFS('问题总览'!$A$7:$A$306,B14)&lt;&gt;1,"问题引用无效",IF(AND(C14&lt;&gt;"",COUNTIFS('方案版本'!$A$7:$A$306,C14,'方案版本'!$B$7:$B$306,B14,'方案版本'!$L$7:$L$306,"已冻结")&lt;&gt;1),"方案引用无效",IF(OR(NOT(ISNUMBER(F14)),M14=""),"待补登记信息",IF(AND(M14="已观测",OR(K14="",AND(NOT(ISNUMBER(G14)),J14=""))),"待补观测与来源",IF(AND(ISNUMBER(G14),H14=""),"待补数值单位",IF(AND(N14&lt;&gt;"",OR(N14=A14,COUNTIFS('观测证据'!$A$7:$A$306,N14,'观测证据'!$B$7:$B$306,B14,'观测证据'!$M$7:$M$306,"已更正")&lt;&gt;1)),"更正引用待核对","有效输入"))))))))</x:f>
      </x:c>
    </x:row>
    <x:row r="15" ht="25" customHeight="1">
      <x:c r="A15" s="3"/>
      <x:c r="B15" s="3"/>
      <x:c r="C15" s="3"/>
      <x:c r="D15" s="3"/>
      <x:c r="E15" s="25"/>
      <x:c r="F15" s="25"/>
      <x:c r="G15" s="22"/>
      <x:c r="H15" s="3"/>
      <x:c r="I15" s="22"/>
      <x:c r="J15" s="3"/>
      <x:c r="K15" s="3"/>
      <x:c r="L15" s="3"/>
      <x:c r="M15" s="3"/>
      <x:c r="N15" s="3"/>
      <x:c r="O15" s="3"/>
      <x:c r="P15" s="19" t="str">
        <x:f>IF(A15="","",IF(COUNTIFS('观测证据'!$A$7:$A$306,A15)&lt;&gt;1,"编号重复",IF(COUNTIFS('问题总览'!$A$7:$A$306,B15)&lt;&gt;1,"问题引用无效",IF(AND(C15&lt;&gt;"",COUNTIFS('方案版本'!$A$7:$A$306,C15,'方案版本'!$B$7:$B$306,B15,'方案版本'!$L$7:$L$306,"已冻结")&lt;&gt;1),"方案引用无效",IF(OR(NOT(ISNUMBER(F15)),M15=""),"待补登记信息",IF(AND(M15="已观测",OR(K15="",AND(NOT(ISNUMBER(G15)),J15=""))),"待补观测与来源",IF(AND(ISNUMBER(G15),H15=""),"待补数值单位",IF(AND(N15&lt;&gt;"",OR(N15=A15,COUNTIFS('观测证据'!$A$7:$A$306,N15,'观测证据'!$B$7:$B$306,B15,'观测证据'!$M$7:$M$306,"已更正")&lt;&gt;1)),"更正引用待核对","有效输入"))))))))</x:f>
      </x:c>
    </x:row>
    <x:row r="16" ht="25" customHeight="1">
      <x:c r="A16" s="3"/>
      <x:c r="B16" s="3"/>
      <x:c r="C16" s="3"/>
      <x:c r="D16" s="3"/>
      <x:c r="E16" s="25"/>
      <x:c r="F16" s="25"/>
      <x:c r="G16" s="22"/>
      <x:c r="H16" s="3"/>
      <x:c r="I16" s="22"/>
      <x:c r="J16" s="3"/>
      <x:c r="K16" s="3"/>
      <x:c r="L16" s="3"/>
      <x:c r="M16" s="3"/>
      <x:c r="N16" s="3"/>
      <x:c r="O16" s="3"/>
      <x:c r="P16" s="19" t="str">
        <x:f>IF(A16="","",IF(COUNTIFS('观测证据'!$A$7:$A$306,A16)&lt;&gt;1,"编号重复",IF(COUNTIFS('问题总览'!$A$7:$A$306,B16)&lt;&gt;1,"问题引用无效",IF(AND(C16&lt;&gt;"",COUNTIFS('方案版本'!$A$7:$A$306,C16,'方案版本'!$B$7:$B$306,B16,'方案版本'!$L$7:$L$306,"已冻结")&lt;&gt;1),"方案引用无效",IF(OR(NOT(ISNUMBER(F16)),M16=""),"待补登记信息",IF(AND(M16="已观测",OR(K16="",AND(NOT(ISNUMBER(G16)),J16=""))),"待补观测与来源",IF(AND(ISNUMBER(G16),H16=""),"待补数值单位",IF(AND(N16&lt;&gt;"",OR(N16=A16,COUNTIFS('观测证据'!$A$7:$A$306,N16,'观测证据'!$B$7:$B$306,B16,'观测证据'!$M$7:$M$306,"已更正")&lt;&gt;1)),"更正引用待核对","有效输入"))))))))</x:f>
      </x:c>
    </x:row>
    <x:row r="17" ht="25" customHeight="1">
      <x:c r="A17" s="3"/>
      <x:c r="B17" s="3"/>
      <x:c r="C17" s="3"/>
      <x:c r="D17" s="3"/>
      <x:c r="E17" s="25"/>
      <x:c r="F17" s="25"/>
      <x:c r="G17" s="22"/>
      <x:c r="H17" s="3"/>
      <x:c r="I17" s="22"/>
      <x:c r="J17" s="3"/>
      <x:c r="K17" s="3"/>
      <x:c r="L17" s="3"/>
      <x:c r="M17" s="3"/>
      <x:c r="N17" s="3"/>
      <x:c r="O17" s="3"/>
      <x:c r="P17" s="19" t="str">
        <x:f>IF(A17="","",IF(COUNTIFS('观测证据'!$A$7:$A$306,A17)&lt;&gt;1,"编号重复",IF(COUNTIFS('问题总览'!$A$7:$A$306,B17)&lt;&gt;1,"问题引用无效",IF(AND(C17&lt;&gt;"",COUNTIFS('方案版本'!$A$7:$A$306,C17,'方案版本'!$B$7:$B$306,B17,'方案版本'!$L$7:$L$306,"已冻结")&lt;&gt;1),"方案引用无效",IF(OR(NOT(ISNUMBER(F17)),M17=""),"待补登记信息",IF(AND(M17="已观测",OR(K17="",AND(NOT(ISNUMBER(G17)),J17=""))),"待补观测与来源",IF(AND(ISNUMBER(G17),H17=""),"待补数值单位",IF(AND(N17&lt;&gt;"",OR(N17=A17,COUNTIFS('观测证据'!$A$7:$A$306,N17,'观测证据'!$B$7:$B$306,B17,'观测证据'!$M$7:$M$306,"已更正")&lt;&gt;1)),"更正引用待核对","有效输入"))))))))</x:f>
      </x:c>
    </x:row>
    <x:row r="18" ht="25" customHeight="1">
      <x:c r="A18" s="3"/>
      <x:c r="B18" s="3"/>
      <x:c r="C18" s="3"/>
      <x:c r="D18" s="3"/>
      <x:c r="E18" s="25"/>
      <x:c r="F18" s="25"/>
      <x:c r="G18" s="22"/>
      <x:c r="H18" s="3"/>
      <x:c r="I18" s="22"/>
      <x:c r="J18" s="3"/>
      <x:c r="K18" s="3"/>
      <x:c r="L18" s="3"/>
      <x:c r="M18" s="3"/>
      <x:c r="N18" s="3"/>
      <x:c r="O18" s="3"/>
      <x:c r="P18" s="19" t="str">
        <x:f>IF(A18="","",IF(COUNTIFS('观测证据'!$A$7:$A$306,A18)&lt;&gt;1,"编号重复",IF(COUNTIFS('问题总览'!$A$7:$A$306,B18)&lt;&gt;1,"问题引用无效",IF(AND(C18&lt;&gt;"",COUNTIFS('方案版本'!$A$7:$A$306,C18,'方案版本'!$B$7:$B$306,B18,'方案版本'!$L$7:$L$306,"已冻结")&lt;&gt;1),"方案引用无效",IF(OR(NOT(ISNUMBER(F18)),M18=""),"待补登记信息",IF(AND(M18="已观测",OR(K18="",AND(NOT(ISNUMBER(G18)),J18=""))),"待补观测与来源",IF(AND(ISNUMBER(G18),H18=""),"待补数值单位",IF(AND(N18&lt;&gt;"",OR(N18=A18,COUNTIFS('观测证据'!$A$7:$A$306,N18,'观测证据'!$B$7:$B$306,B18,'观测证据'!$M$7:$M$306,"已更正")&lt;&gt;1)),"更正引用待核对","有效输入"))))))))</x:f>
      </x:c>
    </x:row>
    <x:row r="19" ht="25" customHeight="1">
      <x:c r="A19" s="3"/>
      <x:c r="B19" s="3"/>
      <x:c r="C19" s="3"/>
      <x:c r="D19" s="3"/>
      <x:c r="E19" s="25"/>
      <x:c r="F19" s="25"/>
      <x:c r="G19" s="22"/>
      <x:c r="H19" s="3"/>
      <x:c r="I19" s="22"/>
      <x:c r="J19" s="3"/>
      <x:c r="K19" s="3"/>
      <x:c r="L19" s="3"/>
      <x:c r="M19" s="3"/>
      <x:c r="N19" s="3"/>
      <x:c r="O19" s="3"/>
      <x:c r="P19" s="19" t="str">
        <x:f>IF(A19="","",IF(COUNTIFS('观测证据'!$A$7:$A$306,A19)&lt;&gt;1,"编号重复",IF(COUNTIFS('问题总览'!$A$7:$A$306,B19)&lt;&gt;1,"问题引用无效",IF(AND(C19&lt;&gt;"",COUNTIFS('方案版本'!$A$7:$A$306,C19,'方案版本'!$B$7:$B$306,B19,'方案版本'!$L$7:$L$306,"已冻结")&lt;&gt;1),"方案引用无效",IF(OR(NOT(ISNUMBER(F19)),M19=""),"待补登记信息",IF(AND(M19="已观测",OR(K19="",AND(NOT(ISNUMBER(G19)),J19=""))),"待补观测与来源",IF(AND(ISNUMBER(G19),H19=""),"待补数值单位",IF(AND(N19&lt;&gt;"",OR(N19=A19,COUNTIFS('观测证据'!$A$7:$A$306,N19,'观测证据'!$B$7:$B$306,B19,'观测证据'!$M$7:$M$306,"已更正")&lt;&gt;1)),"更正引用待核对","有效输入"))))))))</x:f>
      </x:c>
    </x:row>
    <x:row r="20" ht="25" customHeight="1">
      <x:c r="A20" s="3"/>
      <x:c r="B20" s="3"/>
      <x:c r="C20" s="3"/>
      <x:c r="D20" s="3"/>
      <x:c r="E20" s="25"/>
      <x:c r="F20" s="25"/>
      <x:c r="G20" s="22"/>
      <x:c r="H20" s="3"/>
      <x:c r="I20" s="22"/>
      <x:c r="J20" s="3"/>
      <x:c r="K20" s="3"/>
      <x:c r="L20" s="3"/>
      <x:c r="M20" s="3"/>
      <x:c r="N20" s="3"/>
      <x:c r="O20" s="3"/>
      <x:c r="P20" s="19" t="str">
        <x:f>IF(A20="","",IF(COUNTIFS('观测证据'!$A$7:$A$306,A20)&lt;&gt;1,"编号重复",IF(COUNTIFS('问题总览'!$A$7:$A$306,B20)&lt;&gt;1,"问题引用无效",IF(AND(C20&lt;&gt;"",COUNTIFS('方案版本'!$A$7:$A$306,C20,'方案版本'!$B$7:$B$306,B20,'方案版本'!$L$7:$L$306,"已冻结")&lt;&gt;1),"方案引用无效",IF(OR(NOT(ISNUMBER(F20)),M20=""),"待补登记信息",IF(AND(M20="已观测",OR(K20="",AND(NOT(ISNUMBER(G20)),J20=""))),"待补观测与来源",IF(AND(ISNUMBER(G20),H20=""),"待补数值单位",IF(AND(N20&lt;&gt;"",OR(N20=A20,COUNTIFS('观测证据'!$A$7:$A$306,N20,'观测证据'!$B$7:$B$306,B20,'观测证据'!$M$7:$M$306,"已更正")&lt;&gt;1)),"更正引用待核对","有效输入"))))))))</x:f>
      </x:c>
    </x:row>
    <x:row r="21" ht="25" customHeight="1">
      <x:c r="A21" s="3"/>
      <x:c r="B21" s="3"/>
      <x:c r="C21" s="3"/>
      <x:c r="D21" s="3"/>
      <x:c r="E21" s="25"/>
      <x:c r="F21" s="25"/>
      <x:c r="G21" s="22"/>
      <x:c r="H21" s="3"/>
      <x:c r="I21" s="22"/>
      <x:c r="J21" s="3"/>
      <x:c r="K21" s="3"/>
      <x:c r="L21" s="3"/>
      <x:c r="M21" s="3"/>
      <x:c r="N21" s="3"/>
      <x:c r="O21" s="3"/>
      <x:c r="P21" s="19" t="str">
        <x:f>IF(A21="","",IF(COUNTIFS('观测证据'!$A$7:$A$306,A21)&lt;&gt;1,"编号重复",IF(COUNTIFS('问题总览'!$A$7:$A$306,B21)&lt;&gt;1,"问题引用无效",IF(AND(C21&lt;&gt;"",COUNTIFS('方案版本'!$A$7:$A$306,C21,'方案版本'!$B$7:$B$306,B21,'方案版本'!$L$7:$L$306,"已冻结")&lt;&gt;1),"方案引用无效",IF(OR(NOT(ISNUMBER(F21)),M21=""),"待补登记信息",IF(AND(M21="已观测",OR(K21="",AND(NOT(ISNUMBER(G21)),J21=""))),"待补观测与来源",IF(AND(ISNUMBER(G21),H21=""),"待补数值单位",IF(AND(N21&lt;&gt;"",OR(N21=A21,COUNTIFS('观测证据'!$A$7:$A$306,N21,'观测证据'!$B$7:$B$306,B21,'观测证据'!$M$7:$M$306,"已更正")&lt;&gt;1)),"更正引用待核对","有效输入"))))))))</x:f>
      </x:c>
    </x:row>
    <x:row r="22" ht="25" customHeight="1">
      <x:c r="A22" s="3"/>
      <x:c r="B22" s="3"/>
      <x:c r="C22" s="3"/>
      <x:c r="D22" s="3"/>
      <x:c r="E22" s="25"/>
      <x:c r="F22" s="25"/>
      <x:c r="G22" s="22"/>
      <x:c r="H22" s="3"/>
      <x:c r="I22" s="22"/>
      <x:c r="J22" s="3"/>
      <x:c r="K22" s="3"/>
      <x:c r="L22" s="3"/>
      <x:c r="M22" s="3"/>
      <x:c r="N22" s="3"/>
      <x:c r="O22" s="3"/>
      <x:c r="P22" s="19" t="str">
        <x:f>IF(A22="","",IF(COUNTIFS('观测证据'!$A$7:$A$306,A22)&lt;&gt;1,"编号重复",IF(COUNTIFS('问题总览'!$A$7:$A$306,B22)&lt;&gt;1,"问题引用无效",IF(AND(C22&lt;&gt;"",COUNTIFS('方案版本'!$A$7:$A$306,C22,'方案版本'!$B$7:$B$306,B22,'方案版本'!$L$7:$L$306,"已冻结")&lt;&gt;1),"方案引用无效",IF(OR(NOT(ISNUMBER(F22)),M22=""),"待补登记信息",IF(AND(M22="已观测",OR(K22="",AND(NOT(ISNUMBER(G22)),J22=""))),"待补观测与来源",IF(AND(ISNUMBER(G22),H22=""),"待补数值单位",IF(AND(N22&lt;&gt;"",OR(N22=A22,COUNTIFS('观测证据'!$A$7:$A$306,N22,'观测证据'!$B$7:$B$306,B22,'观测证据'!$M$7:$M$306,"已更正")&lt;&gt;1)),"更正引用待核对","有效输入"))))))))</x:f>
      </x:c>
    </x:row>
    <x:row r="23" ht="25" customHeight="1">
      <x:c r="A23" s="3"/>
      <x:c r="B23" s="3"/>
      <x:c r="C23" s="3"/>
      <x:c r="D23" s="3"/>
      <x:c r="E23" s="25"/>
      <x:c r="F23" s="25"/>
      <x:c r="G23" s="22"/>
      <x:c r="H23" s="3"/>
      <x:c r="I23" s="22"/>
      <x:c r="J23" s="3"/>
      <x:c r="K23" s="3"/>
      <x:c r="L23" s="3"/>
      <x:c r="M23" s="3"/>
      <x:c r="N23" s="3"/>
      <x:c r="O23" s="3"/>
      <x:c r="P23" s="19" t="str">
        <x:f>IF(A23="","",IF(COUNTIFS('观测证据'!$A$7:$A$306,A23)&lt;&gt;1,"编号重复",IF(COUNTIFS('问题总览'!$A$7:$A$306,B23)&lt;&gt;1,"问题引用无效",IF(AND(C23&lt;&gt;"",COUNTIFS('方案版本'!$A$7:$A$306,C23,'方案版本'!$B$7:$B$306,B23,'方案版本'!$L$7:$L$306,"已冻结")&lt;&gt;1),"方案引用无效",IF(OR(NOT(ISNUMBER(F23)),M23=""),"待补登记信息",IF(AND(M23="已观测",OR(K23="",AND(NOT(ISNUMBER(G23)),J23=""))),"待补观测与来源",IF(AND(ISNUMBER(G23),H23=""),"待补数值单位",IF(AND(N23&lt;&gt;"",OR(N23=A23,COUNTIFS('观测证据'!$A$7:$A$306,N23,'观测证据'!$B$7:$B$306,B23,'观测证据'!$M$7:$M$306,"已更正")&lt;&gt;1)),"更正引用待核对","有效输入"))))))))</x:f>
      </x:c>
    </x:row>
    <x:row r="24" ht="25" customHeight="1">
      <x:c r="A24" s="3"/>
      <x:c r="B24" s="3"/>
      <x:c r="C24" s="3"/>
      <x:c r="D24" s="3"/>
      <x:c r="E24" s="25"/>
      <x:c r="F24" s="25"/>
      <x:c r="G24" s="22"/>
      <x:c r="H24" s="3"/>
      <x:c r="I24" s="22"/>
      <x:c r="J24" s="3"/>
      <x:c r="K24" s="3"/>
      <x:c r="L24" s="3"/>
      <x:c r="M24" s="3"/>
      <x:c r="N24" s="3"/>
      <x:c r="O24" s="3"/>
      <x:c r="P24" s="19" t="str">
        <x:f>IF(A24="","",IF(COUNTIFS('观测证据'!$A$7:$A$306,A24)&lt;&gt;1,"编号重复",IF(COUNTIFS('问题总览'!$A$7:$A$306,B24)&lt;&gt;1,"问题引用无效",IF(AND(C24&lt;&gt;"",COUNTIFS('方案版本'!$A$7:$A$306,C24,'方案版本'!$B$7:$B$306,B24,'方案版本'!$L$7:$L$306,"已冻结")&lt;&gt;1),"方案引用无效",IF(OR(NOT(ISNUMBER(F24)),M24=""),"待补登记信息",IF(AND(M24="已观测",OR(K24="",AND(NOT(ISNUMBER(G24)),J24=""))),"待补观测与来源",IF(AND(ISNUMBER(G24),H24=""),"待补数值单位",IF(AND(N24&lt;&gt;"",OR(N24=A24,COUNTIFS('观测证据'!$A$7:$A$306,N24,'观测证据'!$B$7:$B$306,B24,'观测证据'!$M$7:$M$306,"已更正")&lt;&gt;1)),"更正引用待核对","有效输入"))))))))</x:f>
      </x:c>
    </x:row>
    <x:row r="25" ht="25" customHeight="1">
      <x:c r="A25" s="3"/>
      <x:c r="B25" s="3"/>
      <x:c r="C25" s="3"/>
      <x:c r="D25" s="3"/>
      <x:c r="E25" s="25"/>
      <x:c r="F25" s="25"/>
      <x:c r="G25" s="22"/>
      <x:c r="H25" s="3"/>
      <x:c r="I25" s="22"/>
      <x:c r="J25" s="3"/>
      <x:c r="K25" s="3"/>
      <x:c r="L25" s="3"/>
      <x:c r="M25" s="3"/>
      <x:c r="N25" s="3"/>
      <x:c r="O25" s="3"/>
      <x:c r="P25" s="19" t="str">
        <x:f>IF(A25="","",IF(COUNTIFS('观测证据'!$A$7:$A$306,A25)&lt;&gt;1,"编号重复",IF(COUNTIFS('问题总览'!$A$7:$A$306,B25)&lt;&gt;1,"问题引用无效",IF(AND(C25&lt;&gt;"",COUNTIFS('方案版本'!$A$7:$A$306,C25,'方案版本'!$B$7:$B$306,B25,'方案版本'!$L$7:$L$306,"已冻结")&lt;&gt;1),"方案引用无效",IF(OR(NOT(ISNUMBER(F25)),M25=""),"待补登记信息",IF(AND(M25="已观测",OR(K25="",AND(NOT(ISNUMBER(G25)),J25=""))),"待补观测与来源",IF(AND(ISNUMBER(G25),H25=""),"待补数值单位",IF(AND(N25&lt;&gt;"",OR(N25=A25,COUNTIFS('观测证据'!$A$7:$A$306,N25,'观测证据'!$B$7:$B$306,B25,'观测证据'!$M$7:$M$306,"已更正")&lt;&gt;1)),"更正引用待核对","有效输入"))))))))</x:f>
      </x:c>
    </x:row>
    <x:row r="26" ht="25" customHeight="1">
      <x:c r="A26" s="3"/>
      <x:c r="B26" s="3"/>
      <x:c r="C26" s="3"/>
      <x:c r="D26" s="3"/>
      <x:c r="E26" s="25"/>
      <x:c r="F26" s="25"/>
      <x:c r="G26" s="22"/>
      <x:c r="H26" s="3"/>
      <x:c r="I26" s="22"/>
      <x:c r="J26" s="3"/>
      <x:c r="K26" s="3"/>
      <x:c r="L26" s="3"/>
      <x:c r="M26" s="3"/>
      <x:c r="N26" s="3"/>
      <x:c r="O26" s="3"/>
      <x:c r="P26" s="19" t="str">
        <x:f>IF(A26="","",IF(COUNTIFS('观测证据'!$A$7:$A$306,A26)&lt;&gt;1,"编号重复",IF(COUNTIFS('问题总览'!$A$7:$A$306,B26)&lt;&gt;1,"问题引用无效",IF(AND(C26&lt;&gt;"",COUNTIFS('方案版本'!$A$7:$A$306,C26,'方案版本'!$B$7:$B$306,B26,'方案版本'!$L$7:$L$306,"已冻结")&lt;&gt;1),"方案引用无效",IF(OR(NOT(ISNUMBER(F26)),M26=""),"待补登记信息",IF(AND(M26="已观测",OR(K26="",AND(NOT(ISNUMBER(G26)),J26=""))),"待补观测与来源",IF(AND(ISNUMBER(G26),H26=""),"待补数值单位",IF(AND(N26&lt;&gt;"",OR(N26=A26,COUNTIFS('观测证据'!$A$7:$A$306,N26,'观测证据'!$B$7:$B$306,B26,'观测证据'!$M$7:$M$306,"已更正")&lt;&gt;1)),"更正引用待核对","有效输入"))))))))</x:f>
      </x:c>
    </x:row>
    <x:row r="27" ht="25" customHeight="1">
      <x:c r="A27" s="3"/>
      <x:c r="B27" s="3"/>
      <x:c r="C27" s="3"/>
      <x:c r="D27" s="3"/>
      <x:c r="E27" s="25"/>
      <x:c r="F27" s="25"/>
      <x:c r="G27" s="22"/>
      <x:c r="H27" s="3"/>
      <x:c r="I27" s="22"/>
      <x:c r="J27" s="3"/>
      <x:c r="K27" s="3"/>
      <x:c r="L27" s="3"/>
      <x:c r="M27" s="3"/>
      <x:c r="N27" s="3"/>
      <x:c r="O27" s="3"/>
      <x:c r="P27" s="19" t="str">
        <x:f>IF(A27="","",IF(COUNTIFS('观测证据'!$A$7:$A$306,A27)&lt;&gt;1,"编号重复",IF(COUNTIFS('问题总览'!$A$7:$A$306,B27)&lt;&gt;1,"问题引用无效",IF(AND(C27&lt;&gt;"",COUNTIFS('方案版本'!$A$7:$A$306,C27,'方案版本'!$B$7:$B$306,B27,'方案版本'!$L$7:$L$306,"已冻结")&lt;&gt;1),"方案引用无效",IF(OR(NOT(ISNUMBER(F27)),M27=""),"待补登记信息",IF(AND(M27="已观测",OR(K27="",AND(NOT(ISNUMBER(G27)),J27=""))),"待补观测与来源",IF(AND(ISNUMBER(G27),H27=""),"待补数值单位",IF(AND(N27&lt;&gt;"",OR(N27=A27,COUNTIFS('观测证据'!$A$7:$A$306,N27,'观测证据'!$B$7:$B$306,B27,'观测证据'!$M$7:$M$306,"已更正")&lt;&gt;1)),"更正引用待核对","有效输入"))))))))</x:f>
      </x:c>
    </x:row>
    <x:row r="28" ht="25" customHeight="1">
      <x:c r="A28" s="3"/>
      <x:c r="B28" s="3"/>
      <x:c r="C28" s="3"/>
      <x:c r="D28" s="3"/>
      <x:c r="E28" s="25"/>
      <x:c r="F28" s="25"/>
      <x:c r="G28" s="22"/>
      <x:c r="H28" s="3"/>
      <x:c r="I28" s="22"/>
      <x:c r="J28" s="3"/>
      <x:c r="K28" s="3"/>
      <x:c r="L28" s="3"/>
      <x:c r="M28" s="3"/>
      <x:c r="N28" s="3"/>
      <x:c r="O28" s="3"/>
      <x:c r="P28" s="19" t="str">
        <x:f>IF(A28="","",IF(COUNTIFS('观测证据'!$A$7:$A$306,A28)&lt;&gt;1,"编号重复",IF(COUNTIFS('问题总览'!$A$7:$A$306,B28)&lt;&gt;1,"问题引用无效",IF(AND(C28&lt;&gt;"",COUNTIFS('方案版本'!$A$7:$A$306,C28,'方案版本'!$B$7:$B$306,B28,'方案版本'!$L$7:$L$306,"已冻结")&lt;&gt;1),"方案引用无效",IF(OR(NOT(ISNUMBER(F28)),M28=""),"待补登记信息",IF(AND(M28="已观测",OR(K28="",AND(NOT(ISNUMBER(G28)),J28=""))),"待补观测与来源",IF(AND(ISNUMBER(G28),H28=""),"待补数值单位",IF(AND(N28&lt;&gt;"",OR(N28=A28,COUNTIFS('观测证据'!$A$7:$A$306,N28,'观测证据'!$B$7:$B$306,B28,'观测证据'!$M$7:$M$306,"已更正")&lt;&gt;1)),"更正引用待核对","有效输入"))))))))</x:f>
      </x:c>
    </x:row>
    <x:row r="29" ht="25" customHeight="1">
      <x:c r="A29" s="3"/>
      <x:c r="B29" s="3"/>
      <x:c r="C29" s="3"/>
      <x:c r="D29" s="3"/>
      <x:c r="E29" s="25"/>
      <x:c r="F29" s="25"/>
      <x:c r="G29" s="22"/>
      <x:c r="H29" s="3"/>
      <x:c r="I29" s="22"/>
      <x:c r="J29" s="3"/>
      <x:c r="K29" s="3"/>
      <x:c r="L29" s="3"/>
      <x:c r="M29" s="3"/>
      <x:c r="N29" s="3"/>
      <x:c r="O29" s="3"/>
      <x:c r="P29" s="19" t="str">
        <x:f>IF(A29="","",IF(COUNTIFS('观测证据'!$A$7:$A$306,A29)&lt;&gt;1,"编号重复",IF(COUNTIFS('问题总览'!$A$7:$A$306,B29)&lt;&gt;1,"问题引用无效",IF(AND(C29&lt;&gt;"",COUNTIFS('方案版本'!$A$7:$A$306,C29,'方案版本'!$B$7:$B$306,B29,'方案版本'!$L$7:$L$306,"已冻结")&lt;&gt;1),"方案引用无效",IF(OR(NOT(ISNUMBER(F29)),M29=""),"待补登记信息",IF(AND(M29="已观测",OR(K29="",AND(NOT(ISNUMBER(G29)),J29=""))),"待补观测与来源",IF(AND(ISNUMBER(G29),H29=""),"待补数值单位",IF(AND(N29&lt;&gt;"",OR(N29=A29,COUNTIFS('观测证据'!$A$7:$A$306,N29,'观测证据'!$B$7:$B$306,B29,'观测证据'!$M$7:$M$306,"已更正")&lt;&gt;1)),"更正引用待核对","有效输入"))))))))</x:f>
      </x:c>
    </x:row>
    <x:row r="30" ht="25" customHeight="1">
      <x:c r="A30" s="3"/>
      <x:c r="B30" s="3"/>
      <x:c r="C30" s="3"/>
      <x:c r="D30" s="3"/>
      <x:c r="E30" s="25"/>
      <x:c r="F30" s="25"/>
      <x:c r="G30" s="22"/>
      <x:c r="H30" s="3"/>
      <x:c r="I30" s="22"/>
      <x:c r="J30" s="3"/>
      <x:c r="K30" s="3"/>
      <x:c r="L30" s="3"/>
      <x:c r="M30" s="3"/>
      <x:c r="N30" s="3"/>
      <x:c r="O30" s="3"/>
      <x:c r="P30" s="19" t="str">
        <x:f>IF(A30="","",IF(COUNTIFS('观测证据'!$A$7:$A$306,A30)&lt;&gt;1,"编号重复",IF(COUNTIFS('问题总览'!$A$7:$A$306,B30)&lt;&gt;1,"问题引用无效",IF(AND(C30&lt;&gt;"",COUNTIFS('方案版本'!$A$7:$A$306,C30,'方案版本'!$B$7:$B$306,B30,'方案版本'!$L$7:$L$306,"已冻结")&lt;&gt;1),"方案引用无效",IF(OR(NOT(ISNUMBER(F30)),M30=""),"待补登记信息",IF(AND(M30="已观测",OR(K30="",AND(NOT(ISNUMBER(G30)),J30=""))),"待补观测与来源",IF(AND(ISNUMBER(G30),H30=""),"待补数值单位",IF(AND(N30&lt;&gt;"",OR(N30=A30,COUNTIFS('观测证据'!$A$7:$A$306,N30,'观测证据'!$B$7:$B$306,B30,'观测证据'!$M$7:$M$306,"已更正")&lt;&gt;1)),"更正引用待核对","有效输入"))))))))</x:f>
      </x:c>
    </x:row>
    <x:row r="31" ht="25" customHeight="1">
      <x:c r="A31" s="3"/>
      <x:c r="B31" s="3"/>
      <x:c r="C31" s="3"/>
      <x:c r="D31" s="3"/>
      <x:c r="E31" s="25"/>
      <x:c r="F31" s="25"/>
      <x:c r="G31" s="22"/>
      <x:c r="H31" s="3"/>
      <x:c r="I31" s="22"/>
      <x:c r="J31" s="3"/>
      <x:c r="K31" s="3"/>
      <x:c r="L31" s="3"/>
      <x:c r="M31" s="3"/>
      <x:c r="N31" s="3"/>
      <x:c r="O31" s="3"/>
      <x:c r="P31" s="19" t="str">
        <x:f>IF(A31="","",IF(COUNTIFS('观测证据'!$A$7:$A$306,A31)&lt;&gt;1,"编号重复",IF(COUNTIFS('问题总览'!$A$7:$A$306,B31)&lt;&gt;1,"问题引用无效",IF(AND(C31&lt;&gt;"",COUNTIFS('方案版本'!$A$7:$A$306,C31,'方案版本'!$B$7:$B$306,B31,'方案版本'!$L$7:$L$306,"已冻结")&lt;&gt;1),"方案引用无效",IF(OR(NOT(ISNUMBER(F31)),M31=""),"待补登记信息",IF(AND(M31="已观测",OR(K31="",AND(NOT(ISNUMBER(G31)),J31=""))),"待补观测与来源",IF(AND(ISNUMBER(G31),H31=""),"待补数值单位",IF(AND(N31&lt;&gt;"",OR(N31=A31,COUNTIFS('观测证据'!$A$7:$A$306,N31,'观测证据'!$B$7:$B$306,B31,'观测证据'!$M$7:$M$306,"已更正")&lt;&gt;1)),"更正引用待核对","有效输入"))))))))</x:f>
      </x:c>
    </x:row>
    <x:row r="32" ht="25" customHeight="1">
      <x:c r="A32" s="3"/>
      <x:c r="B32" s="3"/>
      <x:c r="C32" s="3"/>
      <x:c r="D32" s="3"/>
      <x:c r="E32" s="25"/>
      <x:c r="F32" s="25"/>
      <x:c r="G32" s="22"/>
      <x:c r="H32" s="3"/>
      <x:c r="I32" s="22"/>
      <x:c r="J32" s="3"/>
      <x:c r="K32" s="3"/>
      <x:c r="L32" s="3"/>
      <x:c r="M32" s="3"/>
      <x:c r="N32" s="3"/>
      <x:c r="O32" s="3"/>
      <x:c r="P32" s="19" t="str">
        <x:f>IF(A32="","",IF(COUNTIFS('观测证据'!$A$7:$A$306,A32)&lt;&gt;1,"编号重复",IF(COUNTIFS('问题总览'!$A$7:$A$306,B32)&lt;&gt;1,"问题引用无效",IF(AND(C32&lt;&gt;"",COUNTIFS('方案版本'!$A$7:$A$306,C32,'方案版本'!$B$7:$B$306,B32,'方案版本'!$L$7:$L$306,"已冻结")&lt;&gt;1),"方案引用无效",IF(OR(NOT(ISNUMBER(F32)),M32=""),"待补登记信息",IF(AND(M32="已观测",OR(K32="",AND(NOT(ISNUMBER(G32)),J32=""))),"待补观测与来源",IF(AND(ISNUMBER(G32),H32=""),"待补数值单位",IF(AND(N32&lt;&gt;"",OR(N32=A32,COUNTIFS('观测证据'!$A$7:$A$306,N32,'观测证据'!$B$7:$B$306,B32,'观测证据'!$M$7:$M$306,"已更正")&lt;&gt;1)),"更正引用待核对","有效输入"))))))))</x:f>
      </x:c>
    </x:row>
    <x:row r="33" ht="25" customHeight="1">
      <x:c r="A33" s="3"/>
      <x:c r="B33" s="3"/>
      <x:c r="C33" s="3"/>
      <x:c r="D33" s="3"/>
      <x:c r="E33" s="25"/>
      <x:c r="F33" s="25"/>
      <x:c r="G33" s="22"/>
      <x:c r="H33" s="3"/>
      <x:c r="I33" s="22"/>
      <x:c r="J33" s="3"/>
      <x:c r="K33" s="3"/>
      <x:c r="L33" s="3"/>
      <x:c r="M33" s="3"/>
      <x:c r="N33" s="3"/>
      <x:c r="O33" s="3"/>
      <x:c r="P33" s="19" t="str">
        <x:f>IF(A33="","",IF(COUNTIFS('观测证据'!$A$7:$A$306,A33)&lt;&gt;1,"编号重复",IF(COUNTIFS('问题总览'!$A$7:$A$306,B33)&lt;&gt;1,"问题引用无效",IF(AND(C33&lt;&gt;"",COUNTIFS('方案版本'!$A$7:$A$306,C33,'方案版本'!$B$7:$B$306,B33,'方案版本'!$L$7:$L$306,"已冻结")&lt;&gt;1),"方案引用无效",IF(OR(NOT(ISNUMBER(F33)),M33=""),"待补登记信息",IF(AND(M33="已观测",OR(K33="",AND(NOT(ISNUMBER(G33)),J33=""))),"待补观测与来源",IF(AND(ISNUMBER(G33),H33=""),"待补数值单位",IF(AND(N33&lt;&gt;"",OR(N33=A33,COUNTIFS('观测证据'!$A$7:$A$306,N33,'观测证据'!$B$7:$B$306,B33,'观测证据'!$M$7:$M$306,"已更正")&lt;&gt;1)),"更正引用待核对","有效输入"))))))))</x:f>
      </x:c>
    </x:row>
    <x:row r="34" ht="25" customHeight="1">
      <x:c r="A34" s="3"/>
      <x:c r="B34" s="3"/>
      <x:c r="C34" s="3"/>
      <x:c r="D34" s="3"/>
      <x:c r="E34" s="25"/>
      <x:c r="F34" s="25"/>
      <x:c r="G34" s="22"/>
      <x:c r="H34" s="3"/>
      <x:c r="I34" s="22"/>
      <x:c r="J34" s="3"/>
      <x:c r="K34" s="3"/>
      <x:c r="L34" s="3"/>
      <x:c r="M34" s="3"/>
      <x:c r="N34" s="3"/>
      <x:c r="O34" s="3"/>
      <x:c r="P34" s="19" t="str">
        <x:f>IF(A34="","",IF(COUNTIFS('观测证据'!$A$7:$A$306,A34)&lt;&gt;1,"编号重复",IF(COUNTIFS('问题总览'!$A$7:$A$306,B34)&lt;&gt;1,"问题引用无效",IF(AND(C34&lt;&gt;"",COUNTIFS('方案版本'!$A$7:$A$306,C34,'方案版本'!$B$7:$B$306,B34,'方案版本'!$L$7:$L$306,"已冻结")&lt;&gt;1),"方案引用无效",IF(OR(NOT(ISNUMBER(F34)),M34=""),"待补登记信息",IF(AND(M34="已观测",OR(K34="",AND(NOT(ISNUMBER(G34)),J34=""))),"待补观测与来源",IF(AND(ISNUMBER(G34),H34=""),"待补数值单位",IF(AND(N34&lt;&gt;"",OR(N34=A34,COUNTIFS('观测证据'!$A$7:$A$306,N34,'观测证据'!$B$7:$B$306,B34,'观测证据'!$M$7:$M$306,"已更正")&lt;&gt;1)),"更正引用待核对","有效输入"))))))))</x:f>
      </x:c>
    </x:row>
    <x:row r="35" ht="25" customHeight="1">
      <x:c r="A35" s="3"/>
      <x:c r="B35" s="3"/>
      <x:c r="C35" s="3"/>
      <x:c r="D35" s="3"/>
      <x:c r="E35" s="25"/>
      <x:c r="F35" s="25"/>
      <x:c r="G35" s="22"/>
      <x:c r="H35" s="3"/>
      <x:c r="I35" s="22"/>
      <x:c r="J35" s="3"/>
      <x:c r="K35" s="3"/>
      <x:c r="L35" s="3"/>
      <x:c r="M35" s="3"/>
      <x:c r="N35" s="3"/>
      <x:c r="O35" s="3"/>
      <x:c r="P35" s="19" t="str">
        <x:f>IF(A35="","",IF(COUNTIFS('观测证据'!$A$7:$A$306,A35)&lt;&gt;1,"编号重复",IF(COUNTIFS('问题总览'!$A$7:$A$306,B35)&lt;&gt;1,"问题引用无效",IF(AND(C35&lt;&gt;"",COUNTIFS('方案版本'!$A$7:$A$306,C35,'方案版本'!$B$7:$B$306,B35,'方案版本'!$L$7:$L$306,"已冻结")&lt;&gt;1),"方案引用无效",IF(OR(NOT(ISNUMBER(F35)),M35=""),"待补登记信息",IF(AND(M35="已观测",OR(K35="",AND(NOT(ISNUMBER(G35)),J35=""))),"待补观测与来源",IF(AND(ISNUMBER(G35),H35=""),"待补数值单位",IF(AND(N35&lt;&gt;"",OR(N35=A35,COUNTIFS('观测证据'!$A$7:$A$306,N35,'观测证据'!$B$7:$B$306,B35,'观测证据'!$M$7:$M$306,"已更正")&lt;&gt;1)),"更正引用待核对","有效输入"))))))))</x:f>
      </x:c>
    </x:row>
    <x:row r="36" ht="25" customHeight="1">
      <x:c r="A36" s="3"/>
      <x:c r="B36" s="3"/>
      <x:c r="C36" s="3"/>
      <x:c r="D36" s="3"/>
      <x:c r="E36" s="25"/>
      <x:c r="F36" s="25"/>
      <x:c r="G36" s="22"/>
      <x:c r="H36" s="3"/>
      <x:c r="I36" s="22"/>
      <x:c r="J36" s="3"/>
      <x:c r="K36" s="3"/>
      <x:c r="L36" s="3"/>
      <x:c r="M36" s="3"/>
      <x:c r="N36" s="3"/>
      <x:c r="O36" s="3"/>
      <x:c r="P36" s="19" t="str">
        <x:f>IF(A36="","",IF(COUNTIFS('观测证据'!$A$7:$A$306,A36)&lt;&gt;1,"编号重复",IF(COUNTIFS('问题总览'!$A$7:$A$306,B36)&lt;&gt;1,"问题引用无效",IF(AND(C36&lt;&gt;"",COUNTIFS('方案版本'!$A$7:$A$306,C36,'方案版本'!$B$7:$B$306,B36,'方案版本'!$L$7:$L$306,"已冻结")&lt;&gt;1),"方案引用无效",IF(OR(NOT(ISNUMBER(F36)),M36=""),"待补登记信息",IF(AND(M36="已观测",OR(K36="",AND(NOT(ISNUMBER(G36)),J36=""))),"待补观测与来源",IF(AND(ISNUMBER(G36),H36=""),"待补数值单位",IF(AND(N36&lt;&gt;"",OR(N36=A36,COUNTIFS('观测证据'!$A$7:$A$306,N36,'观测证据'!$B$7:$B$306,B36,'观测证据'!$M$7:$M$306,"已更正")&lt;&gt;1)),"更正引用待核对","有效输入"))))))))</x:f>
      </x:c>
    </x:row>
    <x:row r="37" ht="25" customHeight="1">
      <x:c r="A37" s="3"/>
      <x:c r="B37" s="3"/>
      <x:c r="C37" s="3"/>
      <x:c r="D37" s="3"/>
      <x:c r="E37" s="25"/>
      <x:c r="F37" s="25"/>
      <x:c r="G37" s="22"/>
      <x:c r="H37" s="3"/>
      <x:c r="I37" s="22"/>
      <x:c r="J37" s="3"/>
      <x:c r="K37" s="3"/>
      <x:c r="L37" s="3"/>
      <x:c r="M37" s="3"/>
      <x:c r="N37" s="3"/>
      <x:c r="O37" s="3"/>
      <x:c r="P37" s="19" t="str">
        <x:f>IF(A37="","",IF(COUNTIFS('观测证据'!$A$7:$A$306,A37)&lt;&gt;1,"编号重复",IF(COUNTIFS('问题总览'!$A$7:$A$306,B37)&lt;&gt;1,"问题引用无效",IF(AND(C37&lt;&gt;"",COUNTIFS('方案版本'!$A$7:$A$306,C37,'方案版本'!$B$7:$B$306,B37,'方案版本'!$L$7:$L$306,"已冻结")&lt;&gt;1),"方案引用无效",IF(OR(NOT(ISNUMBER(F37)),M37=""),"待补登记信息",IF(AND(M37="已观测",OR(K37="",AND(NOT(ISNUMBER(G37)),J37=""))),"待补观测与来源",IF(AND(ISNUMBER(G37),H37=""),"待补数值单位",IF(AND(N37&lt;&gt;"",OR(N37=A37,COUNTIFS('观测证据'!$A$7:$A$306,N37,'观测证据'!$B$7:$B$306,B37,'观测证据'!$M$7:$M$306,"已更正")&lt;&gt;1)),"更正引用待核对","有效输入"))))))))</x:f>
      </x:c>
    </x:row>
    <x:row r="38" ht="25" customHeight="1">
      <x:c r="A38" s="3"/>
      <x:c r="B38" s="3"/>
      <x:c r="C38" s="3"/>
      <x:c r="D38" s="3"/>
      <x:c r="E38" s="25"/>
      <x:c r="F38" s="25"/>
      <x:c r="G38" s="22"/>
      <x:c r="H38" s="3"/>
      <x:c r="I38" s="22"/>
      <x:c r="J38" s="3"/>
      <x:c r="K38" s="3"/>
      <x:c r="L38" s="3"/>
      <x:c r="M38" s="3"/>
      <x:c r="N38" s="3"/>
      <x:c r="O38" s="3"/>
      <x:c r="P38" s="19" t="str">
        <x:f>IF(A38="","",IF(COUNTIFS('观测证据'!$A$7:$A$306,A38)&lt;&gt;1,"编号重复",IF(COUNTIFS('问题总览'!$A$7:$A$306,B38)&lt;&gt;1,"问题引用无效",IF(AND(C38&lt;&gt;"",COUNTIFS('方案版本'!$A$7:$A$306,C38,'方案版本'!$B$7:$B$306,B38,'方案版本'!$L$7:$L$306,"已冻结")&lt;&gt;1),"方案引用无效",IF(OR(NOT(ISNUMBER(F38)),M38=""),"待补登记信息",IF(AND(M38="已观测",OR(K38="",AND(NOT(ISNUMBER(G38)),J38=""))),"待补观测与来源",IF(AND(ISNUMBER(G38),H38=""),"待补数值单位",IF(AND(N38&lt;&gt;"",OR(N38=A38,COUNTIFS('观测证据'!$A$7:$A$306,N38,'观测证据'!$B$7:$B$306,B38,'观测证据'!$M$7:$M$306,"已更正")&lt;&gt;1)),"更正引用待核对","有效输入"))))))))</x:f>
      </x:c>
    </x:row>
    <x:row r="39" ht="25" customHeight="1">
      <x:c r="A39" s="3"/>
      <x:c r="B39" s="3"/>
      <x:c r="C39" s="3"/>
      <x:c r="D39" s="3"/>
      <x:c r="E39" s="25"/>
      <x:c r="F39" s="25"/>
      <x:c r="G39" s="22"/>
      <x:c r="H39" s="3"/>
      <x:c r="I39" s="22"/>
      <x:c r="J39" s="3"/>
      <x:c r="K39" s="3"/>
      <x:c r="L39" s="3"/>
      <x:c r="M39" s="3"/>
      <x:c r="N39" s="3"/>
      <x:c r="O39" s="3"/>
      <x:c r="P39" s="19" t="str">
        <x:f>IF(A39="","",IF(COUNTIFS('观测证据'!$A$7:$A$306,A39)&lt;&gt;1,"编号重复",IF(COUNTIFS('问题总览'!$A$7:$A$306,B39)&lt;&gt;1,"问题引用无效",IF(AND(C39&lt;&gt;"",COUNTIFS('方案版本'!$A$7:$A$306,C39,'方案版本'!$B$7:$B$306,B39,'方案版本'!$L$7:$L$306,"已冻结")&lt;&gt;1),"方案引用无效",IF(OR(NOT(ISNUMBER(F39)),M39=""),"待补登记信息",IF(AND(M39="已观测",OR(K39="",AND(NOT(ISNUMBER(G39)),J39=""))),"待补观测与来源",IF(AND(ISNUMBER(G39),H39=""),"待补数值单位",IF(AND(N39&lt;&gt;"",OR(N39=A39,COUNTIFS('观测证据'!$A$7:$A$306,N39,'观测证据'!$B$7:$B$306,B39,'观测证据'!$M$7:$M$306,"已更正")&lt;&gt;1)),"更正引用待核对","有效输入"))))))))</x:f>
      </x:c>
    </x:row>
    <x:row r="40" ht="25" customHeight="1">
      <x:c r="A40" s="3"/>
      <x:c r="B40" s="3"/>
      <x:c r="C40" s="3"/>
      <x:c r="D40" s="3"/>
      <x:c r="E40" s="25"/>
      <x:c r="F40" s="25"/>
      <x:c r="G40" s="22"/>
      <x:c r="H40" s="3"/>
      <x:c r="I40" s="22"/>
      <x:c r="J40" s="3"/>
      <x:c r="K40" s="3"/>
      <x:c r="L40" s="3"/>
      <x:c r="M40" s="3"/>
      <x:c r="N40" s="3"/>
      <x:c r="O40" s="3"/>
      <x:c r="P40" s="19" t="str">
        <x:f>IF(A40="","",IF(COUNTIFS('观测证据'!$A$7:$A$306,A40)&lt;&gt;1,"编号重复",IF(COUNTIFS('问题总览'!$A$7:$A$306,B40)&lt;&gt;1,"问题引用无效",IF(AND(C40&lt;&gt;"",COUNTIFS('方案版本'!$A$7:$A$306,C40,'方案版本'!$B$7:$B$306,B40,'方案版本'!$L$7:$L$306,"已冻结")&lt;&gt;1),"方案引用无效",IF(OR(NOT(ISNUMBER(F40)),M40=""),"待补登记信息",IF(AND(M40="已观测",OR(K40="",AND(NOT(ISNUMBER(G40)),J40=""))),"待补观测与来源",IF(AND(ISNUMBER(G40),H40=""),"待补数值单位",IF(AND(N40&lt;&gt;"",OR(N40=A40,COUNTIFS('观测证据'!$A$7:$A$306,N40,'观测证据'!$B$7:$B$306,B40,'观测证据'!$M$7:$M$306,"已更正")&lt;&gt;1)),"更正引用待核对","有效输入"))))))))</x:f>
      </x:c>
    </x:row>
    <x:row r="41" ht="25" customHeight="1">
      <x:c r="A41" s="3"/>
      <x:c r="B41" s="3"/>
      <x:c r="C41" s="3"/>
      <x:c r="D41" s="3"/>
      <x:c r="E41" s="25"/>
      <x:c r="F41" s="25"/>
      <x:c r="G41" s="22"/>
      <x:c r="H41" s="3"/>
      <x:c r="I41" s="22"/>
      <x:c r="J41" s="3"/>
      <x:c r="K41" s="3"/>
      <x:c r="L41" s="3"/>
      <x:c r="M41" s="3"/>
      <x:c r="N41" s="3"/>
      <x:c r="O41" s="3"/>
      <x:c r="P41" s="19" t="str">
        <x:f>IF(A41="","",IF(COUNTIFS('观测证据'!$A$7:$A$306,A41)&lt;&gt;1,"编号重复",IF(COUNTIFS('问题总览'!$A$7:$A$306,B41)&lt;&gt;1,"问题引用无效",IF(AND(C41&lt;&gt;"",COUNTIFS('方案版本'!$A$7:$A$306,C41,'方案版本'!$B$7:$B$306,B41,'方案版本'!$L$7:$L$306,"已冻结")&lt;&gt;1),"方案引用无效",IF(OR(NOT(ISNUMBER(F41)),M41=""),"待补登记信息",IF(AND(M41="已观测",OR(K41="",AND(NOT(ISNUMBER(G41)),J41=""))),"待补观测与来源",IF(AND(ISNUMBER(G41),H41=""),"待补数值单位",IF(AND(N41&lt;&gt;"",OR(N41=A41,COUNTIFS('观测证据'!$A$7:$A$306,N41,'观测证据'!$B$7:$B$306,B41,'观测证据'!$M$7:$M$306,"已更正")&lt;&gt;1)),"更正引用待核对","有效输入"))))))))</x:f>
      </x:c>
    </x:row>
    <x:row r="42" ht="25" customHeight="1">
      <x:c r="A42" s="3"/>
      <x:c r="B42" s="3"/>
      <x:c r="C42" s="3"/>
      <x:c r="D42" s="3"/>
      <x:c r="E42" s="25"/>
      <x:c r="F42" s="25"/>
      <x:c r="G42" s="22"/>
      <x:c r="H42" s="3"/>
      <x:c r="I42" s="22"/>
      <x:c r="J42" s="3"/>
      <x:c r="K42" s="3"/>
      <x:c r="L42" s="3"/>
      <x:c r="M42" s="3"/>
      <x:c r="N42" s="3"/>
      <x:c r="O42" s="3"/>
      <x:c r="P42" s="19" t="str">
        <x:f>IF(A42="","",IF(COUNTIFS('观测证据'!$A$7:$A$306,A42)&lt;&gt;1,"编号重复",IF(COUNTIFS('问题总览'!$A$7:$A$306,B42)&lt;&gt;1,"问题引用无效",IF(AND(C42&lt;&gt;"",COUNTIFS('方案版本'!$A$7:$A$306,C42,'方案版本'!$B$7:$B$306,B42,'方案版本'!$L$7:$L$306,"已冻结")&lt;&gt;1),"方案引用无效",IF(OR(NOT(ISNUMBER(F42)),M42=""),"待补登记信息",IF(AND(M42="已观测",OR(K42="",AND(NOT(ISNUMBER(G42)),J42=""))),"待补观测与来源",IF(AND(ISNUMBER(G42),H42=""),"待补数值单位",IF(AND(N42&lt;&gt;"",OR(N42=A42,COUNTIFS('观测证据'!$A$7:$A$306,N42,'观测证据'!$B$7:$B$306,B42,'观测证据'!$M$7:$M$306,"已更正")&lt;&gt;1)),"更正引用待核对","有效输入"))))))))</x:f>
      </x:c>
    </x:row>
    <x:row r="43" ht="25" customHeight="1">
      <x:c r="A43" s="3"/>
      <x:c r="B43" s="3"/>
      <x:c r="C43" s="3"/>
      <x:c r="D43" s="3"/>
      <x:c r="E43" s="25"/>
      <x:c r="F43" s="25"/>
      <x:c r="G43" s="22"/>
      <x:c r="H43" s="3"/>
      <x:c r="I43" s="22"/>
      <x:c r="J43" s="3"/>
      <x:c r="K43" s="3"/>
      <x:c r="L43" s="3"/>
      <x:c r="M43" s="3"/>
      <x:c r="N43" s="3"/>
      <x:c r="O43" s="3"/>
      <x:c r="P43" s="19" t="str">
        <x:f>IF(A43="","",IF(COUNTIFS('观测证据'!$A$7:$A$306,A43)&lt;&gt;1,"编号重复",IF(COUNTIFS('问题总览'!$A$7:$A$306,B43)&lt;&gt;1,"问题引用无效",IF(AND(C43&lt;&gt;"",COUNTIFS('方案版本'!$A$7:$A$306,C43,'方案版本'!$B$7:$B$306,B43,'方案版本'!$L$7:$L$306,"已冻结")&lt;&gt;1),"方案引用无效",IF(OR(NOT(ISNUMBER(F43)),M43=""),"待补登记信息",IF(AND(M43="已观测",OR(K43="",AND(NOT(ISNUMBER(G43)),J43=""))),"待补观测与来源",IF(AND(ISNUMBER(G43),H43=""),"待补数值单位",IF(AND(N43&lt;&gt;"",OR(N43=A43,COUNTIFS('观测证据'!$A$7:$A$306,N43,'观测证据'!$B$7:$B$306,B43,'观测证据'!$M$7:$M$306,"已更正")&lt;&gt;1)),"更正引用待核对","有效输入"))))))))</x:f>
      </x:c>
    </x:row>
    <x:row r="44" ht="25" customHeight="1">
      <x:c r="A44" s="3"/>
      <x:c r="B44" s="3"/>
      <x:c r="C44" s="3"/>
      <x:c r="D44" s="3"/>
      <x:c r="E44" s="25"/>
      <x:c r="F44" s="25"/>
      <x:c r="G44" s="22"/>
      <x:c r="H44" s="3"/>
      <x:c r="I44" s="22"/>
      <x:c r="J44" s="3"/>
      <x:c r="K44" s="3"/>
      <x:c r="L44" s="3"/>
      <x:c r="M44" s="3"/>
      <x:c r="N44" s="3"/>
      <x:c r="O44" s="3"/>
      <x:c r="P44" s="19" t="str">
        <x:f>IF(A44="","",IF(COUNTIFS('观测证据'!$A$7:$A$306,A44)&lt;&gt;1,"编号重复",IF(COUNTIFS('问题总览'!$A$7:$A$306,B44)&lt;&gt;1,"问题引用无效",IF(AND(C44&lt;&gt;"",COUNTIFS('方案版本'!$A$7:$A$306,C44,'方案版本'!$B$7:$B$306,B44,'方案版本'!$L$7:$L$306,"已冻结")&lt;&gt;1),"方案引用无效",IF(OR(NOT(ISNUMBER(F44)),M44=""),"待补登记信息",IF(AND(M44="已观测",OR(K44="",AND(NOT(ISNUMBER(G44)),J44=""))),"待补观测与来源",IF(AND(ISNUMBER(G44),H44=""),"待补数值单位",IF(AND(N44&lt;&gt;"",OR(N44=A44,COUNTIFS('观测证据'!$A$7:$A$306,N44,'观测证据'!$B$7:$B$306,B44,'观测证据'!$M$7:$M$306,"已更正")&lt;&gt;1)),"更正引用待核对","有效输入"))))))))</x:f>
      </x:c>
    </x:row>
    <x:row r="45" ht="25" customHeight="1">
      <x:c r="A45" s="3"/>
      <x:c r="B45" s="3"/>
      <x:c r="C45" s="3"/>
      <x:c r="D45" s="3"/>
      <x:c r="E45" s="25"/>
      <x:c r="F45" s="25"/>
      <x:c r="G45" s="22"/>
      <x:c r="H45" s="3"/>
      <x:c r="I45" s="22"/>
      <x:c r="J45" s="3"/>
      <x:c r="K45" s="3"/>
      <x:c r="L45" s="3"/>
      <x:c r="M45" s="3"/>
      <x:c r="N45" s="3"/>
      <x:c r="O45" s="3"/>
      <x:c r="P45" s="19" t="str">
        <x:f>IF(A45="","",IF(COUNTIFS('观测证据'!$A$7:$A$306,A45)&lt;&gt;1,"编号重复",IF(COUNTIFS('问题总览'!$A$7:$A$306,B45)&lt;&gt;1,"问题引用无效",IF(AND(C45&lt;&gt;"",COUNTIFS('方案版本'!$A$7:$A$306,C45,'方案版本'!$B$7:$B$306,B45,'方案版本'!$L$7:$L$306,"已冻结")&lt;&gt;1),"方案引用无效",IF(OR(NOT(ISNUMBER(F45)),M45=""),"待补登记信息",IF(AND(M45="已观测",OR(K45="",AND(NOT(ISNUMBER(G45)),J45=""))),"待补观测与来源",IF(AND(ISNUMBER(G45),H45=""),"待补数值单位",IF(AND(N45&lt;&gt;"",OR(N45=A45,COUNTIFS('观测证据'!$A$7:$A$306,N45,'观测证据'!$B$7:$B$306,B45,'观测证据'!$M$7:$M$306,"已更正")&lt;&gt;1)),"更正引用待核对","有效输入"))))))))</x:f>
      </x:c>
    </x:row>
    <x:row r="46" ht="25" customHeight="1">
      <x:c r="A46" s="3"/>
      <x:c r="B46" s="3"/>
      <x:c r="C46" s="3"/>
      <x:c r="D46" s="3"/>
      <x:c r="E46" s="25"/>
      <x:c r="F46" s="25"/>
      <x:c r="G46" s="22"/>
      <x:c r="H46" s="3"/>
      <x:c r="I46" s="22"/>
      <x:c r="J46" s="3"/>
      <x:c r="K46" s="3"/>
      <x:c r="L46" s="3"/>
      <x:c r="M46" s="3"/>
      <x:c r="N46" s="3"/>
      <x:c r="O46" s="3"/>
      <x:c r="P46" s="19" t="str">
        <x:f>IF(A46="","",IF(COUNTIFS('观测证据'!$A$7:$A$306,A46)&lt;&gt;1,"编号重复",IF(COUNTIFS('问题总览'!$A$7:$A$306,B46)&lt;&gt;1,"问题引用无效",IF(AND(C46&lt;&gt;"",COUNTIFS('方案版本'!$A$7:$A$306,C46,'方案版本'!$B$7:$B$306,B46,'方案版本'!$L$7:$L$306,"已冻结")&lt;&gt;1),"方案引用无效",IF(OR(NOT(ISNUMBER(F46)),M46=""),"待补登记信息",IF(AND(M46="已观测",OR(K46="",AND(NOT(ISNUMBER(G46)),J46=""))),"待补观测与来源",IF(AND(ISNUMBER(G46),H46=""),"待补数值单位",IF(AND(N46&lt;&gt;"",OR(N46=A46,COUNTIFS('观测证据'!$A$7:$A$306,N46,'观测证据'!$B$7:$B$306,B46,'观测证据'!$M$7:$M$306,"已更正")&lt;&gt;1)),"更正引用待核对","有效输入"))))))))</x:f>
      </x:c>
    </x:row>
    <x:row r="47" ht="25" customHeight="1">
      <x:c r="A47" s="3"/>
      <x:c r="B47" s="3"/>
      <x:c r="C47" s="3"/>
      <x:c r="D47" s="3"/>
      <x:c r="E47" s="25"/>
      <x:c r="F47" s="25"/>
      <x:c r="G47" s="22"/>
      <x:c r="H47" s="3"/>
      <x:c r="I47" s="22"/>
      <x:c r="J47" s="3"/>
      <x:c r="K47" s="3"/>
      <x:c r="L47" s="3"/>
      <x:c r="M47" s="3"/>
      <x:c r="N47" s="3"/>
      <x:c r="O47" s="3"/>
      <x:c r="P47" s="19" t="str">
        <x:f>IF(A47="","",IF(COUNTIFS('观测证据'!$A$7:$A$306,A47)&lt;&gt;1,"编号重复",IF(COUNTIFS('问题总览'!$A$7:$A$306,B47)&lt;&gt;1,"问题引用无效",IF(AND(C47&lt;&gt;"",COUNTIFS('方案版本'!$A$7:$A$306,C47,'方案版本'!$B$7:$B$306,B47,'方案版本'!$L$7:$L$306,"已冻结")&lt;&gt;1),"方案引用无效",IF(OR(NOT(ISNUMBER(F47)),M47=""),"待补登记信息",IF(AND(M47="已观测",OR(K47="",AND(NOT(ISNUMBER(G47)),J47=""))),"待补观测与来源",IF(AND(ISNUMBER(G47),H47=""),"待补数值单位",IF(AND(N47&lt;&gt;"",OR(N47=A47,COUNTIFS('观测证据'!$A$7:$A$306,N47,'观测证据'!$B$7:$B$306,B47,'观测证据'!$M$7:$M$306,"已更正")&lt;&gt;1)),"更正引用待核对","有效输入"))))))))</x:f>
      </x:c>
    </x:row>
    <x:row r="48" ht="25" customHeight="1">
      <x:c r="A48" s="3"/>
      <x:c r="B48" s="3"/>
      <x:c r="C48" s="3"/>
      <x:c r="D48" s="3"/>
      <x:c r="E48" s="25"/>
      <x:c r="F48" s="25"/>
      <x:c r="G48" s="22"/>
      <x:c r="H48" s="3"/>
      <x:c r="I48" s="22"/>
      <x:c r="J48" s="3"/>
      <x:c r="K48" s="3"/>
      <x:c r="L48" s="3"/>
      <x:c r="M48" s="3"/>
      <x:c r="N48" s="3"/>
      <x:c r="O48" s="3"/>
      <x:c r="P48" s="19" t="str">
        <x:f>IF(A48="","",IF(COUNTIFS('观测证据'!$A$7:$A$306,A48)&lt;&gt;1,"编号重复",IF(COUNTIFS('问题总览'!$A$7:$A$306,B48)&lt;&gt;1,"问题引用无效",IF(AND(C48&lt;&gt;"",COUNTIFS('方案版本'!$A$7:$A$306,C48,'方案版本'!$B$7:$B$306,B48,'方案版本'!$L$7:$L$306,"已冻结")&lt;&gt;1),"方案引用无效",IF(OR(NOT(ISNUMBER(F48)),M48=""),"待补登记信息",IF(AND(M48="已观测",OR(K48="",AND(NOT(ISNUMBER(G48)),J48=""))),"待补观测与来源",IF(AND(ISNUMBER(G48),H48=""),"待补数值单位",IF(AND(N48&lt;&gt;"",OR(N48=A48,COUNTIFS('观测证据'!$A$7:$A$306,N48,'观测证据'!$B$7:$B$306,B48,'观测证据'!$M$7:$M$306,"已更正")&lt;&gt;1)),"更正引用待核对","有效输入"))))))))</x:f>
      </x:c>
    </x:row>
    <x:row r="49" ht="25" customHeight="1">
      <x:c r="A49" s="3"/>
      <x:c r="B49" s="3"/>
      <x:c r="C49" s="3"/>
      <x:c r="D49" s="3"/>
      <x:c r="E49" s="25"/>
      <x:c r="F49" s="25"/>
      <x:c r="G49" s="22"/>
      <x:c r="H49" s="3"/>
      <x:c r="I49" s="22"/>
      <x:c r="J49" s="3"/>
      <x:c r="K49" s="3"/>
      <x:c r="L49" s="3"/>
      <x:c r="M49" s="3"/>
      <x:c r="N49" s="3"/>
      <x:c r="O49" s="3"/>
      <x:c r="P49" s="19" t="str">
        <x:f>IF(A49="","",IF(COUNTIFS('观测证据'!$A$7:$A$306,A49)&lt;&gt;1,"编号重复",IF(COUNTIFS('问题总览'!$A$7:$A$306,B49)&lt;&gt;1,"问题引用无效",IF(AND(C49&lt;&gt;"",COUNTIFS('方案版本'!$A$7:$A$306,C49,'方案版本'!$B$7:$B$306,B49,'方案版本'!$L$7:$L$306,"已冻结")&lt;&gt;1),"方案引用无效",IF(OR(NOT(ISNUMBER(F49)),M49=""),"待补登记信息",IF(AND(M49="已观测",OR(K49="",AND(NOT(ISNUMBER(G49)),J49=""))),"待补观测与来源",IF(AND(ISNUMBER(G49),H49=""),"待补数值单位",IF(AND(N49&lt;&gt;"",OR(N49=A49,COUNTIFS('观测证据'!$A$7:$A$306,N49,'观测证据'!$B$7:$B$306,B49,'观测证据'!$M$7:$M$306,"已更正")&lt;&gt;1)),"更正引用待核对","有效输入"))))))))</x:f>
      </x:c>
    </x:row>
    <x:row r="50" ht="25" customHeight="1">
      <x:c r="A50" s="3"/>
      <x:c r="B50" s="3"/>
      <x:c r="C50" s="3"/>
      <x:c r="D50" s="3"/>
      <x:c r="E50" s="25"/>
      <x:c r="F50" s="25"/>
      <x:c r="G50" s="22"/>
      <x:c r="H50" s="3"/>
      <x:c r="I50" s="22"/>
      <x:c r="J50" s="3"/>
      <x:c r="K50" s="3"/>
      <x:c r="L50" s="3"/>
      <x:c r="M50" s="3"/>
      <x:c r="N50" s="3"/>
      <x:c r="O50" s="3"/>
      <x:c r="P50" s="19" t="str">
        <x:f>IF(A50="","",IF(COUNTIFS('观测证据'!$A$7:$A$306,A50)&lt;&gt;1,"编号重复",IF(COUNTIFS('问题总览'!$A$7:$A$306,B50)&lt;&gt;1,"问题引用无效",IF(AND(C50&lt;&gt;"",COUNTIFS('方案版本'!$A$7:$A$306,C50,'方案版本'!$B$7:$B$306,B50,'方案版本'!$L$7:$L$306,"已冻结")&lt;&gt;1),"方案引用无效",IF(OR(NOT(ISNUMBER(F50)),M50=""),"待补登记信息",IF(AND(M50="已观测",OR(K50="",AND(NOT(ISNUMBER(G50)),J50=""))),"待补观测与来源",IF(AND(ISNUMBER(G50),H50=""),"待补数值单位",IF(AND(N50&lt;&gt;"",OR(N50=A50,COUNTIFS('观测证据'!$A$7:$A$306,N50,'观测证据'!$B$7:$B$306,B50,'观测证据'!$M$7:$M$306,"已更正")&lt;&gt;1)),"更正引用待核对","有效输入"))))))))</x:f>
      </x:c>
    </x:row>
    <x:row r="51" ht="25" customHeight="1">
      <x:c r="A51" s="3"/>
      <x:c r="B51" s="3"/>
      <x:c r="C51" s="3"/>
      <x:c r="D51" s="3"/>
      <x:c r="E51" s="25"/>
      <x:c r="F51" s="25"/>
      <x:c r="G51" s="22"/>
      <x:c r="H51" s="3"/>
      <x:c r="I51" s="22"/>
      <x:c r="J51" s="3"/>
      <x:c r="K51" s="3"/>
      <x:c r="L51" s="3"/>
      <x:c r="M51" s="3"/>
      <x:c r="N51" s="3"/>
      <x:c r="O51" s="3"/>
      <x:c r="P51" s="19" t="str">
        <x:f>IF(A51="","",IF(COUNTIFS('观测证据'!$A$7:$A$306,A51)&lt;&gt;1,"编号重复",IF(COUNTIFS('问题总览'!$A$7:$A$306,B51)&lt;&gt;1,"问题引用无效",IF(AND(C51&lt;&gt;"",COUNTIFS('方案版本'!$A$7:$A$306,C51,'方案版本'!$B$7:$B$306,B51,'方案版本'!$L$7:$L$306,"已冻结")&lt;&gt;1),"方案引用无效",IF(OR(NOT(ISNUMBER(F51)),M51=""),"待补登记信息",IF(AND(M51="已观测",OR(K51="",AND(NOT(ISNUMBER(G51)),J51=""))),"待补观测与来源",IF(AND(ISNUMBER(G51),H51=""),"待补数值单位",IF(AND(N51&lt;&gt;"",OR(N51=A51,COUNTIFS('观测证据'!$A$7:$A$306,N51,'观测证据'!$B$7:$B$306,B51,'观测证据'!$M$7:$M$306,"已更正")&lt;&gt;1)),"更正引用待核对","有效输入"))))))))</x:f>
      </x:c>
    </x:row>
    <x:row r="52" ht="25" customHeight="1">
      <x:c r="A52" s="3"/>
      <x:c r="B52" s="3"/>
      <x:c r="C52" s="3"/>
      <x:c r="D52" s="3"/>
      <x:c r="E52" s="25"/>
      <x:c r="F52" s="25"/>
      <x:c r="G52" s="22"/>
      <x:c r="H52" s="3"/>
      <x:c r="I52" s="22"/>
      <x:c r="J52" s="3"/>
      <x:c r="K52" s="3"/>
      <x:c r="L52" s="3"/>
      <x:c r="M52" s="3"/>
      <x:c r="N52" s="3"/>
      <x:c r="O52" s="3"/>
      <x:c r="P52" s="19" t="str">
        <x:f>IF(A52="","",IF(COUNTIFS('观测证据'!$A$7:$A$306,A52)&lt;&gt;1,"编号重复",IF(COUNTIFS('问题总览'!$A$7:$A$306,B52)&lt;&gt;1,"问题引用无效",IF(AND(C52&lt;&gt;"",COUNTIFS('方案版本'!$A$7:$A$306,C52,'方案版本'!$B$7:$B$306,B52,'方案版本'!$L$7:$L$306,"已冻结")&lt;&gt;1),"方案引用无效",IF(OR(NOT(ISNUMBER(F52)),M52=""),"待补登记信息",IF(AND(M52="已观测",OR(K52="",AND(NOT(ISNUMBER(G52)),J52=""))),"待补观测与来源",IF(AND(ISNUMBER(G52),H52=""),"待补数值单位",IF(AND(N52&lt;&gt;"",OR(N52=A52,COUNTIFS('观测证据'!$A$7:$A$306,N52,'观测证据'!$B$7:$B$306,B52,'观测证据'!$M$7:$M$306,"已更正")&lt;&gt;1)),"更正引用待核对","有效输入"))))))))</x:f>
      </x:c>
    </x:row>
    <x:row r="53" ht="25" customHeight="1">
      <x:c r="A53" s="3"/>
      <x:c r="B53" s="3"/>
      <x:c r="C53" s="3"/>
      <x:c r="D53" s="3"/>
      <x:c r="E53" s="25"/>
      <x:c r="F53" s="25"/>
      <x:c r="G53" s="22"/>
      <x:c r="H53" s="3"/>
      <x:c r="I53" s="22"/>
      <x:c r="J53" s="3"/>
      <x:c r="K53" s="3"/>
      <x:c r="L53" s="3"/>
      <x:c r="M53" s="3"/>
      <x:c r="N53" s="3"/>
      <x:c r="O53" s="3"/>
      <x:c r="P53" s="19" t="str">
        <x:f>IF(A53="","",IF(COUNTIFS('观测证据'!$A$7:$A$306,A53)&lt;&gt;1,"编号重复",IF(COUNTIFS('问题总览'!$A$7:$A$306,B53)&lt;&gt;1,"问题引用无效",IF(AND(C53&lt;&gt;"",COUNTIFS('方案版本'!$A$7:$A$306,C53,'方案版本'!$B$7:$B$306,B53,'方案版本'!$L$7:$L$306,"已冻结")&lt;&gt;1),"方案引用无效",IF(OR(NOT(ISNUMBER(F53)),M53=""),"待补登记信息",IF(AND(M53="已观测",OR(K53="",AND(NOT(ISNUMBER(G53)),J53=""))),"待补观测与来源",IF(AND(ISNUMBER(G53),H53=""),"待补数值单位",IF(AND(N53&lt;&gt;"",OR(N53=A53,COUNTIFS('观测证据'!$A$7:$A$306,N53,'观测证据'!$B$7:$B$306,B53,'观测证据'!$M$7:$M$306,"已更正")&lt;&gt;1)),"更正引用待核对","有效输入"))))))))</x:f>
      </x:c>
    </x:row>
    <x:row r="54" ht="25" customHeight="1">
      <x:c r="A54" s="3"/>
      <x:c r="B54" s="3"/>
      <x:c r="C54" s="3"/>
      <x:c r="D54" s="3"/>
      <x:c r="E54" s="25"/>
      <x:c r="F54" s="25"/>
      <x:c r="G54" s="22"/>
      <x:c r="H54" s="3"/>
      <x:c r="I54" s="22"/>
      <x:c r="J54" s="3"/>
      <x:c r="K54" s="3"/>
      <x:c r="L54" s="3"/>
      <x:c r="M54" s="3"/>
      <x:c r="N54" s="3"/>
      <x:c r="O54" s="3"/>
      <x:c r="P54" s="19" t="str">
        <x:f>IF(A54="","",IF(COUNTIFS('观测证据'!$A$7:$A$306,A54)&lt;&gt;1,"编号重复",IF(COUNTIFS('问题总览'!$A$7:$A$306,B54)&lt;&gt;1,"问题引用无效",IF(AND(C54&lt;&gt;"",COUNTIFS('方案版本'!$A$7:$A$306,C54,'方案版本'!$B$7:$B$306,B54,'方案版本'!$L$7:$L$306,"已冻结")&lt;&gt;1),"方案引用无效",IF(OR(NOT(ISNUMBER(F54)),M54=""),"待补登记信息",IF(AND(M54="已观测",OR(K54="",AND(NOT(ISNUMBER(G54)),J54=""))),"待补观测与来源",IF(AND(ISNUMBER(G54),H54=""),"待补数值单位",IF(AND(N54&lt;&gt;"",OR(N54=A54,COUNTIFS('观测证据'!$A$7:$A$306,N54,'观测证据'!$B$7:$B$306,B54,'观测证据'!$M$7:$M$306,"已更正")&lt;&gt;1)),"更正引用待核对","有效输入"))))))))</x:f>
      </x:c>
    </x:row>
    <x:row r="55" ht="25" customHeight="1">
      <x:c r="A55" s="3"/>
      <x:c r="B55" s="3"/>
      <x:c r="C55" s="3"/>
      <x:c r="D55" s="3"/>
      <x:c r="E55" s="25"/>
      <x:c r="F55" s="25"/>
      <x:c r="G55" s="22"/>
      <x:c r="H55" s="3"/>
      <x:c r="I55" s="22"/>
      <x:c r="J55" s="3"/>
      <x:c r="K55" s="3"/>
      <x:c r="L55" s="3"/>
      <x:c r="M55" s="3"/>
      <x:c r="N55" s="3"/>
      <x:c r="O55" s="3"/>
      <x:c r="P55" s="19" t="str">
        <x:f>IF(A55="","",IF(COUNTIFS('观测证据'!$A$7:$A$306,A55)&lt;&gt;1,"编号重复",IF(COUNTIFS('问题总览'!$A$7:$A$306,B55)&lt;&gt;1,"问题引用无效",IF(AND(C55&lt;&gt;"",COUNTIFS('方案版本'!$A$7:$A$306,C55,'方案版本'!$B$7:$B$306,B55,'方案版本'!$L$7:$L$306,"已冻结")&lt;&gt;1),"方案引用无效",IF(OR(NOT(ISNUMBER(F55)),M55=""),"待补登记信息",IF(AND(M55="已观测",OR(K55="",AND(NOT(ISNUMBER(G55)),J55=""))),"待补观测与来源",IF(AND(ISNUMBER(G55),H55=""),"待补数值单位",IF(AND(N55&lt;&gt;"",OR(N55=A55,COUNTIFS('观测证据'!$A$7:$A$306,N55,'观测证据'!$B$7:$B$306,B55,'观测证据'!$M$7:$M$306,"已更正")&lt;&gt;1)),"更正引用待核对","有效输入"))))))))</x:f>
      </x:c>
    </x:row>
    <x:row r="56" ht="25" customHeight="1">
      <x:c r="A56" s="3"/>
      <x:c r="B56" s="3"/>
      <x:c r="C56" s="3"/>
      <x:c r="D56" s="3"/>
      <x:c r="E56" s="25"/>
      <x:c r="F56" s="25"/>
      <x:c r="G56" s="22"/>
      <x:c r="H56" s="3"/>
      <x:c r="I56" s="22"/>
      <x:c r="J56" s="3"/>
      <x:c r="K56" s="3"/>
      <x:c r="L56" s="3"/>
      <x:c r="M56" s="3"/>
      <x:c r="N56" s="3"/>
      <x:c r="O56" s="3"/>
      <x:c r="P56" s="19" t="str">
        <x:f>IF(A56="","",IF(COUNTIFS('观测证据'!$A$7:$A$306,A56)&lt;&gt;1,"编号重复",IF(COUNTIFS('问题总览'!$A$7:$A$306,B56)&lt;&gt;1,"问题引用无效",IF(AND(C56&lt;&gt;"",COUNTIFS('方案版本'!$A$7:$A$306,C56,'方案版本'!$B$7:$B$306,B56,'方案版本'!$L$7:$L$306,"已冻结")&lt;&gt;1),"方案引用无效",IF(OR(NOT(ISNUMBER(F56)),M56=""),"待补登记信息",IF(AND(M56="已观测",OR(K56="",AND(NOT(ISNUMBER(G56)),J56=""))),"待补观测与来源",IF(AND(ISNUMBER(G56),H56=""),"待补数值单位",IF(AND(N56&lt;&gt;"",OR(N56=A56,COUNTIFS('观测证据'!$A$7:$A$306,N56,'观测证据'!$B$7:$B$306,B56,'观测证据'!$M$7:$M$306,"已更正")&lt;&gt;1)),"更正引用待核对","有效输入"))))))))</x:f>
      </x:c>
    </x:row>
    <x:row r="57" ht="25" customHeight="1">
      <x:c r="A57" s="3"/>
      <x:c r="B57" s="3"/>
      <x:c r="C57" s="3"/>
      <x:c r="D57" s="3"/>
      <x:c r="E57" s="25"/>
      <x:c r="F57" s="25"/>
      <x:c r="G57" s="22"/>
      <x:c r="H57" s="3"/>
      <x:c r="I57" s="22"/>
      <x:c r="J57" s="3"/>
      <x:c r="K57" s="3"/>
      <x:c r="L57" s="3"/>
      <x:c r="M57" s="3"/>
      <x:c r="N57" s="3"/>
      <x:c r="O57" s="3"/>
      <x:c r="P57" s="19" t="str">
        <x:f>IF(A57="","",IF(COUNTIFS('观测证据'!$A$7:$A$306,A57)&lt;&gt;1,"编号重复",IF(COUNTIFS('问题总览'!$A$7:$A$306,B57)&lt;&gt;1,"问题引用无效",IF(AND(C57&lt;&gt;"",COUNTIFS('方案版本'!$A$7:$A$306,C57,'方案版本'!$B$7:$B$306,B57,'方案版本'!$L$7:$L$306,"已冻结")&lt;&gt;1),"方案引用无效",IF(OR(NOT(ISNUMBER(F57)),M57=""),"待补登记信息",IF(AND(M57="已观测",OR(K57="",AND(NOT(ISNUMBER(G57)),J57=""))),"待补观测与来源",IF(AND(ISNUMBER(G57),H57=""),"待补数值单位",IF(AND(N57&lt;&gt;"",OR(N57=A57,COUNTIFS('观测证据'!$A$7:$A$306,N57,'观测证据'!$B$7:$B$306,B57,'观测证据'!$M$7:$M$306,"已更正")&lt;&gt;1)),"更正引用待核对","有效输入"))))))))</x:f>
      </x:c>
    </x:row>
    <x:row r="58" ht="25" customHeight="1">
      <x:c r="A58" s="3"/>
      <x:c r="B58" s="3"/>
      <x:c r="C58" s="3"/>
      <x:c r="D58" s="3"/>
      <x:c r="E58" s="25"/>
      <x:c r="F58" s="25"/>
      <x:c r="G58" s="22"/>
      <x:c r="H58" s="3"/>
      <x:c r="I58" s="22"/>
      <x:c r="J58" s="3"/>
      <x:c r="K58" s="3"/>
      <x:c r="L58" s="3"/>
      <x:c r="M58" s="3"/>
      <x:c r="N58" s="3"/>
      <x:c r="O58" s="3"/>
      <x:c r="P58" s="19" t="str">
        <x:f>IF(A58="","",IF(COUNTIFS('观测证据'!$A$7:$A$306,A58)&lt;&gt;1,"编号重复",IF(COUNTIFS('问题总览'!$A$7:$A$306,B58)&lt;&gt;1,"问题引用无效",IF(AND(C58&lt;&gt;"",COUNTIFS('方案版本'!$A$7:$A$306,C58,'方案版本'!$B$7:$B$306,B58,'方案版本'!$L$7:$L$306,"已冻结")&lt;&gt;1),"方案引用无效",IF(OR(NOT(ISNUMBER(F58)),M58=""),"待补登记信息",IF(AND(M58="已观测",OR(K58="",AND(NOT(ISNUMBER(G58)),J58=""))),"待补观测与来源",IF(AND(ISNUMBER(G58),H58=""),"待补数值单位",IF(AND(N58&lt;&gt;"",OR(N58=A58,COUNTIFS('观测证据'!$A$7:$A$306,N58,'观测证据'!$B$7:$B$306,B58,'观测证据'!$M$7:$M$306,"已更正")&lt;&gt;1)),"更正引用待核对","有效输入"))))))))</x:f>
      </x:c>
    </x:row>
    <x:row r="59" ht="25" customHeight="1">
      <x:c r="A59" s="3"/>
      <x:c r="B59" s="3"/>
      <x:c r="C59" s="3"/>
      <x:c r="D59" s="3"/>
      <x:c r="E59" s="25"/>
      <x:c r="F59" s="25"/>
      <x:c r="G59" s="22"/>
      <x:c r="H59" s="3"/>
      <x:c r="I59" s="22"/>
      <x:c r="J59" s="3"/>
      <x:c r="K59" s="3"/>
      <x:c r="L59" s="3"/>
      <x:c r="M59" s="3"/>
      <x:c r="N59" s="3"/>
      <x:c r="O59" s="3"/>
      <x:c r="P59" s="19" t="str">
        <x:f>IF(A59="","",IF(COUNTIFS('观测证据'!$A$7:$A$306,A59)&lt;&gt;1,"编号重复",IF(COUNTIFS('问题总览'!$A$7:$A$306,B59)&lt;&gt;1,"问题引用无效",IF(AND(C59&lt;&gt;"",COUNTIFS('方案版本'!$A$7:$A$306,C59,'方案版本'!$B$7:$B$306,B59,'方案版本'!$L$7:$L$306,"已冻结")&lt;&gt;1),"方案引用无效",IF(OR(NOT(ISNUMBER(F59)),M59=""),"待补登记信息",IF(AND(M59="已观测",OR(K59="",AND(NOT(ISNUMBER(G59)),J59=""))),"待补观测与来源",IF(AND(ISNUMBER(G59),H59=""),"待补数值单位",IF(AND(N59&lt;&gt;"",OR(N59=A59,COUNTIFS('观测证据'!$A$7:$A$306,N59,'观测证据'!$B$7:$B$306,B59,'观测证据'!$M$7:$M$306,"已更正")&lt;&gt;1)),"更正引用待核对","有效输入"))))))))</x:f>
      </x:c>
    </x:row>
    <x:row r="60" ht="25" customHeight="1">
      <x:c r="A60" s="3"/>
      <x:c r="B60" s="3"/>
      <x:c r="C60" s="3"/>
      <x:c r="D60" s="3"/>
      <x:c r="E60" s="25"/>
      <x:c r="F60" s="25"/>
      <x:c r="G60" s="22"/>
      <x:c r="H60" s="3"/>
      <x:c r="I60" s="22"/>
      <x:c r="J60" s="3"/>
      <x:c r="K60" s="3"/>
      <x:c r="L60" s="3"/>
      <x:c r="M60" s="3"/>
      <x:c r="N60" s="3"/>
      <x:c r="O60" s="3"/>
      <x:c r="P60" s="19" t="str">
        <x:f>IF(A60="","",IF(COUNTIFS('观测证据'!$A$7:$A$306,A60)&lt;&gt;1,"编号重复",IF(COUNTIFS('问题总览'!$A$7:$A$306,B60)&lt;&gt;1,"问题引用无效",IF(AND(C60&lt;&gt;"",COUNTIFS('方案版本'!$A$7:$A$306,C60,'方案版本'!$B$7:$B$306,B60,'方案版本'!$L$7:$L$306,"已冻结")&lt;&gt;1),"方案引用无效",IF(OR(NOT(ISNUMBER(F60)),M60=""),"待补登记信息",IF(AND(M60="已观测",OR(K60="",AND(NOT(ISNUMBER(G60)),J60=""))),"待补观测与来源",IF(AND(ISNUMBER(G60),H60=""),"待补数值单位",IF(AND(N60&lt;&gt;"",OR(N60=A60,COUNTIFS('观测证据'!$A$7:$A$306,N60,'观测证据'!$B$7:$B$306,B60,'观测证据'!$M$7:$M$306,"已更正")&lt;&gt;1)),"更正引用待核对","有效输入"))))))))</x:f>
      </x:c>
    </x:row>
    <x:row r="61" ht="25" customHeight="1">
      <x:c r="A61" s="3"/>
      <x:c r="B61" s="3"/>
      <x:c r="C61" s="3"/>
      <x:c r="D61" s="3"/>
      <x:c r="E61" s="25"/>
      <x:c r="F61" s="25"/>
      <x:c r="G61" s="22"/>
      <x:c r="H61" s="3"/>
      <x:c r="I61" s="22"/>
      <x:c r="J61" s="3"/>
      <x:c r="K61" s="3"/>
      <x:c r="L61" s="3"/>
      <x:c r="M61" s="3"/>
      <x:c r="N61" s="3"/>
      <x:c r="O61" s="3"/>
      <x:c r="P61" s="19" t="str">
        <x:f>IF(A61="","",IF(COUNTIFS('观测证据'!$A$7:$A$306,A61)&lt;&gt;1,"编号重复",IF(COUNTIFS('问题总览'!$A$7:$A$306,B61)&lt;&gt;1,"问题引用无效",IF(AND(C61&lt;&gt;"",COUNTIFS('方案版本'!$A$7:$A$306,C61,'方案版本'!$B$7:$B$306,B61,'方案版本'!$L$7:$L$306,"已冻结")&lt;&gt;1),"方案引用无效",IF(OR(NOT(ISNUMBER(F61)),M61=""),"待补登记信息",IF(AND(M61="已观测",OR(K61="",AND(NOT(ISNUMBER(G61)),J61=""))),"待补观测与来源",IF(AND(ISNUMBER(G61),H61=""),"待补数值单位",IF(AND(N61&lt;&gt;"",OR(N61=A61,COUNTIFS('观测证据'!$A$7:$A$306,N61,'观测证据'!$B$7:$B$306,B61,'观测证据'!$M$7:$M$306,"已更正")&lt;&gt;1)),"更正引用待核对","有效输入"))))))))</x:f>
      </x:c>
    </x:row>
    <x:row r="62" ht="25" customHeight="1">
      <x:c r="A62" s="3"/>
      <x:c r="B62" s="3"/>
      <x:c r="C62" s="3"/>
      <x:c r="D62" s="3"/>
      <x:c r="E62" s="25"/>
      <x:c r="F62" s="25"/>
      <x:c r="G62" s="22"/>
      <x:c r="H62" s="3"/>
      <x:c r="I62" s="22"/>
      <x:c r="J62" s="3"/>
      <x:c r="K62" s="3"/>
      <x:c r="L62" s="3"/>
      <x:c r="M62" s="3"/>
      <x:c r="N62" s="3"/>
      <x:c r="O62" s="3"/>
      <x:c r="P62" s="19" t="str">
        <x:f>IF(A62="","",IF(COUNTIFS('观测证据'!$A$7:$A$306,A62)&lt;&gt;1,"编号重复",IF(COUNTIFS('问题总览'!$A$7:$A$306,B62)&lt;&gt;1,"问题引用无效",IF(AND(C62&lt;&gt;"",COUNTIFS('方案版本'!$A$7:$A$306,C62,'方案版本'!$B$7:$B$306,B62,'方案版本'!$L$7:$L$306,"已冻结")&lt;&gt;1),"方案引用无效",IF(OR(NOT(ISNUMBER(F62)),M62=""),"待补登记信息",IF(AND(M62="已观测",OR(K62="",AND(NOT(ISNUMBER(G62)),J62=""))),"待补观测与来源",IF(AND(ISNUMBER(G62),H62=""),"待补数值单位",IF(AND(N62&lt;&gt;"",OR(N62=A62,COUNTIFS('观测证据'!$A$7:$A$306,N62,'观测证据'!$B$7:$B$306,B62,'观测证据'!$M$7:$M$306,"已更正")&lt;&gt;1)),"更正引用待核对","有效输入"))))))))</x:f>
      </x:c>
    </x:row>
    <x:row r="63" ht="25" customHeight="1">
      <x:c r="A63" s="3"/>
      <x:c r="B63" s="3"/>
      <x:c r="C63" s="3"/>
      <x:c r="D63" s="3"/>
      <x:c r="E63" s="25"/>
      <x:c r="F63" s="25"/>
      <x:c r="G63" s="22"/>
      <x:c r="H63" s="3"/>
      <x:c r="I63" s="22"/>
      <x:c r="J63" s="3"/>
      <x:c r="K63" s="3"/>
      <x:c r="L63" s="3"/>
      <x:c r="M63" s="3"/>
      <x:c r="N63" s="3"/>
      <x:c r="O63" s="3"/>
      <x:c r="P63" s="19" t="str">
        <x:f>IF(A63="","",IF(COUNTIFS('观测证据'!$A$7:$A$306,A63)&lt;&gt;1,"编号重复",IF(COUNTIFS('问题总览'!$A$7:$A$306,B63)&lt;&gt;1,"问题引用无效",IF(AND(C63&lt;&gt;"",COUNTIFS('方案版本'!$A$7:$A$306,C63,'方案版本'!$B$7:$B$306,B63,'方案版本'!$L$7:$L$306,"已冻结")&lt;&gt;1),"方案引用无效",IF(OR(NOT(ISNUMBER(F63)),M63=""),"待补登记信息",IF(AND(M63="已观测",OR(K63="",AND(NOT(ISNUMBER(G63)),J63=""))),"待补观测与来源",IF(AND(ISNUMBER(G63),H63=""),"待补数值单位",IF(AND(N63&lt;&gt;"",OR(N63=A63,COUNTIFS('观测证据'!$A$7:$A$306,N63,'观测证据'!$B$7:$B$306,B63,'观测证据'!$M$7:$M$306,"已更正")&lt;&gt;1)),"更正引用待核对","有效输入"))))))))</x:f>
      </x:c>
    </x:row>
    <x:row r="64" ht="25" customHeight="1">
      <x:c r="A64" s="3"/>
      <x:c r="B64" s="3"/>
      <x:c r="C64" s="3"/>
      <x:c r="D64" s="3"/>
      <x:c r="E64" s="25"/>
      <x:c r="F64" s="25"/>
      <x:c r="G64" s="22"/>
      <x:c r="H64" s="3"/>
      <x:c r="I64" s="22"/>
      <x:c r="J64" s="3"/>
      <x:c r="K64" s="3"/>
      <x:c r="L64" s="3"/>
      <x:c r="M64" s="3"/>
      <x:c r="N64" s="3"/>
      <x:c r="O64" s="3"/>
      <x:c r="P64" s="19" t="str">
        <x:f>IF(A64="","",IF(COUNTIFS('观测证据'!$A$7:$A$306,A64)&lt;&gt;1,"编号重复",IF(COUNTIFS('问题总览'!$A$7:$A$306,B64)&lt;&gt;1,"问题引用无效",IF(AND(C64&lt;&gt;"",COUNTIFS('方案版本'!$A$7:$A$306,C64,'方案版本'!$B$7:$B$306,B64,'方案版本'!$L$7:$L$306,"已冻结")&lt;&gt;1),"方案引用无效",IF(OR(NOT(ISNUMBER(F64)),M64=""),"待补登记信息",IF(AND(M64="已观测",OR(K64="",AND(NOT(ISNUMBER(G64)),J64=""))),"待补观测与来源",IF(AND(ISNUMBER(G64),H64=""),"待补数值单位",IF(AND(N64&lt;&gt;"",OR(N64=A64,COUNTIFS('观测证据'!$A$7:$A$306,N64,'观测证据'!$B$7:$B$306,B64,'观测证据'!$M$7:$M$306,"已更正")&lt;&gt;1)),"更正引用待核对","有效输入"))))))))</x:f>
      </x:c>
    </x:row>
    <x:row r="65" ht="25" customHeight="1">
      <x:c r="A65" s="3"/>
      <x:c r="B65" s="3"/>
      <x:c r="C65" s="3"/>
      <x:c r="D65" s="3"/>
      <x:c r="E65" s="25"/>
      <x:c r="F65" s="25"/>
      <x:c r="G65" s="22"/>
      <x:c r="H65" s="3"/>
      <x:c r="I65" s="22"/>
      <x:c r="J65" s="3"/>
      <x:c r="K65" s="3"/>
      <x:c r="L65" s="3"/>
      <x:c r="M65" s="3"/>
      <x:c r="N65" s="3"/>
      <x:c r="O65" s="3"/>
      <x:c r="P65" s="19" t="str">
        <x:f>IF(A65="","",IF(COUNTIFS('观测证据'!$A$7:$A$306,A65)&lt;&gt;1,"编号重复",IF(COUNTIFS('问题总览'!$A$7:$A$306,B65)&lt;&gt;1,"问题引用无效",IF(AND(C65&lt;&gt;"",COUNTIFS('方案版本'!$A$7:$A$306,C65,'方案版本'!$B$7:$B$306,B65,'方案版本'!$L$7:$L$306,"已冻结")&lt;&gt;1),"方案引用无效",IF(OR(NOT(ISNUMBER(F65)),M65=""),"待补登记信息",IF(AND(M65="已观测",OR(K65="",AND(NOT(ISNUMBER(G65)),J65=""))),"待补观测与来源",IF(AND(ISNUMBER(G65),H65=""),"待补数值单位",IF(AND(N65&lt;&gt;"",OR(N65=A65,COUNTIFS('观测证据'!$A$7:$A$306,N65,'观测证据'!$B$7:$B$306,B65,'观测证据'!$M$7:$M$306,"已更正")&lt;&gt;1)),"更正引用待核对","有效输入"))))))))</x:f>
      </x:c>
    </x:row>
    <x:row r="66" ht="25" customHeight="1">
      <x:c r="A66" s="3"/>
      <x:c r="B66" s="3"/>
      <x:c r="C66" s="3"/>
      <x:c r="D66" s="3"/>
      <x:c r="E66" s="25"/>
      <x:c r="F66" s="25"/>
      <x:c r="G66" s="22"/>
      <x:c r="H66" s="3"/>
      <x:c r="I66" s="22"/>
      <x:c r="J66" s="3"/>
      <x:c r="K66" s="3"/>
      <x:c r="L66" s="3"/>
      <x:c r="M66" s="3"/>
      <x:c r="N66" s="3"/>
      <x:c r="O66" s="3"/>
      <x:c r="P66" s="19" t="str">
        <x:f>IF(A66="","",IF(COUNTIFS('观测证据'!$A$7:$A$306,A66)&lt;&gt;1,"编号重复",IF(COUNTIFS('问题总览'!$A$7:$A$306,B66)&lt;&gt;1,"问题引用无效",IF(AND(C66&lt;&gt;"",COUNTIFS('方案版本'!$A$7:$A$306,C66,'方案版本'!$B$7:$B$306,B66,'方案版本'!$L$7:$L$306,"已冻结")&lt;&gt;1),"方案引用无效",IF(OR(NOT(ISNUMBER(F66)),M66=""),"待补登记信息",IF(AND(M66="已观测",OR(K66="",AND(NOT(ISNUMBER(G66)),J66=""))),"待补观测与来源",IF(AND(ISNUMBER(G66),H66=""),"待补数值单位",IF(AND(N66&lt;&gt;"",OR(N66=A66,COUNTIFS('观测证据'!$A$7:$A$306,N66,'观测证据'!$B$7:$B$306,B66,'观测证据'!$M$7:$M$306,"已更正")&lt;&gt;1)),"更正引用待核对","有效输入"))))))))</x:f>
      </x:c>
    </x:row>
    <x:row r="67" ht="25" customHeight="1">
      <x:c r="A67" s="3"/>
      <x:c r="B67" s="3"/>
      <x:c r="C67" s="3"/>
      <x:c r="D67" s="3"/>
      <x:c r="E67" s="25"/>
      <x:c r="F67" s="25"/>
      <x:c r="G67" s="22"/>
      <x:c r="H67" s="3"/>
      <x:c r="I67" s="22"/>
      <x:c r="J67" s="3"/>
      <x:c r="K67" s="3"/>
      <x:c r="L67" s="3"/>
      <x:c r="M67" s="3"/>
      <x:c r="N67" s="3"/>
      <x:c r="O67" s="3"/>
      <x:c r="P67" s="19" t="str">
        <x:f>IF(A67="","",IF(COUNTIFS('观测证据'!$A$7:$A$306,A67)&lt;&gt;1,"编号重复",IF(COUNTIFS('问题总览'!$A$7:$A$306,B67)&lt;&gt;1,"问题引用无效",IF(AND(C67&lt;&gt;"",COUNTIFS('方案版本'!$A$7:$A$306,C67,'方案版本'!$B$7:$B$306,B67,'方案版本'!$L$7:$L$306,"已冻结")&lt;&gt;1),"方案引用无效",IF(OR(NOT(ISNUMBER(F67)),M67=""),"待补登记信息",IF(AND(M67="已观测",OR(K67="",AND(NOT(ISNUMBER(G67)),J67=""))),"待补观测与来源",IF(AND(ISNUMBER(G67),H67=""),"待补数值单位",IF(AND(N67&lt;&gt;"",OR(N67=A67,COUNTIFS('观测证据'!$A$7:$A$306,N67,'观测证据'!$B$7:$B$306,B67,'观测证据'!$M$7:$M$306,"已更正")&lt;&gt;1)),"更正引用待核对","有效输入"))))))))</x:f>
      </x:c>
    </x:row>
    <x:row r="68" ht="25" customHeight="1">
      <x:c r="A68" s="3"/>
      <x:c r="B68" s="3"/>
      <x:c r="C68" s="3"/>
      <x:c r="D68" s="3"/>
      <x:c r="E68" s="25"/>
      <x:c r="F68" s="25"/>
      <x:c r="G68" s="22"/>
      <x:c r="H68" s="3"/>
      <x:c r="I68" s="22"/>
      <x:c r="J68" s="3"/>
      <x:c r="K68" s="3"/>
      <x:c r="L68" s="3"/>
      <x:c r="M68" s="3"/>
      <x:c r="N68" s="3"/>
      <x:c r="O68" s="3"/>
      <x:c r="P68" s="19" t="str">
        <x:f>IF(A68="","",IF(COUNTIFS('观测证据'!$A$7:$A$306,A68)&lt;&gt;1,"编号重复",IF(COUNTIFS('问题总览'!$A$7:$A$306,B68)&lt;&gt;1,"问题引用无效",IF(AND(C68&lt;&gt;"",COUNTIFS('方案版本'!$A$7:$A$306,C68,'方案版本'!$B$7:$B$306,B68,'方案版本'!$L$7:$L$306,"已冻结")&lt;&gt;1),"方案引用无效",IF(OR(NOT(ISNUMBER(F68)),M68=""),"待补登记信息",IF(AND(M68="已观测",OR(K68="",AND(NOT(ISNUMBER(G68)),J68=""))),"待补观测与来源",IF(AND(ISNUMBER(G68),H68=""),"待补数值单位",IF(AND(N68&lt;&gt;"",OR(N68=A68,COUNTIFS('观测证据'!$A$7:$A$306,N68,'观测证据'!$B$7:$B$306,B68,'观测证据'!$M$7:$M$306,"已更正")&lt;&gt;1)),"更正引用待核对","有效输入"))))))))</x:f>
      </x:c>
    </x:row>
    <x:row r="69" ht="25" customHeight="1">
      <x:c r="A69" s="3"/>
      <x:c r="B69" s="3"/>
      <x:c r="C69" s="3"/>
      <x:c r="D69" s="3"/>
      <x:c r="E69" s="25"/>
      <x:c r="F69" s="25"/>
      <x:c r="G69" s="22"/>
      <x:c r="H69" s="3"/>
      <x:c r="I69" s="22"/>
      <x:c r="J69" s="3"/>
      <x:c r="K69" s="3"/>
      <x:c r="L69" s="3"/>
      <x:c r="M69" s="3"/>
      <x:c r="N69" s="3"/>
      <x:c r="O69" s="3"/>
      <x:c r="P69" s="19" t="str">
        <x:f>IF(A69="","",IF(COUNTIFS('观测证据'!$A$7:$A$306,A69)&lt;&gt;1,"编号重复",IF(COUNTIFS('问题总览'!$A$7:$A$306,B69)&lt;&gt;1,"问题引用无效",IF(AND(C69&lt;&gt;"",COUNTIFS('方案版本'!$A$7:$A$306,C69,'方案版本'!$B$7:$B$306,B69,'方案版本'!$L$7:$L$306,"已冻结")&lt;&gt;1),"方案引用无效",IF(OR(NOT(ISNUMBER(F69)),M69=""),"待补登记信息",IF(AND(M69="已观测",OR(K69="",AND(NOT(ISNUMBER(G69)),J69=""))),"待补观测与来源",IF(AND(ISNUMBER(G69),H69=""),"待补数值单位",IF(AND(N69&lt;&gt;"",OR(N69=A69,COUNTIFS('观测证据'!$A$7:$A$306,N69,'观测证据'!$B$7:$B$306,B69,'观测证据'!$M$7:$M$306,"已更正")&lt;&gt;1)),"更正引用待核对","有效输入"))))))))</x:f>
      </x:c>
    </x:row>
    <x:row r="70" ht="25" customHeight="1">
      <x:c r="A70" s="3"/>
      <x:c r="B70" s="3"/>
      <x:c r="C70" s="3"/>
      <x:c r="D70" s="3"/>
      <x:c r="E70" s="25"/>
      <x:c r="F70" s="25"/>
      <x:c r="G70" s="22"/>
      <x:c r="H70" s="3"/>
      <x:c r="I70" s="22"/>
      <x:c r="J70" s="3"/>
      <x:c r="K70" s="3"/>
      <x:c r="L70" s="3"/>
      <x:c r="M70" s="3"/>
      <x:c r="N70" s="3"/>
      <x:c r="O70" s="3"/>
      <x:c r="P70" s="19" t="str">
        <x:f>IF(A70="","",IF(COUNTIFS('观测证据'!$A$7:$A$306,A70)&lt;&gt;1,"编号重复",IF(COUNTIFS('问题总览'!$A$7:$A$306,B70)&lt;&gt;1,"问题引用无效",IF(AND(C70&lt;&gt;"",COUNTIFS('方案版本'!$A$7:$A$306,C70,'方案版本'!$B$7:$B$306,B70,'方案版本'!$L$7:$L$306,"已冻结")&lt;&gt;1),"方案引用无效",IF(OR(NOT(ISNUMBER(F70)),M70=""),"待补登记信息",IF(AND(M70="已观测",OR(K70="",AND(NOT(ISNUMBER(G70)),J70=""))),"待补观测与来源",IF(AND(ISNUMBER(G70),H70=""),"待补数值单位",IF(AND(N70&lt;&gt;"",OR(N70=A70,COUNTIFS('观测证据'!$A$7:$A$306,N70,'观测证据'!$B$7:$B$306,B70,'观测证据'!$M$7:$M$306,"已更正")&lt;&gt;1)),"更正引用待核对","有效输入"))))))))</x:f>
      </x:c>
    </x:row>
    <x:row r="71" ht="25" customHeight="1">
      <x:c r="A71" s="3"/>
      <x:c r="B71" s="3"/>
      <x:c r="C71" s="3"/>
      <x:c r="D71" s="3"/>
      <x:c r="E71" s="25"/>
      <x:c r="F71" s="25"/>
      <x:c r="G71" s="22"/>
      <x:c r="H71" s="3"/>
      <x:c r="I71" s="22"/>
      <x:c r="J71" s="3"/>
      <x:c r="K71" s="3"/>
      <x:c r="L71" s="3"/>
      <x:c r="M71" s="3"/>
      <x:c r="N71" s="3"/>
      <x:c r="O71" s="3"/>
      <x:c r="P71" s="19" t="str">
        <x:f>IF(A71="","",IF(COUNTIFS('观测证据'!$A$7:$A$306,A71)&lt;&gt;1,"编号重复",IF(COUNTIFS('问题总览'!$A$7:$A$306,B71)&lt;&gt;1,"问题引用无效",IF(AND(C71&lt;&gt;"",COUNTIFS('方案版本'!$A$7:$A$306,C71,'方案版本'!$B$7:$B$306,B71,'方案版本'!$L$7:$L$306,"已冻结")&lt;&gt;1),"方案引用无效",IF(OR(NOT(ISNUMBER(F71)),M71=""),"待补登记信息",IF(AND(M71="已观测",OR(K71="",AND(NOT(ISNUMBER(G71)),J71=""))),"待补观测与来源",IF(AND(ISNUMBER(G71),H71=""),"待补数值单位",IF(AND(N71&lt;&gt;"",OR(N71=A71,COUNTIFS('观测证据'!$A$7:$A$306,N71,'观测证据'!$B$7:$B$306,B71,'观测证据'!$M$7:$M$306,"已更正")&lt;&gt;1)),"更正引用待核对","有效输入"))))))))</x:f>
      </x:c>
    </x:row>
    <x:row r="72" ht="25" customHeight="1">
      <x:c r="A72" s="3"/>
      <x:c r="B72" s="3"/>
      <x:c r="C72" s="3"/>
      <x:c r="D72" s="3"/>
      <x:c r="E72" s="25"/>
      <x:c r="F72" s="25"/>
      <x:c r="G72" s="22"/>
      <x:c r="H72" s="3"/>
      <x:c r="I72" s="22"/>
      <x:c r="J72" s="3"/>
      <x:c r="K72" s="3"/>
      <x:c r="L72" s="3"/>
      <x:c r="M72" s="3"/>
      <x:c r="N72" s="3"/>
      <x:c r="O72" s="3"/>
      <x:c r="P72" s="19" t="str">
        <x:f>IF(A72="","",IF(COUNTIFS('观测证据'!$A$7:$A$306,A72)&lt;&gt;1,"编号重复",IF(COUNTIFS('问题总览'!$A$7:$A$306,B72)&lt;&gt;1,"问题引用无效",IF(AND(C72&lt;&gt;"",COUNTIFS('方案版本'!$A$7:$A$306,C72,'方案版本'!$B$7:$B$306,B72,'方案版本'!$L$7:$L$306,"已冻结")&lt;&gt;1),"方案引用无效",IF(OR(NOT(ISNUMBER(F72)),M72=""),"待补登记信息",IF(AND(M72="已观测",OR(K72="",AND(NOT(ISNUMBER(G72)),J72=""))),"待补观测与来源",IF(AND(ISNUMBER(G72),H72=""),"待补数值单位",IF(AND(N72&lt;&gt;"",OR(N72=A72,COUNTIFS('观测证据'!$A$7:$A$306,N72,'观测证据'!$B$7:$B$306,B72,'观测证据'!$M$7:$M$306,"已更正")&lt;&gt;1)),"更正引用待核对","有效输入"))))))))</x:f>
      </x:c>
    </x:row>
    <x:row r="73" ht="25" customHeight="1">
      <x:c r="A73" s="3"/>
      <x:c r="B73" s="3"/>
      <x:c r="C73" s="3"/>
      <x:c r="D73" s="3"/>
      <x:c r="E73" s="25"/>
      <x:c r="F73" s="25"/>
      <x:c r="G73" s="22"/>
      <x:c r="H73" s="3"/>
      <x:c r="I73" s="22"/>
      <x:c r="J73" s="3"/>
      <x:c r="K73" s="3"/>
      <x:c r="L73" s="3"/>
      <x:c r="M73" s="3"/>
      <x:c r="N73" s="3"/>
      <x:c r="O73" s="3"/>
      <x:c r="P73" s="19" t="str">
        <x:f>IF(A73="","",IF(COUNTIFS('观测证据'!$A$7:$A$306,A73)&lt;&gt;1,"编号重复",IF(COUNTIFS('问题总览'!$A$7:$A$306,B73)&lt;&gt;1,"问题引用无效",IF(AND(C73&lt;&gt;"",COUNTIFS('方案版本'!$A$7:$A$306,C73,'方案版本'!$B$7:$B$306,B73,'方案版本'!$L$7:$L$306,"已冻结")&lt;&gt;1),"方案引用无效",IF(OR(NOT(ISNUMBER(F73)),M73=""),"待补登记信息",IF(AND(M73="已观测",OR(K73="",AND(NOT(ISNUMBER(G73)),J73=""))),"待补观测与来源",IF(AND(ISNUMBER(G73),H73=""),"待补数值单位",IF(AND(N73&lt;&gt;"",OR(N73=A73,COUNTIFS('观测证据'!$A$7:$A$306,N73,'观测证据'!$B$7:$B$306,B73,'观测证据'!$M$7:$M$306,"已更正")&lt;&gt;1)),"更正引用待核对","有效输入"))))))))</x:f>
      </x:c>
    </x:row>
    <x:row r="74" ht="25" customHeight="1">
      <x:c r="A74" s="3"/>
      <x:c r="B74" s="3"/>
      <x:c r="C74" s="3"/>
      <x:c r="D74" s="3"/>
      <x:c r="E74" s="25"/>
      <x:c r="F74" s="25"/>
      <x:c r="G74" s="22"/>
      <x:c r="H74" s="3"/>
      <x:c r="I74" s="22"/>
      <x:c r="J74" s="3"/>
      <x:c r="K74" s="3"/>
      <x:c r="L74" s="3"/>
      <x:c r="M74" s="3"/>
      <x:c r="N74" s="3"/>
      <x:c r="O74" s="3"/>
      <x:c r="P74" s="19" t="str">
        <x:f>IF(A74="","",IF(COUNTIFS('观测证据'!$A$7:$A$306,A74)&lt;&gt;1,"编号重复",IF(COUNTIFS('问题总览'!$A$7:$A$306,B74)&lt;&gt;1,"问题引用无效",IF(AND(C74&lt;&gt;"",COUNTIFS('方案版本'!$A$7:$A$306,C74,'方案版本'!$B$7:$B$306,B74,'方案版本'!$L$7:$L$306,"已冻结")&lt;&gt;1),"方案引用无效",IF(OR(NOT(ISNUMBER(F74)),M74=""),"待补登记信息",IF(AND(M74="已观测",OR(K74="",AND(NOT(ISNUMBER(G74)),J74=""))),"待补观测与来源",IF(AND(ISNUMBER(G74),H74=""),"待补数值单位",IF(AND(N74&lt;&gt;"",OR(N74=A74,COUNTIFS('观测证据'!$A$7:$A$306,N74,'观测证据'!$B$7:$B$306,B74,'观测证据'!$M$7:$M$306,"已更正")&lt;&gt;1)),"更正引用待核对","有效输入"))))))))</x:f>
      </x:c>
    </x:row>
    <x:row r="75" ht="25" customHeight="1">
      <x:c r="A75" s="3"/>
      <x:c r="B75" s="3"/>
      <x:c r="C75" s="3"/>
      <x:c r="D75" s="3"/>
      <x:c r="E75" s="25"/>
      <x:c r="F75" s="25"/>
      <x:c r="G75" s="22"/>
      <x:c r="H75" s="3"/>
      <x:c r="I75" s="22"/>
      <x:c r="J75" s="3"/>
      <x:c r="K75" s="3"/>
      <x:c r="L75" s="3"/>
      <x:c r="M75" s="3"/>
      <x:c r="N75" s="3"/>
      <x:c r="O75" s="3"/>
      <x:c r="P75" s="19" t="str">
        <x:f>IF(A75="","",IF(COUNTIFS('观测证据'!$A$7:$A$306,A75)&lt;&gt;1,"编号重复",IF(COUNTIFS('问题总览'!$A$7:$A$306,B75)&lt;&gt;1,"问题引用无效",IF(AND(C75&lt;&gt;"",COUNTIFS('方案版本'!$A$7:$A$306,C75,'方案版本'!$B$7:$B$306,B75,'方案版本'!$L$7:$L$306,"已冻结")&lt;&gt;1),"方案引用无效",IF(OR(NOT(ISNUMBER(F75)),M75=""),"待补登记信息",IF(AND(M75="已观测",OR(K75="",AND(NOT(ISNUMBER(G75)),J75=""))),"待补观测与来源",IF(AND(ISNUMBER(G75),H75=""),"待补数值单位",IF(AND(N75&lt;&gt;"",OR(N75=A75,COUNTIFS('观测证据'!$A$7:$A$306,N75,'观测证据'!$B$7:$B$306,B75,'观测证据'!$M$7:$M$306,"已更正")&lt;&gt;1)),"更正引用待核对","有效输入"))))))))</x:f>
      </x:c>
    </x:row>
    <x:row r="76" ht="25" customHeight="1">
      <x:c r="A76" s="3"/>
      <x:c r="B76" s="3"/>
      <x:c r="C76" s="3"/>
      <x:c r="D76" s="3"/>
      <x:c r="E76" s="25"/>
      <x:c r="F76" s="25"/>
      <x:c r="G76" s="22"/>
      <x:c r="H76" s="3"/>
      <x:c r="I76" s="22"/>
      <x:c r="J76" s="3"/>
      <x:c r="K76" s="3"/>
      <x:c r="L76" s="3"/>
      <x:c r="M76" s="3"/>
      <x:c r="N76" s="3"/>
      <x:c r="O76" s="3"/>
      <x:c r="P76" s="19" t="str">
        <x:f>IF(A76="","",IF(COUNTIFS('观测证据'!$A$7:$A$306,A76)&lt;&gt;1,"编号重复",IF(COUNTIFS('问题总览'!$A$7:$A$306,B76)&lt;&gt;1,"问题引用无效",IF(AND(C76&lt;&gt;"",COUNTIFS('方案版本'!$A$7:$A$306,C76,'方案版本'!$B$7:$B$306,B76,'方案版本'!$L$7:$L$306,"已冻结")&lt;&gt;1),"方案引用无效",IF(OR(NOT(ISNUMBER(F76)),M76=""),"待补登记信息",IF(AND(M76="已观测",OR(K76="",AND(NOT(ISNUMBER(G76)),J76=""))),"待补观测与来源",IF(AND(ISNUMBER(G76),H76=""),"待补数值单位",IF(AND(N76&lt;&gt;"",OR(N76=A76,COUNTIFS('观测证据'!$A$7:$A$306,N76,'观测证据'!$B$7:$B$306,B76,'观测证据'!$M$7:$M$306,"已更正")&lt;&gt;1)),"更正引用待核对","有效输入"))))))))</x:f>
      </x:c>
    </x:row>
    <x:row r="77" ht="25" customHeight="1">
      <x:c r="A77" s="3"/>
      <x:c r="B77" s="3"/>
      <x:c r="C77" s="3"/>
      <x:c r="D77" s="3"/>
      <x:c r="E77" s="25"/>
      <x:c r="F77" s="25"/>
      <x:c r="G77" s="22"/>
      <x:c r="H77" s="3"/>
      <x:c r="I77" s="22"/>
      <x:c r="J77" s="3"/>
      <x:c r="K77" s="3"/>
      <x:c r="L77" s="3"/>
      <x:c r="M77" s="3"/>
      <x:c r="N77" s="3"/>
      <x:c r="O77" s="3"/>
      <x:c r="P77" s="19" t="str">
        <x:f>IF(A77="","",IF(COUNTIFS('观测证据'!$A$7:$A$306,A77)&lt;&gt;1,"编号重复",IF(COUNTIFS('问题总览'!$A$7:$A$306,B77)&lt;&gt;1,"问题引用无效",IF(AND(C77&lt;&gt;"",COUNTIFS('方案版本'!$A$7:$A$306,C77,'方案版本'!$B$7:$B$306,B77,'方案版本'!$L$7:$L$306,"已冻结")&lt;&gt;1),"方案引用无效",IF(OR(NOT(ISNUMBER(F77)),M77=""),"待补登记信息",IF(AND(M77="已观测",OR(K77="",AND(NOT(ISNUMBER(G77)),J77=""))),"待补观测与来源",IF(AND(ISNUMBER(G77),H77=""),"待补数值单位",IF(AND(N77&lt;&gt;"",OR(N77=A77,COUNTIFS('观测证据'!$A$7:$A$306,N77,'观测证据'!$B$7:$B$306,B77,'观测证据'!$M$7:$M$306,"已更正")&lt;&gt;1)),"更正引用待核对","有效输入"))))))))</x:f>
      </x:c>
    </x:row>
    <x:row r="78" ht="25" customHeight="1">
      <x:c r="A78" s="3"/>
      <x:c r="B78" s="3"/>
      <x:c r="C78" s="3"/>
      <x:c r="D78" s="3"/>
      <x:c r="E78" s="25"/>
      <x:c r="F78" s="25"/>
      <x:c r="G78" s="22"/>
      <x:c r="H78" s="3"/>
      <x:c r="I78" s="22"/>
      <x:c r="J78" s="3"/>
      <x:c r="K78" s="3"/>
      <x:c r="L78" s="3"/>
      <x:c r="M78" s="3"/>
      <x:c r="N78" s="3"/>
      <x:c r="O78" s="3"/>
      <x:c r="P78" s="19" t="str">
        <x:f>IF(A78="","",IF(COUNTIFS('观测证据'!$A$7:$A$306,A78)&lt;&gt;1,"编号重复",IF(COUNTIFS('问题总览'!$A$7:$A$306,B78)&lt;&gt;1,"问题引用无效",IF(AND(C78&lt;&gt;"",COUNTIFS('方案版本'!$A$7:$A$306,C78,'方案版本'!$B$7:$B$306,B78,'方案版本'!$L$7:$L$306,"已冻结")&lt;&gt;1),"方案引用无效",IF(OR(NOT(ISNUMBER(F78)),M78=""),"待补登记信息",IF(AND(M78="已观测",OR(K78="",AND(NOT(ISNUMBER(G78)),J78=""))),"待补观测与来源",IF(AND(ISNUMBER(G78),H78=""),"待补数值单位",IF(AND(N78&lt;&gt;"",OR(N78=A78,COUNTIFS('观测证据'!$A$7:$A$306,N78,'观测证据'!$B$7:$B$306,B78,'观测证据'!$M$7:$M$306,"已更正")&lt;&gt;1)),"更正引用待核对","有效输入"))))))))</x:f>
      </x:c>
    </x:row>
    <x:row r="79" ht="25" customHeight="1">
      <x:c r="A79" s="3"/>
      <x:c r="B79" s="3"/>
      <x:c r="C79" s="3"/>
      <x:c r="D79" s="3"/>
      <x:c r="E79" s="25"/>
      <x:c r="F79" s="25"/>
      <x:c r="G79" s="22"/>
      <x:c r="H79" s="3"/>
      <x:c r="I79" s="22"/>
      <x:c r="J79" s="3"/>
      <x:c r="K79" s="3"/>
      <x:c r="L79" s="3"/>
      <x:c r="M79" s="3"/>
      <x:c r="N79" s="3"/>
      <x:c r="O79" s="3"/>
      <x:c r="P79" s="19" t="str">
        <x:f>IF(A79="","",IF(COUNTIFS('观测证据'!$A$7:$A$306,A79)&lt;&gt;1,"编号重复",IF(COUNTIFS('问题总览'!$A$7:$A$306,B79)&lt;&gt;1,"问题引用无效",IF(AND(C79&lt;&gt;"",COUNTIFS('方案版本'!$A$7:$A$306,C79,'方案版本'!$B$7:$B$306,B79,'方案版本'!$L$7:$L$306,"已冻结")&lt;&gt;1),"方案引用无效",IF(OR(NOT(ISNUMBER(F79)),M79=""),"待补登记信息",IF(AND(M79="已观测",OR(K79="",AND(NOT(ISNUMBER(G79)),J79=""))),"待补观测与来源",IF(AND(ISNUMBER(G79),H79=""),"待补数值单位",IF(AND(N79&lt;&gt;"",OR(N79=A79,COUNTIFS('观测证据'!$A$7:$A$306,N79,'观测证据'!$B$7:$B$306,B79,'观测证据'!$M$7:$M$306,"已更正")&lt;&gt;1)),"更正引用待核对","有效输入"))))))))</x:f>
      </x:c>
    </x:row>
    <x:row r="80" ht="25" customHeight="1">
      <x:c r="A80" s="3"/>
      <x:c r="B80" s="3"/>
      <x:c r="C80" s="3"/>
      <x:c r="D80" s="3"/>
      <x:c r="E80" s="25"/>
      <x:c r="F80" s="25"/>
      <x:c r="G80" s="22"/>
      <x:c r="H80" s="3"/>
      <x:c r="I80" s="22"/>
      <x:c r="J80" s="3"/>
      <x:c r="K80" s="3"/>
      <x:c r="L80" s="3"/>
      <x:c r="M80" s="3"/>
      <x:c r="N80" s="3"/>
      <x:c r="O80" s="3"/>
      <x:c r="P80" s="19" t="str">
        <x:f>IF(A80="","",IF(COUNTIFS('观测证据'!$A$7:$A$306,A80)&lt;&gt;1,"编号重复",IF(COUNTIFS('问题总览'!$A$7:$A$306,B80)&lt;&gt;1,"问题引用无效",IF(AND(C80&lt;&gt;"",COUNTIFS('方案版本'!$A$7:$A$306,C80,'方案版本'!$B$7:$B$306,B80,'方案版本'!$L$7:$L$306,"已冻结")&lt;&gt;1),"方案引用无效",IF(OR(NOT(ISNUMBER(F80)),M80=""),"待补登记信息",IF(AND(M80="已观测",OR(K80="",AND(NOT(ISNUMBER(G80)),J80=""))),"待补观测与来源",IF(AND(ISNUMBER(G80),H80=""),"待补数值单位",IF(AND(N80&lt;&gt;"",OR(N80=A80,COUNTIFS('观测证据'!$A$7:$A$306,N80,'观测证据'!$B$7:$B$306,B80,'观测证据'!$M$7:$M$306,"已更正")&lt;&gt;1)),"更正引用待核对","有效输入"))))))))</x:f>
      </x:c>
    </x:row>
    <x:row r="81" ht="25" customHeight="1">
      <x:c r="A81" s="3"/>
      <x:c r="B81" s="3"/>
      <x:c r="C81" s="3"/>
      <x:c r="D81" s="3"/>
      <x:c r="E81" s="25"/>
      <x:c r="F81" s="25"/>
      <x:c r="G81" s="22"/>
      <x:c r="H81" s="3"/>
      <x:c r="I81" s="22"/>
      <x:c r="J81" s="3"/>
      <x:c r="K81" s="3"/>
      <x:c r="L81" s="3"/>
      <x:c r="M81" s="3"/>
      <x:c r="N81" s="3"/>
      <x:c r="O81" s="3"/>
      <x:c r="P81" s="19" t="str">
        <x:f>IF(A81="","",IF(COUNTIFS('观测证据'!$A$7:$A$306,A81)&lt;&gt;1,"编号重复",IF(COUNTIFS('问题总览'!$A$7:$A$306,B81)&lt;&gt;1,"问题引用无效",IF(AND(C81&lt;&gt;"",COUNTIFS('方案版本'!$A$7:$A$306,C81,'方案版本'!$B$7:$B$306,B81,'方案版本'!$L$7:$L$306,"已冻结")&lt;&gt;1),"方案引用无效",IF(OR(NOT(ISNUMBER(F81)),M81=""),"待补登记信息",IF(AND(M81="已观测",OR(K81="",AND(NOT(ISNUMBER(G81)),J81=""))),"待补观测与来源",IF(AND(ISNUMBER(G81),H81=""),"待补数值单位",IF(AND(N81&lt;&gt;"",OR(N81=A81,COUNTIFS('观测证据'!$A$7:$A$306,N81,'观测证据'!$B$7:$B$306,B81,'观测证据'!$M$7:$M$306,"已更正")&lt;&gt;1)),"更正引用待核对","有效输入"))))))))</x:f>
      </x:c>
    </x:row>
    <x:row r="82" ht="25" customHeight="1">
      <x:c r="A82" s="3"/>
      <x:c r="B82" s="3"/>
      <x:c r="C82" s="3"/>
      <x:c r="D82" s="3"/>
      <x:c r="E82" s="25"/>
      <x:c r="F82" s="25"/>
      <x:c r="G82" s="22"/>
      <x:c r="H82" s="3"/>
      <x:c r="I82" s="22"/>
      <x:c r="J82" s="3"/>
      <x:c r="K82" s="3"/>
      <x:c r="L82" s="3"/>
      <x:c r="M82" s="3"/>
      <x:c r="N82" s="3"/>
      <x:c r="O82" s="3"/>
      <x:c r="P82" s="19" t="str">
        <x:f>IF(A82="","",IF(COUNTIFS('观测证据'!$A$7:$A$306,A82)&lt;&gt;1,"编号重复",IF(COUNTIFS('问题总览'!$A$7:$A$306,B82)&lt;&gt;1,"问题引用无效",IF(AND(C82&lt;&gt;"",COUNTIFS('方案版本'!$A$7:$A$306,C82,'方案版本'!$B$7:$B$306,B82,'方案版本'!$L$7:$L$306,"已冻结")&lt;&gt;1),"方案引用无效",IF(OR(NOT(ISNUMBER(F82)),M82=""),"待补登记信息",IF(AND(M82="已观测",OR(K82="",AND(NOT(ISNUMBER(G82)),J82=""))),"待补观测与来源",IF(AND(ISNUMBER(G82),H82=""),"待补数值单位",IF(AND(N82&lt;&gt;"",OR(N82=A82,COUNTIFS('观测证据'!$A$7:$A$306,N82,'观测证据'!$B$7:$B$306,B82,'观测证据'!$M$7:$M$306,"已更正")&lt;&gt;1)),"更正引用待核对","有效输入"))))))))</x:f>
      </x:c>
    </x:row>
    <x:row r="83" ht="25" customHeight="1">
      <x:c r="A83" s="3"/>
      <x:c r="B83" s="3"/>
      <x:c r="C83" s="3"/>
      <x:c r="D83" s="3"/>
      <x:c r="E83" s="25"/>
      <x:c r="F83" s="25"/>
      <x:c r="G83" s="22"/>
      <x:c r="H83" s="3"/>
      <x:c r="I83" s="22"/>
      <x:c r="J83" s="3"/>
      <x:c r="K83" s="3"/>
      <x:c r="L83" s="3"/>
      <x:c r="M83" s="3"/>
      <x:c r="N83" s="3"/>
      <x:c r="O83" s="3"/>
      <x:c r="P83" s="19" t="str">
        <x:f>IF(A83="","",IF(COUNTIFS('观测证据'!$A$7:$A$306,A83)&lt;&gt;1,"编号重复",IF(COUNTIFS('问题总览'!$A$7:$A$306,B83)&lt;&gt;1,"问题引用无效",IF(AND(C83&lt;&gt;"",COUNTIFS('方案版本'!$A$7:$A$306,C83,'方案版本'!$B$7:$B$306,B83,'方案版本'!$L$7:$L$306,"已冻结")&lt;&gt;1),"方案引用无效",IF(OR(NOT(ISNUMBER(F83)),M83=""),"待补登记信息",IF(AND(M83="已观测",OR(K83="",AND(NOT(ISNUMBER(G83)),J83=""))),"待补观测与来源",IF(AND(ISNUMBER(G83),H83=""),"待补数值单位",IF(AND(N83&lt;&gt;"",OR(N83=A83,COUNTIFS('观测证据'!$A$7:$A$306,N83,'观测证据'!$B$7:$B$306,B83,'观测证据'!$M$7:$M$306,"已更正")&lt;&gt;1)),"更正引用待核对","有效输入"))))))))</x:f>
      </x:c>
    </x:row>
    <x:row r="84" ht="25" customHeight="1">
      <x:c r="A84" s="3"/>
      <x:c r="B84" s="3"/>
      <x:c r="C84" s="3"/>
      <x:c r="D84" s="3"/>
      <x:c r="E84" s="25"/>
      <x:c r="F84" s="25"/>
      <x:c r="G84" s="22"/>
      <x:c r="H84" s="3"/>
      <x:c r="I84" s="22"/>
      <x:c r="J84" s="3"/>
      <x:c r="K84" s="3"/>
      <x:c r="L84" s="3"/>
      <x:c r="M84" s="3"/>
      <x:c r="N84" s="3"/>
      <x:c r="O84" s="3"/>
      <x:c r="P84" s="19" t="str">
        <x:f>IF(A84="","",IF(COUNTIFS('观测证据'!$A$7:$A$306,A84)&lt;&gt;1,"编号重复",IF(COUNTIFS('问题总览'!$A$7:$A$306,B84)&lt;&gt;1,"问题引用无效",IF(AND(C84&lt;&gt;"",COUNTIFS('方案版本'!$A$7:$A$306,C84,'方案版本'!$B$7:$B$306,B84,'方案版本'!$L$7:$L$306,"已冻结")&lt;&gt;1),"方案引用无效",IF(OR(NOT(ISNUMBER(F84)),M84=""),"待补登记信息",IF(AND(M84="已观测",OR(K84="",AND(NOT(ISNUMBER(G84)),J84=""))),"待补观测与来源",IF(AND(ISNUMBER(G84),H84=""),"待补数值单位",IF(AND(N84&lt;&gt;"",OR(N84=A84,COUNTIFS('观测证据'!$A$7:$A$306,N84,'观测证据'!$B$7:$B$306,B84,'观测证据'!$M$7:$M$306,"已更正")&lt;&gt;1)),"更正引用待核对","有效输入"))))))))</x:f>
      </x:c>
    </x:row>
    <x:row r="85" ht="25" customHeight="1">
      <x:c r="A85" s="3"/>
      <x:c r="B85" s="3"/>
      <x:c r="C85" s="3"/>
      <x:c r="D85" s="3"/>
      <x:c r="E85" s="25"/>
      <x:c r="F85" s="25"/>
      <x:c r="G85" s="22"/>
      <x:c r="H85" s="3"/>
      <x:c r="I85" s="22"/>
      <x:c r="J85" s="3"/>
      <x:c r="K85" s="3"/>
      <x:c r="L85" s="3"/>
      <x:c r="M85" s="3"/>
      <x:c r="N85" s="3"/>
      <x:c r="O85" s="3"/>
      <x:c r="P85" s="19" t="str">
        <x:f>IF(A85="","",IF(COUNTIFS('观测证据'!$A$7:$A$306,A85)&lt;&gt;1,"编号重复",IF(COUNTIFS('问题总览'!$A$7:$A$306,B85)&lt;&gt;1,"问题引用无效",IF(AND(C85&lt;&gt;"",COUNTIFS('方案版本'!$A$7:$A$306,C85,'方案版本'!$B$7:$B$306,B85,'方案版本'!$L$7:$L$306,"已冻结")&lt;&gt;1),"方案引用无效",IF(OR(NOT(ISNUMBER(F85)),M85=""),"待补登记信息",IF(AND(M85="已观测",OR(K85="",AND(NOT(ISNUMBER(G85)),J85=""))),"待补观测与来源",IF(AND(ISNUMBER(G85),H85=""),"待补数值单位",IF(AND(N85&lt;&gt;"",OR(N85=A85,COUNTIFS('观测证据'!$A$7:$A$306,N85,'观测证据'!$B$7:$B$306,B85,'观测证据'!$M$7:$M$306,"已更正")&lt;&gt;1)),"更正引用待核对","有效输入"))))))))</x:f>
      </x:c>
    </x:row>
    <x:row r="86" ht="25" customHeight="1">
      <x:c r="A86" s="3"/>
      <x:c r="B86" s="3"/>
      <x:c r="C86" s="3"/>
      <x:c r="D86" s="3"/>
      <x:c r="E86" s="25"/>
      <x:c r="F86" s="25"/>
      <x:c r="G86" s="22"/>
      <x:c r="H86" s="3"/>
      <x:c r="I86" s="22"/>
      <x:c r="J86" s="3"/>
      <x:c r="K86" s="3"/>
      <x:c r="L86" s="3"/>
      <x:c r="M86" s="3"/>
      <x:c r="N86" s="3"/>
      <x:c r="O86" s="3"/>
      <x:c r="P86" s="19" t="str">
        <x:f>IF(A86="","",IF(COUNTIFS('观测证据'!$A$7:$A$306,A86)&lt;&gt;1,"编号重复",IF(COUNTIFS('问题总览'!$A$7:$A$306,B86)&lt;&gt;1,"问题引用无效",IF(AND(C86&lt;&gt;"",COUNTIFS('方案版本'!$A$7:$A$306,C86,'方案版本'!$B$7:$B$306,B86,'方案版本'!$L$7:$L$306,"已冻结")&lt;&gt;1),"方案引用无效",IF(OR(NOT(ISNUMBER(F86)),M86=""),"待补登记信息",IF(AND(M86="已观测",OR(K86="",AND(NOT(ISNUMBER(G86)),J86=""))),"待补观测与来源",IF(AND(ISNUMBER(G86),H86=""),"待补数值单位",IF(AND(N86&lt;&gt;"",OR(N86=A86,COUNTIFS('观测证据'!$A$7:$A$306,N86,'观测证据'!$B$7:$B$306,B86,'观测证据'!$M$7:$M$306,"已更正")&lt;&gt;1)),"更正引用待核对","有效输入"))))))))</x:f>
      </x:c>
    </x:row>
    <x:row r="87" ht="25" customHeight="1">
      <x:c r="A87" s="3"/>
      <x:c r="B87" s="3"/>
      <x:c r="C87" s="3"/>
      <x:c r="D87" s="3"/>
      <x:c r="E87" s="25"/>
      <x:c r="F87" s="25"/>
      <x:c r="G87" s="22"/>
      <x:c r="H87" s="3"/>
      <x:c r="I87" s="22"/>
      <x:c r="J87" s="3"/>
      <x:c r="K87" s="3"/>
      <x:c r="L87" s="3"/>
      <x:c r="M87" s="3"/>
      <x:c r="N87" s="3"/>
      <x:c r="O87" s="3"/>
      <x:c r="P87" s="19" t="str">
        <x:f>IF(A87="","",IF(COUNTIFS('观测证据'!$A$7:$A$306,A87)&lt;&gt;1,"编号重复",IF(COUNTIFS('问题总览'!$A$7:$A$306,B87)&lt;&gt;1,"问题引用无效",IF(AND(C87&lt;&gt;"",COUNTIFS('方案版本'!$A$7:$A$306,C87,'方案版本'!$B$7:$B$306,B87,'方案版本'!$L$7:$L$306,"已冻结")&lt;&gt;1),"方案引用无效",IF(OR(NOT(ISNUMBER(F87)),M87=""),"待补登记信息",IF(AND(M87="已观测",OR(K87="",AND(NOT(ISNUMBER(G87)),J87=""))),"待补观测与来源",IF(AND(ISNUMBER(G87),H87=""),"待补数值单位",IF(AND(N87&lt;&gt;"",OR(N87=A87,COUNTIFS('观测证据'!$A$7:$A$306,N87,'观测证据'!$B$7:$B$306,B87,'观测证据'!$M$7:$M$306,"已更正")&lt;&gt;1)),"更正引用待核对","有效输入"))))))))</x:f>
      </x:c>
    </x:row>
    <x:row r="88" ht="25" customHeight="1">
      <x:c r="A88" s="3"/>
      <x:c r="B88" s="3"/>
      <x:c r="C88" s="3"/>
      <x:c r="D88" s="3"/>
      <x:c r="E88" s="25"/>
      <x:c r="F88" s="25"/>
      <x:c r="G88" s="22"/>
      <x:c r="H88" s="3"/>
      <x:c r="I88" s="22"/>
      <x:c r="J88" s="3"/>
      <x:c r="K88" s="3"/>
      <x:c r="L88" s="3"/>
      <x:c r="M88" s="3"/>
      <x:c r="N88" s="3"/>
      <x:c r="O88" s="3"/>
      <x:c r="P88" s="19" t="str">
        <x:f>IF(A88="","",IF(COUNTIFS('观测证据'!$A$7:$A$306,A88)&lt;&gt;1,"编号重复",IF(COUNTIFS('问题总览'!$A$7:$A$306,B88)&lt;&gt;1,"问题引用无效",IF(AND(C88&lt;&gt;"",COUNTIFS('方案版本'!$A$7:$A$306,C88,'方案版本'!$B$7:$B$306,B88,'方案版本'!$L$7:$L$306,"已冻结")&lt;&gt;1),"方案引用无效",IF(OR(NOT(ISNUMBER(F88)),M88=""),"待补登记信息",IF(AND(M88="已观测",OR(K88="",AND(NOT(ISNUMBER(G88)),J88=""))),"待补观测与来源",IF(AND(ISNUMBER(G88),H88=""),"待补数值单位",IF(AND(N88&lt;&gt;"",OR(N88=A88,COUNTIFS('观测证据'!$A$7:$A$306,N88,'观测证据'!$B$7:$B$306,B88,'观测证据'!$M$7:$M$306,"已更正")&lt;&gt;1)),"更正引用待核对","有效输入"))))))))</x:f>
      </x:c>
    </x:row>
    <x:row r="89" ht="25" customHeight="1">
      <x:c r="A89" s="3"/>
      <x:c r="B89" s="3"/>
      <x:c r="C89" s="3"/>
      <x:c r="D89" s="3"/>
      <x:c r="E89" s="25"/>
      <x:c r="F89" s="25"/>
      <x:c r="G89" s="22"/>
      <x:c r="H89" s="3"/>
      <x:c r="I89" s="22"/>
      <x:c r="J89" s="3"/>
      <x:c r="K89" s="3"/>
      <x:c r="L89" s="3"/>
      <x:c r="M89" s="3"/>
      <x:c r="N89" s="3"/>
      <x:c r="O89" s="3"/>
      <x:c r="P89" s="19" t="str">
        <x:f>IF(A89="","",IF(COUNTIFS('观测证据'!$A$7:$A$306,A89)&lt;&gt;1,"编号重复",IF(COUNTIFS('问题总览'!$A$7:$A$306,B89)&lt;&gt;1,"问题引用无效",IF(AND(C89&lt;&gt;"",COUNTIFS('方案版本'!$A$7:$A$306,C89,'方案版本'!$B$7:$B$306,B89,'方案版本'!$L$7:$L$306,"已冻结")&lt;&gt;1),"方案引用无效",IF(OR(NOT(ISNUMBER(F89)),M89=""),"待补登记信息",IF(AND(M89="已观测",OR(K89="",AND(NOT(ISNUMBER(G89)),J89=""))),"待补观测与来源",IF(AND(ISNUMBER(G89),H89=""),"待补数值单位",IF(AND(N89&lt;&gt;"",OR(N89=A89,COUNTIFS('观测证据'!$A$7:$A$306,N89,'观测证据'!$B$7:$B$306,B89,'观测证据'!$M$7:$M$306,"已更正")&lt;&gt;1)),"更正引用待核对","有效输入"))))))))</x:f>
      </x:c>
    </x:row>
    <x:row r="90" ht="25" customHeight="1">
      <x:c r="A90" s="3"/>
      <x:c r="B90" s="3"/>
      <x:c r="C90" s="3"/>
      <x:c r="D90" s="3"/>
      <x:c r="E90" s="25"/>
      <x:c r="F90" s="25"/>
      <x:c r="G90" s="22"/>
      <x:c r="H90" s="3"/>
      <x:c r="I90" s="22"/>
      <x:c r="J90" s="3"/>
      <x:c r="K90" s="3"/>
      <x:c r="L90" s="3"/>
      <x:c r="M90" s="3"/>
      <x:c r="N90" s="3"/>
      <x:c r="O90" s="3"/>
      <x:c r="P90" s="19" t="str">
        <x:f>IF(A90="","",IF(COUNTIFS('观测证据'!$A$7:$A$306,A90)&lt;&gt;1,"编号重复",IF(COUNTIFS('问题总览'!$A$7:$A$306,B90)&lt;&gt;1,"问题引用无效",IF(AND(C90&lt;&gt;"",COUNTIFS('方案版本'!$A$7:$A$306,C90,'方案版本'!$B$7:$B$306,B90,'方案版本'!$L$7:$L$306,"已冻结")&lt;&gt;1),"方案引用无效",IF(OR(NOT(ISNUMBER(F90)),M90=""),"待补登记信息",IF(AND(M90="已观测",OR(K90="",AND(NOT(ISNUMBER(G90)),J90=""))),"待补观测与来源",IF(AND(ISNUMBER(G90),H90=""),"待补数值单位",IF(AND(N90&lt;&gt;"",OR(N90=A90,COUNTIFS('观测证据'!$A$7:$A$306,N90,'观测证据'!$B$7:$B$306,B90,'观测证据'!$M$7:$M$306,"已更正")&lt;&gt;1)),"更正引用待核对","有效输入"))))))))</x:f>
      </x:c>
    </x:row>
    <x:row r="91" ht="25" customHeight="1">
      <x:c r="A91" s="3"/>
      <x:c r="B91" s="3"/>
      <x:c r="C91" s="3"/>
      <x:c r="D91" s="3"/>
      <x:c r="E91" s="25"/>
      <x:c r="F91" s="25"/>
      <x:c r="G91" s="22"/>
      <x:c r="H91" s="3"/>
      <x:c r="I91" s="22"/>
      <x:c r="J91" s="3"/>
      <x:c r="K91" s="3"/>
      <x:c r="L91" s="3"/>
      <x:c r="M91" s="3"/>
      <x:c r="N91" s="3"/>
      <x:c r="O91" s="3"/>
      <x:c r="P91" s="19" t="str">
        <x:f>IF(A91="","",IF(COUNTIFS('观测证据'!$A$7:$A$306,A91)&lt;&gt;1,"编号重复",IF(COUNTIFS('问题总览'!$A$7:$A$306,B91)&lt;&gt;1,"问题引用无效",IF(AND(C91&lt;&gt;"",COUNTIFS('方案版本'!$A$7:$A$306,C91,'方案版本'!$B$7:$B$306,B91,'方案版本'!$L$7:$L$306,"已冻结")&lt;&gt;1),"方案引用无效",IF(OR(NOT(ISNUMBER(F91)),M91=""),"待补登记信息",IF(AND(M91="已观测",OR(K91="",AND(NOT(ISNUMBER(G91)),J91=""))),"待补观测与来源",IF(AND(ISNUMBER(G91),H91=""),"待补数值单位",IF(AND(N91&lt;&gt;"",OR(N91=A91,COUNTIFS('观测证据'!$A$7:$A$306,N91,'观测证据'!$B$7:$B$306,B91,'观测证据'!$M$7:$M$306,"已更正")&lt;&gt;1)),"更正引用待核对","有效输入"))))))))</x:f>
      </x:c>
    </x:row>
    <x:row r="92" ht="25" customHeight="1">
      <x:c r="A92" s="3"/>
      <x:c r="B92" s="3"/>
      <x:c r="C92" s="3"/>
      <x:c r="D92" s="3"/>
      <x:c r="E92" s="25"/>
      <x:c r="F92" s="25"/>
      <x:c r="G92" s="22"/>
      <x:c r="H92" s="3"/>
      <x:c r="I92" s="22"/>
      <x:c r="J92" s="3"/>
      <x:c r="K92" s="3"/>
      <x:c r="L92" s="3"/>
      <x:c r="M92" s="3"/>
      <x:c r="N92" s="3"/>
      <x:c r="O92" s="3"/>
      <x:c r="P92" s="19" t="str">
        <x:f>IF(A92="","",IF(COUNTIFS('观测证据'!$A$7:$A$306,A92)&lt;&gt;1,"编号重复",IF(COUNTIFS('问题总览'!$A$7:$A$306,B92)&lt;&gt;1,"问题引用无效",IF(AND(C92&lt;&gt;"",COUNTIFS('方案版本'!$A$7:$A$306,C92,'方案版本'!$B$7:$B$306,B92,'方案版本'!$L$7:$L$306,"已冻结")&lt;&gt;1),"方案引用无效",IF(OR(NOT(ISNUMBER(F92)),M92=""),"待补登记信息",IF(AND(M92="已观测",OR(K92="",AND(NOT(ISNUMBER(G92)),J92=""))),"待补观测与来源",IF(AND(ISNUMBER(G92),H92=""),"待补数值单位",IF(AND(N92&lt;&gt;"",OR(N92=A92,COUNTIFS('观测证据'!$A$7:$A$306,N92,'观测证据'!$B$7:$B$306,B92,'观测证据'!$M$7:$M$306,"已更正")&lt;&gt;1)),"更正引用待核对","有效输入"))))))))</x:f>
      </x:c>
    </x:row>
    <x:row r="93" ht="25" customHeight="1">
      <x:c r="A93" s="3"/>
      <x:c r="B93" s="3"/>
      <x:c r="C93" s="3"/>
      <x:c r="D93" s="3"/>
      <x:c r="E93" s="25"/>
      <x:c r="F93" s="25"/>
      <x:c r="G93" s="22"/>
      <x:c r="H93" s="3"/>
      <x:c r="I93" s="22"/>
      <x:c r="J93" s="3"/>
      <x:c r="K93" s="3"/>
      <x:c r="L93" s="3"/>
      <x:c r="M93" s="3"/>
      <x:c r="N93" s="3"/>
      <x:c r="O93" s="3"/>
      <x:c r="P93" s="19" t="str">
        <x:f>IF(A93="","",IF(COUNTIFS('观测证据'!$A$7:$A$306,A93)&lt;&gt;1,"编号重复",IF(COUNTIFS('问题总览'!$A$7:$A$306,B93)&lt;&gt;1,"问题引用无效",IF(AND(C93&lt;&gt;"",COUNTIFS('方案版本'!$A$7:$A$306,C93,'方案版本'!$B$7:$B$306,B93,'方案版本'!$L$7:$L$306,"已冻结")&lt;&gt;1),"方案引用无效",IF(OR(NOT(ISNUMBER(F93)),M93=""),"待补登记信息",IF(AND(M93="已观测",OR(K93="",AND(NOT(ISNUMBER(G93)),J93=""))),"待补观测与来源",IF(AND(ISNUMBER(G93),H93=""),"待补数值单位",IF(AND(N93&lt;&gt;"",OR(N93=A93,COUNTIFS('观测证据'!$A$7:$A$306,N93,'观测证据'!$B$7:$B$306,B93,'观测证据'!$M$7:$M$306,"已更正")&lt;&gt;1)),"更正引用待核对","有效输入"))))))))</x:f>
      </x:c>
    </x:row>
    <x:row r="94" ht="25" customHeight="1">
      <x:c r="A94" s="3"/>
      <x:c r="B94" s="3"/>
      <x:c r="C94" s="3"/>
      <x:c r="D94" s="3"/>
      <x:c r="E94" s="25"/>
      <x:c r="F94" s="25"/>
      <x:c r="G94" s="22"/>
      <x:c r="H94" s="3"/>
      <x:c r="I94" s="22"/>
      <x:c r="J94" s="3"/>
      <x:c r="K94" s="3"/>
      <x:c r="L94" s="3"/>
      <x:c r="M94" s="3"/>
      <x:c r="N94" s="3"/>
      <x:c r="O94" s="3"/>
      <x:c r="P94" s="19" t="str">
        <x:f>IF(A94="","",IF(COUNTIFS('观测证据'!$A$7:$A$306,A94)&lt;&gt;1,"编号重复",IF(COUNTIFS('问题总览'!$A$7:$A$306,B94)&lt;&gt;1,"问题引用无效",IF(AND(C94&lt;&gt;"",COUNTIFS('方案版本'!$A$7:$A$306,C94,'方案版本'!$B$7:$B$306,B94,'方案版本'!$L$7:$L$306,"已冻结")&lt;&gt;1),"方案引用无效",IF(OR(NOT(ISNUMBER(F94)),M94=""),"待补登记信息",IF(AND(M94="已观测",OR(K94="",AND(NOT(ISNUMBER(G94)),J94=""))),"待补观测与来源",IF(AND(ISNUMBER(G94),H94=""),"待补数值单位",IF(AND(N94&lt;&gt;"",OR(N94=A94,COUNTIFS('观测证据'!$A$7:$A$306,N94,'观测证据'!$B$7:$B$306,B94,'观测证据'!$M$7:$M$306,"已更正")&lt;&gt;1)),"更正引用待核对","有效输入"))))))))</x:f>
      </x:c>
    </x:row>
    <x:row r="95" ht="25" customHeight="1">
      <x:c r="A95" s="3"/>
      <x:c r="B95" s="3"/>
      <x:c r="C95" s="3"/>
      <x:c r="D95" s="3"/>
      <x:c r="E95" s="25"/>
      <x:c r="F95" s="25"/>
      <x:c r="G95" s="22"/>
      <x:c r="H95" s="3"/>
      <x:c r="I95" s="22"/>
      <x:c r="J95" s="3"/>
      <x:c r="K95" s="3"/>
      <x:c r="L95" s="3"/>
      <x:c r="M95" s="3"/>
      <x:c r="N95" s="3"/>
      <x:c r="O95" s="3"/>
      <x:c r="P95" s="19" t="str">
        <x:f>IF(A95="","",IF(COUNTIFS('观测证据'!$A$7:$A$306,A95)&lt;&gt;1,"编号重复",IF(COUNTIFS('问题总览'!$A$7:$A$306,B95)&lt;&gt;1,"问题引用无效",IF(AND(C95&lt;&gt;"",COUNTIFS('方案版本'!$A$7:$A$306,C95,'方案版本'!$B$7:$B$306,B95,'方案版本'!$L$7:$L$306,"已冻结")&lt;&gt;1),"方案引用无效",IF(OR(NOT(ISNUMBER(F95)),M95=""),"待补登记信息",IF(AND(M95="已观测",OR(K95="",AND(NOT(ISNUMBER(G95)),J95=""))),"待补观测与来源",IF(AND(ISNUMBER(G95),H95=""),"待补数值单位",IF(AND(N95&lt;&gt;"",OR(N95=A95,COUNTIFS('观测证据'!$A$7:$A$306,N95,'观测证据'!$B$7:$B$306,B95,'观测证据'!$M$7:$M$306,"已更正")&lt;&gt;1)),"更正引用待核对","有效输入"))))))))</x:f>
      </x:c>
    </x:row>
    <x:row r="96" ht="25" customHeight="1">
      <x:c r="A96" s="3"/>
      <x:c r="B96" s="3"/>
      <x:c r="C96" s="3"/>
      <x:c r="D96" s="3"/>
      <x:c r="E96" s="25"/>
      <x:c r="F96" s="25"/>
      <x:c r="G96" s="22"/>
      <x:c r="H96" s="3"/>
      <x:c r="I96" s="22"/>
      <x:c r="J96" s="3"/>
      <x:c r="K96" s="3"/>
      <x:c r="L96" s="3"/>
      <x:c r="M96" s="3"/>
      <x:c r="N96" s="3"/>
      <x:c r="O96" s="3"/>
      <x:c r="P96" s="19" t="str">
        <x:f>IF(A96="","",IF(COUNTIFS('观测证据'!$A$7:$A$306,A96)&lt;&gt;1,"编号重复",IF(COUNTIFS('问题总览'!$A$7:$A$306,B96)&lt;&gt;1,"问题引用无效",IF(AND(C96&lt;&gt;"",COUNTIFS('方案版本'!$A$7:$A$306,C96,'方案版本'!$B$7:$B$306,B96,'方案版本'!$L$7:$L$306,"已冻结")&lt;&gt;1),"方案引用无效",IF(OR(NOT(ISNUMBER(F96)),M96=""),"待补登记信息",IF(AND(M96="已观测",OR(K96="",AND(NOT(ISNUMBER(G96)),J96=""))),"待补观测与来源",IF(AND(ISNUMBER(G96),H96=""),"待补数值单位",IF(AND(N96&lt;&gt;"",OR(N96=A96,COUNTIFS('观测证据'!$A$7:$A$306,N96,'观测证据'!$B$7:$B$306,B96,'观测证据'!$M$7:$M$306,"已更正")&lt;&gt;1)),"更正引用待核对","有效输入"))))))))</x:f>
      </x:c>
    </x:row>
    <x:row r="97" ht="25" customHeight="1">
      <x:c r="A97" s="3"/>
      <x:c r="B97" s="3"/>
      <x:c r="C97" s="3"/>
      <x:c r="D97" s="3"/>
      <x:c r="E97" s="25"/>
      <x:c r="F97" s="25"/>
      <x:c r="G97" s="22"/>
      <x:c r="H97" s="3"/>
      <x:c r="I97" s="22"/>
      <x:c r="J97" s="3"/>
      <x:c r="K97" s="3"/>
      <x:c r="L97" s="3"/>
      <x:c r="M97" s="3"/>
      <x:c r="N97" s="3"/>
      <x:c r="O97" s="3"/>
      <x:c r="P97" s="19" t="str">
        <x:f>IF(A97="","",IF(COUNTIFS('观测证据'!$A$7:$A$306,A97)&lt;&gt;1,"编号重复",IF(COUNTIFS('问题总览'!$A$7:$A$306,B97)&lt;&gt;1,"问题引用无效",IF(AND(C97&lt;&gt;"",COUNTIFS('方案版本'!$A$7:$A$306,C97,'方案版本'!$B$7:$B$306,B97,'方案版本'!$L$7:$L$306,"已冻结")&lt;&gt;1),"方案引用无效",IF(OR(NOT(ISNUMBER(F97)),M97=""),"待补登记信息",IF(AND(M97="已观测",OR(K97="",AND(NOT(ISNUMBER(G97)),J97=""))),"待补观测与来源",IF(AND(ISNUMBER(G97),H97=""),"待补数值单位",IF(AND(N97&lt;&gt;"",OR(N97=A97,COUNTIFS('观测证据'!$A$7:$A$306,N97,'观测证据'!$B$7:$B$306,B97,'观测证据'!$M$7:$M$306,"已更正")&lt;&gt;1)),"更正引用待核对","有效输入"))))))))</x:f>
      </x:c>
    </x:row>
    <x:row r="98" ht="25" customHeight="1">
      <x:c r="A98" s="3"/>
      <x:c r="B98" s="3"/>
      <x:c r="C98" s="3"/>
      <x:c r="D98" s="3"/>
      <x:c r="E98" s="25"/>
      <x:c r="F98" s="25"/>
      <x:c r="G98" s="22"/>
      <x:c r="H98" s="3"/>
      <x:c r="I98" s="22"/>
      <x:c r="J98" s="3"/>
      <x:c r="K98" s="3"/>
      <x:c r="L98" s="3"/>
      <x:c r="M98" s="3"/>
      <x:c r="N98" s="3"/>
      <x:c r="O98" s="3"/>
      <x:c r="P98" s="19" t="str">
        <x:f>IF(A98="","",IF(COUNTIFS('观测证据'!$A$7:$A$306,A98)&lt;&gt;1,"编号重复",IF(COUNTIFS('问题总览'!$A$7:$A$306,B98)&lt;&gt;1,"问题引用无效",IF(AND(C98&lt;&gt;"",COUNTIFS('方案版本'!$A$7:$A$306,C98,'方案版本'!$B$7:$B$306,B98,'方案版本'!$L$7:$L$306,"已冻结")&lt;&gt;1),"方案引用无效",IF(OR(NOT(ISNUMBER(F98)),M98=""),"待补登记信息",IF(AND(M98="已观测",OR(K98="",AND(NOT(ISNUMBER(G98)),J98=""))),"待补观测与来源",IF(AND(ISNUMBER(G98),H98=""),"待补数值单位",IF(AND(N98&lt;&gt;"",OR(N98=A98,COUNTIFS('观测证据'!$A$7:$A$306,N98,'观测证据'!$B$7:$B$306,B98,'观测证据'!$M$7:$M$306,"已更正")&lt;&gt;1)),"更正引用待核对","有效输入"))))))))</x:f>
      </x:c>
    </x:row>
    <x:row r="99" ht="25" customHeight="1">
      <x:c r="A99" s="3"/>
      <x:c r="B99" s="3"/>
      <x:c r="C99" s="3"/>
      <x:c r="D99" s="3"/>
      <x:c r="E99" s="25"/>
      <x:c r="F99" s="25"/>
      <x:c r="G99" s="22"/>
      <x:c r="H99" s="3"/>
      <x:c r="I99" s="22"/>
      <x:c r="J99" s="3"/>
      <x:c r="K99" s="3"/>
      <x:c r="L99" s="3"/>
      <x:c r="M99" s="3"/>
      <x:c r="N99" s="3"/>
      <x:c r="O99" s="3"/>
      <x:c r="P99" s="19" t="str">
        <x:f>IF(A99="","",IF(COUNTIFS('观测证据'!$A$7:$A$306,A99)&lt;&gt;1,"编号重复",IF(COUNTIFS('问题总览'!$A$7:$A$306,B99)&lt;&gt;1,"问题引用无效",IF(AND(C99&lt;&gt;"",COUNTIFS('方案版本'!$A$7:$A$306,C99,'方案版本'!$B$7:$B$306,B99,'方案版本'!$L$7:$L$306,"已冻结")&lt;&gt;1),"方案引用无效",IF(OR(NOT(ISNUMBER(F99)),M99=""),"待补登记信息",IF(AND(M99="已观测",OR(K99="",AND(NOT(ISNUMBER(G99)),J99=""))),"待补观测与来源",IF(AND(ISNUMBER(G99),H99=""),"待补数值单位",IF(AND(N99&lt;&gt;"",OR(N99=A99,COUNTIFS('观测证据'!$A$7:$A$306,N99,'观测证据'!$B$7:$B$306,B99,'观测证据'!$M$7:$M$306,"已更正")&lt;&gt;1)),"更正引用待核对","有效输入"))))))))</x:f>
      </x:c>
    </x:row>
    <x:row r="100" ht="25" customHeight="1">
      <x:c r="A100" s="3"/>
      <x:c r="B100" s="3"/>
      <x:c r="C100" s="3"/>
      <x:c r="D100" s="3"/>
      <x:c r="E100" s="25"/>
      <x:c r="F100" s="25"/>
      <x:c r="G100" s="22"/>
      <x:c r="H100" s="3"/>
      <x:c r="I100" s="22"/>
      <x:c r="J100" s="3"/>
      <x:c r="K100" s="3"/>
      <x:c r="L100" s="3"/>
      <x:c r="M100" s="3"/>
      <x:c r="N100" s="3"/>
      <x:c r="O100" s="3"/>
      <x:c r="P100" s="19" t="str">
        <x:f>IF(A100="","",IF(COUNTIFS('观测证据'!$A$7:$A$306,A100)&lt;&gt;1,"编号重复",IF(COUNTIFS('问题总览'!$A$7:$A$306,B100)&lt;&gt;1,"问题引用无效",IF(AND(C100&lt;&gt;"",COUNTIFS('方案版本'!$A$7:$A$306,C100,'方案版本'!$B$7:$B$306,B100,'方案版本'!$L$7:$L$306,"已冻结")&lt;&gt;1),"方案引用无效",IF(OR(NOT(ISNUMBER(F100)),M100=""),"待补登记信息",IF(AND(M100="已观测",OR(K100="",AND(NOT(ISNUMBER(G100)),J100=""))),"待补观测与来源",IF(AND(ISNUMBER(G100),H100=""),"待补数值单位",IF(AND(N100&lt;&gt;"",OR(N100=A100,COUNTIFS('观测证据'!$A$7:$A$306,N100,'观测证据'!$B$7:$B$306,B100,'观测证据'!$M$7:$M$306,"已更正")&lt;&gt;1)),"更正引用待核对","有效输入"))))))))</x:f>
      </x:c>
    </x:row>
    <x:row r="101" ht="25" customHeight="1">
      <x:c r="A101" s="3"/>
      <x:c r="B101" s="3"/>
      <x:c r="C101" s="3"/>
      <x:c r="D101" s="3"/>
      <x:c r="E101" s="25"/>
      <x:c r="F101" s="25"/>
      <x:c r="G101" s="22"/>
      <x:c r="H101" s="3"/>
      <x:c r="I101" s="22"/>
      <x:c r="J101" s="3"/>
      <x:c r="K101" s="3"/>
      <x:c r="L101" s="3"/>
      <x:c r="M101" s="3"/>
      <x:c r="N101" s="3"/>
      <x:c r="O101" s="3"/>
      <x:c r="P101" s="19" t="str">
        <x:f>IF(A101="","",IF(COUNTIFS('观测证据'!$A$7:$A$306,A101)&lt;&gt;1,"编号重复",IF(COUNTIFS('问题总览'!$A$7:$A$306,B101)&lt;&gt;1,"问题引用无效",IF(AND(C101&lt;&gt;"",COUNTIFS('方案版本'!$A$7:$A$306,C101,'方案版本'!$B$7:$B$306,B101,'方案版本'!$L$7:$L$306,"已冻结")&lt;&gt;1),"方案引用无效",IF(OR(NOT(ISNUMBER(F101)),M101=""),"待补登记信息",IF(AND(M101="已观测",OR(K101="",AND(NOT(ISNUMBER(G101)),J101=""))),"待补观测与来源",IF(AND(ISNUMBER(G101),H101=""),"待补数值单位",IF(AND(N101&lt;&gt;"",OR(N101=A101,COUNTIFS('观测证据'!$A$7:$A$306,N101,'观测证据'!$B$7:$B$306,B101,'观测证据'!$M$7:$M$306,"已更正")&lt;&gt;1)),"更正引用待核对","有效输入"))))))))</x:f>
      </x:c>
    </x:row>
    <x:row r="102" ht="25" customHeight="1">
      <x:c r="A102" s="3"/>
      <x:c r="B102" s="3"/>
      <x:c r="C102" s="3"/>
      <x:c r="D102" s="3"/>
      <x:c r="E102" s="25"/>
      <x:c r="F102" s="25"/>
      <x:c r="G102" s="22"/>
      <x:c r="H102" s="3"/>
      <x:c r="I102" s="22"/>
      <x:c r="J102" s="3"/>
      <x:c r="K102" s="3"/>
      <x:c r="L102" s="3"/>
      <x:c r="M102" s="3"/>
      <x:c r="N102" s="3"/>
      <x:c r="O102" s="3"/>
      <x:c r="P102" s="19" t="str">
        <x:f>IF(A102="","",IF(COUNTIFS('观测证据'!$A$7:$A$306,A102)&lt;&gt;1,"编号重复",IF(COUNTIFS('问题总览'!$A$7:$A$306,B102)&lt;&gt;1,"问题引用无效",IF(AND(C102&lt;&gt;"",COUNTIFS('方案版本'!$A$7:$A$306,C102,'方案版本'!$B$7:$B$306,B102,'方案版本'!$L$7:$L$306,"已冻结")&lt;&gt;1),"方案引用无效",IF(OR(NOT(ISNUMBER(F102)),M102=""),"待补登记信息",IF(AND(M102="已观测",OR(K102="",AND(NOT(ISNUMBER(G102)),J102=""))),"待补观测与来源",IF(AND(ISNUMBER(G102),H102=""),"待补数值单位",IF(AND(N102&lt;&gt;"",OR(N102=A102,COUNTIFS('观测证据'!$A$7:$A$306,N102,'观测证据'!$B$7:$B$306,B102,'观测证据'!$M$7:$M$306,"已更正")&lt;&gt;1)),"更正引用待核对","有效输入"))))))))</x:f>
      </x:c>
    </x:row>
    <x:row r="103" ht="25" customHeight="1">
      <x:c r="A103" s="3"/>
      <x:c r="B103" s="3"/>
      <x:c r="C103" s="3"/>
      <x:c r="D103" s="3"/>
      <x:c r="E103" s="25"/>
      <x:c r="F103" s="25"/>
      <x:c r="G103" s="22"/>
      <x:c r="H103" s="3"/>
      <x:c r="I103" s="22"/>
      <x:c r="J103" s="3"/>
      <x:c r="K103" s="3"/>
      <x:c r="L103" s="3"/>
      <x:c r="M103" s="3"/>
      <x:c r="N103" s="3"/>
      <x:c r="O103" s="3"/>
      <x:c r="P103" s="19" t="str">
        <x:f>IF(A103="","",IF(COUNTIFS('观测证据'!$A$7:$A$306,A103)&lt;&gt;1,"编号重复",IF(COUNTIFS('问题总览'!$A$7:$A$306,B103)&lt;&gt;1,"问题引用无效",IF(AND(C103&lt;&gt;"",COUNTIFS('方案版本'!$A$7:$A$306,C103,'方案版本'!$B$7:$B$306,B103,'方案版本'!$L$7:$L$306,"已冻结")&lt;&gt;1),"方案引用无效",IF(OR(NOT(ISNUMBER(F103)),M103=""),"待补登记信息",IF(AND(M103="已观测",OR(K103="",AND(NOT(ISNUMBER(G103)),J103=""))),"待补观测与来源",IF(AND(ISNUMBER(G103),H103=""),"待补数值单位",IF(AND(N103&lt;&gt;"",OR(N103=A103,COUNTIFS('观测证据'!$A$7:$A$306,N103,'观测证据'!$B$7:$B$306,B103,'观测证据'!$M$7:$M$306,"已更正")&lt;&gt;1)),"更正引用待核对","有效输入"))))))))</x:f>
      </x:c>
    </x:row>
    <x:row r="104" ht="25" customHeight="1">
      <x:c r="A104" s="3"/>
      <x:c r="B104" s="3"/>
      <x:c r="C104" s="3"/>
      <x:c r="D104" s="3"/>
      <x:c r="E104" s="25"/>
      <x:c r="F104" s="25"/>
      <x:c r="G104" s="22"/>
      <x:c r="H104" s="3"/>
      <x:c r="I104" s="22"/>
      <x:c r="J104" s="3"/>
      <x:c r="K104" s="3"/>
      <x:c r="L104" s="3"/>
      <x:c r="M104" s="3"/>
      <x:c r="N104" s="3"/>
      <x:c r="O104" s="3"/>
      <x:c r="P104" s="19" t="str">
        <x:f>IF(A104="","",IF(COUNTIFS('观测证据'!$A$7:$A$306,A104)&lt;&gt;1,"编号重复",IF(COUNTIFS('问题总览'!$A$7:$A$306,B104)&lt;&gt;1,"问题引用无效",IF(AND(C104&lt;&gt;"",COUNTIFS('方案版本'!$A$7:$A$306,C104,'方案版本'!$B$7:$B$306,B104,'方案版本'!$L$7:$L$306,"已冻结")&lt;&gt;1),"方案引用无效",IF(OR(NOT(ISNUMBER(F104)),M104=""),"待补登记信息",IF(AND(M104="已观测",OR(K104="",AND(NOT(ISNUMBER(G104)),J104=""))),"待补观测与来源",IF(AND(ISNUMBER(G104),H104=""),"待补数值单位",IF(AND(N104&lt;&gt;"",OR(N104=A104,COUNTIFS('观测证据'!$A$7:$A$306,N104,'观测证据'!$B$7:$B$306,B104,'观测证据'!$M$7:$M$306,"已更正")&lt;&gt;1)),"更正引用待核对","有效输入"))))))))</x:f>
      </x:c>
    </x:row>
    <x:row r="105" ht="25" customHeight="1">
      <x:c r="A105" s="3"/>
      <x:c r="B105" s="3"/>
      <x:c r="C105" s="3"/>
      <x:c r="D105" s="3"/>
      <x:c r="E105" s="25"/>
      <x:c r="F105" s="25"/>
      <x:c r="G105" s="22"/>
      <x:c r="H105" s="3"/>
      <x:c r="I105" s="22"/>
      <x:c r="J105" s="3"/>
      <x:c r="K105" s="3"/>
      <x:c r="L105" s="3"/>
      <x:c r="M105" s="3"/>
      <x:c r="N105" s="3"/>
      <x:c r="O105" s="3"/>
      <x:c r="P105" s="19" t="str">
        <x:f>IF(A105="","",IF(COUNTIFS('观测证据'!$A$7:$A$306,A105)&lt;&gt;1,"编号重复",IF(COUNTIFS('问题总览'!$A$7:$A$306,B105)&lt;&gt;1,"问题引用无效",IF(AND(C105&lt;&gt;"",COUNTIFS('方案版本'!$A$7:$A$306,C105,'方案版本'!$B$7:$B$306,B105,'方案版本'!$L$7:$L$306,"已冻结")&lt;&gt;1),"方案引用无效",IF(OR(NOT(ISNUMBER(F105)),M105=""),"待补登记信息",IF(AND(M105="已观测",OR(K105="",AND(NOT(ISNUMBER(G105)),J105=""))),"待补观测与来源",IF(AND(ISNUMBER(G105),H105=""),"待补数值单位",IF(AND(N105&lt;&gt;"",OR(N105=A105,COUNTIFS('观测证据'!$A$7:$A$306,N105,'观测证据'!$B$7:$B$306,B105,'观测证据'!$M$7:$M$306,"已更正")&lt;&gt;1)),"更正引用待核对","有效输入"))))))))</x:f>
      </x:c>
    </x:row>
    <x:row r="106" ht="25" customHeight="1">
      <x:c r="A106" s="3"/>
      <x:c r="B106" s="3"/>
      <x:c r="C106" s="3"/>
      <x:c r="D106" s="3"/>
      <x:c r="E106" s="25"/>
      <x:c r="F106" s="25"/>
      <x:c r="G106" s="22"/>
      <x:c r="H106" s="3"/>
      <x:c r="I106" s="22"/>
      <x:c r="J106" s="3"/>
      <x:c r="K106" s="3"/>
      <x:c r="L106" s="3"/>
      <x:c r="M106" s="3"/>
      <x:c r="N106" s="3"/>
      <x:c r="O106" s="3"/>
      <x:c r="P106" s="19" t="str">
        <x:f>IF(A106="","",IF(COUNTIFS('观测证据'!$A$7:$A$306,A106)&lt;&gt;1,"编号重复",IF(COUNTIFS('问题总览'!$A$7:$A$306,B106)&lt;&gt;1,"问题引用无效",IF(AND(C106&lt;&gt;"",COUNTIFS('方案版本'!$A$7:$A$306,C106,'方案版本'!$B$7:$B$306,B106,'方案版本'!$L$7:$L$306,"已冻结")&lt;&gt;1),"方案引用无效",IF(OR(NOT(ISNUMBER(F106)),M106=""),"待补登记信息",IF(AND(M106="已观测",OR(K106="",AND(NOT(ISNUMBER(G106)),J106=""))),"待补观测与来源",IF(AND(ISNUMBER(G106),H106=""),"待补数值单位",IF(AND(N106&lt;&gt;"",OR(N106=A106,COUNTIFS('观测证据'!$A$7:$A$306,N106,'观测证据'!$B$7:$B$306,B106,'观测证据'!$M$7:$M$306,"已更正")&lt;&gt;1)),"更正引用待核对","有效输入"))))))))</x:f>
      </x:c>
    </x:row>
    <x:row r="107" ht="25" customHeight="1">
      <x:c r="A107" s="3"/>
      <x:c r="B107" s="3"/>
      <x:c r="C107" s="3"/>
      <x:c r="D107" s="3"/>
      <x:c r="E107" s="25"/>
      <x:c r="F107" s="25"/>
      <x:c r="G107" s="22"/>
      <x:c r="H107" s="3"/>
      <x:c r="I107" s="22"/>
      <x:c r="J107" s="3"/>
      <x:c r="K107" s="3"/>
      <x:c r="L107" s="3"/>
      <x:c r="M107" s="3"/>
      <x:c r="N107" s="3"/>
      <x:c r="O107" s="3"/>
      <x:c r="P107" s="19" t="str">
        <x:f>IF(A107="","",IF(COUNTIFS('观测证据'!$A$7:$A$306,A107)&lt;&gt;1,"编号重复",IF(COUNTIFS('问题总览'!$A$7:$A$306,B107)&lt;&gt;1,"问题引用无效",IF(AND(C107&lt;&gt;"",COUNTIFS('方案版本'!$A$7:$A$306,C107,'方案版本'!$B$7:$B$306,B107,'方案版本'!$L$7:$L$306,"已冻结")&lt;&gt;1),"方案引用无效",IF(OR(NOT(ISNUMBER(F107)),M107=""),"待补登记信息",IF(AND(M107="已观测",OR(K107="",AND(NOT(ISNUMBER(G107)),J107=""))),"待补观测与来源",IF(AND(ISNUMBER(G107),H107=""),"待补数值单位",IF(AND(N107&lt;&gt;"",OR(N107=A107,COUNTIFS('观测证据'!$A$7:$A$306,N107,'观测证据'!$B$7:$B$306,B107,'观测证据'!$M$7:$M$306,"已更正")&lt;&gt;1)),"更正引用待核对","有效输入"))))))))</x:f>
      </x:c>
    </x:row>
    <x:row r="108" ht="25" customHeight="1">
      <x:c r="A108" s="3"/>
      <x:c r="B108" s="3"/>
      <x:c r="C108" s="3"/>
      <x:c r="D108" s="3"/>
      <x:c r="E108" s="25"/>
      <x:c r="F108" s="25"/>
      <x:c r="G108" s="22"/>
      <x:c r="H108" s="3"/>
      <x:c r="I108" s="22"/>
      <x:c r="J108" s="3"/>
      <x:c r="K108" s="3"/>
      <x:c r="L108" s="3"/>
      <x:c r="M108" s="3"/>
      <x:c r="N108" s="3"/>
      <x:c r="O108" s="3"/>
      <x:c r="P108" s="19" t="str">
        <x:f>IF(A108="","",IF(COUNTIFS('观测证据'!$A$7:$A$306,A108)&lt;&gt;1,"编号重复",IF(COUNTIFS('问题总览'!$A$7:$A$306,B108)&lt;&gt;1,"问题引用无效",IF(AND(C108&lt;&gt;"",COUNTIFS('方案版本'!$A$7:$A$306,C108,'方案版本'!$B$7:$B$306,B108,'方案版本'!$L$7:$L$306,"已冻结")&lt;&gt;1),"方案引用无效",IF(OR(NOT(ISNUMBER(F108)),M108=""),"待补登记信息",IF(AND(M108="已观测",OR(K108="",AND(NOT(ISNUMBER(G108)),J108=""))),"待补观测与来源",IF(AND(ISNUMBER(G108),H108=""),"待补数值单位",IF(AND(N108&lt;&gt;"",OR(N108=A108,COUNTIFS('观测证据'!$A$7:$A$306,N108,'观测证据'!$B$7:$B$306,B108,'观测证据'!$M$7:$M$306,"已更正")&lt;&gt;1)),"更正引用待核对","有效输入"))))))))</x:f>
      </x:c>
    </x:row>
    <x:row r="109" ht="25" customHeight="1">
      <x:c r="A109" s="3"/>
      <x:c r="B109" s="3"/>
      <x:c r="C109" s="3"/>
      <x:c r="D109" s="3"/>
      <x:c r="E109" s="25"/>
      <x:c r="F109" s="25"/>
      <x:c r="G109" s="22"/>
      <x:c r="H109" s="3"/>
      <x:c r="I109" s="22"/>
      <x:c r="J109" s="3"/>
      <x:c r="K109" s="3"/>
      <x:c r="L109" s="3"/>
      <x:c r="M109" s="3"/>
      <x:c r="N109" s="3"/>
      <x:c r="O109" s="3"/>
      <x:c r="P109" s="19" t="str">
        <x:f>IF(A109="","",IF(COUNTIFS('观测证据'!$A$7:$A$306,A109)&lt;&gt;1,"编号重复",IF(COUNTIFS('问题总览'!$A$7:$A$306,B109)&lt;&gt;1,"问题引用无效",IF(AND(C109&lt;&gt;"",COUNTIFS('方案版本'!$A$7:$A$306,C109,'方案版本'!$B$7:$B$306,B109,'方案版本'!$L$7:$L$306,"已冻结")&lt;&gt;1),"方案引用无效",IF(OR(NOT(ISNUMBER(F109)),M109=""),"待补登记信息",IF(AND(M109="已观测",OR(K109="",AND(NOT(ISNUMBER(G109)),J109=""))),"待补观测与来源",IF(AND(ISNUMBER(G109),H109=""),"待补数值单位",IF(AND(N109&lt;&gt;"",OR(N109=A109,COUNTIFS('观测证据'!$A$7:$A$306,N109,'观测证据'!$B$7:$B$306,B109,'观测证据'!$M$7:$M$306,"已更正")&lt;&gt;1)),"更正引用待核对","有效输入"))))))))</x:f>
      </x:c>
    </x:row>
    <x:row r="110" ht="25" customHeight="1">
      <x:c r="A110" s="3"/>
      <x:c r="B110" s="3"/>
      <x:c r="C110" s="3"/>
      <x:c r="D110" s="3"/>
      <x:c r="E110" s="25"/>
      <x:c r="F110" s="25"/>
      <x:c r="G110" s="22"/>
      <x:c r="H110" s="3"/>
      <x:c r="I110" s="22"/>
      <x:c r="J110" s="3"/>
      <x:c r="K110" s="3"/>
      <x:c r="L110" s="3"/>
      <x:c r="M110" s="3"/>
      <x:c r="N110" s="3"/>
      <x:c r="O110" s="3"/>
      <x:c r="P110" s="19" t="str">
        <x:f>IF(A110="","",IF(COUNTIFS('观测证据'!$A$7:$A$306,A110)&lt;&gt;1,"编号重复",IF(COUNTIFS('问题总览'!$A$7:$A$306,B110)&lt;&gt;1,"问题引用无效",IF(AND(C110&lt;&gt;"",COUNTIFS('方案版本'!$A$7:$A$306,C110,'方案版本'!$B$7:$B$306,B110,'方案版本'!$L$7:$L$306,"已冻结")&lt;&gt;1),"方案引用无效",IF(OR(NOT(ISNUMBER(F110)),M110=""),"待补登记信息",IF(AND(M110="已观测",OR(K110="",AND(NOT(ISNUMBER(G110)),J110=""))),"待补观测与来源",IF(AND(ISNUMBER(G110),H110=""),"待补数值单位",IF(AND(N110&lt;&gt;"",OR(N110=A110,COUNTIFS('观测证据'!$A$7:$A$306,N110,'观测证据'!$B$7:$B$306,B110,'观测证据'!$M$7:$M$306,"已更正")&lt;&gt;1)),"更正引用待核对","有效输入"))))))))</x:f>
      </x:c>
    </x:row>
    <x:row r="111" ht="25" customHeight="1">
      <x:c r="A111" s="3"/>
      <x:c r="B111" s="3"/>
      <x:c r="C111" s="3"/>
      <x:c r="D111" s="3"/>
      <x:c r="E111" s="25"/>
      <x:c r="F111" s="25"/>
      <x:c r="G111" s="22"/>
      <x:c r="H111" s="3"/>
      <x:c r="I111" s="22"/>
      <x:c r="J111" s="3"/>
      <x:c r="K111" s="3"/>
      <x:c r="L111" s="3"/>
      <x:c r="M111" s="3"/>
      <x:c r="N111" s="3"/>
      <x:c r="O111" s="3"/>
      <x:c r="P111" s="19" t="str">
        <x:f>IF(A111="","",IF(COUNTIFS('观测证据'!$A$7:$A$306,A111)&lt;&gt;1,"编号重复",IF(COUNTIFS('问题总览'!$A$7:$A$306,B111)&lt;&gt;1,"问题引用无效",IF(AND(C111&lt;&gt;"",COUNTIFS('方案版本'!$A$7:$A$306,C111,'方案版本'!$B$7:$B$306,B111,'方案版本'!$L$7:$L$306,"已冻结")&lt;&gt;1),"方案引用无效",IF(OR(NOT(ISNUMBER(F111)),M111=""),"待补登记信息",IF(AND(M111="已观测",OR(K111="",AND(NOT(ISNUMBER(G111)),J111=""))),"待补观测与来源",IF(AND(ISNUMBER(G111),H111=""),"待补数值单位",IF(AND(N111&lt;&gt;"",OR(N111=A111,COUNTIFS('观测证据'!$A$7:$A$306,N111,'观测证据'!$B$7:$B$306,B111,'观测证据'!$M$7:$M$306,"已更正")&lt;&gt;1)),"更正引用待核对","有效输入"))))))))</x:f>
      </x:c>
    </x:row>
    <x:row r="112" ht="25" customHeight="1">
      <x:c r="A112" s="3"/>
      <x:c r="B112" s="3"/>
      <x:c r="C112" s="3"/>
      <x:c r="D112" s="3"/>
      <x:c r="E112" s="25"/>
      <x:c r="F112" s="25"/>
      <x:c r="G112" s="22"/>
      <x:c r="H112" s="3"/>
      <x:c r="I112" s="22"/>
      <x:c r="J112" s="3"/>
      <x:c r="K112" s="3"/>
      <x:c r="L112" s="3"/>
      <x:c r="M112" s="3"/>
      <x:c r="N112" s="3"/>
      <x:c r="O112" s="3"/>
      <x:c r="P112" s="19" t="str">
        <x:f>IF(A112="","",IF(COUNTIFS('观测证据'!$A$7:$A$306,A112)&lt;&gt;1,"编号重复",IF(COUNTIFS('问题总览'!$A$7:$A$306,B112)&lt;&gt;1,"问题引用无效",IF(AND(C112&lt;&gt;"",COUNTIFS('方案版本'!$A$7:$A$306,C112,'方案版本'!$B$7:$B$306,B112,'方案版本'!$L$7:$L$306,"已冻结")&lt;&gt;1),"方案引用无效",IF(OR(NOT(ISNUMBER(F112)),M112=""),"待补登记信息",IF(AND(M112="已观测",OR(K112="",AND(NOT(ISNUMBER(G112)),J112=""))),"待补观测与来源",IF(AND(ISNUMBER(G112),H112=""),"待补数值单位",IF(AND(N112&lt;&gt;"",OR(N112=A112,COUNTIFS('观测证据'!$A$7:$A$306,N112,'观测证据'!$B$7:$B$306,B112,'观测证据'!$M$7:$M$306,"已更正")&lt;&gt;1)),"更正引用待核对","有效输入"))))))))</x:f>
      </x:c>
    </x:row>
    <x:row r="113" ht="25" customHeight="1">
      <x:c r="A113" s="3"/>
      <x:c r="B113" s="3"/>
      <x:c r="C113" s="3"/>
      <x:c r="D113" s="3"/>
      <x:c r="E113" s="25"/>
      <x:c r="F113" s="25"/>
      <x:c r="G113" s="22"/>
      <x:c r="H113" s="3"/>
      <x:c r="I113" s="22"/>
      <x:c r="J113" s="3"/>
      <x:c r="K113" s="3"/>
      <x:c r="L113" s="3"/>
      <x:c r="M113" s="3"/>
      <x:c r="N113" s="3"/>
      <x:c r="O113" s="3"/>
      <x:c r="P113" s="19" t="str">
        <x:f>IF(A113="","",IF(COUNTIFS('观测证据'!$A$7:$A$306,A113)&lt;&gt;1,"编号重复",IF(COUNTIFS('问题总览'!$A$7:$A$306,B113)&lt;&gt;1,"问题引用无效",IF(AND(C113&lt;&gt;"",COUNTIFS('方案版本'!$A$7:$A$306,C113,'方案版本'!$B$7:$B$306,B113,'方案版本'!$L$7:$L$306,"已冻结")&lt;&gt;1),"方案引用无效",IF(OR(NOT(ISNUMBER(F113)),M113=""),"待补登记信息",IF(AND(M113="已观测",OR(K113="",AND(NOT(ISNUMBER(G113)),J113=""))),"待补观测与来源",IF(AND(ISNUMBER(G113),H113=""),"待补数值单位",IF(AND(N113&lt;&gt;"",OR(N113=A113,COUNTIFS('观测证据'!$A$7:$A$306,N113,'观测证据'!$B$7:$B$306,B113,'观测证据'!$M$7:$M$306,"已更正")&lt;&gt;1)),"更正引用待核对","有效输入"))))))))</x:f>
      </x:c>
    </x:row>
    <x:row r="114" ht="25" customHeight="1">
      <x:c r="A114" s="3"/>
      <x:c r="B114" s="3"/>
      <x:c r="C114" s="3"/>
      <x:c r="D114" s="3"/>
      <x:c r="E114" s="25"/>
      <x:c r="F114" s="25"/>
      <x:c r="G114" s="22"/>
      <x:c r="H114" s="3"/>
      <x:c r="I114" s="22"/>
      <x:c r="J114" s="3"/>
      <x:c r="K114" s="3"/>
      <x:c r="L114" s="3"/>
      <x:c r="M114" s="3"/>
      <x:c r="N114" s="3"/>
      <x:c r="O114" s="3"/>
      <x:c r="P114" s="19" t="str">
        <x:f>IF(A114="","",IF(COUNTIFS('观测证据'!$A$7:$A$306,A114)&lt;&gt;1,"编号重复",IF(COUNTIFS('问题总览'!$A$7:$A$306,B114)&lt;&gt;1,"问题引用无效",IF(AND(C114&lt;&gt;"",COUNTIFS('方案版本'!$A$7:$A$306,C114,'方案版本'!$B$7:$B$306,B114,'方案版本'!$L$7:$L$306,"已冻结")&lt;&gt;1),"方案引用无效",IF(OR(NOT(ISNUMBER(F114)),M114=""),"待补登记信息",IF(AND(M114="已观测",OR(K114="",AND(NOT(ISNUMBER(G114)),J114=""))),"待补观测与来源",IF(AND(ISNUMBER(G114),H114=""),"待补数值单位",IF(AND(N114&lt;&gt;"",OR(N114=A114,COUNTIFS('观测证据'!$A$7:$A$306,N114,'观测证据'!$B$7:$B$306,B114,'观测证据'!$M$7:$M$306,"已更正")&lt;&gt;1)),"更正引用待核对","有效输入"))))))))</x:f>
      </x:c>
    </x:row>
    <x:row r="115" ht="25" customHeight="1">
      <x:c r="A115" s="3"/>
      <x:c r="B115" s="3"/>
      <x:c r="C115" s="3"/>
      <x:c r="D115" s="3"/>
      <x:c r="E115" s="25"/>
      <x:c r="F115" s="25"/>
      <x:c r="G115" s="22"/>
      <x:c r="H115" s="3"/>
      <x:c r="I115" s="22"/>
      <x:c r="J115" s="3"/>
      <x:c r="K115" s="3"/>
      <x:c r="L115" s="3"/>
      <x:c r="M115" s="3"/>
      <x:c r="N115" s="3"/>
      <x:c r="O115" s="3"/>
      <x:c r="P115" s="19" t="str">
        <x:f>IF(A115="","",IF(COUNTIFS('观测证据'!$A$7:$A$306,A115)&lt;&gt;1,"编号重复",IF(COUNTIFS('问题总览'!$A$7:$A$306,B115)&lt;&gt;1,"问题引用无效",IF(AND(C115&lt;&gt;"",COUNTIFS('方案版本'!$A$7:$A$306,C115,'方案版本'!$B$7:$B$306,B115,'方案版本'!$L$7:$L$306,"已冻结")&lt;&gt;1),"方案引用无效",IF(OR(NOT(ISNUMBER(F115)),M115=""),"待补登记信息",IF(AND(M115="已观测",OR(K115="",AND(NOT(ISNUMBER(G115)),J115=""))),"待补观测与来源",IF(AND(ISNUMBER(G115),H115=""),"待补数值单位",IF(AND(N115&lt;&gt;"",OR(N115=A115,COUNTIFS('观测证据'!$A$7:$A$306,N115,'观测证据'!$B$7:$B$306,B115,'观测证据'!$M$7:$M$306,"已更正")&lt;&gt;1)),"更正引用待核对","有效输入"))))))))</x:f>
      </x:c>
    </x:row>
    <x:row r="116" ht="25" customHeight="1">
      <x:c r="A116" s="3"/>
      <x:c r="B116" s="3"/>
      <x:c r="C116" s="3"/>
      <x:c r="D116" s="3"/>
      <x:c r="E116" s="25"/>
      <x:c r="F116" s="25"/>
      <x:c r="G116" s="22"/>
      <x:c r="H116" s="3"/>
      <x:c r="I116" s="22"/>
      <x:c r="J116" s="3"/>
      <x:c r="K116" s="3"/>
      <x:c r="L116" s="3"/>
      <x:c r="M116" s="3"/>
      <x:c r="N116" s="3"/>
      <x:c r="O116" s="3"/>
      <x:c r="P116" s="19" t="str">
        <x:f>IF(A116="","",IF(COUNTIFS('观测证据'!$A$7:$A$306,A116)&lt;&gt;1,"编号重复",IF(COUNTIFS('问题总览'!$A$7:$A$306,B116)&lt;&gt;1,"问题引用无效",IF(AND(C116&lt;&gt;"",COUNTIFS('方案版本'!$A$7:$A$306,C116,'方案版本'!$B$7:$B$306,B116,'方案版本'!$L$7:$L$306,"已冻结")&lt;&gt;1),"方案引用无效",IF(OR(NOT(ISNUMBER(F116)),M116=""),"待补登记信息",IF(AND(M116="已观测",OR(K116="",AND(NOT(ISNUMBER(G116)),J116=""))),"待补观测与来源",IF(AND(ISNUMBER(G116),H116=""),"待补数值单位",IF(AND(N116&lt;&gt;"",OR(N116=A116,COUNTIFS('观测证据'!$A$7:$A$306,N116,'观测证据'!$B$7:$B$306,B116,'观测证据'!$M$7:$M$306,"已更正")&lt;&gt;1)),"更正引用待核对","有效输入"))))))))</x:f>
      </x:c>
    </x:row>
    <x:row r="117" ht="25" customHeight="1">
      <x:c r="A117" s="3"/>
      <x:c r="B117" s="3"/>
      <x:c r="C117" s="3"/>
      <x:c r="D117" s="3"/>
      <x:c r="E117" s="25"/>
      <x:c r="F117" s="25"/>
      <x:c r="G117" s="22"/>
      <x:c r="H117" s="3"/>
      <x:c r="I117" s="22"/>
      <x:c r="J117" s="3"/>
      <x:c r="K117" s="3"/>
      <x:c r="L117" s="3"/>
      <x:c r="M117" s="3"/>
      <x:c r="N117" s="3"/>
      <x:c r="O117" s="3"/>
      <x:c r="P117" s="19" t="str">
        <x:f>IF(A117="","",IF(COUNTIFS('观测证据'!$A$7:$A$306,A117)&lt;&gt;1,"编号重复",IF(COUNTIFS('问题总览'!$A$7:$A$306,B117)&lt;&gt;1,"问题引用无效",IF(AND(C117&lt;&gt;"",COUNTIFS('方案版本'!$A$7:$A$306,C117,'方案版本'!$B$7:$B$306,B117,'方案版本'!$L$7:$L$306,"已冻结")&lt;&gt;1),"方案引用无效",IF(OR(NOT(ISNUMBER(F117)),M117=""),"待补登记信息",IF(AND(M117="已观测",OR(K117="",AND(NOT(ISNUMBER(G117)),J117=""))),"待补观测与来源",IF(AND(ISNUMBER(G117),H117=""),"待补数值单位",IF(AND(N117&lt;&gt;"",OR(N117=A117,COUNTIFS('观测证据'!$A$7:$A$306,N117,'观测证据'!$B$7:$B$306,B117,'观测证据'!$M$7:$M$306,"已更正")&lt;&gt;1)),"更正引用待核对","有效输入"))))))))</x:f>
      </x:c>
    </x:row>
    <x:row r="118" ht="25" customHeight="1">
      <x:c r="A118" s="3"/>
      <x:c r="B118" s="3"/>
      <x:c r="C118" s="3"/>
      <x:c r="D118" s="3"/>
      <x:c r="E118" s="25"/>
      <x:c r="F118" s="25"/>
      <x:c r="G118" s="22"/>
      <x:c r="H118" s="3"/>
      <x:c r="I118" s="22"/>
      <x:c r="J118" s="3"/>
      <x:c r="K118" s="3"/>
      <x:c r="L118" s="3"/>
      <x:c r="M118" s="3"/>
      <x:c r="N118" s="3"/>
      <x:c r="O118" s="3"/>
      <x:c r="P118" s="19" t="str">
        <x:f>IF(A118="","",IF(COUNTIFS('观测证据'!$A$7:$A$306,A118)&lt;&gt;1,"编号重复",IF(COUNTIFS('问题总览'!$A$7:$A$306,B118)&lt;&gt;1,"问题引用无效",IF(AND(C118&lt;&gt;"",COUNTIFS('方案版本'!$A$7:$A$306,C118,'方案版本'!$B$7:$B$306,B118,'方案版本'!$L$7:$L$306,"已冻结")&lt;&gt;1),"方案引用无效",IF(OR(NOT(ISNUMBER(F118)),M118=""),"待补登记信息",IF(AND(M118="已观测",OR(K118="",AND(NOT(ISNUMBER(G118)),J118=""))),"待补观测与来源",IF(AND(ISNUMBER(G118),H118=""),"待补数值单位",IF(AND(N118&lt;&gt;"",OR(N118=A118,COUNTIFS('观测证据'!$A$7:$A$306,N118,'观测证据'!$B$7:$B$306,B118,'观测证据'!$M$7:$M$306,"已更正")&lt;&gt;1)),"更正引用待核对","有效输入"))))))))</x:f>
      </x:c>
    </x:row>
    <x:row r="119" ht="25" customHeight="1">
      <x:c r="A119" s="3"/>
      <x:c r="B119" s="3"/>
      <x:c r="C119" s="3"/>
      <x:c r="D119" s="3"/>
      <x:c r="E119" s="25"/>
      <x:c r="F119" s="25"/>
      <x:c r="G119" s="22"/>
      <x:c r="H119" s="3"/>
      <x:c r="I119" s="22"/>
      <x:c r="J119" s="3"/>
      <x:c r="K119" s="3"/>
      <x:c r="L119" s="3"/>
      <x:c r="M119" s="3"/>
      <x:c r="N119" s="3"/>
      <x:c r="O119" s="3"/>
      <x:c r="P119" s="19" t="str">
        <x:f>IF(A119="","",IF(COUNTIFS('观测证据'!$A$7:$A$306,A119)&lt;&gt;1,"编号重复",IF(COUNTIFS('问题总览'!$A$7:$A$306,B119)&lt;&gt;1,"问题引用无效",IF(AND(C119&lt;&gt;"",COUNTIFS('方案版本'!$A$7:$A$306,C119,'方案版本'!$B$7:$B$306,B119,'方案版本'!$L$7:$L$306,"已冻结")&lt;&gt;1),"方案引用无效",IF(OR(NOT(ISNUMBER(F119)),M119=""),"待补登记信息",IF(AND(M119="已观测",OR(K119="",AND(NOT(ISNUMBER(G119)),J119=""))),"待补观测与来源",IF(AND(ISNUMBER(G119),H119=""),"待补数值单位",IF(AND(N119&lt;&gt;"",OR(N119=A119,COUNTIFS('观测证据'!$A$7:$A$306,N119,'观测证据'!$B$7:$B$306,B119,'观测证据'!$M$7:$M$306,"已更正")&lt;&gt;1)),"更正引用待核对","有效输入"))))))))</x:f>
      </x:c>
    </x:row>
    <x:row r="120" ht="25" customHeight="1">
      <x:c r="A120" s="3"/>
      <x:c r="B120" s="3"/>
      <x:c r="C120" s="3"/>
      <x:c r="D120" s="3"/>
      <x:c r="E120" s="25"/>
      <x:c r="F120" s="25"/>
      <x:c r="G120" s="22"/>
      <x:c r="H120" s="3"/>
      <x:c r="I120" s="22"/>
      <x:c r="J120" s="3"/>
      <x:c r="K120" s="3"/>
      <x:c r="L120" s="3"/>
      <x:c r="M120" s="3"/>
      <x:c r="N120" s="3"/>
      <x:c r="O120" s="3"/>
      <x:c r="P120" s="19" t="str">
        <x:f>IF(A120="","",IF(COUNTIFS('观测证据'!$A$7:$A$306,A120)&lt;&gt;1,"编号重复",IF(COUNTIFS('问题总览'!$A$7:$A$306,B120)&lt;&gt;1,"问题引用无效",IF(AND(C120&lt;&gt;"",COUNTIFS('方案版本'!$A$7:$A$306,C120,'方案版本'!$B$7:$B$306,B120,'方案版本'!$L$7:$L$306,"已冻结")&lt;&gt;1),"方案引用无效",IF(OR(NOT(ISNUMBER(F120)),M120=""),"待补登记信息",IF(AND(M120="已观测",OR(K120="",AND(NOT(ISNUMBER(G120)),J120=""))),"待补观测与来源",IF(AND(ISNUMBER(G120),H120=""),"待补数值单位",IF(AND(N120&lt;&gt;"",OR(N120=A120,COUNTIFS('观测证据'!$A$7:$A$306,N120,'观测证据'!$B$7:$B$306,B120,'观测证据'!$M$7:$M$306,"已更正")&lt;&gt;1)),"更正引用待核对","有效输入"))))))))</x:f>
      </x:c>
    </x:row>
    <x:row r="121" ht="25" customHeight="1">
      <x:c r="A121" s="3"/>
      <x:c r="B121" s="3"/>
      <x:c r="C121" s="3"/>
      <x:c r="D121" s="3"/>
      <x:c r="E121" s="25"/>
      <x:c r="F121" s="25"/>
      <x:c r="G121" s="22"/>
      <x:c r="H121" s="3"/>
      <x:c r="I121" s="22"/>
      <x:c r="J121" s="3"/>
      <x:c r="K121" s="3"/>
      <x:c r="L121" s="3"/>
      <x:c r="M121" s="3"/>
      <x:c r="N121" s="3"/>
      <x:c r="O121" s="3"/>
      <x:c r="P121" s="19" t="str">
        <x:f>IF(A121="","",IF(COUNTIFS('观测证据'!$A$7:$A$306,A121)&lt;&gt;1,"编号重复",IF(COUNTIFS('问题总览'!$A$7:$A$306,B121)&lt;&gt;1,"问题引用无效",IF(AND(C121&lt;&gt;"",COUNTIFS('方案版本'!$A$7:$A$306,C121,'方案版本'!$B$7:$B$306,B121,'方案版本'!$L$7:$L$306,"已冻结")&lt;&gt;1),"方案引用无效",IF(OR(NOT(ISNUMBER(F121)),M121=""),"待补登记信息",IF(AND(M121="已观测",OR(K121="",AND(NOT(ISNUMBER(G121)),J121=""))),"待补观测与来源",IF(AND(ISNUMBER(G121),H121=""),"待补数值单位",IF(AND(N121&lt;&gt;"",OR(N121=A121,COUNTIFS('观测证据'!$A$7:$A$306,N121,'观测证据'!$B$7:$B$306,B121,'观测证据'!$M$7:$M$306,"已更正")&lt;&gt;1)),"更正引用待核对","有效输入"))))))))</x:f>
      </x:c>
    </x:row>
    <x:row r="122" ht="25" customHeight="1">
      <x:c r="A122" s="3"/>
      <x:c r="B122" s="3"/>
      <x:c r="C122" s="3"/>
      <x:c r="D122" s="3"/>
      <x:c r="E122" s="25"/>
      <x:c r="F122" s="25"/>
      <x:c r="G122" s="22"/>
      <x:c r="H122" s="3"/>
      <x:c r="I122" s="22"/>
      <x:c r="J122" s="3"/>
      <x:c r="K122" s="3"/>
      <x:c r="L122" s="3"/>
      <x:c r="M122" s="3"/>
      <x:c r="N122" s="3"/>
      <x:c r="O122" s="3"/>
      <x:c r="P122" s="19" t="str">
        <x:f>IF(A122="","",IF(COUNTIFS('观测证据'!$A$7:$A$306,A122)&lt;&gt;1,"编号重复",IF(COUNTIFS('问题总览'!$A$7:$A$306,B122)&lt;&gt;1,"问题引用无效",IF(AND(C122&lt;&gt;"",COUNTIFS('方案版本'!$A$7:$A$306,C122,'方案版本'!$B$7:$B$306,B122,'方案版本'!$L$7:$L$306,"已冻结")&lt;&gt;1),"方案引用无效",IF(OR(NOT(ISNUMBER(F122)),M122=""),"待补登记信息",IF(AND(M122="已观测",OR(K122="",AND(NOT(ISNUMBER(G122)),J122=""))),"待补观测与来源",IF(AND(ISNUMBER(G122),H122=""),"待补数值单位",IF(AND(N122&lt;&gt;"",OR(N122=A122,COUNTIFS('观测证据'!$A$7:$A$306,N122,'观测证据'!$B$7:$B$306,B122,'观测证据'!$M$7:$M$306,"已更正")&lt;&gt;1)),"更正引用待核对","有效输入"))))))))</x:f>
      </x:c>
    </x:row>
    <x:row r="123" ht="25" customHeight="1">
      <x:c r="A123" s="3"/>
      <x:c r="B123" s="3"/>
      <x:c r="C123" s="3"/>
      <x:c r="D123" s="3"/>
      <x:c r="E123" s="25"/>
      <x:c r="F123" s="25"/>
      <x:c r="G123" s="22"/>
      <x:c r="H123" s="3"/>
      <x:c r="I123" s="22"/>
      <x:c r="J123" s="3"/>
      <x:c r="K123" s="3"/>
      <x:c r="L123" s="3"/>
      <x:c r="M123" s="3"/>
      <x:c r="N123" s="3"/>
      <x:c r="O123" s="3"/>
      <x:c r="P123" s="19" t="str">
        <x:f>IF(A123="","",IF(COUNTIFS('观测证据'!$A$7:$A$306,A123)&lt;&gt;1,"编号重复",IF(COUNTIFS('问题总览'!$A$7:$A$306,B123)&lt;&gt;1,"问题引用无效",IF(AND(C123&lt;&gt;"",COUNTIFS('方案版本'!$A$7:$A$306,C123,'方案版本'!$B$7:$B$306,B123,'方案版本'!$L$7:$L$306,"已冻结")&lt;&gt;1),"方案引用无效",IF(OR(NOT(ISNUMBER(F123)),M123=""),"待补登记信息",IF(AND(M123="已观测",OR(K123="",AND(NOT(ISNUMBER(G123)),J123=""))),"待补观测与来源",IF(AND(ISNUMBER(G123),H123=""),"待补数值单位",IF(AND(N123&lt;&gt;"",OR(N123=A123,COUNTIFS('观测证据'!$A$7:$A$306,N123,'观测证据'!$B$7:$B$306,B123,'观测证据'!$M$7:$M$306,"已更正")&lt;&gt;1)),"更正引用待核对","有效输入"))))))))</x:f>
      </x:c>
    </x:row>
    <x:row r="124" ht="25" customHeight="1">
      <x:c r="A124" s="3"/>
      <x:c r="B124" s="3"/>
      <x:c r="C124" s="3"/>
      <x:c r="D124" s="3"/>
      <x:c r="E124" s="25"/>
      <x:c r="F124" s="25"/>
      <x:c r="G124" s="22"/>
      <x:c r="H124" s="3"/>
      <x:c r="I124" s="22"/>
      <x:c r="J124" s="3"/>
      <x:c r="K124" s="3"/>
      <x:c r="L124" s="3"/>
      <x:c r="M124" s="3"/>
      <x:c r="N124" s="3"/>
      <x:c r="O124" s="3"/>
      <x:c r="P124" s="19" t="str">
        <x:f>IF(A124="","",IF(COUNTIFS('观测证据'!$A$7:$A$306,A124)&lt;&gt;1,"编号重复",IF(COUNTIFS('问题总览'!$A$7:$A$306,B124)&lt;&gt;1,"问题引用无效",IF(AND(C124&lt;&gt;"",COUNTIFS('方案版本'!$A$7:$A$306,C124,'方案版本'!$B$7:$B$306,B124,'方案版本'!$L$7:$L$306,"已冻结")&lt;&gt;1),"方案引用无效",IF(OR(NOT(ISNUMBER(F124)),M124=""),"待补登记信息",IF(AND(M124="已观测",OR(K124="",AND(NOT(ISNUMBER(G124)),J124=""))),"待补观测与来源",IF(AND(ISNUMBER(G124),H124=""),"待补数值单位",IF(AND(N124&lt;&gt;"",OR(N124=A124,COUNTIFS('观测证据'!$A$7:$A$306,N124,'观测证据'!$B$7:$B$306,B124,'观测证据'!$M$7:$M$306,"已更正")&lt;&gt;1)),"更正引用待核对","有效输入"))))))))</x:f>
      </x:c>
    </x:row>
    <x:row r="125" ht="25" customHeight="1">
      <x:c r="A125" s="3"/>
      <x:c r="B125" s="3"/>
      <x:c r="C125" s="3"/>
      <x:c r="D125" s="3"/>
      <x:c r="E125" s="25"/>
      <x:c r="F125" s="25"/>
      <x:c r="G125" s="22"/>
      <x:c r="H125" s="3"/>
      <x:c r="I125" s="22"/>
      <x:c r="J125" s="3"/>
      <x:c r="K125" s="3"/>
      <x:c r="L125" s="3"/>
      <x:c r="M125" s="3"/>
      <x:c r="N125" s="3"/>
      <x:c r="O125" s="3"/>
      <x:c r="P125" s="19" t="str">
        <x:f>IF(A125="","",IF(COUNTIFS('观测证据'!$A$7:$A$306,A125)&lt;&gt;1,"编号重复",IF(COUNTIFS('问题总览'!$A$7:$A$306,B125)&lt;&gt;1,"问题引用无效",IF(AND(C125&lt;&gt;"",COUNTIFS('方案版本'!$A$7:$A$306,C125,'方案版本'!$B$7:$B$306,B125,'方案版本'!$L$7:$L$306,"已冻结")&lt;&gt;1),"方案引用无效",IF(OR(NOT(ISNUMBER(F125)),M125=""),"待补登记信息",IF(AND(M125="已观测",OR(K125="",AND(NOT(ISNUMBER(G125)),J125=""))),"待补观测与来源",IF(AND(ISNUMBER(G125),H125=""),"待补数值单位",IF(AND(N125&lt;&gt;"",OR(N125=A125,COUNTIFS('观测证据'!$A$7:$A$306,N125,'观测证据'!$B$7:$B$306,B125,'观测证据'!$M$7:$M$306,"已更正")&lt;&gt;1)),"更正引用待核对","有效输入"))))))))</x:f>
      </x:c>
    </x:row>
    <x:row r="126" ht="25" customHeight="1">
      <x:c r="A126" s="3"/>
      <x:c r="B126" s="3"/>
      <x:c r="C126" s="3"/>
      <x:c r="D126" s="3"/>
      <x:c r="E126" s="25"/>
      <x:c r="F126" s="25"/>
      <x:c r="G126" s="22"/>
      <x:c r="H126" s="3"/>
      <x:c r="I126" s="22"/>
      <x:c r="J126" s="3"/>
      <x:c r="K126" s="3"/>
      <x:c r="L126" s="3"/>
      <x:c r="M126" s="3"/>
      <x:c r="N126" s="3"/>
      <x:c r="O126" s="3"/>
      <x:c r="P126" s="19" t="str">
        <x:f>IF(A126="","",IF(COUNTIFS('观测证据'!$A$7:$A$306,A126)&lt;&gt;1,"编号重复",IF(COUNTIFS('问题总览'!$A$7:$A$306,B126)&lt;&gt;1,"问题引用无效",IF(AND(C126&lt;&gt;"",COUNTIFS('方案版本'!$A$7:$A$306,C126,'方案版本'!$B$7:$B$306,B126,'方案版本'!$L$7:$L$306,"已冻结")&lt;&gt;1),"方案引用无效",IF(OR(NOT(ISNUMBER(F126)),M126=""),"待补登记信息",IF(AND(M126="已观测",OR(K126="",AND(NOT(ISNUMBER(G126)),J126=""))),"待补观测与来源",IF(AND(ISNUMBER(G126),H126=""),"待补数值单位",IF(AND(N126&lt;&gt;"",OR(N126=A126,COUNTIFS('观测证据'!$A$7:$A$306,N126,'观测证据'!$B$7:$B$306,B126,'观测证据'!$M$7:$M$306,"已更正")&lt;&gt;1)),"更正引用待核对","有效输入"))))))))</x:f>
      </x:c>
    </x:row>
    <x:row r="127" ht="25" customHeight="1">
      <x:c r="A127" s="3"/>
      <x:c r="B127" s="3"/>
      <x:c r="C127" s="3"/>
      <x:c r="D127" s="3"/>
      <x:c r="E127" s="25"/>
      <x:c r="F127" s="25"/>
      <x:c r="G127" s="22"/>
      <x:c r="H127" s="3"/>
      <x:c r="I127" s="22"/>
      <x:c r="J127" s="3"/>
      <x:c r="K127" s="3"/>
      <x:c r="L127" s="3"/>
      <x:c r="M127" s="3"/>
      <x:c r="N127" s="3"/>
      <x:c r="O127" s="3"/>
      <x:c r="P127" s="19" t="str">
        <x:f>IF(A127="","",IF(COUNTIFS('观测证据'!$A$7:$A$306,A127)&lt;&gt;1,"编号重复",IF(COUNTIFS('问题总览'!$A$7:$A$306,B127)&lt;&gt;1,"问题引用无效",IF(AND(C127&lt;&gt;"",COUNTIFS('方案版本'!$A$7:$A$306,C127,'方案版本'!$B$7:$B$306,B127,'方案版本'!$L$7:$L$306,"已冻结")&lt;&gt;1),"方案引用无效",IF(OR(NOT(ISNUMBER(F127)),M127=""),"待补登记信息",IF(AND(M127="已观测",OR(K127="",AND(NOT(ISNUMBER(G127)),J127=""))),"待补观测与来源",IF(AND(ISNUMBER(G127),H127=""),"待补数值单位",IF(AND(N127&lt;&gt;"",OR(N127=A127,COUNTIFS('观测证据'!$A$7:$A$306,N127,'观测证据'!$B$7:$B$306,B127,'观测证据'!$M$7:$M$306,"已更正")&lt;&gt;1)),"更正引用待核对","有效输入"))))))))</x:f>
      </x:c>
    </x:row>
    <x:row r="128" ht="25" customHeight="1">
      <x:c r="A128" s="3"/>
      <x:c r="B128" s="3"/>
      <x:c r="C128" s="3"/>
      <x:c r="D128" s="3"/>
      <x:c r="E128" s="25"/>
      <x:c r="F128" s="25"/>
      <x:c r="G128" s="22"/>
      <x:c r="H128" s="3"/>
      <x:c r="I128" s="22"/>
      <x:c r="J128" s="3"/>
      <x:c r="K128" s="3"/>
      <x:c r="L128" s="3"/>
      <x:c r="M128" s="3"/>
      <x:c r="N128" s="3"/>
      <x:c r="O128" s="3"/>
      <x:c r="P128" s="19" t="str">
        <x:f>IF(A128="","",IF(COUNTIFS('观测证据'!$A$7:$A$306,A128)&lt;&gt;1,"编号重复",IF(COUNTIFS('问题总览'!$A$7:$A$306,B128)&lt;&gt;1,"问题引用无效",IF(AND(C128&lt;&gt;"",COUNTIFS('方案版本'!$A$7:$A$306,C128,'方案版本'!$B$7:$B$306,B128,'方案版本'!$L$7:$L$306,"已冻结")&lt;&gt;1),"方案引用无效",IF(OR(NOT(ISNUMBER(F128)),M128=""),"待补登记信息",IF(AND(M128="已观测",OR(K128="",AND(NOT(ISNUMBER(G128)),J128=""))),"待补观测与来源",IF(AND(ISNUMBER(G128),H128=""),"待补数值单位",IF(AND(N128&lt;&gt;"",OR(N128=A128,COUNTIFS('观测证据'!$A$7:$A$306,N128,'观测证据'!$B$7:$B$306,B128,'观测证据'!$M$7:$M$306,"已更正")&lt;&gt;1)),"更正引用待核对","有效输入"))))))))</x:f>
      </x:c>
    </x:row>
    <x:row r="129" ht="25" customHeight="1">
      <x:c r="A129" s="3"/>
      <x:c r="B129" s="3"/>
      <x:c r="C129" s="3"/>
      <x:c r="D129" s="3"/>
      <x:c r="E129" s="25"/>
      <x:c r="F129" s="25"/>
      <x:c r="G129" s="22"/>
      <x:c r="H129" s="3"/>
      <x:c r="I129" s="22"/>
      <x:c r="J129" s="3"/>
      <x:c r="K129" s="3"/>
      <x:c r="L129" s="3"/>
      <x:c r="M129" s="3"/>
      <x:c r="N129" s="3"/>
      <x:c r="O129" s="3"/>
      <x:c r="P129" s="19" t="str">
        <x:f>IF(A129="","",IF(COUNTIFS('观测证据'!$A$7:$A$306,A129)&lt;&gt;1,"编号重复",IF(COUNTIFS('问题总览'!$A$7:$A$306,B129)&lt;&gt;1,"问题引用无效",IF(AND(C129&lt;&gt;"",COUNTIFS('方案版本'!$A$7:$A$306,C129,'方案版本'!$B$7:$B$306,B129,'方案版本'!$L$7:$L$306,"已冻结")&lt;&gt;1),"方案引用无效",IF(OR(NOT(ISNUMBER(F129)),M129=""),"待补登记信息",IF(AND(M129="已观测",OR(K129="",AND(NOT(ISNUMBER(G129)),J129=""))),"待补观测与来源",IF(AND(ISNUMBER(G129),H129=""),"待补数值单位",IF(AND(N129&lt;&gt;"",OR(N129=A129,COUNTIFS('观测证据'!$A$7:$A$306,N129,'观测证据'!$B$7:$B$306,B129,'观测证据'!$M$7:$M$306,"已更正")&lt;&gt;1)),"更正引用待核对","有效输入"))))))))</x:f>
      </x:c>
    </x:row>
    <x:row r="130" ht="25" customHeight="1">
      <x:c r="A130" s="3"/>
      <x:c r="B130" s="3"/>
      <x:c r="C130" s="3"/>
      <x:c r="D130" s="3"/>
      <x:c r="E130" s="25"/>
      <x:c r="F130" s="25"/>
      <x:c r="G130" s="22"/>
      <x:c r="H130" s="3"/>
      <x:c r="I130" s="22"/>
      <x:c r="J130" s="3"/>
      <x:c r="K130" s="3"/>
      <x:c r="L130" s="3"/>
      <x:c r="M130" s="3"/>
      <x:c r="N130" s="3"/>
      <x:c r="O130" s="3"/>
      <x:c r="P130" s="19" t="str">
        <x:f>IF(A130="","",IF(COUNTIFS('观测证据'!$A$7:$A$306,A130)&lt;&gt;1,"编号重复",IF(COUNTIFS('问题总览'!$A$7:$A$306,B130)&lt;&gt;1,"问题引用无效",IF(AND(C130&lt;&gt;"",COUNTIFS('方案版本'!$A$7:$A$306,C130,'方案版本'!$B$7:$B$306,B130,'方案版本'!$L$7:$L$306,"已冻结")&lt;&gt;1),"方案引用无效",IF(OR(NOT(ISNUMBER(F130)),M130=""),"待补登记信息",IF(AND(M130="已观测",OR(K130="",AND(NOT(ISNUMBER(G130)),J130=""))),"待补观测与来源",IF(AND(ISNUMBER(G130),H130=""),"待补数值单位",IF(AND(N130&lt;&gt;"",OR(N130=A130,COUNTIFS('观测证据'!$A$7:$A$306,N130,'观测证据'!$B$7:$B$306,B130,'观测证据'!$M$7:$M$306,"已更正")&lt;&gt;1)),"更正引用待核对","有效输入"))))))))</x:f>
      </x:c>
    </x:row>
    <x:row r="131" ht="25" customHeight="1">
      <x:c r="A131" s="3"/>
      <x:c r="B131" s="3"/>
      <x:c r="C131" s="3"/>
      <x:c r="D131" s="3"/>
      <x:c r="E131" s="25"/>
      <x:c r="F131" s="25"/>
      <x:c r="G131" s="22"/>
      <x:c r="H131" s="3"/>
      <x:c r="I131" s="22"/>
      <x:c r="J131" s="3"/>
      <x:c r="K131" s="3"/>
      <x:c r="L131" s="3"/>
      <x:c r="M131" s="3"/>
      <x:c r="N131" s="3"/>
      <x:c r="O131" s="3"/>
      <x:c r="P131" s="19" t="str">
        <x:f>IF(A131="","",IF(COUNTIFS('观测证据'!$A$7:$A$306,A131)&lt;&gt;1,"编号重复",IF(COUNTIFS('问题总览'!$A$7:$A$306,B131)&lt;&gt;1,"问题引用无效",IF(AND(C131&lt;&gt;"",COUNTIFS('方案版本'!$A$7:$A$306,C131,'方案版本'!$B$7:$B$306,B131,'方案版本'!$L$7:$L$306,"已冻结")&lt;&gt;1),"方案引用无效",IF(OR(NOT(ISNUMBER(F131)),M131=""),"待补登记信息",IF(AND(M131="已观测",OR(K131="",AND(NOT(ISNUMBER(G131)),J131=""))),"待补观测与来源",IF(AND(ISNUMBER(G131),H131=""),"待补数值单位",IF(AND(N131&lt;&gt;"",OR(N131=A131,COUNTIFS('观测证据'!$A$7:$A$306,N131,'观测证据'!$B$7:$B$306,B131,'观测证据'!$M$7:$M$306,"已更正")&lt;&gt;1)),"更正引用待核对","有效输入"))))))))</x:f>
      </x:c>
    </x:row>
    <x:row r="132" ht="25" customHeight="1">
      <x:c r="A132" s="3"/>
      <x:c r="B132" s="3"/>
      <x:c r="C132" s="3"/>
      <x:c r="D132" s="3"/>
      <x:c r="E132" s="25"/>
      <x:c r="F132" s="25"/>
      <x:c r="G132" s="22"/>
      <x:c r="H132" s="3"/>
      <x:c r="I132" s="22"/>
      <x:c r="J132" s="3"/>
      <x:c r="K132" s="3"/>
      <x:c r="L132" s="3"/>
      <x:c r="M132" s="3"/>
      <x:c r="N132" s="3"/>
      <x:c r="O132" s="3"/>
      <x:c r="P132" s="19" t="str">
        <x:f>IF(A132="","",IF(COUNTIFS('观测证据'!$A$7:$A$306,A132)&lt;&gt;1,"编号重复",IF(COUNTIFS('问题总览'!$A$7:$A$306,B132)&lt;&gt;1,"问题引用无效",IF(AND(C132&lt;&gt;"",COUNTIFS('方案版本'!$A$7:$A$306,C132,'方案版本'!$B$7:$B$306,B132,'方案版本'!$L$7:$L$306,"已冻结")&lt;&gt;1),"方案引用无效",IF(OR(NOT(ISNUMBER(F132)),M132=""),"待补登记信息",IF(AND(M132="已观测",OR(K132="",AND(NOT(ISNUMBER(G132)),J132=""))),"待补观测与来源",IF(AND(ISNUMBER(G132),H132=""),"待补数值单位",IF(AND(N132&lt;&gt;"",OR(N132=A132,COUNTIFS('观测证据'!$A$7:$A$306,N132,'观测证据'!$B$7:$B$306,B132,'观测证据'!$M$7:$M$306,"已更正")&lt;&gt;1)),"更正引用待核对","有效输入"))))))))</x:f>
      </x:c>
    </x:row>
    <x:row r="133" ht="25" customHeight="1">
      <x:c r="A133" s="3"/>
      <x:c r="B133" s="3"/>
      <x:c r="C133" s="3"/>
      <x:c r="D133" s="3"/>
      <x:c r="E133" s="25"/>
      <x:c r="F133" s="25"/>
      <x:c r="G133" s="22"/>
      <x:c r="H133" s="3"/>
      <x:c r="I133" s="22"/>
      <x:c r="J133" s="3"/>
      <x:c r="K133" s="3"/>
      <x:c r="L133" s="3"/>
      <x:c r="M133" s="3"/>
      <x:c r="N133" s="3"/>
      <x:c r="O133" s="3"/>
      <x:c r="P133" s="19" t="str">
        <x:f>IF(A133="","",IF(COUNTIFS('观测证据'!$A$7:$A$306,A133)&lt;&gt;1,"编号重复",IF(COUNTIFS('问题总览'!$A$7:$A$306,B133)&lt;&gt;1,"问题引用无效",IF(AND(C133&lt;&gt;"",COUNTIFS('方案版本'!$A$7:$A$306,C133,'方案版本'!$B$7:$B$306,B133,'方案版本'!$L$7:$L$306,"已冻结")&lt;&gt;1),"方案引用无效",IF(OR(NOT(ISNUMBER(F133)),M133=""),"待补登记信息",IF(AND(M133="已观测",OR(K133="",AND(NOT(ISNUMBER(G133)),J133=""))),"待补观测与来源",IF(AND(ISNUMBER(G133),H133=""),"待补数值单位",IF(AND(N133&lt;&gt;"",OR(N133=A133,COUNTIFS('观测证据'!$A$7:$A$306,N133,'观测证据'!$B$7:$B$306,B133,'观测证据'!$M$7:$M$306,"已更正")&lt;&gt;1)),"更正引用待核对","有效输入"))))))))</x:f>
      </x:c>
    </x:row>
    <x:row r="134" ht="25" customHeight="1">
      <x:c r="A134" s="3"/>
      <x:c r="B134" s="3"/>
      <x:c r="C134" s="3"/>
      <x:c r="D134" s="3"/>
      <x:c r="E134" s="25"/>
      <x:c r="F134" s="25"/>
      <x:c r="G134" s="22"/>
      <x:c r="H134" s="3"/>
      <x:c r="I134" s="22"/>
      <x:c r="J134" s="3"/>
      <x:c r="K134" s="3"/>
      <x:c r="L134" s="3"/>
      <x:c r="M134" s="3"/>
      <x:c r="N134" s="3"/>
      <x:c r="O134" s="3"/>
      <x:c r="P134" s="19" t="str">
        <x:f>IF(A134="","",IF(COUNTIFS('观测证据'!$A$7:$A$306,A134)&lt;&gt;1,"编号重复",IF(COUNTIFS('问题总览'!$A$7:$A$306,B134)&lt;&gt;1,"问题引用无效",IF(AND(C134&lt;&gt;"",COUNTIFS('方案版本'!$A$7:$A$306,C134,'方案版本'!$B$7:$B$306,B134,'方案版本'!$L$7:$L$306,"已冻结")&lt;&gt;1),"方案引用无效",IF(OR(NOT(ISNUMBER(F134)),M134=""),"待补登记信息",IF(AND(M134="已观测",OR(K134="",AND(NOT(ISNUMBER(G134)),J134=""))),"待补观测与来源",IF(AND(ISNUMBER(G134),H134=""),"待补数值单位",IF(AND(N134&lt;&gt;"",OR(N134=A134,COUNTIFS('观测证据'!$A$7:$A$306,N134,'观测证据'!$B$7:$B$306,B134,'观测证据'!$M$7:$M$306,"已更正")&lt;&gt;1)),"更正引用待核对","有效输入"))))))))</x:f>
      </x:c>
    </x:row>
    <x:row r="135" ht="25" customHeight="1">
      <x:c r="A135" s="3"/>
      <x:c r="B135" s="3"/>
      <x:c r="C135" s="3"/>
      <x:c r="D135" s="3"/>
      <x:c r="E135" s="25"/>
      <x:c r="F135" s="25"/>
      <x:c r="G135" s="22"/>
      <x:c r="H135" s="3"/>
      <x:c r="I135" s="22"/>
      <x:c r="J135" s="3"/>
      <x:c r="K135" s="3"/>
      <x:c r="L135" s="3"/>
      <x:c r="M135" s="3"/>
      <x:c r="N135" s="3"/>
      <x:c r="O135" s="3"/>
      <x:c r="P135" s="19" t="str">
        <x:f>IF(A135="","",IF(COUNTIFS('观测证据'!$A$7:$A$306,A135)&lt;&gt;1,"编号重复",IF(COUNTIFS('问题总览'!$A$7:$A$306,B135)&lt;&gt;1,"问题引用无效",IF(AND(C135&lt;&gt;"",COUNTIFS('方案版本'!$A$7:$A$306,C135,'方案版本'!$B$7:$B$306,B135,'方案版本'!$L$7:$L$306,"已冻结")&lt;&gt;1),"方案引用无效",IF(OR(NOT(ISNUMBER(F135)),M135=""),"待补登记信息",IF(AND(M135="已观测",OR(K135="",AND(NOT(ISNUMBER(G135)),J135=""))),"待补观测与来源",IF(AND(ISNUMBER(G135),H135=""),"待补数值单位",IF(AND(N135&lt;&gt;"",OR(N135=A135,COUNTIFS('观测证据'!$A$7:$A$306,N135,'观测证据'!$B$7:$B$306,B135,'观测证据'!$M$7:$M$306,"已更正")&lt;&gt;1)),"更正引用待核对","有效输入"))))))))</x:f>
      </x:c>
    </x:row>
    <x:row r="136" ht="25" customHeight="1">
      <x:c r="A136" s="3"/>
      <x:c r="B136" s="3"/>
      <x:c r="C136" s="3"/>
      <x:c r="D136" s="3"/>
      <x:c r="E136" s="25"/>
      <x:c r="F136" s="25"/>
      <x:c r="G136" s="22"/>
      <x:c r="H136" s="3"/>
      <x:c r="I136" s="22"/>
      <x:c r="J136" s="3"/>
      <x:c r="K136" s="3"/>
      <x:c r="L136" s="3"/>
      <x:c r="M136" s="3"/>
      <x:c r="N136" s="3"/>
      <x:c r="O136" s="3"/>
      <x:c r="P136" s="19" t="str">
        <x:f>IF(A136="","",IF(COUNTIFS('观测证据'!$A$7:$A$306,A136)&lt;&gt;1,"编号重复",IF(COUNTIFS('问题总览'!$A$7:$A$306,B136)&lt;&gt;1,"问题引用无效",IF(AND(C136&lt;&gt;"",COUNTIFS('方案版本'!$A$7:$A$306,C136,'方案版本'!$B$7:$B$306,B136,'方案版本'!$L$7:$L$306,"已冻结")&lt;&gt;1),"方案引用无效",IF(OR(NOT(ISNUMBER(F136)),M136=""),"待补登记信息",IF(AND(M136="已观测",OR(K136="",AND(NOT(ISNUMBER(G136)),J136=""))),"待补观测与来源",IF(AND(ISNUMBER(G136),H136=""),"待补数值单位",IF(AND(N136&lt;&gt;"",OR(N136=A136,COUNTIFS('观测证据'!$A$7:$A$306,N136,'观测证据'!$B$7:$B$306,B136,'观测证据'!$M$7:$M$306,"已更正")&lt;&gt;1)),"更正引用待核对","有效输入"))))))))</x:f>
      </x:c>
    </x:row>
    <x:row r="137" ht="25" customHeight="1">
      <x:c r="A137" s="3"/>
      <x:c r="B137" s="3"/>
      <x:c r="C137" s="3"/>
      <x:c r="D137" s="3"/>
      <x:c r="E137" s="25"/>
      <x:c r="F137" s="25"/>
      <x:c r="G137" s="22"/>
      <x:c r="H137" s="3"/>
      <x:c r="I137" s="22"/>
      <x:c r="J137" s="3"/>
      <x:c r="K137" s="3"/>
      <x:c r="L137" s="3"/>
      <x:c r="M137" s="3"/>
      <x:c r="N137" s="3"/>
      <x:c r="O137" s="3"/>
      <x:c r="P137" s="19" t="str">
        <x:f>IF(A137="","",IF(COUNTIFS('观测证据'!$A$7:$A$306,A137)&lt;&gt;1,"编号重复",IF(COUNTIFS('问题总览'!$A$7:$A$306,B137)&lt;&gt;1,"问题引用无效",IF(AND(C137&lt;&gt;"",COUNTIFS('方案版本'!$A$7:$A$306,C137,'方案版本'!$B$7:$B$306,B137,'方案版本'!$L$7:$L$306,"已冻结")&lt;&gt;1),"方案引用无效",IF(OR(NOT(ISNUMBER(F137)),M137=""),"待补登记信息",IF(AND(M137="已观测",OR(K137="",AND(NOT(ISNUMBER(G137)),J137=""))),"待补观测与来源",IF(AND(ISNUMBER(G137),H137=""),"待补数值单位",IF(AND(N137&lt;&gt;"",OR(N137=A137,COUNTIFS('观测证据'!$A$7:$A$306,N137,'观测证据'!$B$7:$B$306,B137,'观测证据'!$M$7:$M$306,"已更正")&lt;&gt;1)),"更正引用待核对","有效输入"))))))))</x:f>
      </x:c>
    </x:row>
    <x:row r="138" ht="25" customHeight="1">
      <x:c r="A138" s="3"/>
      <x:c r="B138" s="3"/>
      <x:c r="C138" s="3"/>
      <x:c r="D138" s="3"/>
      <x:c r="E138" s="25"/>
      <x:c r="F138" s="25"/>
      <x:c r="G138" s="22"/>
      <x:c r="H138" s="3"/>
      <x:c r="I138" s="22"/>
      <x:c r="J138" s="3"/>
      <x:c r="K138" s="3"/>
      <x:c r="L138" s="3"/>
      <x:c r="M138" s="3"/>
      <x:c r="N138" s="3"/>
      <x:c r="O138" s="3"/>
      <x:c r="P138" s="19" t="str">
        <x:f>IF(A138="","",IF(COUNTIFS('观测证据'!$A$7:$A$306,A138)&lt;&gt;1,"编号重复",IF(COUNTIFS('问题总览'!$A$7:$A$306,B138)&lt;&gt;1,"问题引用无效",IF(AND(C138&lt;&gt;"",COUNTIFS('方案版本'!$A$7:$A$306,C138,'方案版本'!$B$7:$B$306,B138,'方案版本'!$L$7:$L$306,"已冻结")&lt;&gt;1),"方案引用无效",IF(OR(NOT(ISNUMBER(F138)),M138=""),"待补登记信息",IF(AND(M138="已观测",OR(K138="",AND(NOT(ISNUMBER(G138)),J138=""))),"待补观测与来源",IF(AND(ISNUMBER(G138),H138=""),"待补数值单位",IF(AND(N138&lt;&gt;"",OR(N138=A138,COUNTIFS('观测证据'!$A$7:$A$306,N138,'观测证据'!$B$7:$B$306,B138,'观测证据'!$M$7:$M$306,"已更正")&lt;&gt;1)),"更正引用待核对","有效输入"))))))))</x:f>
      </x:c>
    </x:row>
    <x:row r="139" ht="25" customHeight="1">
      <x:c r="A139" s="3"/>
      <x:c r="B139" s="3"/>
      <x:c r="C139" s="3"/>
      <x:c r="D139" s="3"/>
      <x:c r="E139" s="25"/>
      <x:c r="F139" s="25"/>
      <x:c r="G139" s="22"/>
      <x:c r="H139" s="3"/>
      <x:c r="I139" s="22"/>
      <x:c r="J139" s="3"/>
      <x:c r="K139" s="3"/>
      <x:c r="L139" s="3"/>
      <x:c r="M139" s="3"/>
      <x:c r="N139" s="3"/>
      <x:c r="O139" s="3"/>
      <x:c r="P139" s="19" t="str">
        <x:f>IF(A139="","",IF(COUNTIFS('观测证据'!$A$7:$A$306,A139)&lt;&gt;1,"编号重复",IF(COUNTIFS('问题总览'!$A$7:$A$306,B139)&lt;&gt;1,"问题引用无效",IF(AND(C139&lt;&gt;"",COUNTIFS('方案版本'!$A$7:$A$306,C139,'方案版本'!$B$7:$B$306,B139,'方案版本'!$L$7:$L$306,"已冻结")&lt;&gt;1),"方案引用无效",IF(OR(NOT(ISNUMBER(F139)),M139=""),"待补登记信息",IF(AND(M139="已观测",OR(K139="",AND(NOT(ISNUMBER(G139)),J139=""))),"待补观测与来源",IF(AND(ISNUMBER(G139),H139=""),"待补数值单位",IF(AND(N139&lt;&gt;"",OR(N139=A139,COUNTIFS('观测证据'!$A$7:$A$306,N139,'观测证据'!$B$7:$B$306,B139,'观测证据'!$M$7:$M$306,"已更正")&lt;&gt;1)),"更正引用待核对","有效输入"))))))))</x:f>
      </x:c>
    </x:row>
    <x:row r="140" ht="25" customHeight="1">
      <x:c r="A140" s="3"/>
      <x:c r="B140" s="3"/>
      <x:c r="C140" s="3"/>
      <x:c r="D140" s="3"/>
      <x:c r="E140" s="25"/>
      <x:c r="F140" s="25"/>
      <x:c r="G140" s="22"/>
      <x:c r="H140" s="3"/>
      <x:c r="I140" s="22"/>
      <x:c r="J140" s="3"/>
      <x:c r="K140" s="3"/>
      <x:c r="L140" s="3"/>
      <x:c r="M140" s="3"/>
      <x:c r="N140" s="3"/>
      <x:c r="O140" s="3"/>
      <x:c r="P140" s="19" t="str">
        <x:f>IF(A140="","",IF(COUNTIFS('观测证据'!$A$7:$A$306,A140)&lt;&gt;1,"编号重复",IF(COUNTIFS('问题总览'!$A$7:$A$306,B140)&lt;&gt;1,"问题引用无效",IF(AND(C140&lt;&gt;"",COUNTIFS('方案版本'!$A$7:$A$306,C140,'方案版本'!$B$7:$B$306,B140,'方案版本'!$L$7:$L$306,"已冻结")&lt;&gt;1),"方案引用无效",IF(OR(NOT(ISNUMBER(F140)),M140=""),"待补登记信息",IF(AND(M140="已观测",OR(K140="",AND(NOT(ISNUMBER(G140)),J140=""))),"待补观测与来源",IF(AND(ISNUMBER(G140),H140=""),"待补数值单位",IF(AND(N140&lt;&gt;"",OR(N140=A140,COUNTIFS('观测证据'!$A$7:$A$306,N140,'观测证据'!$B$7:$B$306,B140,'观测证据'!$M$7:$M$306,"已更正")&lt;&gt;1)),"更正引用待核对","有效输入"))))))))</x:f>
      </x:c>
    </x:row>
    <x:row r="141" ht="25" customHeight="1">
      <x:c r="A141" s="3"/>
      <x:c r="B141" s="3"/>
      <x:c r="C141" s="3"/>
      <x:c r="D141" s="3"/>
      <x:c r="E141" s="25"/>
      <x:c r="F141" s="25"/>
      <x:c r="G141" s="22"/>
      <x:c r="H141" s="3"/>
      <x:c r="I141" s="22"/>
      <x:c r="J141" s="3"/>
      <x:c r="K141" s="3"/>
      <x:c r="L141" s="3"/>
      <x:c r="M141" s="3"/>
      <x:c r="N141" s="3"/>
      <x:c r="O141" s="3"/>
      <x:c r="P141" s="19" t="str">
        <x:f>IF(A141="","",IF(COUNTIFS('观测证据'!$A$7:$A$306,A141)&lt;&gt;1,"编号重复",IF(COUNTIFS('问题总览'!$A$7:$A$306,B141)&lt;&gt;1,"问题引用无效",IF(AND(C141&lt;&gt;"",COUNTIFS('方案版本'!$A$7:$A$306,C141,'方案版本'!$B$7:$B$306,B141,'方案版本'!$L$7:$L$306,"已冻结")&lt;&gt;1),"方案引用无效",IF(OR(NOT(ISNUMBER(F141)),M141=""),"待补登记信息",IF(AND(M141="已观测",OR(K141="",AND(NOT(ISNUMBER(G141)),J141=""))),"待补观测与来源",IF(AND(ISNUMBER(G141),H141=""),"待补数值单位",IF(AND(N141&lt;&gt;"",OR(N141=A141,COUNTIFS('观测证据'!$A$7:$A$306,N141,'观测证据'!$B$7:$B$306,B141,'观测证据'!$M$7:$M$306,"已更正")&lt;&gt;1)),"更正引用待核对","有效输入"))))))))</x:f>
      </x:c>
    </x:row>
    <x:row r="142" ht="25" customHeight="1">
      <x:c r="A142" s="3"/>
      <x:c r="B142" s="3"/>
      <x:c r="C142" s="3"/>
      <x:c r="D142" s="3"/>
      <x:c r="E142" s="25"/>
      <x:c r="F142" s="25"/>
      <x:c r="G142" s="22"/>
      <x:c r="H142" s="3"/>
      <x:c r="I142" s="22"/>
      <x:c r="J142" s="3"/>
      <x:c r="K142" s="3"/>
      <x:c r="L142" s="3"/>
      <x:c r="M142" s="3"/>
      <x:c r="N142" s="3"/>
      <x:c r="O142" s="3"/>
      <x:c r="P142" s="19" t="str">
        <x:f>IF(A142="","",IF(COUNTIFS('观测证据'!$A$7:$A$306,A142)&lt;&gt;1,"编号重复",IF(COUNTIFS('问题总览'!$A$7:$A$306,B142)&lt;&gt;1,"问题引用无效",IF(AND(C142&lt;&gt;"",COUNTIFS('方案版本'!$A$7:$A$306,C142,'方案版本'!$B$7:$B$306,B142,'方案版本'!$L$7:$L$306,"已冻结")&lt;&gt;1),"方案引用无效",IF(OR(NOT(ISNUMBER(F142)),M142=""),"待补登记信息",IF(AND(M142="已观测",OR(K142="",AND(NOT(ISNUMBER(G142)),J142=""))),"待补观测与来源",IF(AND(ISNUMBER(G142),H142=""),"待补数值单位",IF(AND(N142&lt;&gt;"",OR(N142=A142,COUNTIFS('观测证据'!$A$7:$A$306,N142,'观测证据'!$B$7:$B$306,B142,'观测证据'!$M$7:$M$306,"已更正")&lt;&gt;1)),"更正引用待核对","有效输入"))))))))</x:f>
      </x:c>
    </x:row>
    <x:row r="143" ht="25" customHeight="1">
      <x:c r="A143" s="3"/>
      <x:c r="B143" s="3"/>
      <x:c r="C143" s="3"/>
      <x:c r="D143" s="3"/>
      <x:c r="E143" s="25"/>
      <x:c r="F143" s="25"/>
      <x:c r="G143" s="22"/>
      <x:c r="H143" s="3"/>
      <x:c r="I143" s="22"/>
      <x:c r="J143" s="3"/>
      <x:c r="K143" s="3"/>
      <x:c r="L143" s="3"/>
      <x:c r="M143" s="3"/>
      <x:c r="N143" s="3"/>
      <x:c r="O143" s="3"/>
      <x:c r="P143" s="19" t="str">
        <x:f>IF(A143="","",IF(COUNTIFS('观测证据'!$A$7:$A$306,A143)&lt;&gt;1,"编号重复",IF(COUNTIFS('问题总览'!$A$7:$A$306,B143)&lt;&gt;1,"问题引用无效",IF(AND(C143&lt;&gt;"",COUNTIFS('方案版本'!$A$7:$A$306,C143,'方案版本'!$B$7:$B$306,B143,'方案版本'!$L$7:$L$306,"已冻结")&lt;&gt;1),"方案引用无效",IF(OR(NOT(ISNUMBER(F143)),M143=""),"待补登记信息",IF(AND(M143="已观测",OR(K143="",AND(NOT(ISNUMBER(G143)),J143=""))),"待补观测与来源",IF(AND(ISNUMBER(G143),H143=""),"待补数值单位",IF(AND(N143&lt;&gt;"",OR(N143=A143,COUNTIFS('观测证据'!$A$7:$A$306,N143,'观测证据'!$B$7:$B$306,B143,'观测证据'!$M$7:$M$306,"已更正")&lt;&gt;1)),"更正引用待核对","有效输入"))))))))</x:f>
      </x:c>
    </x:row>
    <x:row r="144" ht="25" customHeight="1">
      <x:c r="A144" s="3"/>
      <x:c r="B144" s="3"/>
      <x:c r="C144" s="3"/>
      <x:c r="D144" s="3"/>
      <x:c r="E144" s="25"/>
      <x:c r="F144" s="25"/>
      <x:c r="G144" s="22"/>
      <x:c r="H144" s="3"/>
      <x:c r="I144" s="22"/>
      <x:c r="J144" s="3"/>
      <x:c r="K144" s="3"/>
      <x:c r="L144" s="3"/>
      <x:c r="M144" s="3"/>
      <x:c r="N144" s="3"/>
      <x:c r="O144" s="3"/>
      <x:c r="P144" s="19" t="str">
        <x:f>IF(A144="","",IF(COUNTIFS('观测证据'!$A$7:$A$306,A144)&lt;&gt;1,"编号重复",IF(COUNTIFS('问题总览'!$A$7:$A$306,B144)&lt;&gt;1,"问题引用无效",IF(AND(C144&lt;&gt;"",COUNTIFS('方案版本'!$A$7:$A$306,C144,'方案版本'!$B$7:$B$306,B144,'方案版本'!$L$7:$L$306,"已冻结")&lt;&gt;1),"方案引用无效",IF(OR(NOT(ISNUMBER(F144)),M144=""),"待补登记信息",IF(AND(M144="已观测",OR(K144="",AND(NOT(ISNUMBER(G144)),J144=""))),"待补观测与来源",IF(AND(ISNUMBER(G144),H144=""),"待补数值单位",IF(AND(N144&lt;&gt;"",OR(N144=A144,COUNTIFS('观测证据'!$A$7:$A$306,N144,'观测证据'!$B$7:$B$306,B144,'观测证据'!$M$7:$M$306,"已更正")&lt;&gt;1)),"更正引用待核对","有效输入"))))))))</x:f>
      </x:c>
    </x:row>
    <x:row r="145" ht="25" customHeight="1">
      <x:c r="A145" s="3"/>
      <x:c r="B145" s="3"/>
      <x:c r="C145" s="3"/>
      <x:c r="D145" s="3"/>
      <x:c r="E145" s="25"/>
      <x:c r="F145" s="25"/>
      <x:c r="G145" s="22"/>
      <x:c r="H145" s="3"/>
      <x:c r="I145" s="22"/>
      <x:c r="J145" s="3"/>
      <x:c r="K145" s="3"/>
      <x:c r="L145" s="3"/>
      <x:c r="M145" s="3"/>
      <x:c r="N145" s="3"/>
      <x:c r="O145" s="3"/>
      <x:c r="P145" s="19" t="str">
        <x:f>IF(A145="","",IF(COUNTIFS('观测证据'!$A$7:$A$306,A145)&lt;&gt;1,"编号重复",IF(COUNTIFS('问题总览'!$A$7:$A$306,B145)&lt;&gt;1,"问题引用无效",IF(AND(C145&lt;&gt;"",COUNTIFS('方案版本'!$A$7:$A$306,C145,'方案版本'!$B$7:$B$306,B145,'方案版本'!$L$7:$L$306,"已冻结")&lt;&gt;1),"方案引用无效",IF(OR(NOT(ISNUMBER(F145)),M145=""),"待补登记信息",IF(AND(M145="已观测",OR(K145="",AND(NOT(ISNUMBER(G145)),J145=""))),"待补观测与来源",IF(AND(ISNUMBER(G145),H145=""),"待补数值单位",IF(AND(N145&lt;&gt;"",OR(N145=A145,COUNTIFS('观测证据'!$A$7:$A$306,N145,'观测证据'!$B$7:$B$306,B145,'观测证据'!$M$7:$M$306,"已更正")&lt;&gt;1)),"更正引用待核对","有效输入"))))))))</x:f>
      </x:c>
    </x:row>
    <x:row r="146" ht="25" customHeight="1">
      <x:c r="A146" s="3"/>
      <x:c r="B146" s="3"/>
      <x:c r="C146" s="3"/>
      <x:c r="D146" s="3"/>
      <x:c r="E146" s="25"/>
      <x:c r="F146" s="25"/>
      <x:c r="G146" s="22"/>
      <x:c r="H146" s="3"/>
      <x:c r="I146" s="22"/>
      <x:c r="J146" s="3"/>
      <x:c r="K146" s="3"/>
      <x:c r="L146" s="3"/>
      <x:c r="M146" s="3"/>
      <x:c r="N146" s="3"/>
      <x:c r="O146" s="3"/>
      <x:c r="P146" s="19" t="str">
        <x:f>IF(A146="","",IF(COUNTIFS('观测证据'!$A$7:$A$306,A146)&lt;&gt;1,"编号重复",IF(COUNTIFS('问题总览'!$A$7:$A$306,B146)&lt;&gt;1,"问题引用无效",IF(AND(C146&lt;&gt;"",COUNTIFS('方案版本'!$A$7:$A$306,C146,'方案版本'!$B$7:$B$306,B146,'方案版本'!$L$7:$L$306,"已冻结")&lt;&gt;1),"方案引用无效",IF(OR(NOT(ISNUMBER(F146)),M146=""),"待补登记信息",IF(AND(M146="已观测",OR(K146="",AND(NOT(ISNUMBER(G146)),J146=""))),"待补观测与来源",IF(AND(ISNUMBER(G146),H146=""),"待补数值单位",IF(AND(N146&lt;&gt;"",OR(N146=A146,COUNTIFS('观测证据'!$A$7:$A$306,N146,'观测证据'!$B$7:$B$306,B146,'观测证据'!$M$7:$M$306,"已更正")&lt;&gt;1)),"更正引用待核对","有效输入"))))))))</x:f>
      </x:c>
    </x:row>
    <x:row r="147" ht="25" customHeight="1">
      <x:c r="A147" s="3"/>
      <x:c r="B147" s="3"/>
      <x:c r="C147" s="3"/>
      <x:c r="D147" s="3"/>
      <x:c r="E147" s="25"/>
      <x:c r="F147" s="25"/>
      <x:c r="G147" s="22"/>
      <x:c r="H147" s="3"/>
      <x:c r="I147" s="22"/>
      <x:c r="J147" s="3"/>
      <x:c r="K147" s="3"/>
      <x:c r="L147" s="3"/>
      <x:c r="M147" s="3"/>
      <x:c r="N147" s="3"/>
      <x:c r="O147" s="3"/>
      <x:c r="P147" s="19" t="str">
        <x:f>IF(A147="","",IF(COUNTIFS('观测证据'!$A$7:$A$306,A147)&lt;&gt;1,"编号重复",IF(COUNTIFS('问题总览'!$A$7:$A$306,B147)&lt;&gt;1,"问题引用无效",IF(AND(C147&lt;&gt;"",COUNTIFS('方案版本'!$A$7:$A$306,C147,'方案版本'!$B$7:$B$306,B147,'方案版本'!$L$7:$L$306,"已冻结")&lt;&gt;1),"方案引用无效",IF(OR(NOT(ISNUMBER(F147)),M147=""),"待补登记信息",IF(AND(M147="已观测",OR(K147="",AND(NOT(ISNUMBER(G147)),J147=""))),"待补观测与来源",IF(AND(ISNUMBER(G147),H147=""),"待补数值单位",IF(AND(N147&lt;&gt;"",OR(N147=A147,COUNTIFS('观测证据'!$A$7:$A$306,N147,'观测证据'!$B$7:$B$306,B147,'观测证据'!$M$7:$M$306,"已更正")&lt;&gt;1)),"更正引用待核对","有效输入"))))))))</x:f>
      </x:c>
    </x:row>
    <x:row r="148" ht="25" customHeight="1">
      <x:c r="A148" s="3"/>
      <x:c r="B148" s="3"/>
      <x:c r="C148" s="3"/>
      <x:c r="D148" s="3"/>
      <x:c r="E148" s="25"/>
      <x:c r="F148" s="25"/>
      <x:c r="G148" s="22"/>
      <x:c r="H148" s="3"/>
      <x:c r="I148" s="22"/>
      <x:c r="J148" s="3"/>
      <x:c r="K148" s="3"/>
      <x:c r="L148" s="3"/>
      <x:c r="M148" s="3"/>
      <x:c r="N148" s="3"/>
      <x:c r="O148" s="3"/>
      <x:c r="P148" s="19" t="str">
        <x:f>IF(A148="","",IF(COUNTIFS('观测证据'!$A$7:$A$306,A148)&lt;&gt;1,"编号重复",IF(COUNTIFS('问题总览'!$A$7:$A$306,B148)&lt;&gt;1,"问题引用无效",IF(AND(C148&lt;&gt;"",COUNTIFS('方案版本'!$A$7:$A$306,C148,'方案版本'!$B$7:$B$306,B148,'方案版本'!$L$7:$L$306,"已冻结")&lt;&gt;1),"方案引用无效",IF(OR(NOT(ISNUMBER(F148)),M148=""),"待补登记信息",IF(AND(M148="已观测",OR(K148="",AND(NOT(ISNUMBER(G148)),J148=""))),"待补观测与来源",IF(AND(ISNUMBER(G148),H148=""),"待补数值单位",IF(AND(N148&lt;&gt;"",OR(N148=A148,COUNTIFS('观测证据'!$A$7:$A$306,N148,'观测证据'!$B$7:$B$306,B148,'观测证据'!$M$7:$M$306,"已更正")&lt;&gt;1)),"更正引用待核对","有效输入"))))))))</x:f>
      </x:c>
    </x:row>
    <x:row r="149" ht="25" customHeight="1">
      <x:c r="A149" s="3"/>
      <x:c r="B149" s="3"/>
      <x:c r="C149" s="3"/>
      <x:c r="D149" s="3"/>
      <x:c r="E149" s="25"/>
      <x:c r="F149" s="25"/>
      <x:c r="G149" s="22"/>
      <x:c r="H149" s="3"/>
      <x:c r="I149" s="22"/>
      <x:c r="J149" s="3"/>
      <x:c r="K149" s="3"/>
      <x:c r="L149" s="3"/>
      <x:c r="M149" s="3"/>
      <x:c r="N149" s="3"/>
      <x:c r="O149" s="3"/>
      <x:c r="P149" s="19" t="str">
        <x:f>IF(A149="","",IF(COUNTIFS('观测证据'!$A$7:$A$306,A149)&lt;&gt;1,"编号重复",IF(COUNTIFS('问题总览'!$A$7:$A$306,B149)&lt;&gt;1,"问题引用无效",IF(AND(C149&lt;&gt;"",COUNTIFS('方案版本'!$A$7:$A$306,C149,'方案版本'!$B$7:$B$306,B149,'方案版本'!$L$7:$L$306,"已冻结")&lt;&gt;1),"方案引用无效",IF(OR(NOT(ISNUMBER(F149)),M149=""),"待补登记信息",IF(AND(M149="已观测",OR(K149="",AND(NOT(ISNUMBER(G149)),J149=""))),"待补观测与来源",IF(AND(ISNUMBER(G149),H149=""),"待补数值单位",IF(AND(N149&lt;&gt;"",OR(N149=A149,COUNTIFS('观测证据'!$A$7:$A$306,N149,'观测证据'!$B$7:$B$306,B149,'观测证据'!$M$7:$M$306,"已更正")&lt;&gt;1)),"更正引用待核对","有效输入"))))))))</x:f>
      </x:c>
    </x:row>
    <x:row r="150" ht="25" customHeight="1">
      <x:c r="A150" s="3"/>
      <x:c r="B150" s="3"/>
      <x:c r="C150" s="3"/>
      <x:c r="D150" s="3"/>
      <x:c r="E150" s="25"/>
      <x:c r="F150" s="25"/>
      <x:c r="G150" s="22"/>
      <x:c r="H150" s="3"/>
      <x:c r="I150" s="22"/>
      <x:c r="J150" s="3"/>
      <x:c r="K150" s="3"/>
      <x:c r="L150" s="3"/>
      <x:c r="M150" s="3"/>
      <x:c r="N150" s="3"/>
      <x:c r="O150" s="3"/>
      <x:c r="P150" s="19" t="str">
        <x:f>IF(A150="","",IF(COUNTIFS('观测证据'!$A$7:$A$306,A150)&lt;&gt;1,"编号重复",IF(COUNTIFS('问题总览'!$A$7:$A$306,B150)&lt;&gt;1,"问题引用无效",IF(AND(C150&lt;&gt;"",COUNTIFS('方案版本'!$A$7:$A$306,C150,'方案版本'!$B$7:$B$306,B150,'方案版本'!$L$7:$L$306,"已冻结")&lt;&gt;1),"方案引用无效",IF(OR(NOT(ISNUMBER(F150)),M150=""),"待补登记信息",IF(AND(M150="已观测",OR(K150="",AND(NOT(ISNUMBER(G150)),J150=""))),"待补观测与来源",IF(AND(ISNUMBER(G150),H150=""),"待补数值单位",IF(AND(N150&lt;&gt;"",OR(N150=A150,COUNTIFS('观测证据'!$A$7:$A$306,N150,'观测证据'!$B$7:$B$306,B150,'观测证据'!$M$7:$M$306,"已更正")&lt;&gt;1)),"更正引用待核对","有效输入"))))))))</x:f>
      </x:c>
    </x:row>
    <x:row r="151" ht="25" customHeight="1">
      <x:c r="A151" s="3"/>
      <x:c r="B151" s="3"/>
      <x:c r="C151" s="3"/>
      <x:c r="D151" s="3"/>
      <x:c r="E151" s="25"/>
      <x:c r="F151" s="25"/>
      <x:c r="G151" s="22"/>
      <x:c r="H151" s="3"/>
      <x:c r="I151" s="22"/>
      <x:c r="J151" s="3"/>
      <x:c r="K151" s="3"/>
      <x:c r="L151" s="3"/>
      <x:c r="M151" s="3"/>
      <x:c r="N151" s="3"/>
      <x:c r="O151" s="3"/>
      <x:c r="P151" s="19" t="str">
        <x:f>IF(A151="","",IF(COUNTIFS('观测证据'!$A$7:$A$306,A151)&lt;&gt;1,"编号重复",IF(COUNTIFS('问题总览'!$A$7:$A$306,B151)&lt;&gt;1,"问题引用无效",IF(AND(C151&lt;&gt;"",COUNTIFS('方案版本'!$A$7:$A$306,C151,'方案版本'!$B$7:$B$306,B151,'方案版本'!$L$7:$L$306,"已冻结")&lt;&gt;1),"方案引用无效",IF(OR(NOT(ISNUMBER(F151)),M151=""),"待补登记信息",IF(AND(M151="已观测",OR(K151="",AND(NOT(ISNUMBER(G151)),J151=""))),"待补观测与来源",IF(AND(ISNUMBER(G151),H151=""),"待补数值单位",IF(AND(N151&lt;&gt;"",OR(N151=A151,COUNTIFS('观测证据'!$A$7:$A$306,N151,'观测证据'!$B$7:$B$306,B151,'观测证据'!$M$7:$M$306,"已更正")&lt;&gt;1)),"更正引用待核对","有效输入"))))))))</x:f>
      </x:c>
    </x:row>
    <x:row r="152" ht="25" customHeight="1">
      <x:c r="A152" s="3"/>
      <x:c r="B152" s="3"/>
      <x:c r="C152" s="3"/>
      <x:c r="D152" s="3"/>
      <x:c r="E152" s="25"/>
      <x:c r="F152" s="25"/>
      <x:c r="G152" s="22"/>
      <x:c r="H152" s="3"/>
      <x:c r="I152" s="22"/>
      <x:c r="J152" s="3"/>
      <x:c r="K152" s="3"/>
      <x:c r="L152" s="3"/>
      <x:c r="M152" s="3"/>
      <x:c r="N152" s="3"/>
      <x:c r="O152" s="3"/>
      <x:c r="P152" s="19" t="str">
        <x:f>IF(A152="","",IF(COUNTIFS('观测证据'!$A$7:$A$306,A152)&lt;&gt;1,"编号重复",IF(COUNTIFS('问题总览'!$A$7:$A$306,B152)&lt;&gt;1,"问题引用无效",IF(AND(C152&lt;&gt;"",COUNTIFS('方案版本'!$A$7:$A$306,C152,'方案版本'!$B$7:$B$306,B152,'方案版本'!$L$7:$L$306,"已冻结")&lt;&gt;1),"方案引用无效",IF(OR(NOT(ISNUMBER(F152)),M152=""),"待补登记信息",IF(AND(M152="已观测",OR(K152="",AND(NOT(ISNUMBER(G152)),J152=""))),"待补观测与来源",IF(AND(ISNUMBER(G152),H152=""),"待补数值单位",IF(AND(N152&lt;&gt;"",OR(N152=A152,COUNTIFS('观测证据'!$A$7:$A$306,N152,'观测证据'!$B$7:$B$306,B152,'观测证据'!$M$7:$M$306,"已更正")&lt;&gt;1)),"更正引用待核对","有效输入"))))))))</x:f>
      </x:c>
    </x:row>
    <x:row r="153" ht="25" customHeight="1">
      <x:c r="A153" s="3"/>
      <x:c r="B153" s="3"/>
      <x:c r="C153" s="3"/>
      <x:c r="D153" s="3"/>
      <x:c r="E153" s="25"/>
      <x:c r="F153" s="25"/>
      <x:c r="G153" s="22"/>
      <x:c r="H153" s="3"/>
      <x:c r="I153" s="22"/>
      <x:c r="J153" s="3"/>
      <x:c r="K153" s="3"/>
      <x:c r="L153" s="3"/>
      <x:c r="M153" s="3"/>
      <x:c r="N153" s="3"/>
      <x:c r="O153" s="3"/>
      <x:c r="P153" s="19" t="str">
        <x:f>IF(A153="","",IF(COUNTIFS('观测证据'!$A$7:$A$306,A153)&lt;&gt;1,"编号重复",IF(COUNTIFS('问题总览'!$A$7:$A$306,B153)&lt;&gt;1,"问题引用无效",IF(AND(C153&lt;&gt;"",COUNTIFS('方案版本'!$A$7:$A$306,C153,'方案版本'!$B$7:$B$306,B153,'方案版本'!$L$7:$L$306,"已冻结")&lt;&gt;1),"方案引用无效",IF(OR(NOT(ISNUMBER(F153)),M153=""),"待补登记信息",IF(AND(M153="已观测",OR(K153="",AND(NOT(ISNUMBER(G153)),J153=""))),"待补观测与来源",IF(AND(ISNUMBER(G153),H153=""),"待补数值单位",IF(AND(N153&lt;&gt;"",OR(N153=A153,COUNTIFS('观测证据'!$A$7:$A$306,N153,'观测证据'!$B$7:$B$306,B153,'观测证据'!$M$7:$M$306,"已更正")&lt;&gt;1)),"更正引用待核对","有效输入"))))))))</x:f>
      </x:c>
    </x:row>
    <x:row r="154" ht="25" customHeight="1">
      <x:c r="A154" s="3"/>
      <x:c r="B154" s="3"/>
      <x:c r="C154" s="3"/>
      <x:c r="D154" s="3"/>
      <x:c r="E154" s="25"/>
      <x:c r="F154" s="25"/>
      <x:c r="G154" s="22"/>
      <x:c r="H154" s="3"/>
      <x:c r="I154" s="22"/>
      <x:c r="J154" s="3"/>
      <x:c r="K154" s="3"/>
      <x:c r="L154" s="3"/>
      <x:c r="M154" s="3"/>
      <x:c r="N154" s="3"/>
      <x:c r="O154" s="3"/>
      <x:c r="P154" s="19" t="str">
        <x:f>IF(A154="","",IF(COUNTIFS('观测证据'!$A$7:$A$306,A154)&lt;&gt;1,"编号重复",IF(COUNTIFS('问题总览'!$A$7:$A$306,B154)&lt;&gt;1,"问题引用无效",IF(AND(C154&lt;&gt;"",COUNTIFS('方案版本'!$A$7:$A$306,C154,'方案版本'!$B$7:$B$306,B154,'方案版本'!$L$7:$L$306,"已冻结")&lt;&gt;1),"方案引用无效",IF(OR(NOT(ISNUMBER(F154)),M154=""),"待补登记信息",IF(AND(M154="已观测",OR(K154="",AND(NOT(ISNUMBER(G154)),J154=""))),"待补观测与来源",IF(AND(ISNUMBER(G154),H154=""),"待补数值单位",IF(AND(N154&lt;&gt;"",OR(N154=A154,COUNTIFS('观测证据'!$A$7:$A$306,N154,'观测证据'!$B$7:$B$306,B154,'观测证据'!$M$7:$M$306,"已更正")&lt;&gt;1)),"更正引用待核对","有效输入"))))))))</x:f>
      </x:c>
    </x:row>
    <x:row r="155" ht="25" customHeight="1">
      <x:c r="A155" s="3"/>
      <x:c r="B155" s="3"/>
      <x:c r="C155" s="3"/>
      <x:c r="D155" s="3"/>
      <x:c r="E155" s="25"/>
      <x:c r="F155" s="25"/>
      <x:c r="G155" s="22"/>
      <x:c r="H155" s="3"/>
      <x:c r="I155" s="22"/>
      <x:c r="J155" s="3"/>
      <x:c r="K155" s="3"/>
      <x:c r="L155" s="3"/>
      <x:c r="M155" s="3"/>
      <x:c r="N155" s="3"/>
      <x:c r="O155" s="3"/>
      <x:c r="P155" s="19" t="str">
        <x:f>IF(A155="","",IF(COUNTIFS('观测证据'!$A$7:$A$306,A155)&lt;&gt;1,"编号重复",IF(COUNTIFS('问题总览'!$A$7:$A$306,B155)&lt;&gt;1,"问题引用无效",IF(AND(C155&lt;&gt;"",COUNTIFS('方案版本'!$A$7:$A$306,C155,'方案版本'!$B$7:$B$306,B155,'方案版本'!$L$7:$L$306,"已冻结")&lt;&gt;1),"方案引用无效",IF(OR(NOT(ISNUMBER(F155)),M155=""),"待补登记信息",IF(AND(M155="已观测",OR(K155="",AND(NOT(ISNUMBER(G155)),J155=""))),"待补观测与来源",IF(AND(ISNUMBER(G155),H155=""),"待补数值单位",IF(AND(N155&lt;&gt;"",OR(N155=A155,COUNTIFS('观测证据'!$A$7:$A$306,N155,'观测证据'!$B$7:$B$306,B155,'观测证据'!$M$7:$M$306,"已更正")&lt;&gt;1)),"更正引用待核对","有效输入"))))))))</x:f>
      </x:c>
    </x:row>
    <x:row r="156" ht="25" customHeight="1">
      <x:c r="A156" s="3"/>
      <x:c r="B156" s="3"/>
      <x:c r="C156" s="3"/>
      <x:c r="D156" s="3"/>
      <x:c r="E156" s="25"/>
      <x:c r="F156" s="25"/>
      <x:c r="G156" s="22"/>
      <x:c r="H156" s="3"/>
      <x:c r="I156" s="22"/>
      <x:c r="J156" s="3"/>
      <x:c r="K156" s="3"/>
      <x:c r="L156" s="3"/>
      <x:c r="M156" s="3"/>
      <x:c r="N156" s="3"/>
      <x:c r="O156" s="3"/>
      <x:c r="P156" s="19" t="str">
        <x:f>IF(A156="","",IF(COUNTIFS('观测证据'!$A$7:$A$306,A156)&lt;&gt;1,"编号重复",IF(COUNTIFS('问题总览'!$A$7:$A$306,B156)&lt;&gt;1,"问题引用无效",IF(AND(C156&lt;&gt;"",COUNTIFS('方案版本'!$A$7:$A$306,C156,'方案版本'!$B$7:$B$306,B156,'方案版本'!$L$7:$L$306,"已冻结")&lt;&gt;1),"方案引用无效",IF(OR(NOT(ISNUMBER(F156)),M156=""),"待补登记信息",IF(AND(M156="已观测",OR(K156="",AND(NOT(ISNUMBER(G156)),J156=""))),"待补观测与来源",IF(AND(ISNUMBER(G156),H156=""),"待补数值单位",IF(AND(N156&lt;&gt;"",OR(N156=A156,COUNTIFS('观测证据'!$A$7:$A$306,N156,'观测证据'!$B$7:$B$306,B156,'观测证据'!$M$7:$M$306,"已更正")&lt;&gt;1)),"更正引用待核对","有效输入"))))))))</x:f>
      </x:c>
    </x:row>
    <x:row r="157" ht="25" customHeight="1">
      <x:c r="A157" s="3"/>
      <x:c r="B157" s="3"/>
      <x:c r="C157" s="3"/>
      <x:c r="D157" s="3"/>
      <x:c r="E157" s="25"/>
      <x:c r="F157" s="25"/>
      <x:c r="G157" s="22"/>
      <x:c r="H157" s="3"/>
      <x:c r="I157" s="22"/>
      <x:c r="J157" s="3"/>
      <x:c r="K157" s="3"/>
      <x:c r="L157" s="3"/>
      <x:c r="M157" s="3"/>
      <x:c r="N157" s="3"/>
      <x:c r="O157" s="3"/>
      <x:c r="P157" s="19" t="str">
        <x:f>IF(A157="","",IF(COUNTIFS('观测证据'!$A$7:$A$306,A157)&lt;&gt;1,"编号重复",IF(COUNTIFS('问题总览'!$A$7:$A$306,B157)&lt;&gt;1,"问题引用无效",IF(AND(C157&lt;&gt;"",COUNTIFS('方案版本'!$A$7:$A$306,C157,'方案版本'!$B$7:$B$306,B157,'方案版本'!$L$7:$L$306,"已冻结")&lt;&gt;1),"方案引用无效",IF(OR(NOT(ISNUMBER(F157)),M157=""),"待补登记信息",IF(AND(M157="已观测",OR(K157="",AND(NOT(ISNUMBER(G157)),J157=""))),"待补观测与来源",IF(AND(ISNUMBER(G157),H157=""),"待补数值单位",IF(AND(N157&lt;&gt;"",OR(N157=A157,COUNTIFS('观测证据'!$A$7:$A$306,N157,'观测证据'!$B$7:$B$306,B157,'观测证据'!$M$7:$M$306,"已更正")&lt;&gt;1)),"更正引用待核对","有效输入"))))))))</x:f>
      </x:c>
    </x:row>
    <x:row r="158" ht="25" customHeight="1">
      <x:c r="A158" s="3"/>
      <x:c r="B158" s="3"/>
      <x:c r="C158" s="3"/>
      <x:c r="D158" s="3"/>
      <x:c r="E158" s="25"/>
      <x:c r="F158" s="25"/>
      <x:c r="G158" s="22"/>
      <x:c r="H158" s="3"/>
      <x:c r="I158" s="22"/>
      <x:c r="J158" s="3"/>
      <x:c r="K158" s="3"/>
      <x:c r="L158" s="3"/>
      <x:c r="M158" s="3"/>
      <x:c r="N158" s="3"/>
      <x:c r="O158" s="3"/>
      <x:c r="P158" s="19" t="str">
        <x:f>IF(A158="","",IF(COUNTIFS('观测证据'!$A$7:$A$306,A158)&lt;&gt;1,"编号重复",IF(COUNTIFS('问题总览'!$A$7:$A$306,B158)&lt;&gt;1,"问题引用无效",IF(AND(C158&lt;&gt;"",COUNTIFS('方案版本'!$A$7:$A$306,C158,'方案版本'!$B$7:$B$306,B158,'方案版本'!$L$7:$L$306,"已冻结")&lt;&gt;1),"方案引用无效",IF(OR(NOT(ISNUMBER(F158)),M158=""),"待补登记信息",IF(AND(M158="已观测",OR(K158="",AND(NOT(ISNUMBER(G158)),J158=""))),"待补观测与来源",IF(AND(ISNUMBER(G158),H158=""),"待补数值单位",IF(AND(N158&lt;&gt;"",OR(N158=A158,COUNTIFS('观测证据'!$A$7:$A$306,N158,'观测证据'!$B$7:$B$306,B158,'观测证据'!$M$7:$M$306,"已更正")&lt;&gt;1)),"更正引用待核对","有效输入"))))))))</x:f>
      </x:c>
    </x:row>
    <x:row r="159" ht="25" customHeight="1">
      <x:c r="A159" s="3"/>
      <x:c r="B159" s="3"/>
      <x:c r="C159" s="3"/>
      <x:c r="D159" s="3"/>
      <x:c r="E159" s="25"/>
      <x:c r="F159" s="25"/>
      <x:c r="G159" s="22"/>
      <x:c r="H159" s="3"/>
      <x:c r="I159" s="22"/>
      <x:c r="J159" s="3"/>
      <x:c r="K159" s="3"/>
      <x:c r="L159" s="3"/>
      <x:c r="M159" s="3"/>
      <x:c r="N159" s="3"/>
      <x:c r="O159" s="3"/>
      <x:c r="P159" s="19" t="str">
        <x:f>IF(A159="","",IF(COUNTIFS('观测证据'!$A$7:$A$306,A159)&lt;&gt;1,"编号重复",IF(COUNTIFS('问题总览'!$A$7:$A$306,B159)&lt;&gt;1,"问题引用无效",IF(AND(C159&lt;&gt;"",COUNTIFS('方案版本'!$A$7:$A$306,C159,'方案版本'!$B$7:$B$306,B159,'方案版本'!$L$7:$L$306,"已冻结")&lt;&gt;1),"方案引用无效",IF(OR(NOT(ISNUMBER(F159)),M159=""),"待补登记信息",IF(AND(M159="已观测",OR(K159="",AND(NOT(ISNUMBER(G159)),J159=""))),"待补观测与来源",IF(AND(ISNUMBER(G159),H159=""),"待补数值单位",IF(AND(N159&lt;&gt;"",OR(N159=A159,COUNTIFS('观测证据'!$A$7:$A$306,N159,'观测证据'!$B$7:$B$306,B159,'观测证据'!$M$7:$M$306,"已更正")&lt;&gt;1)),"更正引用待核对","有效输入"))))))))</x:f>
      </x:c>
    </x:row>
    <x:row r="160" ht="25" customHeight="1">
      <x:c r="A160" s="3"/>
      <x:c r="B160" s="3"/>
      <x:c r="C160" s="3"/>
      <x:c r="D160" s="3"/>
      <x:c r="E160" s="25"/>
      <x:c r="F160" s="25"/>
      <x:c r="G160" s="22"/>
      <x:c r="H160" s="3"/>
      <x:c r="I160" s="22"/>
      <x:c r="J160" s="3"/>
      <x:c r="K160" s="3"/>
      <x:c r="L160" s="3"/>
      <x:c r="M160" s="3"/>
      <x:c r="N160" s="3"/>
      <x:c r="O160" s="3"/>
      <x:c r="P160" s="19" t="str">
        <x:f>IF(A160="","",IF(COUNTIFS('观测证据'!$A$7:$A$306,A160)&lt;&gt;1,"编号重复",IF(COUNTIFS('问题总览'!$A$7:$A$306,B160)&lt;&gt;1,"问题引用无效",IF(AND(C160&lt;&gt;"",COUNTIFS('方案版本'!$A$7:$A$306,C160,'方案版本'!$B$7:$B$306,B160,'方案版本'!$L$7:$L$306,"已冻结")&lt;&gt;1),"方案引用无效",IF(OR(NOT(ISNUMBER(F160)),M160=""),"待补登记信息",IF(AND(M160="已观测",OR(K160="",AND(NOT(ISNUMBER(G160)),J160=""))),"待补观测与来源",IF(AND(ISNUMBER(G160),H160=""),"待补数值单位",IF(AND(N160&lt;&gt;"",OR(N160=A160,COUNTIFS('观测证据'!$A$7:$A$306,N160,'观测证据'!$B$7:$B$306,B160,'观测证据'!$M$7:$M$306,"已更正")&lt;&gt;1)),"更正引用待核对","有效输入"))))))))</x:f>
      </x:c>
    </x:row>
    <x:row r="161" ht="25" customHeight="1">
      <x:c r="A161" s="3"/>
      <x:c r="B161" s="3"/>
      <x:c r="C161" s="3"/>
      <x:c r="D161" s="3"/>
      <x:c r="E161" s="25"/>
      <x:c r="F161" s="25"/>
      <x:c r="G161" s="22"/>
      <x:c r="H161" s="3"/>
      <x:c r="I161" s="22"/>
      <x:c r="J161" s="3"/>
      <x:c r="K161" s="3"/>
      <x:c r="L161" s="3"/>
      <x:c r="M161" s="3"/>
      <x:c r="N161" s="3"/>
      <x:c r="O161" s="3"/>
      <x:c r="P161" s="19" t="str">
        <x:f>IF(A161="","",IF(COUNTIFS('观测证据'!$A$7:$A$306,A161)&lt;&gt;1,"编号重复",IF(COUNTIFS('问题总览'!$A$7:$A$306,B161)&lt;&gt;1,"问题引用无效",IF(AND(C161&lt;&gt;"",COUNTIFS('方案版本'!$A$7:$A$306,C161,'方案版本'!$B$7:$B$306,B161,'方案版本'!$L$7:$L$306,"已冻结")&lt;&gt;1),"方案引用无效",IF(OR(NOT(ISNUMBER(F161)),M161=""),"待补登记信息",IF(AND(M161="已观测",OR(K161="",AND(NOT(ISNUMBER(G161)),J161=""))),"待补观测与来源",IF(AND(ISNUMBER(G161),H161=""),"待补数值单位",IF(AND(N161&lt;&gt;"",OR(N161=A161,COUNTIFS('观测证据'!$A$7:$A$306,N161,'观测证据'!$B$7:$B$306,B161,'观测证据'!$M$7:$M$306,"已更正")&lt;&gt;1)),"更正引用待核对","有效输入"))))))))</x:f>
      </x:c>
    </x:row>
    <x:row r="162" ht="25" customHeight="1">
      <x:c r="A162" s="3"/>
      <x:c r="B162" s="3"/>
      <x:c r="C162" s="3"/>
      <x:c r="D162" s="3"/>
      <x:c r="E162" s="25"/>
      <x:c r="F162" s="25"/>
      <x:c r="G162" s="22"/>
      <x:c r="H162" s="3"/>
      <x:c r="I162" s="22"/>
      <x:c r="J162" s="3"/>
      <x:c r="K162" s="3"/>
      <x:c r="L162" s="3"/>
      <x:c r="M162" s="3"/>
      <x:c r="N162" s="3"/>
      <x:c r="O162" s="3"/>
      <x:c r="P162" s="19" t="str">
        <x:f>IF(A162="","",IF(COUNTIFS('观测证据'!$A$7:$A$306,A162)&lt;&gt;1,"编号重复",IF(COUNTIFS('问题总览'!$A$7:$A$306,B162)&lt;&gt;1,"问题引用无效",IF(AND(C162&lt;&gt;"",COUNTIFS('方案版本'!$A$7:$A$306,C162,'方案版本'!$B$7:$B$306,B162,'方案版本'!$L$7:$L$306,"已冻结")&lt;&gt;1),"方案引用无效",IF(OR(NOT(ISNUMBER(F162)),M162=""),"待补登记信息",IF(AND(M162="已观测",OR(K162="",AND(NOT(ISNUMBER(G162)),J162=""))),"待补观测与来源",IF(AND(ISNUMBER(G162),H162=""),"待补数值单位",IF(AND(N162&lt;&gt;"",OR(N162=A162,COUNTIFS('观测证据'!$A$7:$A$306,N162,'观测证据'!$B$7:$B$306,B162,'观测证据'!$M$7:$M$306,"已更正")&lt;&gt;1)),"更正引用待核对","有效输入"))))))))</x:f>
      </x:c>
    </x:row>
    <x:row r="163" ht="25" customHeight="1">
      <x:c r="A163" s="3"/>
      <x:c r="B163" s="3"/>
      <x:c r="C163" s="3"/>
      <x:c r="D163" s="3"/>
      <x:c r="E163" s="25"/>
      <x:c r="F163" s="25"/>
      <x:c r="G163" s="22"/>
      <x:c r="H163" s="3"/>
      <x:c r="I163" s="22"/>
      <x:c r="J163" s="3"/>
      <x:c r="K163" s="3"/>
      <x:c r="L163" s="3"/>
      <x:c r="M163" s="3"/>
      <x:c r="N163" s="3"/>
      <x:c r="O163" s="3"/>
      <x:c r="P163" s="19" t="str">
        <x:f>IF(A163="","",IF(COUNTIFS('观测证据'!$A$7:$A$306,A163)&lt;&gt;1,"编号重复",IF(COUNTIFS('问题总览'!$A$7:$A$306,B163)&lt;&gt;1,"问题引用无效",IF(AND(C163&lt;&gt;"",COUNTIFS('方案版本'!$A$7:$A$306,C163,'方案版本'!$B$7:$B$306,B163,'方案版本'!$L$7:$L$306,"已冻结")&lt;&gt;1),"方案引用无效",IF(OR(NOT(ISNUMBER(F163)),M163=""),"待补登记信息",IF(AND(M163="已观测",OR(K163="",AND(NOT(ISNUMBER(G163)),J163=""))),"待补观测与来源",IF(AND(ISNUMBER(G163),H163=""),"待补数值单位",IF(AND(N163&lt;&gt;"",OR(N163=A163,COUNTIFS('观测证据'!$A$7:$A$306,N163,'观测证据'!$B$7:$B$306,B163,'观测证据'!$M$7:$M$306,"已更正")&lt;&gt;1)),"更正引用待核对","有效输入"))))))))</x:f>
      </x:c>
    </x:row>
    <x:row r="164" ht="25" customHeight="1">
      <x:c r="A164" s="3"/>
      <x:c r="B164" s="3"/>
      <x:c r="C164" s="3"/>
      <x:c r="D164" s="3"/>
      <x:c r="E164" s="25"/>
      <x:c r="F164" s="25"/>
      <x:c r="G164" s="22"/>
      <x:c r="H164" s="3"/>
      <x:c r="I164" s="22"/>
      <x:c r="J164" s="3"/>
      <x:c r="K164" s="3"/>
      <x:c r="L164" s="3"/>
      <x:c r="M164" s="3"/>
      <x:c r="N164" s="3"/>
      <x:c r="O164" s="3"/>
      <x:c r="P164" s="19" t="str">
        <x:f>IF(A164="","",IF(COUNTIFS('观测证据'!$A$7:$A$306,A164)&lt;&gt;1,"编号重复",IF(COUNTIFS('问题总览'!$A$7:$A$306,B164)&lt;&gt;1,"问题引用无效",IF(AND(C164&lt;&gt;"",COUNTIFS('方案版本'!$A$7:$A$306,C164,'方案版本'!$B$7:$B$306,B164,'方案版本'!$L$7:$L$306,"已冻结")&lt;&gt;1),"方案引用无效",IF(OR(NOT(ISNUMBER(F164)),M164=""),"待补登记信息",IF(AND(M164="已观测",OR(K164="",AND(NOT(ISNUMBER(G164)),J164=""))),"待补观测与来源",IF(AND(ISNUMBER(G164),H164=""),"待补数值单位",IF(AND(N164&lt;&gt;"",OR(N164=A164,COUNTIFS('观测证据'!$A$7:$A$306,N164,'观测证据'!$B$7:$B$306,B164,'观测证据'!$M$7:$M$306,"已更正")&lt;&gt;1)),"更正引用待核对","有效输入"))))))))</x:f>
      </x:c>
    </x:row>
    <x:row r="165" ht="25" customHeight="1">
      <x:c r="A165" s="3"/>
      <x:c r="B165" s="3"/>
      <x:c r="C165" s="3"/>
      <x:c r="D165" s="3"/>
      <x:c r="E165" s="25"/>
      <x:c r="F165" s="25"/>
      <x:c r="G165" s="22"/>
      <x:c r="H165" s="3"/>
      <x:c r="I165" s="22"/>
      <x:c r="J165" s="3"/>
      <x:c r="K165" s="3"/>
      <x:c r="L165" s="3"/>
      <x:c r="M165" s="3"/>
      <x:c r="N165" s="3"/>
      <x:c r="O165" s="3"/>
      <x:c r="P165" s="19" t="str">
        <x:f>IF(A165="","",IF(COUNTIFS('观测证据'!$A$7:$A$306,A165)&lt;&gt;1,"编号重复",IF(COUNTIFS('问题总览'!$A$7:$A$306,B165)&lt;&gt;1,"问题引用无效",IF(AND(C165&lt;&gt;"",COUNTIFS('方案版本'!$A$7:$A$306,C165,'方案版本'!$B$7:$B$306,B165,'方案版本'!$L$7:$L$306,"已冻结")&lt;&gt;1),"方案引用无效",IF(OR(NOT(ISNUMBER(F165)),M165=""),"待补登记信息",IF(AND(M165="已观测",OR(K165="",AND(NOT(ISNUMBER(G165)),J165=""))),"待补观测与来源",IF(AND(ISNUMBER(G165),H165=""),"待补数值单位",IF(AND(N165&lt;&gt;"",OR(N165=A165,COUNTIFS('观测证据'!$A$7:$A$306,N165,'观测证据'!$B$7:$B$306,B165,'观测证据'!$M$7:$M$306,"已更正")&lt;&gt;1)),"更正引用待核对","有效输入"))))))))</x:f>
      </x:c>
    </x:row>
    <x:row r="166" ht="25" customHeight="1">
      <x:c r="A166" s="3"/>
      <x:c r="B166" s="3"/>
      <x:c r="C166" s="3"/>
      <x:c r="D166" s="3"/>
      <x:c r="E166" s="25"/>
      <x:c r="F166" s="25"/>
      <x:c r="G166" s="22"/>
      <x:c r="H166" s="3"/>
      <x:c r="I166" s="22"/>
      <x:c r="J166" s="3"/>
      <x:c r="K166" s="3"/>
      <x:c r="L166" s="3"/>
      <x:c r="M166" s="3"/>
      <x:c r="N166" s="3"/>
      <x:c r="O166" s="3"/>
      <x:c r="P166" s="19" t="str">
        <x:f>IF(A166="","",IF(COUNTIFS('观测证据'!$A$7:$A$306,A166)&lt;&gt;1,"编号重复",IF(COUNTIFS('问题总览'!$A$7:$A$306,B166)&lt;&gt;1,"问题引用无效",IF(AND(C166&lt;&gt;"",COUNTIFS('方案版本'!$A$7:$A$306,C166,'方案版本'!$B$7:$B$306,B166,'方案版本'!$L$7:$L$306,"已冻结")&lt;&gt;1),"方案引用无效",IF(OR(NOT(ISNUMBER(F166)),M166=""),"待补登记信息",IF(AND(M166="已观测",OR(K166="",AND(NOT(ISNUMBER(G166)),J166=""))),"待补观测与来源",IF(AND(ISNUMBER(G166),H166=""),"待补数值单位",IF(AND(N166&lt;&gt;"",OR(N166=A166,COUNTIFS('观测证据'!$A$7:$A$306,N166,'观测证据'!$B$7:$B$306,B166,'观测证据'!$M$7:$M$306,"已更正")&lt;&gt;1)),"更正引用待核对","有效输入"))))))))</x:f>
      </x:c>
    </x:row>
    <x:row r="167" ht="25" customHeight="1">
      <x:c r="A167" s="3"/>
      <x:c r="B167" s="3"/>
      <x:c r="C167" s="3"/>
      <x:c r="D167" s="3"/>
      <x:c r="E167" s="25"/>
      <x:c r="F167" s="25"/>
      <x:c r="G167" s="22"/>
      <x:c r="H167" s="3"/>
      <x:c r="I167" s="22"/>
      <x:c r="J167" s="3"/>
      <x:c r="K167" s="3"/>
      <x:c r="L167" s="3"/>
      <x:c r="M167" s="3"/>
      <x:c r="N167" s="3"/>
      <x:c r="O167" s="3"/>
      <x:c r="P167" s="19" t="str">
        <x:f>IF(A167="","",IF(COUNTIFS('观测证据'!$A$7:$A$306,A167)&lt;&gt;1,"编号重复",IF(COUNTIFS('问题总览'!$A$7:$A$306,B167)&lt;&gt;1,"问题引用无效",IF(AND(C167&lt;&gt;"",COUNTIFS('方案版本'!$A$7:$A$306,C167,'方案版本'!$B$7:$B$306,B167,'方案版本'!$L$7:$L$306,"已冻结")&lt;&gt;1),"方案引用无效",IF(OR(NOT(ISNUMBER(F167)),M167=""),"待补登记信息",IF(AND(M167="已观测",OR(K167="",AND(NOT(ISNUMBER(G167)),J167=""))),"待补观测与来源",IF(AND(ISNUMBER(G167),H167=""),"待补数值单位",IF(AND(N167&lt;&gt;"",OR(N167=A167,COUNTIFS('观测证据'!$A$7:$A$306,N167,'观测证据'!$B$7:$B$306,B167,'观测证据'!$M$7:$M$306,"已更正")&lt;&gt;1)),"更正引用待核对","有效输入"))))))))</x:f>
      </x:c>
    </x:row>
    <x:row r="168" ht="25" customHeight="1">
      <x:c r="A168" s="3"/>
      <x:c r="B168" s="3"/>
      <x:c r="C168" s="3"/>
      <x:c r="D168" s="3"/>
      <x:c r="E168" s="25"/>
      <x:c r="F168" s="25"/>
      <x:c r="G168" s="22"/>
      <x:c r="H168" s="3"/>
      <x:c r="I168" s="22"/>
      <x:c r="J168" s="3"/>
      <x:c r="K168" s="3"/>
      <x:c r="L168" s="3"/>
      <x:c r="M168" s="3"/>
      <x:c r="N168" s="3"/>
      <x:c r="O168" s="3"/>
      <x:c r="P168" s="19" t="str">
        <x:f>IF(A168="","",IF(COUNTIFS('观测证据'!$A$7:$A$306,A168)&lt;&gt;1,"编号重复",IF(COUNTIFS('问题总览'!$A$7:$A$306,B168)&lt;&gt;1,"问题引用无效",IF(AND(C168&lt;&gt;"",COUNTIFS('方案版本'!$A$7:$A$306,C168,'方案版本'!$B$7:$B$306,B168,'方案版本'!$L$7:$L$306,"已冻结")&lt;&gt;1),"方案引用无效",IF(OR(NOT(ISNUMBER(F168)),M168=""),"待补登记信息",IF(AND(M168="已观测",OR(K168="",AND(NOT(ISNUMBER(G168)),J168=""))),"待补观测与来源",IF(AND(ISNUMBER(G168),H168=""),"待补数值单位",IF(AND(N168&lt;&gt;"",OR(N168=A168,COUNTIFS('观测证据'!$A$7:$A$306,N168,'观测证据'!$B$7:$B$306,B168,'观测证据'!$M$7:$M$306,"已更正")&lt;&gt;1)),"更正引用待核对","有效输入"))))))))</x:f>
      </x:c>
    </x:row>
    <x:row r="169" ht="25" customHeight="1">
      <x:c r="A169" s="3"/>
      <x:c r="B169" s="3"/>
      <x:c r="C169" s="3"/>
      <x:c r="D169" s="3"/>
      <x:c r="E169" s="25"/>
      <x:c r="F169" s="25"/>
      <x:c r="G169" s="22"/>
      <x:c r="H169" s="3"/>
      <x:c r="I169" s="22"/>
      <x:c r="J169" s="3"/>
      <x:c r="K169" s="3"/>
      <x:c r="L169" s="3"/>
      <x:c r="M169" s="3"/>
      <x:c r="N169" s="3"/>
      <x:c r="O169" s="3"/>
      <x:c r="P169" s="19" t="str">
        <x:f>IF(A169="","",IF(COUNTIFS('观测证据'!$A$7:$A$306,A169)&lt;&gt;1,"编号重复",IF(COUNTIFS('问题总览'!$A$7:$A$306,B169)&lt;&gt;1,"问题引用无效",IF(AND(C169&lt;&gt;"",COUNTIFS('方案版本'!$A$7:$A$306,C169,'方案版本'!$B$7:$B$306,B169,'方案版本'!$L$7:$L$306,"已冻结")&lt;&gt;1),"方案引用无效",IF(OR(NOT(ISNUMBER(F169)),M169=""),"待补登记信息",IF(AND(M169="已观测",OR(K169="",AND(NOT(ISNUMBER(G169)),J169=""))),"待补观测与来源",IF(AND(ISNUMBER(G169),H169=""),"待补数值单位",IF(AND(N169&lt;&gt;"",OR(N169=A169,COUNTIFS('观测证据'!$A$7:$A$306,N169,'观测证据'!$B$7:$B$306,B169,'观测证据'!$M$7:$M$306,"已更正")&lt;&gt;1)),"更正引用待核对","有效输入"))))))))</x:f>
      </x:c>
    </x:row>
    <x:row r="170" ht="25" customHeight="1">
      <x:c r="A170" s="3"/>
      <x:c r="B170" s="3"/>
      <x:c r="C170" s="3"/>
      <x:c r="D170" s="3"/>
      <x:c r="E170" s="25"/>
      <x:c r="F170" s="25"/>
      <x:c r="G170" s="22"/>
      <x:c r="H170" s="3"/>
      <x:c r="I170" s="22"/>
      <x:c r="J170" s="3"/>
      <x:c r="K170" s="3"/>
      <x:c r="L170" s="3"/>
      <x:c r="M170" s="3"/>
      <x:c r="N170" s="3"/>
      <x:c r="O170" s="3"/>
      <x:c r="P170" s="19" t="str">
        <x:f>IF(A170="","",IF(COUNTIFS('观测证据'!$A$7:$A$306,A170)&lt;&gt;1,"编号重复",IF(COUNTIFS('问题总览'!$A$7:$A$306,B170)&lt;&gt;1,"问题引用无效",IF(AND(C170&lt;&gt;"",COUNTIFS('方案版本'!$A$7:$A$306,C170,'方案版本'!$B$7:$B$306,B170,'方案版本'!$L$7:$L$306,"已冻结")&lt;&gt;1),"方案引用无效",IF(OR(NOT(ISNUMBER(F170)),M170=""),"待补登记信息",IF(AND(M170="已观测",OR(K170="",AND(NOT(ISNUMBER(G170)),J170=""))),"待补观测与来源",IF(AND(ISNUMBER(G170),H170=""),"待补数值单位",IF(AND(N170&lt;&gt;"",OR(N170=A170,COUNTIFS('观测证据'!$A$7:$A$306,N170,'观测证据'!$B$7:$B$306,B170,'观测证据'!$M$7:$M$306,"已更正")&lt;&gt;1)),"更正引用待核对","有效输入"))))))))</x:f>
      </x:c>
    </x:row>
    <x:row r="171" ht="25" customHeight="1">
      <x:c r="A171" s="3"/>
      <x:c r="B171" s="3"/>
      <x:c r="C171" s="3"/>
      <x:c r="D171" s="3"/>
      <x:c r="E171" s="25"/>
      <x:c r="F171" s="25"/>
      <x:c r="G171" s="22"/>
      <x:c r="H171" s="3"/>
      <x:c r="I171" s="22"/>
      <x:c r="J171" s="3"/>
      <x:c r="K171" s="3"/>
      <x:c r="L171" s="3"/>
      <x:c r="M171" s="3"/>
      <x:c r="N171" s="3"/>
      <x:c r="O171" s="3"/>
      <x:c r="P171" s="19" t="str">
        <x:f>IF(A171="","",IF(COUNTIFS('观测证据'!$A$7:$A$306,A171)&lt;&gt;1,"编号重复",IF(COUNTIFS('问题总览'!$A$7:$A$306,B171)&lt;&gt;1,"问题引用无效",IF(AND(C171&lt;&gt;"",COUNTIFS('方案版本'!$A$7:$A$306,C171,'方案版本'!$B$7:$B$306,B171,'方案版本'!$L$7:$L$306,"已冻结")&lt;&gt;1),"方案引用无效",IF(OR(NOT(ISNUMBER(F171)),M171=""),"待补登记信息",IF(AND(M171="已观测",OR(K171="",AND(NOT(ISNUMBER(G171)),J171=""))),"待补观测与来源",IF(AND(ISNUMBER(G171),H171=""),"待补数值单位",IF(AND(N171&lt;&gt;"",OR(N171=A171,COUNTIFS('观测证据'!$A$7:$A$306,N171,'观测证据'!$B$7:$B$306,B171,'观测证据'!$M$7:$M$306,"已更正")&lt;&gt;1)),"更正引用待核对","有效输入"))))))))</x:f>
      </x:c>
    </x:row>
    <x:row r="172" ht="25" customHeight="1">
      <x:c r="A172" s="3"/>
      <x:c r="B172" s="3"/>
      <x:c r="C172" s="3"/>
      <x:c r="D172" s="3"/>
      <x:c r="E172" s="25"/>
      <x:c r="F172" s="25"/>
      <x:c r="G172" s="22"/>
      <x:c r="H172" s="3"/>
      <x:c r="I172" s="22"/>
      <x:c r="J172" s="3"/>
      <x:c r="K172" s="3"/>
      <x:c r="L172" s="3"/>
      <x:c r="M172" s="3"/>
      <x:c r="N172" s="3"/>
      <x:c r="O172" s="3"/>
      <x:c r="P172" s="19" t="str">
        <x:f>IF(A172="","",IF(COUNTIFS('观测证据'!$A$7:$A$306,A172)&lt;&gt;1,"编号重复",IF(COUNTIFS('问题总览'!$A$7:$A$306,B172)&lt;&gt;1,"问题引用无效",IF(AND(C172&lt;&gt;"",COUNTIFS('方案版本'!$A$7:$A$306,C172,'方案版本'!$B$7:$B$306,B172,'方案版本'!$L$7:$L$306,"已冻结")&lt;&gt;1),"方案引用无效",IF(OR(NOT(ISNUMBER(F172)),M172=""),"待补登记信息",IF(AND(M172="已观测",OR(K172="",AND(NOT(ISNUMBER(G172)),J172=""))),"待补观测与来源",IF(AND(ISNUMBER(G172),H172=""),"待补数值单位",IF(AND(N172&lt;&gt;"",OR(N172=A172,COUNTIFS('观测证据'!$A$7:$A$306,N172,'观测证据'!$B$7:$B$306,B172,'观测证据'!$M$7:$M$306,"已更正")&lt;&gt;1)),"更正引用待核对","有效输入"))))))))</x:f>
      </x:c>
    </x:row>
    <x:row r="173" ht="25" customHeight="1">
      <x:c r="A173" s="3"/>
      <x:c r="B173" s="3"/>
      <x:c r="C173" s="3"/>
      <x:c r="D173" s="3"/>
      <x:c r="E173" s="25"/>
      <x:c r="F173" s="25"/>
      <x:c r="G173" s="22"/>
      <x:c r="H173" s="3"/>
      <x:c r="I173" s="22"/>
      <x:c r="J173" s="3"/>
      <x:c r="K173" s="3"/>
      <x:c r="L173" s="3"/>
      <x:c r="M173" s="3"/>
      <x:c r="N173" s="3"/>
      <x:c r="O173" s="3"/>
      <x:c r="P173" s="19" t="str">
        <x:f>IF(A173="","",IF(COUNTIFS('观测证据'!$A$7:$A$306,A173)&lt;&gt;1,"编号重复",IF(COUNTIFS('问题总览'!$A$7:$A$306,B173)&lt;&gt;1,"问题引用无效",IF(AND(C173&lt;&gt;"",COUNTIFS('方案版本'!$A$7:$A$306,C173,'方案版本'!$B$7:$B$306,B173,'方案版本'!$L$7:$L$306,"已冻结")&lt;&gt;1),"方案引用无效",IF(OR(NOT(ISNUMBER(F173)),M173=""),"待补登记信息",IF(AND(M173="已观测",OR(K173="",AND(NOT(ISNUMBER(G173)),J173=""))),"待补观测与来源",IF(AND(ISNUMBER(G173),H173=""),"待补数值单位",IF(AND(N173&lt;&gt;"",OR(N173=A173,COUNTIFS('观测证据'!$A$7:$A$306,N173,'观测证据'!$B$7:$B$306,B173,'观测证据'!$M$7:$M$306,"已更正")&lt;&gt;1)),"更正引用待核对","有效输入"))))))))</x:f>
      </x:c>
    </x:row>
    <x:row r="174" ht="25" customHeight="1">
      <x:c r="A174" s="3"/>
      <x:c r="B174" s="3"/>
      <x:c r="C174" s="3"/>
      <x:c r="D174" s="3"/>
      <x:c r="E174" s="25"/>
      <x:c r="F174" s="25"/>
      <x:c r="G174" s="22"/>
      <x:c r="H174" s="3"/>
      <x:c r="I174" s="22"/>
      <x:c r="J174" s="3"/>
      <x:c r="K174" s="3"/>
      <x:c r="L174" s="3"/>
      <x:c r="M174" s="3"/>
      <x:c r="N174" s="3"/>
      <x:c r="O174" s="3"/>
      <x:c r="P174" s="19" t="str">
        <x:f>IF(A174="","",IF(COUNTIFS('观测证据'!$A$7:$A$306,A174)&lt;&gt;1,"编号重复",IF(COUNTIFS('问题总览'!$A$7:$A$306,B174)&lt;&gt;1,"问题引用无效",IF(AND(C174&lt;&gt;"",COUNTIFS('方案版本'!$A$7:$A$306,C174,'方案版本'!$B$7:$B$306,B174,'方案版本'!$L$7:$L$306,"已冻结")&lt;&gt;1),"方案引用无效",IF(OR(NOT(ISNUMBER(F174)),M174=""),"待补登记信息",IF(AND(M174="已观测",OR(K174="",AND(NOT(ISNUMBER(G174)),J174=""))),"待补观测与来源",IF(AND(ISNUMBER(G174),H174=""),"待补数值单位",IF(AND(N174&lt;&gt;"",OR(N174=A174,COUNTIFS('观测证据'!$A$7:$A$306,N174,'观测证据'!$B$7:$B$306,B174,'观测证据'!$M$7:$M$306,"已更正")&lt;&gt;1)),"更正引用待核对","有效输入"))))))))</x:f>
      </x:c>
    </x:row>
    <x:row r="175" ht="25" customHeight="1">
      <x:c r="A175" s="3"/>
      <x:c r="B175" s="3"/>
      <x:c r="C175" s="3"/>
      <x:c r="D175" s="3"/>
      <x:c r="E175" s="25"/>
      <x:c r="F175" s="25"/>
      <x:c r="G175" s="22"/>
      <x:c r="H175" s="3"/>
      <x:c r="I175" s="22"/>
      <x:c r="J175" s="3"/>
      <x:c r="K175" s="3"/>
      <x:c r="L175" s="3"/>
      <x:c r="M175" s="3"/>
      <x:c r="N175" s="3"/>
      <x:c r="O175" s="3"/>
      <x:c r="P175" s="19" t="str">
        <x:f>IF(A175="","",IF(COUNTIFS('观测证据'!$A$7:$A$306,A175)&lt;&gt;1,"编号重复",IF(COUNTIFS('问题总览'!$A$7:$A$306,B175)&lt;&gt;1,"问题引用无效",IF(AND(C175&lt;&gt;"",COUNTIFS('方案版本'!$A$7:$A$306,C175,'方案版本'!$B$7:$B$306,B175,'方案版本'!$L$7:$L$306,"已冻结")&lt;&gt;1),"方案引用无效",IF(OR(NOT(ISNUMBER(F175)),M175=""),"待补登记信息",IF(AND(M175="已观测",OR(K175="",AND(NOT(ISNUMBER(G175)),J175=""))),"待补观测与来源",IF(AND(ISNUMBER(G175),H175=""),"待补数值单位",IF(AND(N175&lt;&gt;"",OR(N175=A175,COUNTIFS('观测证据'!$A$7:$A$306,N175,'观测证据'!$B$7:$B$306,B175,'观测证据'!$M$7:$M$306,"已更正")&lt;&gt;1)),"更正引用待核对","有效输入"))))))))</x:f>
      </x:c>
    </x:row>
    <x:row r="176" ht="25" customHeight="1">
      <x:c r="A176" s="3"/>
      <x:c r="B176" s="3"/>
      <x:c r="C176" s="3"/>
      <x:c r="D176" s="3"/>
      <x:c r="E176" s="25"/>
      <x:c r="F176" s="25"/>
      <x:c r="G176" s="22"/>
      <x:c r="H176" s="3"/>
      <x:c r="I176" s="22"/>
      <x:c r="J176" s="3"/>
      <x:c r="K176" s="3"/>
      <x:c r="L176" s="3"/>
      <x:c r="M176" s="3"/>
      <x:c r="N176" s="3"/>
      <x:c r="O176" s="3"/>
      <x:c r="P176" s="19" t="str">
        <x:f>IF(A176="","",IF(COUNTIFS('观测证据'!$A$7:$A$306,A176)&lt;&gt;1,"编号重复",IF(COUNTIFS('问题总览'!$A$7:$A$306,B176)&lt;&gt;1,"问题引用无效",IF(AND(C176&lt;&gt;"",COUNTIFS('方案版本'!$A$7:$A$306,C176,'方案版本'!$B$7:$B$306,B176,'方案版本'!$L$7:$L$306,"已冻结")&lt;&gt;1),"方案引用无效",IF(OR(NOT(ISNUMBER(F176)),M176=""),"待补登记信息",IF(AND(M176="已观测",OR(K176="",AND(NOT(ISNUMBER(G176)),J176=""))),"待补观测与来源",IF(AND(ISNUMBER(G176),H176=""),"待补数值单位",IF(AND(N176&lt;&gt;"",OR(N176=A176,COUNTIFS('观测证据'!$A$7:$A$306,N176,'观测证据'!$B$7:$B$306,B176,'观测证据'!$M$7:$M$306,"已更正")&lt;&gt;1)),"更正引用待核对","有效输入"))))))))</x:f>
      </x:c>
    </x:row>
    <x:row r="177" ht="25" customHeight="1">
      <x:c r="A177" s="3"/>
      <x:c r="B177" s="3"/>
      <x:c r="C177" s="3"/>
      <x:c r="D177" s="3"/>
      <x:c r="E177" s="25"/>
      <x:c r="F177" s="25"/>
      <x:c r="G177" s="22"/>
      <x:c r="H177" s="3"/>
      <x:c r="I177" s="22"/>
      <x:c r="J177" s="3"/>
      <x:c r="K177" s="3"/>
      <x:c r="L177" s="3"/>
      <x:c r="M177" s="3"/>
      <x:c r="N177" s="3"/>
      <x:c r="O177" s="3"/>
      <x:c r="P177" s="19" t="str">
        <x:f>IF(A177="","",IF(COUNTIFS('观测证据'!$A$7:$A$306,A177)&lt;&gt;1,"编号重复",IF(COUNTIFS('问题总览'!$A$7:$A$306,B177)&lt;&gt;1,"问题引用无效",IF(AND(C177&lt;&gt;"",COUNTIFS('方案版本'!$A$7:$A$306,C177,'方案版本'!$B$7:$B$306,B177,'方案版本'!$L$7:$L$306,"已冻结")&lt;&gt;1),"方案引用无效",IF(OR(NOT(ISNUMBER(F177)),M177=""),"待补登记信息",IF(AND(M177="已观测",OR(K177="",AND(NOT(ISNUMBER(G177)),J177=""))),"待补观测与来源",IF(AND(ISNUMBER(G177),H177=""),"待补数值单位",IF(AND(N177&lt;&gt;"",OR(N177=A177,COUNTIFS('观测证据'!$A$7:$A$306,N177,'观测证据'!$B$7:$B$306,B177,'观测证据'!$M$7:$M$306,"已更正")&lt;&gt;1)),"更正引用待核对","有效输入"))))))))</x:f>
      </x:c>
    </x:row>
    <x:row r="178" ht="25" customHeight="1">
      <x:c r="A178" s="3"/>
      <x:c r="B178" s="3"/>
      <x:c r="C178" s="3"/>
      <x:c r="D178" s="3"/>
      <x:c r="E178" s="25"/>
      <x:c r="F178" s="25"/>
      <x:c r="G178" s="22"/>
      <x:c r="H178" s="3"/>
      <x:c r="I178" s="22"/>
      <x:c r="J178" s="3"/>
      <x:c r="K178" s="3"/>
      <x:c r="L178" s="3"/>
      <x:c r="M178" s="3"/>
      <x:c r="N178" s="3"/>
      <x:c r="O178" s="3"/>
      <x:c r="P178" s="19" t="str">
        <x:f>IF(A178="","",IF(COUNTIFS('观测证据'!$A$7:$A$306,A178)&lt;&gt;1,"编号重复",IF(COUNTIFS('问题总览'!$A$7:$A$306,B178)&lt;&gt;1,"问题引用无效",IF(AND(C178&lt;&gt;"",COUNTIFS('方案版本'!$A$7:$A$306,C178,'方案版本'!$B$7:$B$306,B178,'方案版本'!$L$7:$L$306,"已冻结")&lt;&gt;1),"方案引用无效",IF(OR(NOT(ISNUMBER(F178)),M178=""),"待补登记信息",IF(AND(M178="已观测",OR(K178="",AND(NOT(ISNUMBER(G178)),J178=""))),"待补观测与来源",IF(AND(ISNUMBER(G178),H178=""),"待补数值单位",IF(AND(N178&lt;&gt;"",OR(N178=A178,COUNTIFS('观测证据'!$A$7:$A$306,N178,'观测证据'!$B$7:$B$306,B178,'观测证据'!$M$7:$M$306,"已更正")&lt;&gt;1)),"更正引用待核对","有效输入"))))))))</x:f>
      </x:c>
    </x:row>
    <x:row r="179" ht="25" customHeight="1">
      <x:c r="A179" s="3"/>
      <x:c r="B179" s="3"/>
      <x:c r="C179" s="3"/>
      <x:c r="D179" s="3"/>
      <x:c r="E179" s="25"/>
      <x:c r="F179" s="25"/>
      <x:c r="G179" s="22"/>
      <x:c r="H179" s="3"/>
      <x:c r="I179" s="22"/>
      <x:c r="J179" s="3"/>
      <x:c r="K179" s="3"/>
      <x:c r="L179" s="3"/>
      <x:c r="M179" s="3"/>
      <x:c r="N179" s="3"/>
      <x:c r="O179" s="3"/>
      <x:c r="P179" s="19" t="str">
        <x:f>IF(A179="","",IF(COUNTIFS('观测证据'!$A$7:$A$306,A179)&lt;&gt;1,"编号重复",IF(COUNTIFS('问题总览'!$A$7:$A$306,B179)&lt;&gt;1,"问题引用无效",IF(AND(C179&lt;&gt;"",COUNTIFS('方案版本'!$A$7:$A$306,C179,'方案版本'!$B$7:$B$306,B179,'方案版本'!$L$7:$L$306,"已冻结")&lt;&gt;1),"方案引用无效",IF(OR(NOT(ISNUMBER(F179)),M179=""),"待补登记信息",IF(AND(M179="已观测",OR(K179="",AND(NOT(ISNUMBER(G179)),J179=""))),"待补观测与来源",IF(AND(ISNUMBER(G179),H179=""),"待补数值单位",IF(AND(N179&lt;&gt;"",OR(N179=A179,COUNTIFS('观测证据'!$A$7:$A$306,N179,'观测证据'!$B$7:$B$306,B179,'观测证据'!$M$7:$M$306,"已更正")&lt;&gt;1)),"更正引用待核对","有效输入"))))))))</x:f>
      </x:c>
    </x:row>
    <x:row r="180" ht="25" customHeight="1">
      <x:c r="A180" s="3"/>
      <x:c r="B180" s="3"/>
      <x:c r="C180" s="3"/>
      <x:c r="D180" s="3"/>
      <x:c r="E180" s="25"/>
      <x:c r="F180" s="25"/>
      <x:c r="G180" s="22"/>
      <x:c r="H180" s="3"/>
      <x:c r="I180" s="22"/>
      <x:c r="J180" s="3"/>
      <x:c r="K180" s="3"/>
      <x:c r="L180" s="3"/>
      <x:c r="M180" s="3"/>
      <x:c r="N180" s="3"/>
      <x:c r="O180" s="3"/>
      <x:c r="P180" s="19" t="str">
        <x:f>IF(A180="","",IF(COUNTIFS('观测证据'!$A$7:$A$306,A180)&lt;&gt;1,"编号重复",IF(COUNTIFS('问题总览'!$A$7:$A$306,B180)&lt;&gt;1,"问题引用无效",IF(AND(C180&lt;&gt;"",COUNTIFS('方案版本'!$A$7:$A$306,C180,'方案版本'!$B$7:$B$306,B180,'方案版本'!$L$7:$L$306,"已冻结")&lt;&gt;1),"方案引用无效",IF(OR(NOT(ISNUMBER(F180)),M180=""),"待补登记信息",IF(AND(M180="已观测",OR(K180="",AND(NOT(ISNUMBER(G180)),J180=""))),"待补观测与来源",IF(AND(ISNUMBER(G180),H180=""),"待补数值单位",IF(AND(N180&lt;&gt;"",OR(N180=A180,COUNTIFS('观测证据'!$A$7:$A$306,N180,'观测证据'!$B$7:$B$306,B180,'观测证据'!$M$7:$M$306,"已更正")&lt;&gt;1)),"更正引用待核对","有效输入"))))))))</x:f>
      </x:c>
    </x:row>
    <x:row r="181" ht="25" customHeight="1">
      <x:c r="A181" s="3"/>
      <x:c r="B181" s="3"/>
      <x:c r="C181" s="3"/>
      <x:c r="D181" s="3"/>
      <x:c r="E181" s="25"/>
      <x:c r="F181" s="25"/>
      <x:c r="G181" s="22"/>
      <x:c r="H181" s="3"/>
      <x:c r="I181" s="22"/>
      <x:c r="J181" s="3"/>
      <x:c r="K181" s="3"/>
      <x:c r="L181" s="3"/>
      <x:c r="M181" s="3"/>
      <x:c r="N181" s="3"/>
      <x:c r="O181" s="3"/>
      <x:c r="P181" s="19" t="str">
        <x:f>IF(A181="","",IF(COUNTIFS('观测证据'!$A$7:$A$306,A181)&lt;&gt;1,"编号重复",IF(COUNTIFS('问题总览'!$A$7:$A$306,B181)&lt;&gt;1,"问题引用无效",IF(AND(C181&lt;&gt;"",COUNTIFS('方案版本'!$A$7:$A$306,C181,'方案版本'!$B$7:$B$306,B181,'方案版本'!$L$7:$L$306,"已冻结")&lt;&gt;1),"方案引用无效",IF(OR(NOT(ISNUMBER(F181)),M181=""),"待补登记信息",IF(AND(M181="已观测",OR(K181="",AND(NOT(ISNUMBER(G181)),J181=""))),"待补观测与来源",IF(AND(ISNUMBER(G181),H181=""),"待补数值单位",IF(AND(N181&lt;&gt;"",OR(N181=A181,COUNTIFS('观测证据'!$A$7:$A$306,N181,'观测证据'!$B$7:$B$306,B181,'观测证据'!$M$7:$M$306,"已更正")&lt;&gt;1)),"更正引用待核对","有效输入"))))))))</x:f>
      </x:c>
    </x:row>
    <x:row r="182" ht="25" customHeight="1">
      <x:c r="A182" s="3"/>
      <x:c r="B182" s="3"/>
      <x:c r="C182" s="3"/>
      <x:c r="D182" s="3"/>
      <x:c r="E182" s="25"/>
      <x:c r="F182" s="25"/>
      <x:c r="G182" s="22"/>
      <x:c r="H182" s="3"/>
      <x:c r="I182" s="22"/>
      <x:c r="J182" s="3"/>
      <x:c r="K182" s="3"/>
      <x:c r="L182" s="3"/>
      <x:c r="M182" s="3"/>
      <x:c r="N182" s="3"/>
      <x:c r="O182" s="3"/>
      <x:c r="P182" s="19" t="str">
        <x:f>IF(A182="","",IF(COUNTIFS('观测证据'!$A$7:$A$306,A182)&lt;&gt;1,"编号重复",IF(COUNTIFS('问题总览'!$A$7:$A$306,B182)&lt;&gt;1,"问题引用无效",IF(AND(C182&lt;&gt;"",COUNTIFS('方案版本'!$A$7:$A$306,C182,'方案版本'!$B$7:$B$306,B182,'方案版本'!$L$7:$L$306,"已冻结")&lt;&gt;1),"方案引用无效",IF(OR(NOT(ISNUMBER(F182)),M182=""),"待补登记信息",IF(AND(M182="已观测",OR(K182="",AND(NOT(ISNUMBER(G182)),J182=""))),"待补观测与来源",IF(AND(ISNUMBER(G182),H182=""),"待补数值单位",IF(AND(N182&lt;&gt;"",OR(N182=A182,COUNTIFS('观测证据'!$A$7:$A$306,N182,'观测证据'!$B$7:$B$306,B182,'观测证据'!$M$7:$M$306,"已更正")&lt;&gt;1)),"更正引用待核对","有效输入"))))))))</x:f>
      </x:c>
    </x:row>
    <x:row r="183" ht="25" customHeight="1">
      <x:c r="A183" s="3"/>
      <x:c r="B183" s="3"/>
      <x:c r="C183" s="3"/>
      <x:c r="D183" s="3"/>
      <x:c r="E183" s="25"/>
      <x:c r="F183" s="25"/>
      <x:c r="G183" s="22"/>
      <x:c r="H183" s="3"/>
      <x:c r="I183" s="22"/>
      <x:c r="J183" s="3"/>
      <x:c r="K183" s="3"/>
      <x:c r="L183" s="3"/>
      <x:c r="M183" s="3"/>
      <x:c r="N183" s="3"/>
      <x:c r="O183" s="3"/>
      <x:c r="P183" s="19" t="str">
        <x:f>IF(A183="","",IF(COUNTIFS('观测证据'!$A$7:$A$306,A183)&lt;&gt;1,"编号重复",IF(COUNTIFS('问题总览'!$A$7:$A$306,B183)&lt;&gt;1,"问题引用无效",IF(AND(C183&lt;&gt;"",COUNTIFS('方案版本'!$A$7:$A$306,C183,'方案版本'!$B$7:$B$306,B183,'方案版本'!$L$7:$L$306,"已冻结")&lt;&gt;1),"方案引用无效",IF(OR(NOT(ISNUMBER(F183)),M183=""),"待补登记信息",IF(AND(M183="已观测",OR(K183="",AND(NOT(ISNUMBER(G183)),J183=""))),"待补观测与来源",IF(AND(ISNUMBER(G183),H183=""),"待补数值单位",IF(AND(N183&lt;&gt;"",OR(N183=A183,COUNTIFS('观测证据'!$A$7:$A$306,N183,'观测证据'!$B$7:$B$306,B183,'观测证据'!$M$7:$M$306,"已更正")&lt;&gt;1)),"更正引用待核对","有效输入"))))))))</x:f>
      </x:c>
    </x:row>
    <x:row r="184" ht="25" customHeight="1">
      <x:c r="A184" s="3"/>
      <x:c r="B184" s="3"/>
      <x:c r="C184" s="3"/>
      <x:c r="D184" s="3"/>
      <x:c r="E184" s="25"/>
      <x:c r="F184" s="25"/>
      <x:c r="G184" s="22"/>
      <x:c r="H184" s="3"/>
      <x:c r="I184" s="22"/>
      <x:c r="J184" s="3"/>
      <x:c r="K184" s="3"/>
      <x:c r="L184" s="3"/>
      <x:c r="M184" s="3"/>
      <x:c r="N184" s="3"/>
      <x:c r="O184" s="3"/>
      <x:c r="P184" s="19" t="str">
        <x:f>IF(A184="","",IF(COUNTIFS('观测证据'!$A$7:$A$306,A184)&lt;&gt;1,"编号重复",IF(COUNTIFS('问题总览'!$A$7:$A$306,B184)&lt;&gt;1,"问题引用无效",IF(AND(C184&lt;&gt;"",COUNTIFS('方案版本'!$A$7:$A$306,C184,'方案版本'!$B$7:$B$306,B184,'方案版本'!$L$7:$L$306,"已冻结")&lt;&gt;1),"方案引用无效",IF(OR(NOT(ISNUMBER(F184)),M184=""),"待补登记信息",IF(AND(M184="已观测",OR(K184="",AND(NOT(ISNUMBER(G184)),J184=""))),"待补观测与来源",IF(AND(ISNUMBER(G184),H184=""),"待补数值单位",IF(AND(N184&lt;&gt;"",OR(N184=A184,COUNTIFS('观测证据'!$A$7:$A$306,N184,'观测证据'!$B$7:$B$306,B184,'观测证据'!$M$7:$M$306,"已更正")&lt;&gt;1)),"更正引用待核对","有效输入"))))))))</x:f>
      </x:c>
    </x:row>
    <x:row r="185" ht="25" customHeight="1">
      <x:c r="A185" s="3"/>
      <x:c r="B185" s="3"/>
      <x:c r="C185" s="3"/>
      <x:c r="D185" s="3"/>
      <x:c r="E185" s="25"/>
      <x:c r="F185" s="25"/>
      <x:c r="G185" s="22"/>
      <x:c r="H185" s="3"/>
      <x:c r="I185" s="22"/>
      <x:c r="J185" s="3"/>
      <x:c r="K185" s="3"/>
      <x:c r="L185" s="3"/>
      <x:c r="M185" s="3"/>
      <x:c r="N185" s="3"/>
      <x:c r="O185" s="3"/>
      <x:c r="P185" s="19" t="str">
        <x:f>IF(A185="","",IF(COUNTIFS('观测证据'!$A$7:$A$306,A185)&lt;&gt;1,"编号重复",IF(COUNTIFS('问题总览'!$A$7:$A$306,B185)&lt;&gt;1,"问题引用无效",IF(AND(C185&lt;&gt;"",COUNTIFS('方案版本'!$A$7:$A$306,C185,'方案版本'!$B$7:$B$306,B185,'方案版本'!$L$7:$L$306,"已冻结")&lt;&gt;1),"方案引用无效",IF(OR(NOT(ISNUMBER(F185)),M185=""),"待补登记信息",IF(AND(M185="已观测",OR(K185="",AND(NOT(ISNUMBER(G185)),J185=""))),"待补观测与来源",IF(AND(ISNUMBER(G185),H185=""),"待补数值单位",IF(AND(N185&lt;&gt;"",OR(N185=A185,COUNTIFS('观测证据'!$A$7:$A$306,N185,'观测证据'!$B$7:$B$306,B185,'观测证据'!$M$7:$M$306,"已更正")&lt;&gt;1)),"更正引用待核对","有效输入"))))))))</x:f>
      </x:c>
    </x:row>
    <x:row r="186" ht="25" customHeight="1">
      <x:c r="A186" s="3"/>
      <x:c r="B186" s="3"/>
      <x:c r="C186" s="3"/>
      <x:c r="D186" s="3"/>
      <x:c r="E186" s="25"/>
      <x:c r="F186" s="25"/>
      <x:c r="G186" s="22"/>
      <x:c r="H186" s="3"/>
      <x:c r="I186" s="22"/>
      <x:c r="J186" s="3"/>
      <x:c r="K186" s="3"/>
      <x:c r="L186" s="3"/>
      <x:c r="M186" s="3"/>
      <x:c r="N186" s="3"/>
      <x:c r="O186" s="3"/>
      <x:c r="P186" s="19" t="str">
        <x:f>IF(A186="","",IF(COUNTIFS('观测证据'!$A$7:$A$306,A186)&lt;&gt;1,"编号重复",IF(COUNTIFS('问题总览'!$A$7:$A$306,B186)&lt;&gt;1,"问题引用无效",IF(AND(C186&lt;&gt;"",COUNTIFS('方案版本'!$A$7:$A$306,C186,'方案版本'!$B$7:$B$306,B186,'方案版本'!$L$7:$L$306,"已冻结")&lt;&gt;1),"方案引用无效",IF(OR(NOT(ISNUMBER(F186)),M186=""),"待补登记信息",IF(AND(M186="已观测",OR(K186="",AND(NOT(ISNUMBER(G186)),J186=""))),"待补观测与来源",IF(AND(ISNUMBER(G186),H186=""),"待补数值单位",IF(AND(N186&lt;&gt;"",OR(N186=A186,COUNTIFS('观测证据'!$A$7:$A$306,N186,'观测证据'!$B$7:$B$306,B186,'观测证据'!$M$7:$M$306,"已更正")&lt;&gt;1)),"更正引用待核对","有效输入"))))))))</x:f>
      </x:c>
    </x:row>
    <x:row r="187" ht="25" customHeight="1">
      <x:c r="A187" s="3"/>
      <x:c r="B187" s="3"/>
      <x:c r="C187" s="3"/>
      <x:c r="D187" s="3"/>
      <x:c r="E187" s="25"/>
      <x:c r="F187" s="25"/>
      <x:c r="G187" s="22"/>
      <x:c r="H187" s="3"/>
      <x:c r="I187" s="22"/>
      <x:c r="J187" s="3"/>
      <x:c r="K187" s="3"/>
      <x:c r="L187" s="3"/>
      <x:c r="M187" s="3"/>
      <x:c r="N187" s="3"/>
      <x:c r="O187" s="3"/>
      <x:c r="P187" s="19" t="str">
        <x:f>IF(A187="","",IF(COUNTIFS('观测证据'!$A$7:$A$306,A187)&lt;&gt;1,"编号重复",IF(COUNTIFS('问题总览'!$A$7:$A$306,B187)&lt;&gt;1,"问题引用无效",IF(AND(C187&lt;&gt;"",COUNTIFS('方案版本'!$A$7:$A$306,C187,'方案版本'!$B$7:$B$306,B187,'方案版本'!$L$7:$L$306,"已冻结")&lt;&gt;1),"方案引用无效",IF(OR(NOT(ISNUMBER(F187)),M187=""),"待补登记信息",IF(AND(M187="已观测",OR(K187="",AND(NOT(ISNUMBER(G187)),J187=""))),"待补观测与来源",IF(AND(ISNUMBER(G187),H187=""),"待补数值单位",IF(AND(N187&lt;&gt;"",OR(N187=A187,COUNTIFS('观测证据'!$A$7:$A$306,N187,'观测证据'!$B$7:$B$306,B187,'观测证据'!$M$7:$M$306,"已更正")&lt;&gt;1)),"更正引用待核对","有效输入"))))))))</x:f>
      </x:c>
    </x:row>
    <x:row r="188" ht="25" customHeight="1">
      <x:c r="A188" s="3"/>
      <x:c r="B188" s="3"/>
      <x:c r="C188" s="3"/>
      <x:c r="D188" s="3"/>
      <x:c r="E188" s="25"/>
      <x:c r="F188" s="25"/>
      <x:c r="G188" s="22"/>
      <x:c r="H188" s="3"/>
      <x:c r="I188" s="22"/>
      <x:c r="J188" s="3"/>
      <x:c r="K188" s="3"/>
      <x:c r="L188" s="3"/>
      <x:c r="M188" s="3"/>
      <x:c r="N188" s="3"/>
      <x:c r="O188" s="3"/>
      <x:c r="P188" s="19" t="str">
        <x:f>IF(A188="","",IF(COUNTIFS('观测证据'!$A$7:$A$306,A188)&lt;&gt;1,"编号重复",IF(COUNTIFS('问题总览'!$A$7:$A$306,B188)&lt;&gt;1,"问题引用无效",IF(AND(C188&lt;&gt;"",COUNTIFS('方案版本'!$A$7:$A$306,C188,'方案版本'!$B$7:$B$306,B188,'方案版本'!$L$7:$L$306,"已冻结")&lt;&gt;1),"方案引用无效",IF(OR(NOT(ISNUMBER(F188)),M188=""),"待补登记信息",IF(AND(M188="已观测",OR(K188="",AND(NOT(ISNUMBER(G188)),J188=""))),"待补观测与来源",IF(AND(ISNUMBER(G188),H188=""),"待补数值单位",IF(AND(N188&lt;&gt;"",OR(N188=A188,COUNTIFS('观测证据'!$A$7:$A$306,N188,'观测证据'!$B$7:$B$306,B188,'观测证据'!$M$7:$M$306,"已更正")&lt;&gt;1)),"更正引用待核对","有效输入"))))))))</x:f>
      </x:c>
    </x:row>
    <x:row r="189" ht="25" customHeight="1">
      <x:c r="A189" s="3"/>
      <x:c r="B189" s="3"/>
      <x:c r="C189" s="3"/>
      <x:c r="D189" s="3"/>
      <x:c r="E189" s="25"/>
      <x:c r="F189" s="25"/>
      <x:c r="G189" s="22"/>
      <x:c r="H189" s="3"/>
      <x:c r="I189" s="22"/>
      <x:c r="J189" s="3"/>
      <x:c r="K189" s="3"/>
      <x:c r="L189" s="3"/>
      <x:c r="M189" s="3"/>
      <x:c r="N189" s="3"/>
      <x:c r="O189" s="3"/>
      <x:c r="P189" s="19" t="str">
        <x:f>IF(A189="","",IF(COUNTIFS('观测证据'!$A$7:$A$306,A189)&lt;&gt;1,"编号重复",IF(COUNTIFS('问题总览'!$A$7:$A$306,B189)&lt;&gt;1,"问题引用无效",IF(AND(C189&lt;&gt;"",COUNTIFS('方案版本'!$A$7:$A$306,C189,'方案版本'!$B$7:$B$306,B189,'方案版本'!$L$7:$L$306,"已冻结")&lt;&gt;1),"方案引用无效",IF(OR(NOT(ISNUMBER(F189)),M189=""),"待补登记信息",IF(AND(M189="已观测",OR(K189="",AND(NOT(ISNUMBER(G189)),J189=""))),"待补观测与来源",IF(AND(ISNUMBER(G189),H189=""),"待补数值单位",IF(AND(N189&lt;&gt;"",OR(N189=A189,COUNTIFS('观测证据'!$A$7:$A$306,N189,'观测证据'!$B$7:$B$306,B189,'观测证据'!$M$7:$M$306,"已更正")&lt;&gt;1)),"更正引用待核对","有效输入"))))))))</x:f>
      </x:c>
    </x:row>
    <x:row r="190" ht="25" customHeight="1">
      <x:c r="A190" s="3"/>
      <x:c r="B190" s="3"/>
      <x:c r="C190" s="3"/>
      <x:c r="D190" s="3"/>
      <x:c r="E190" s="25"/>
      <x:c r="F190" s="25"/>
      <x:c r="G190" s="22"/>
      <x:c r="H190" s="3"/>
      <x:c r="I190" s="22"/>
      <x:c r="J190" s="3"/>
      <x:c r="K190" s="3"/>
      <x:c r="L190" s="3"/>
      <x:c r="M190" s="3"/>
      <x:c r="N190" s="3"/>
      <x:c r="O190" s="3"/>
      <x:c r="P190" s="19" t="str">
        <x:f>IF(A190="","",IF(COUNTIFS('观测证据'!$A$7:$A$306,A190)&lt;&gt;1,"编号重复",IF(COUNTIFS('问题总览'!$A$7:$A$306,B190)&lt;&gt;1,"问题引用无效",IF(AND(C190&lt;&gt;"",COUNTIFS('方案版本'!$A$7:$A$306,C190,'方案版本'!$B$7:$B$306,B190,'方案版本'!$L$7:$L$306,"已冻结")&lt;&gt;1),"方案引用无效",IF(OR(NOT(ISNUMBER(F190)),M190=""),"待补登记信息",IF(AND(M190="已观测",OR(K190="",AND(NOT(ISNUMBER(G190)),J190=""))),"待补观测与来源",IF(AND(ISNUMBER(G190),H190=""),"待补数值单位",IF(AND(N190&lt;&gt;"",OR(N190=A190,COUNTIFS('观测证据'!$A$7:$A$306,N190,'观测证据'!$B$7:$B$306,B190,'观测证据'!$M$7:$M$306,"已更正")&lt;&gt;1)),"更正引用待核对","有效输入"))))))))</x:f>
      </x:c>
    </x:row>
    <x:row r="191" ht="25" customHeight="1">
      <x:c r="A191" s="3"/>
      <x:c r="B191" s="3"/>
      <x:c r="C191" s="3"/>
      <x:c r="D191" s="3"/>
      <x:c r="E191" s="25"/>
      <x:c r="F191" s="25"/>
      <x:c r="G191" s="22"/>
      <x:c r="H191" s="3"/>
      <x:c r="I191" s="22"/>
      <x:c r="J191" s="3"/>
      <x:c r="K191" s="3"/>
      <x:c r="L191" s="3"/>
      <x:c r="M191" s="3"/>
      <x:c r="N191" s="3"/>
      <x:c r="O191" s="3"/>
      <x:c r="P191" s="19" t="str">
        <x:f>IF(A191="","",IF(COUNTIFS('观测证据'!$A$7:$A$306,A191)&lt;&gt;1,"编号重复",IF(COUNTIFS('问题总览'!$A$7:$A$306,B191)&lt;&gt;1,"问题引用无效",IF(AND(C191&lt;&gt;"",COUNTIFS('方案版本'!$A$7:$A$306,C191,'方案版本'!$B$7:$B$306,B191,'方案版本'!$L$7:$L$306,"已冻结")&lt;&gt;1),"方案引用无效",IF(OR(NOT(ISNUMBER(F191)),M191=""),"待补登记信息",IF(AND(M191="已观测",OR(K191="",AND(NOT(ISNUMBER(G191)),J191=""))),"待补观测与来源",IF(AND(ISNUMBER(G191),H191=""),"待补数值单位",IF(AND(N191&lt;&gt;"",OR(N191=A191,COUNTIFS('观测证据'!$A$7:$A$306,N191,'观测证据'!$B$7:$B$306,B191,'观测证据'!$M$7:$M$306,"已更正")&lt;&gt;1)),"更正引用待核对","有效输入"))))))))</x:f>
      </x:c>
    </x:row>
    <x:row r="192" ht="25" customHeight="1">
      <x:c r="A192" s="3"/>
      <x:c r="B192" s="3"/>
      <x:c r="C192" s="3"/>
      <x:c r="D192" s="3"/>
      <x:c r="E192" s="25"/>
      <x:c r="F192" s="25"/>
      <x:c r="G192" s="22"/>
      <x:c r="H192" s="3"/>
      <x:c r="I192" s="22"/>
      <x:c r="J192" s="3"/>
      <x:c r="K192" s="3"/>
      <x:c r="L192" s="3"/>
      <x:c r="M192" s="3"/>
      <x:c r="N192" s="3"/>
      <x:c r="O192" s="3"/>
      <x:c r="P192" s="19" t="str">
        <x:f>IF(A192="","",IF(COUNTIFS('观测证据'!$A$7:$A$306,A192)&lt;&gt;1,"编号重复",IF(COUNTIFS('问题总览'!$A$7:$A$306,B192)&lt;&gt;1,"问题引用无效",IF(AND(C192&lt;&gt;"",COUNTIFS('方案版本'!$A$7:$A$306,C192,'方案版本'!$B$7:$B$306,B192,'方案版本'!$L$7:$L$306,"已冻结")&lt;&gt;1),"方案引用无效",IF(OR(NOT(ISNUMBER(F192)),M192=""),"待补登记信息",IF(AND(M192="已观测",OR(K192="",AND(NOT(ISNUMBER(G192)),J192=""))),"待补观测与来源",IF(AND(ISNUMBER(G192),H192=""),"待补数值单位",IF(AND(N192&lt;&gt;"",OR(N192=A192,COUNTIFS('观测证据'!$A$7:$A$306,N192,'观测证据'!$B$7:$B$306,B192,'观测证据'!$M$7:$M$306,"已更正")&lt;&gt;1)),"更正引用待核对","有效输入"))))))))</x:f>
      </x:c>
    </x:row>
    <x:row r="193" ht="25" customHeight="1">
      <x:c r="A193" s="3"/>
      <x:c r="B193" s="3"/>
      <x:c r="C193" s="3"/>
      <x:c r="D193" s="3"/>
      <x:c r="E193" s="25"/>
      <x:c r="F193" s="25"/>
      <x:c r="G193" s="22"/>
      <x:c r="H193" s="3"/>
      <x:c r="I193" s="22"/>
      <x:c r="J193" s="3"/>
      <x:c r="K193" s="3"/>
      <x:c r="L193" s="3"/>
      <x:c r="M193" s="3"/>
      <x:c r="N193" s="3"/>
      <x:c r="O193" s="3"/>
      <x:c r="P193" s="19" t="str">
        <x:f>IF(A193="","",IF(COUNTIFS('观测证据'!$A$7:$A$306,A193)&lt;&gt;1,"编号重复",IF(COUNTIFS('问题总览'!$A$7:$A$306,B193)&lt;&gt;1,"问题引用无效",IF(AND(C193&lt;&gt;"",COUNTIFS('方案版本'!$A$7:$A$306,C193,'方案版本'!$B$7:$B$306,B193,'方案版本'!$L$7:$L$306,"已冻结")&lt;&gt;1),"方案引用无效",IF(OR(NOT(ISNUMBER(F193)),M193=""),"待补登记信息",IF(AND(M193="已观测",OR(K193="",AND(NOT(ISNUMBER(G193)),J193=""))),"待补观测与来源",IF(AND(ISNUMBER(G193),H193=""),"待补数值单位",IF(AND(N193&lt;&gt;"",OR(N193=A193,COUNTIFS('观测证据'!$A$7:$A$306,N193,'观测证据'!$B$7:$B$306,B193,'观测证据'!$M$7:$M$306,"已更正")&lt;&gt;1)),"更正引用待核对","有效输入"))))))))</x:f>
      </x:c>
    </x:row>
    <x:row r="194" ht="25" customHeight="1">
      <x:c r="A194" s="3"/>
      <x:c r="B194" s="3"/>
      <x:c r="C194" s="3"/>
      <x:c r="D194" s="3"/>
      <x:c r="E194" s="25"/>
      <x:c r="F194" s="25"/>
      <x:c r="G194" s="22"/>
      <x:c r="H194" s="3"/>
      <x:c r="I194" s="22"/>
      <x:c r="J194" s="3"/>
      <x:c r="K194" s="3"/>
      <x:c r="L194" s="3"/>
      <x:c r="M194" s="3"/>
      <x:c r="N194" s="3"/>
      <x:c r="O194" s="3"/>
      <x:c r="P194" s="19" t="str">
        <x:f>IF(A194="","",IF(COUNTIFS('观测证据'!$A$7:$A$306,A194)&lt;&gt;1,"编号重复",IF(COUNTIFS('问题总览'!$A$7:$A$306,B194)&lt;&gt;1,"问题引用无效",IF(AND(C194&lt;&gt;"",COUNTIFS('方案版本'!$A$7:$A$306,C194,'方案版本'!$B$7:$B$306,B194,'方案版本'!$L$7:$L$306,"已冻结")&lt;&gt;1),"方案引用无效",IF(OR(NOT(ISNUMBER(F194)),M194=""),"待补登记信息",IF(AND(M194="已观测",OR(K194="",AND(NOT(ISNUMBER(G194)),J194=""))),"待补观测与来源",IF(AND(ISNUMBER(G194),H194=""),"待补数值单位",IF(AND(N194&lt;&gt;"",OR(N194=A194,COUNTIFS('观测证据'!$A$7:$A$306,N194,'观测证据'!$B$7:$B$306,B194,'观测证据'!$M$7:$M$306,"已更正")&lt;&gt;1)),"更正引用待核对","有效输入"))))))))</x:f>
      </x:c>
    </x:row>
    <x:row r="195" ht="25" customHeight="1">
      <x:c r="A195" s="3"/>
      <x:c r="B195" s="3"/>
      <x:c r="C195" s="3"/>
      <x:c r="D195" s="3"/>
      <x:c r="E195" s="25"/>
      <x:c r="F195" s="25"/>
      <x:c r="G195" s="22"/>
      <x:c r="H195" s="3"/>
      <x:c r="I195" s="22"/>
      <x:c r="J195" s="3"/>
      <x:c r="K195" s="3"/>
      <x:c r="L195" s="3"/>
      <x:c r="M195" s="3"/>
      <x:c r="N195" s="3"/>
      <x:c r="O195" s="3"/>
      <x:c r="P195" s="19" t="str">
        <x:f>IF(A195="","",IF(COUNTIFS('观测证据'!$A$7:$A$306,A195)&lt;&gt;1,"编号重复",IF(COUNTIFS('问题总览'!$A$7:$A$306,B195)&lt;&gt;1,"问题引用无效",IF(AND(C195&lt;&gt;"",COUNTIFS('方案版本'!$A$7:$A$306,C195,'方案版本'!$B$7:$B$306,B195,'方案版本'!$L$7:$L$306,"已冻结")&lt;&gt;1),"方案引用无效",IF(OR(NOT(ISNUMBER(F195)),M195=""),"待补登记信息",IF(AND(M195="已观测",OR(K195="",AND(NOT(ISNUMBER(G195)),J195=""))),"待补观测与来源",IF(AND(ISNUMBER(G195),H195=""),"待补数值单位",IF(AND(N195&lt;&gt;"",OR(N195=A195,COUNTIFS('观测证据'!$A$7:$A$306,N195,'观测证据'!$B$7:$B$306,B195,'观测证据'!$M$7:$M$306,"已更正")&lt;&gt;1)),"更正引用待核对","有效输入"))))))))</x:f>
      </x:c>
    </x:row>
    <x:row r="196" ht="25" customHeight="1">
      <x:c r="A196" s="3"/>
      <x:c r="B196" s="3"/>
      <x:c r="C196" s="3"/>
      <x:c r="D196" s="3"/>
      <x:c r="E196" s="25"/>
      <x:c r="F196" s="25"/>
      <x:c r="G196" s="22"/>
      <x:c r="H196" s="3"/>
      <x:c r="I196" s="22"/>
      <x:c r="J196" s="3"/>
      <x:c r="K196" s="3"/>
      <x:c r="L196" s="3"/>
      <x:c r="M196" s="3"/>
      <x:c r="N196" s="3"/>
      <x:c r="O196" s="3"/>
      <x:c r="P196" s="19" t="str">
        <x:f>IF(A196="","",IF(COUNTIFS('观测证据'!$A$7:$A$306,A196)&lt;&gt;1,"编号重复",IF(COUNTIFS('问题总览'!$A$7:$A$306,B196)&lt;&gt;1,"问题引用无效",IF(AND(C196&lt;&gt;"",COUNTIFS('方案版本'!$A$7:$A$306,C196,'方案版本'!$B$7:$B$306,B196,'方案版本'!$L$7:$L$306,"已冻结")&lt;&gt;1),"方案引用无效",IF(OR(NOT(ISNUMBER(F196)),M196=""),"待补登记信息",IF(AND(M196="已观测",OR(K196="",AND(NOT(ISNUMBER(G196)),J196=""))),"待补观测与来源",IF(AND(ISNUMBER(G196),H196=""),"待补数值单位",IF(AND(N196&lt;&gt;"",OR(N196=A196,COUNTIFS('观测证据'!$A$7:$A$306,N196,'观测证据'!$B$7:$B$306,B196,'观测证据'!$M$7:$M$306,"已更正")&lt;&gt;1)),"更正引用待核对","有效输入"))))))))</x:f>
      </x:c>
    </x:row>
    <x:row r="197" ht="25" customHeight="1">
      <x:c r="A197" s="3"/>
      <x:c r="B197" s="3"/>
      <x:c r="C197" s="3"/>
      <x:c r="D197" s="3"/>
      <x:c r="E197" s="25"/>
      <x:c r="F197" s="25"/>
      <x:c r="G197" s="22"/>
      <x:c r="H197" s="3"/>
      <x:c r="I197" s="22"/>
      <x:c r="J197" s="3"/>
      <x:c r="K197" s="3"/>
      <x:c r="L197" s="3"/>
      <x:c r="M197" s="3"/>
      <x:c r="N197" s="3"/>
      <x:c r="O197" s="3"/>
      <x:c r="P197" s="19" t="str">
        <x:f>IF(A197="","",IF(COUNTIFS('观测证据'!$A$7:$A$306,A197)&lt;&gt;1,"编号重复",IF(COUNTIFS('问题总览'!$A$7:$A$306,B197)&lt;&gt;1,"问题引用无效",IF(AND(C197&lt;&gt;"",COUNTIFS('方案版本'!$A$7:$A$306,C197,'方案版本'!$B$7:$B$306,B197,'方案版本'!$L$7:$L$306,"已冻结")&lt;&gt;1),"方案引用无效",IF(OR(NOT(ISNUMBER(F197)),M197=""),"待补登记信息",IF(AND(M197="已观测",OR(K197="",AND(NOT(ISNUMBER(G197)),J197=""))),"待补观测与来源",IF(AND(ISNUMBER(G197),H197=""),"待补数值单位",IF(AND(N197&lt;&gt;"",OR(N197=A197,COUNTIFS('观测证据'!$A$7:$A$306,N197,'观测证据'!$B$7:$B$306,B197,'观测证据'!$M$7:$M$306,"已更正")&lt;&gt;1)),"更正引用待核对","有效输入"))))))))</x:f>
      </x:c>
    </x:row>
    <x:row r="198" ht="25" customHeight="1">
      <x:c r="A198" s="3"/>
      <x:c r="B198" s="3"/>
      <x:c r="C198" s="3"/>
      <x:c r="D198" s="3"/>
      <x:c r="E198" s="25"/>
      <x:c r="F198" s="25"/>
      <x:c r="G198" s="22"/>
      <x:c r="H198" s="3"/>
      <x:c r="I198" s="22"/>
      <x:c r="J198" s="3"/>
      <x:c r="K198" s="3"/>
      <x:c r="L198" s="3"/>
      <x:c r="M198" s="3"/>
      <x:c r="N198" s="3"/>
      <x:c r="O198" s="3"/>
      <x:c r="P198" s="19" t="str">
        <x:f>IF(A198="","",IF(COUNTIFS('观测证据'!$A$7:$A$306,A198)&lt;&gt;1,"编号重复",IF(COUNTIFS('问题总览'!$A$7:$A$306,B198)&lt;&gt;1,"问题引用无效",IF(AND(C198&lt;&gt;"",COUNTIFS('方案版本'!$A$7:$A$306,C198,'方案版本'!$B$7:$B$306,B198,'方案版本'!$L$7:$L$306,"已冻结")&lt;&gt;1),"方案引用无效",IF(OR(NOT(ISNUMBER(F198)),M198=""),"待补登记信息",IF(AND(M198="已观测",OR(K198="",AND(NOT(ISNUMBER(G198)),J198=""))),"待补观测与来源",IF(AND(ISNUMBER(G198),H198=""),"待补数值单位",IF(AND(N198&lt;&gt;"",OR(N198=A198,COUNTIFS('观测证据'!$A$7:$A$306,N198,'观测证据'!$B$7:$B$306,B198,'观测证据'!$M$7:$M$306,"已更正")&lt;&gt;1)),"更正引用待核对","有效输入"))))))))</x:f>
      </x:c>
    </x:row>
    <x:row r="199" ht="25" customHeight="1">
      <x:c r="A199" s="3"/>
      <x:c r="B199" s="3"/>
      <x:c r="C199" s="3"/>
      <x:c r="D199" s="3"/>
      <x:c r="E199" s="25"/>
      <x:c r="F199" s="25"/>
      <x:c r="G199" s="22"/>
      <x:c r="H199" s="3"/>
      <x:c r="I199" s="22"/>
      <x:c r="J199" s="3"/>
      <x:c r="K199" s="3"/>
      <x:c r="L199" s="3"/>
      <x:c r="M199" s="3"/>
      <x:c r="N199" s="3"/>
      <x:c r="O199" s="3"/>
      <x:c r="P199" s="19" t="str">
        <x:f>IF(A199="","",IF(COUNTIFS('观测证据'!$A$7:$A$306,A199)&lt;&gt;1,"编号重复",IF(COUNTIFS('问题总览'!$A$7:$A$306,B199)&lt;&gt;1,"问题引用无效",IF(AND(C199&lt;&gt;"",COUNTIFS('方案版本'!$A$7:$A$306,C199,'方案版本'!$B$7:$B$306,B199,'方案版本'!$L$7:$L$306,"已冻结")&lt;&gt;1),"方案引用无效",IF(OR(NOT(ISNUMBER(F199)),M199=""),"待补登记信息",IF(AND(M199="已观测",OR(K199="",AND(NOT(ISNUMBER(G199)),J199=""))),"待补观测与来源",IF(AND(ISNUMBER(G199),H199=""),"待补数值单位",IF(AND(N199&lt;&gt;"",OR(N199=A199,COUNTIFS('观测证据'!$A$7:$A$306,N199,'观测证据'!$B$7:$B$306,B199,'观测证据'!$M$7:$M$306,"已更正")&lt;&gt;1)),"更正引用待核对","有效输入"))))))))</x:f>
      </x:c>
    </x:row>
    <x:row r="200" ht="25" customHeight="1">
      <x:c r="A200" s="3"/>
      <x:c r="B200" s="3"/>
      <x:c r="C200" s="3"/>
      <x:c r="D200" s="3"/>
      <x:c r="E200" s="25"/>
      <x:c r="F200" s="25"/>
      <x:c r="G200" s="22"/>
      <x:c r="H200" s="3"/>
      <x:c r="I200" s="22"/>
      <x:c r="J200" s="3"/>
      <x:c r="K200" s="3"/>
      <x:c r="L200" s="3"/>
      <x:c r="M200" s="3"/>
      <x:c r="N200" s="3"/>
      <x:c r="O200" s="3"/>
      <x:c r="P200" s="19" t="str">
        <x:f>IF(A200="","",IF(COUNTIFS('观测证据'!$A$7:$A$306,A200)&lt;&gt;1,"编号重复",IF(COUNTIFS('问题总览'!$A$7:$A$306,B200)&lt;&gt;1,"问题引用无效",IF(AND(C200&lt;&gt;"",COUNTIFS('方案版本'!$A$7:$A$306,C200,'方案版本'!$B$7:$B$306,B200,'方案版本'!$L$7:$L$306,"已冻结")&lt;&gt;1),"方案引用无效",IF(OR(NOT(ISNUMBER(F200)),M200=""),"待补登记信息",IF(AND(M200="已观测",OR(K200="",AND(NOT(ISNUMBER(G200)),J200=""))),"待补观测与来源",IF(AND(ISNUMBER(G200),H200=""),"待补数值单位",IF(AND(N200&lt;&gt;"",OR(N200=A200,COUNTIFS('观测证据'!$A$7:$A$306,N200,'观测证据'!$B$7:$B$306,B200,'观测证据'!$M$7:$M$306,"已更正")&lt;&gt;1)),"更正引用待核对","有效输入"))))))))</x:f>
      </x:c>
    </x:row>
    <x:row r="201" ht="25" customHeight="1">
      <x:c r="A201" s="3"/>
      <x:c r="B201" s="3"/>
      <x:c r="C201" s="3"/>
      <x:c r="D201" s="3"/>
      <x:c r="E201" s="25"/>
      <x:c r="F201" s="25"/>
      <x:c r="G201" s="22"/>
      <x:c r="H201" s="3"/>
      <x:c r="I201" s="22"/>
      <x:c r="J201" s="3"/>
      <x:c r="K201" s="3"/>
      <x:c r="L201" s="3"/>
      <x:c r="M201" s="3"/>
      <x:c r="N201" s="3"/>
      <x:c r="O201" s="3"/>
      <x:c r="P201" s="19" t="str">
        <x:f>IF(A201="","",IF(COUNTIFS('观测证据'!$A$7:$A$306,A201)&lt;&gt;1,"编号重复",IF(COUNTIFS('问题总览'!$A$7:$A$306,B201)&lt;&gt;1,"问题引用无效",IF(AND(C201&lt;&gt;"",COUNTIFS('方案版本'!$A$7:$A$306,C201,'方案版本'!$B$7:$B$306,B201,'方案版本'!$L$7:$L$306,"已冻结")&lt;&gt;1),"方案引用无效",IF(OR(NOT(ISNUMBER(F201)),M201=""),"待补登记信息",IF(AND(M201="已观测",OR(K201="",AND(NOT(ISNUMBER(G201)),J201=""))),"待补观测与来源",IF(AND(ISNUMBER(G201),H201=""),"待补数值单位",IF(AND(N201&lt;&gt;"",OR(N201=A201,COUNTIFS('观测证据'!$A$7:$A$306,N201,'观测证据'!$B$7:$B$306,B201,'观测证据'!$M$7:$M$306,"已更正")&lt;&gt;1)),"更正引用待核对","有效输入"))))))))</x:f>
      </x:c>
    </x:row>
    <x:row r="202" ht="25" customHeight="1">
      <x:c r="A202" s="3"/>
      <x:c r="B202" s="3"/>
      <x:c r="C202" s="3"/>
      <x:c r="D202" s="3"/>
      <x:c r="E202" s="25"/>
      <x:c r="F202" s="25"/>
      <x:c r="G202" s="22"/>
      <x:c r="H202" s="3"/>
      <x:c r="I202" s="22"/>
      <x:c r="J202" s="3"/>
      <x:c r="K202" s="3"/>
      <x:c r="L202" s="3"/>
      <x:c r="M202" s="3"/>
      <x:c r="N202" s="3"/>
      <x:c r="O202" s="3"/>
      <x:c r="P202" s="19" t="str">
        <x:f>IF(A202="","",IF(COUNTIFS('观测证据'!$A$7:$A$306,A202)&lt;&gt;1,"编号重复",IF(COUNTIFS('问题总览'!$A$7:$A$306,B202)&lt;&gt;1,"问题引用无效",IF(AND(C202&lt;&gt;"",COUNTIFS('方案版本'!$A$7:$A$306,C202,'方案版本'!$B$7:$B$306,B202,'方案版本'!$L$7:$L$306,"已冻结")&lt;&gt;1),"方案引用无效",IF(OR(NOT(ISNUMBER(F202)),M202=""),"待补登记信息",IF(AND(M202="已观测",OR(K202="",AND(NOT(ISNUMBER(G202)),J202=""))),"待补观测与来源",IF(AND(ISNUMBER(G202),H202=""),"待补数值单位",IF(AND(N202&lt;&gt;"",OR(N202=A202,COUNTIFS('观测证据'!$A$7:$A$306,N202,'观测证据'!$B$7:$B$306,B202,'观测证据'!$M$7:$M$306,"已更正")&lt;&gt;1)),"更正引用待核对","有效输入"))))))))</x:f>
      </x:c>
    </x:row>
    <x:row r="203" ht="25" customHeight="1">
      <x:c r="A203" s="3"/>
      <x:c r="B203" s="3"/>
      <x:c r="C203" s="3"/>
      <x:c r="D203" s="3"/>
      <x:c r="E203" s="25"/>
      <x:c r="F203" s="25"/>
      <x:c r="G203" s="22"/>
      <x:c r="H203" s="3"/>
      <x:c r="I203" s="22"/>
      <x:c r="J203" s="3"/>
      <x:c r="K203" s="3"/>
      <x:c r="L203" s="3"/>
      <x:c r="M203" s="3"/>
      <x:c r="N203" s="3"/>
      <x:c r="O203" s="3"/>
      <x:c r="P203" s="19" t="str">
        <x:f>IF(A203="","",IF(COUNTIFS('观测证据'!$A$7:$A$306,A203)&lt;&gt;1,"编号重复",IF(COUNTIFS('问题总览'!$A$7:$A$306,B203)&lt;&gt;1,"问题引用无效",IF(AND(C203&lt;&gt;"",COUNTIFS('方案版本'!$A$7:$A$306,C203,'方案版本'!$B$7:$B$306,B203,'方案版本'!$L$7:$L$306,"已冻结")&lt;&gt;1),"方案引用无效",IF(OR(NOT(ISNUMBER(F203)),M203=""),"待补登记信息",IF(AND(M203="已观测",OR(K203="",AND(NOT(ISNUMBER(G203)),J203=""))),"待补观测与来源",IF(AND(ISNUMBER(G203),H203=""),"待补数值单位",IF(AND(N203&lt;&gt;"",OR(N203=A203,COUNTIFS('观测证据'!$A$7:$A$306,N203,'观测证据'!$B$7:$B$306,B203,'观测证据'!$M$7:$M$306,"已更正")&lt;&gt;1)),"更正引用待核对","有效输入"))))))))</x:f>
      </x:c>
    </x:row>
    <x:row r="204" ht="25" customHeight="1">
      <x:c r="A204" s="3"/>
      <x:c r="B204" s="3"/>
      <x:c r="C204" s="3"/>
      <x:c r="D204" s="3"/>
      <x:c r="E204" s="25"/>
      <x:c r="F204" s="25"/>
      <x:c r="G204" s="22"/>
      <x:c r="H204" s="3"/>
      <x:c r="I204" s="22"/>
      <x:c r="J204" s="3"/>
      <x:c r="K204" s="3"/>
      <x:c r="L204" s="3"/>
      <x:c r="M204" s="3"/>
      <x:c r="N204" s="3"/>
      <x:c r="O204" s="3"/>
      <x:c r="P204" s="19" t="str">
        <x:f>IF(A204="","",IF(COUNTIFS('观测证据'!$A$7:$A$306,A204)&lt;&gt;1,"编号重复",IF(COUNTIFS('问题总览'!$A$7:$A$306,B204)&lt;&gt;1,"问题引用无效",IF(AND(C204&lt;&gt;"",COUNTIFS('方案版本'!$A$7:$A$306,C204,'方案版本'!$B$7:$B$306,B204,'方案版本'!$L$7:$L$306,"已冻结")&lt;&gt;1),"方案引用无效",IF(OR(NOT(ISNUMBER(F204)),M204=""),"待补登记信息",IF(AND(M204="已观测",OR(K204="",AND(NOT(ISNUMBER(G204)),J204=""))),"待补观测与来源",IF(AND(ISNUMBER(G204),H204=""),"待补数值单位",IF(AND(N204&lt;&gt;"",OR(N204=A204,COUNTIFS('观测证据'!$A$7:$A$306,N204,'观测证据'!$B$7:$B$306,B204,'观测证据'!$M$7:$M$306,"已更正")&lt;&gt;1)),"更正引用待核对","有效输入"))))))))</x:f>
      </x:c>
    </x:row>
    <x:row r="205" ht="25" customHeight="1">
      <x:c r="A205" s="3"/>
      <x:c r="B205" s="3"/>
      <x:c r="C205" s="3"/>
      <x:c r="D205" s="3"/>
      <x:c r="E205" s="25"/>
      <x:c r="F205" s="25"/>
      <x:c r="G205" s="22"/>
      <x:c r="H205" s="3"/>
      <x:c r="I205" s="22"/>
      <x:c r="J205" s="3"/>
      <x:c r="K205" s="3"/>
      <x:c r="L205" s="3"/>
      <x:c r="M205" s="3"/>
      <x:c r="N205" s="3"/>
      <x:c r="O205" s="3"/>
      <x:c r="P205" s="19" t="str">
        <x:f>IF(A205="","",IF(COUNTIFS('观测证据'!$A$7:$A$306,A205)&lt;&gt;1,"编号重复",IF(COUNTIFS('问题总览'!$A$7:$A$306,B205)&lt;&gt;1,"问题引用无效",IF(AND(C205&lt;&gt;"",COUNTIFS('方案版本'!$A$7:$A$306,C205,'方案版本'!$B$7:$B$306,B205,'方案版本'!$L$7:$L$306,"已冻结")&lt;&gt;1),"方案引用无效",IF(OR(NOT(ISNUMBER(F205)),M205=""),"待补登记信息",IF(AND(M205="已观测",OR(K205="",AND(NOT(ISNUMBER(G205)),J205=""))),"待补观测与来源",IF(AND(ISNUMBER(G205),H205=""),"待补数值单位",IF(AND(N205&lt;&gt;"",OR(N205=A205,COUNTIFS('观测证据'!$A$7:$A$306,N205,'观测证据'!$B$7:$B$306,B205,'观测证据'!$M$7:$M$306,"已更正")&lt;&gt;1)),"更正引用待核对","有效输入"))))))))</x:f>
      </x:c>
    </x:row>
    <x:row r="206" ht="25" customHeight="1">
      <x:c r="A206" s="3"/>
      <x:c r="B206" s="3"/>
      <x:c r="C206" s="3"/>
      <x:c r="D206" s="3"/>
      <x:c r="E206" s="25"/>
      <x:c r="F206" s="25"/>
      <x:c r="G206" s="22"/>
      <x:c r="H206" s="3"/>
      <x:c r="I206" s="22"/>
      <x:c r="J206" s="3"/>
      <x:c r="K206" s="3"/>
      <x:c r="L206" s="3"/>
      <x:c r="M206" s="3"/>
      <x:c r="N206" s="3"/>
      <x:c r="O206" s="3"/>
      <x:c r="P206" s="19" t="str">
        <x:f>IF(A206="","",IF(COUNTIFS('观测证据'!$A$7:$A$306,A206)&lt;&gt;1,"编号重复",IF(COUNTIFS('问题总览'!$A$7:$A$306,B206)&lt;&gt;1,"问题引用无效",IF(AND(C206&lt;&gt;"",COUNTIFS('方案版本'!$A$7:$A$306,C206,'方案版本'!$B$7:$B$306,B206,'方案版本'!$L$7:$L$306,"已冻结")&lt;&gt;1),"方案引用无效",IF(OR(NOT(ISNUMBER(F206)),M206=""),"待补登记信息",IF(AND(M206="已观测",OR(K206="",AND(NOT(ISNUMBER(G206)),J206=""))),"待补观测与来源",IF(AND(ISNUMBER(G206),H206=""),"待补数值单位",IF(AND(N206&lt;&gt;"",OR(N206=A206,COUNTIFS('观测证据'!$A$7:$A$306,N206,'观测证据'!$B$7:$B$306,B206,'观测证据'!$M$7:$M$306,"已更正")&lt;&gt;1)),"更正引用待核对","有效输入"))))))))</x:f>
      </x:c>
    </x:row>
    <x:row r="207" ht="25" customHeight="1">
      <x:c r="A207" s="3"/>
      <x:c r="B207" s="3"/>
      <x:c r="C207" s="3"/>
      <x:c r="D207" s="3"/>
      <x:c r="E207" s="25"/>
      <x:c r="F207" s="25"/>
      <x:c r="G207" s="22"/>
      <x:c r="H207" s="3"/>
      <x:c r="I207" s="22"/>
      <x:c r="J207" s="3"/>
      <x:c r="K207" s="3"/>
      <x:c r="L207" s="3"/>
      <x:c r="M207" s="3"/>
      <x:c r="N207" s="3"/>
      <x:c r="O207" s="3"/>
      <x:c r="P207" s="19" t="str">
        <x:f>IF(A207="","",IF(COUNTIFS('观测证据'!$A$7:$A$306,A207)&lt;&gt;1,"编号重复",IF(COUNTIFS('问题总览'!$A$7:$A$306,B207)&lt;&gt;1,"问题引用无效",IF(AND(C207&lt;&gt;"",COUNTIFS('方案版本'!$A$7:$A$306,C207,'方案版本'!$B$7:$B$306,B207,'方案版本'!$L$7:$L$306,"已冻结")&lt;&gt;1),"方案引用无效",IF(OR(NOT(ISNUMBER(F207)),M207=""),"待补登记信息",IF(AND(M207="已观测",OR(K207="",AND(NOT(ISNUMBER(G207)),J207=""))),"待补观测与来源",IF(AND(ISNUMBER(G207),H207=""),"待补数值单位",IF(AND(N207&lt;&gt;"",OR(N207=A207,COUNTIFS('观测证据'!$A$7:$A$306,N207,'观测证据'!$B$7:$B$306,B207,'观测证据'!$M$7:$M$306,"已更正")&lt;&gt;1)),"更正引用待核对","有效输入"))))))))</x:f>
      </x:c>
    </x:row>
    <x:row r="208" ht="25" customHeight="1">
      <x:c r="A208" s="3"/>
      <x:c r="B208" s="3"/>
      <x:c r="C208" s="3"/>
      <x:c r="D208" s="3"/>
      <x:c r="E208" s="25"/>
      <x:c r="F208" s="25"/>
      <x:c r="G208" s="22"/>
      <x:c r="H208" s="3"/>
      <x:c r="I208" s="22"/>
      <x:c r="J208" s="3"/>
      <x:c r="K208" s="3"/>
      <x:c r="L208" s="3"/>
      <x:c r="M208" s="3"/>
      <x:c r="N208" s="3"/>
      <x:c r="O208" s="3"/>
      <x:c r="P208" s="19" t="str">
        <x:f>IF(A208="","",IF(COUNTIFS('观测证据'!$A$7:$A$306,A208)&lt;&gt;1,"编号重复",IF(COUNTIFS('问题总览'!$A$7:$A$306,B208)&lt;&gt;1,"问题引用无效",IF(AND(C208&lt;&gt;"",COUNTIFS('方案版本'!$A$7:$A$306,C208,'方案版本'!$B$7:$B$306,B208,'方案版本'!$L$7:$L$306,"已冻结")&lt;&gt;1),"方案引用无效",IF(OR(NOT(ISNUMBER(F208)),M208=""),"待补登记信息",IF(AND(M208="已观测",OR(K208="",AND(NOT(ISNUMBER(G208)),J208=""))),"待补观测与来源",IF(AND(ISNUMBER(G208),H208=""),"待补数值单位",IF(AND(N208&lt;&gt;"",OR(N208=A208,COUNTIFS('观测证据'!$A$7:$A$306,N208,'观测证据'!$B$7:$B$306,B208,'观测证据'!$M$7:$M$306,"已更正")&lt;&gt;1)),"更正引用待核对","有效输入"))))))))</x:f>
      </x:c>
    </x:row>
    <x:row r="209" ht="25" customHeight="1">
      <x:c r="A209" s="3"/>
      <x:c r="B209" s="3"/>
      <x:c r="C209" s="3"/>
      <x:c r="D209" s="3"/>
      <x:c r="E209" s="25"/>
      <x:c r="F209" s="25"/>
      <x:c r="G209" s="22"/>
      <x:c r="H209" s="3"/>
      <x:c r="I209" s="22"/>
      <x:c r="J209" s="3"/>
      <x:c r="K209" s="3"/>
      <x:c r="L209" s="3"/>
      <x:c r="M209" s="3"/>
      <x:c r="N209" s="3"/>
      <x:c r="O209" s="3"/>
      <x:c r="P209" s="19" t="str">
        <x:f>IF(A209="","",IF(COUNTIFS('观测证据'!$A$7:$A$306,A209)&lt;&gt;1,"编号重复",IF(COUNTIFS('问题总览'!$A$7:$A$306,B209)&lt;&gt;1,"问题引用无效",IF(AND(C209&lt;&gt;"",COUNTIFS('方案版本'!$A$7:$A$306,C209,'方案版本'!$B$7:$B$306,B209,'方案版本'!$L$7:$L$306,"已冻结")&lt;&gt;1),"方案引用无效",IF(OR(NOT(ISNUMBER(F209)),M209=""),"待补登记信息",IF(AND(M209="已观测",OR(K209="",AND(NOT(ISNUMBER(G209)),J209=""))),"待补观测与来源",IF(AND(ISNUMBER(G209),H209=""),"待补数值单位",IF(AND(N209&lt;&gt;"",OR(N209=A209,COUNTIFS('观测证据'!$A$7:$A$306,N209,'观测证据'!$B$7:$B$306,B209,'观测证据'!$M$7:$M$306,"已更正")&lt;&gt;1)),"更正引用待核对","有效输入"))))))))</x:f>
      </x:c>
    </x:row>
    <x:row r="210" ht="25" customHeight="1">
      <x:c r="A210" s="3"/>
      <x:c r="B210" s="3"/>
      <x:c r="C210" s="3"/>
      <x:c r="D210" s="3"/>
      <x:c r="E210" s="25"/>
      <x:c r="F210" s="25"/>
      <x:c r="G210" s="22"/>
      <x:c r="H210" s="3"/>
      <x:c r="I210" s="22"/>
      <x:c r="J210" s="3"/>
      <x:c r="K210" s="3"/>
      <x:c r="L210" s="3"/>
      <x:c r="M210" s="3"/>
      <x:c r="N210" s="3"/>
      <x:c r="O210" s="3"/>
      <x:c r="P210" s="19" t="str">
        <x:f>IF(A210="","",IF(COUNTIFS('观测证据'!$A$7:$A$306,A210)&lt;&gt;1,"编号重复",IF(COUNTIFS('问题总览'!$A$7:$A$306,B210)&lt;&gt;1,"问题引用无效",IF(AND(C210&lt;&gt;"",COUNTIFS('方案版本'!$A$7:$A$306,C210,'方案版本'!$B$7:$B$306,B210,'方案版本'!$L$7:$L$306,"已冻结")&lt;&gt;1),"方案引用无效",IF(OR(NOT(ISNUMBER(F210)),M210=""),"待补登记信息",IF(AND(M210="已观测",OR(K210="",AND(NOT(ISNUMBER(G210)),J210=""))),"待补观测与来源",IF(AND(ISNUMBER(G210),H210=""),"待补数值单位",IF(AND(N210&lt;&gt;"",OR(N210=A210,COUNTIFS('观测证据'!$A$7:$A$306,N210,'观测证据'!$B$7:$B$306,B210,'观测证据'!$M$7:$M$306,"已更正")&lt;&gt;1)),"更正引用待核对","有效输入"))))))))</x:f>
      </x:c>
    </x:row>
    <x:row r="211" ht="25" customHeight="1">
      <x:c r="A211" s="3"/>
      <x:c r="B211" s="3"/>
      <x:c r="C211" s="3"/>
      <x:c r="D211" s="3"/>
      <x:c r="E211" s="25"/>
      <x:c r="F211" s="25"/>
      <x:c r="G211" s="22"/>
      <x:c r="H211" s="3"/>
      <x:c r="I211" s="22"/>
      <x:c r="J211" s="3"/>
      <x:c r="K211" s="3"/>
      <x:c r="L211" s="3"/>
      <x:c r="M211" s="3"/>
      <x:c r="N211" s="3"/>
      <x:c r="O211" s="3"/>
      <x:c r="P211" s="19" t="str">
        <x:f>IF(A211="","",IF(COUNTIFS('观测证据'!$A$7:$A$306,A211)&lt;&gt;1,"编号重复",IF(COUNTIFS('问题总览'!$A$7:$A$306,B211)&lt;&gt;1,"问题引用无效",IF(AND(C211&lt;&gt;"",COUNTIFS('方案版本'!$A$7:$A$306,C211,'方案版本'!$B$7:$B$306,B211,'方案版本'!$L$7:$L$306,"已冻结")&lt;&gt;1),"方案引用无效",IF(OR(NOT(ISNUMBER(F211)),M211=""),"待补登记信息",IF(AND(M211="已观测",OR(K211="",AND(NOT(ISNUMBER(G211)),J211=""))),"待补观测与来源",IF(AND(ISNUMBER(G211),H211=""),"待补数值单位",IF(AND(N211&lt;&gt;"",OR(N211=A211,COUNTIFS('观测证据'!$A$7:$A$306,N211,'观测证据'!$B$7:$B$306,B211,'观测证据'!$M$7:$M$306,"已更正")&lt;&gt;1)),"更正引用待核对","有效输入"))))))))</x:f>
      </x:c>
    </x:row>
    <x:row r="212" ht="25" customHeight="1">
      <x:c r="A212" s="3"/>
      <x:c r="B212" s="3"/>
      <x:c r="C212" s="3"/>
      <x:c r="D212" s="3"/>
      <x:c r="E212" s="25"/>
      <x:c r="F212" s="25"/>
      <x:c r="G212" s="22"/>
      <x:c r="H212" s="3"/>
      <x:c r="I212" s="22"/>
      <x:c r="J212" s="3"/>
      <x:c r="K212" s="3"/>
      <x:c r="L212" s="3"/>
      <x:c r="M212" s="3"/>
      <x:c r="N212" s="3"/>
      <x:c r="O212" s="3"/>
      <x:c r="P212" s="19" t="str">
        <x:f>IF(A212="","",IF(COUNTIFS('观测证据'!$A$7:$A$306,A212)&lt;&gt;1,"编号重复",IF(COUNTIFS('问题总览'!$A$7:$A$306,B212)&lt;&gt;1,"问题引用无效",IF(AND(C212&lt;&gt;"",COUNTIFS('方案版本'!$A$7:$A$306,C212,'方案版本'!$B$7:$B$306,B212,'方案版本'!$L$7:$L$306,"已冻结")&lt;&gt;1),"方案引用无效",IF(OR(NOT(ISNUMBER(F212)),M212=""),"待补登记信息",IF(AND(M212="已观测",OR(K212="",AND(NOT(ISNUMBER(G212)),J212=""))),"待补观测与来源",IF(AND(ISNUMBER(G212),H212=""),"待补数值单位",IF(AND(N212&lt;&gt;"",OR(N212=A212,COUNTIFS('观测证据'!$A$7:$A$306,N212,'观测证据'!$B$7:$B$306,B212,'观测证据'!$M$7:$M$306,"已更正")&lt;&gt;1)),"更正引用待核对","有效输入"))))))))</x:f>
      </x:c>
    </x:row>
    <x:row r="213" ht="25" customHeight="1">
      <x:c r="A213" s="3"/>
      <x:c r="B213" s="3"/>
      <x:c r="C213" s="3"/>
      <x:c r="D213" s="3"/>
      <x:c r="E213" s="25"/>
      <x:c r="F213" s="25"/>
      <x:c r="G213" s="22"/>
      <x:c r="H213" s="3"/>
      <x:c r="I213" s="22"/>
      <x:c r="J213" s="3"/>
      <x:c r="K213" s="3"/>
      <x:c r="L213" s="3"/>
      <x:c r="M213" s="3"/>
      <x:c r="N213" s="3"/>
      <x:c r="O213" s="3"/>
      <x:c r="P213" s="19" t="str">
        <x:f>IF(A213="","",IF(COUNTIFS('观测证据'!$A$7:$A$306,A213)&lt;&gt;1,"编号重复",IF(COUNTIFS('问题总览'!$A$7:$A$306,B213)&lt;&gt;1,"问题引用无效",IF(AND(C213&lt;&gt;"",COUNTIFS('方案版本'!$A$7:$A$306,C213,'方案版本'!$B$7:$B$306,B213,'方案版本'!$L$7:$L$306,"已冻结")&lt;&gt;1),"方案引用无效",IF(OR(NOT(ISNUMBER(F213)),M213=""),"待补登记信息",IF(AND(M213="已观测",OR(K213="",AND(NOT(ISNUMBER(G213)),J213=""))),"待补观测与来源",IF(AND(ISNUMBER(G213),H213=""),"待补数值单位",IF(AND(N213&lt;&gt;"",OR(N213=A213,COUNTIFS('观测证据'!$A$7:$A$306,N213,'观测证据'!$B$7:$B$306,B213,'观测证据'!$M$7:$M$306,"已更正")&lt;&gt;1)),"更正引用待核对","有效输入"))))))))</x:f>
      </x:c>
    </x:row>
    <x:row r="214" ht="25" customHeight="1">
      <x:c r="A214" s="3"/>
      <x:c r="B214" s="3"/>
      <x:c r="C214" s="3"/>
      <x:c r="D214" s="3"/>
      <x:c r="E214" s="25"/>
      <x:c r="F214" s="25"/>
      <x:c r="G214" s="22"/>
      <x:c r="H214" s="3"/>
      <x:c r="I214" s="22"/>
      <x:c r="J214" s="3"/>
      <x:c r="K214" s="3"/>
      <x:c r="L214" s="3"/>
      <x:c r="M214" s="3"/>
      <x:c r="N214" s="3"/>
      <x:c r="O214" s="3"/>
      <x:c r="P214" s="19" t="str">
        <x:f>IF(A214="","",IF(COUNTIFS('观测证据'!$A$7:$A$306,A214)&lt;&gt;1,"编号重复",IF(COUNTIFS('问题总览'!$A$7:$A$306,B214)&lt;&gt;1,"问题引用无效",IF(AND(C214&lt;&gt;"",COUNTIFS('方案版本'!$A$7:$A$306,C214,'方案版本'!$B$7:$B$306,B214,'方案版本'!$L$7:$L$306,"已冻结")&lt;&gt;1),"方案引用无效",IF(OR(NOT(ISNUMBER(F214)),M214=""),"待补登记信息",IF(AND(M214="已观测",OR(K214="",AND(NOT(ISNUMBER(G214)),J214=""))),"待补观测与来源",IF(AND(ISNUMBER(G214),H214=""),"待补数值单位",IF(AND(N214&lt;&gt;"",OR(N214=A214,COUNTIFS('观测证据'!$A$7:$A$306,N214,'观测证据'!$B$7:$B$306,B214,'观测证据'!$M$7:$M$306,"已更正")&lt;&gt;1)),"更正引用待核对","有效输入"))))))))</x:f>
      </x:c>
    </x:row>
    <x:row r="215" ht="25" customHeight="1">
      <x:c r="A215" s="3"/>
      <x:c r="B215" s="3"/>
      <x:c r="C215" s="3"/>
      <x:c r="D215" s="3"/>
      <x:c r="E215" s="25"/>
      <x:c r="F215" s="25"/>
      <x:c r="G215" s="22"/>
      <x:c r="H215" s="3"/>
      <x:c r="I215" s="22"/>
      <x:c r="J215" s="3"/>
      <x:c r="K215" s="3"/>
      <x:c r="L215" s="3"/>
      <x:c r="M215" s="3"/>
      <x:c r="N215" s="3"/>
      <x:c r="O215" s="3"/>
      <x:c r="P215" s="19" t="str">
        <x:f>IF(A215="","",IF(COUNTIFS('观测证据'!$A$7:$A$306,A215)&lt;&gt;1,"编号重复",IF(COUNTIFS('问题总览'!$A$7:$A$306,B215)&lt;&gt;1,"问题引用无效",IF(AND(C215&lt;&gt;"",COUNTIFS('方案版本'!$A$7:$A$306,C215,'方案版本'!$B$7:$B$306,B215,'方案版本'!$L$7:$L$306,"已冻结")&lt;&gt;1),"方案引用无效",IF(OR(NOT(ISNUMBER(F215)),M215=""),"待补登记信息",IF(AND(M215="已观测",OR(K215="",AND(NOT(ISNUMBER(G215)),J215=""))),"待补观测与来源",IF(AND(ISNUMBER(G215),H215=""),"待补数值单位",IF(AND(N215&lt;&gt;"",OR(N215=A215,COUNTIFS('观测证据'!$A$7:$A$306,N215,'观测证据'!$B$7:$B$306,B215,'观测证据'!$M$7:$M$306,"已更正")&lt;&gt;1)),"更正引用待核对","有效输入"))))))))</x:f>
      </x:c>
    </x:row>
    <x:row r="216" ht="25" customHeight="1">
      <x:c r="A216" s="3"/>
      <x:c r="B216" s="3"/>
      <x:c r="C216" s="3"/>
      <x:c r="D216" s="3"/>
      <x:c r="E216" s="25"/>
      <x:c r="F216" s="25"/>
      <x:c r="G216" s="22"/>
      <x:c r="H216" s="3"/>
      <x:c r="I216" s="22"/>
      <x:c r="J216" s="3"/>
      <x:c r="K216" s="3"/>
      <x:c r="L216" s="3"/>
      <x:c r="M216" s="3"/>
      <x:c r="N216" s="3"/>
      <x:c r="O216" s="3"/>
      <x:c r="P216" s="19" t="str">
        <x:f>IF(A216="","",IF(COUNTIFS('观测证据'!$A$7:$A$306,A216)&lt;&gt;1,"编号重复",IF(COUNTIFS('问题总览'!$A$7:$A$306,B216)&lt;&gt;1,"问题引用无效",IF(AND(C216&lt;&gt;"",COUNTIFS('方案版本'!$A$7:$A$306,C216,'方案版本'!$B$7:$B$306,B216,'方案版本'!$L$7:$L$306,"已冻结")&lt;&gt;1),"方案引用无效",IF(OR(NOT(ISNUMBER(F216)),M216=""),"待补登记信息",IF(AND(M216="已观测",OR(K216="",AND(NOT(ISNUMBER(G216)),J216=""))),"待补观测与来源",IF(AND(ISNUMBER(G216),H216=""),"待补数值单位",IF(AND(N216&lt;&gt;"",OR(N216=A216,COUNTIFS('观测证据'!$A$7:$A$306,N216,'观测证据'!$B$7:$B$306,B216,'观测证据'!$M$7:$M$306,"已更正")&lt;&gt;1)),"更正引用待核对","有效输入"))))))))</x:f>
      </x:c>
    </x:row>
    <x:row r="217" ht="25" customHeight="1">
      <x:c r="A217" s="3"/>
      <x:c r="B217" s="3"/>
      <x:c r="C217" s="3"/>
      <x:c r="D217" s="3"/>
      <x:c r="E217" s="25"/>
      <x:c r="F217" s="25"/>
      <x:c r="G217" s="22"/>
      <x:c r="H217" s="3"/>
      <x:c r="I217" s="22"/>
      <x:c r="J217" s="3"/>
      <x:c r="K217" s="3"/>
      <x:c r="L217" s="3"/>
      <x:c r="M217" s="3"/>
      <x:c r="N217" s="3"/>
      <x:c r="O217" s="3"/>
      <x:c r="P217" s="19" t="str">
        <x:f>IF(A217="","",IF(COUNTIFS('观测证据'!$A$7:$A$306,A217)&lt;&gt;1,"编号重复",IF(COUNTIFS('问题总览'!$A$7:$A$306,B217)&lt;&gt;1,"问题引用无效",IF(AND(C217&lt;&gt;"",COUNTIFS('方案版本'!$A$7:$A$306,C217,'方案版本'!$B$7:$B$306,B217,'方案版本'!$L$7:$L$306,"已冻结")&lt;&gt;1),"方案引用无效",IF(OR(NOT(ISNUMBER(F217)),M217=""),"待补登记信息",IF(AND(M217="已观测",OR(K217="",AND(NOT(ISNUMBER(G217)),J217=""))),"待补观测与来源",IF(AND(ISNUMBER(G217),H217=""),"待补数值单位",IF(AND(N217&lt;&gt;"",OR(N217=A217,COUNTIFS('观测证据'!$A$7:$A$306,N217,'观测证据'!$B$7:$B$306,B217,'观测证据'!$M$7:$M$306,"已更正")&lt;&gt;1)),"更正引用待核对","有效输入"))))))))</x:f>
      </x:c>
    </x:row>
    <x:row r="218" ht="25" customHeight="1">
      <x:c r="A218" s="3"/>
      <x:c r="B218" s="3"/>
      <x:c r="C218" s="3"/>
      <x:c r="D218" s="3"/>
      <x:c r="E218" s="25"/>
      <x:c r="F218" s="25"/>
      <x:c r="G218" s="22"/>
      <x:c r="H218" s="3"/>
      <x:c r="I218" s="22"/>
      <x:c r="J218" s="3"/>
      <x:c r="K218" s="3"/>
      <x:c r="L218" s="3"/>
      <x:c r="M218" s="3"/>
      <x:c r="N218" s="3"/>
      <x:c r="O218" s="3"/>
      <x:c r="P218" s="19" t="str">
        <x:f>IF(A218="","",IF(COUNTIFS('观测证据'!$A$7:$A$306,A218)&lt;&gt;1,"编号重复",IF(COUNTIFS('问题总览'!$A$7:$A$306,B218)&lt;&gt;1,"问题引用无效",IF(AND(C218&lt;&gt;"",COUNTIFS('方案版本'!$A$7:$A$306,C218,'方案版本'!$B$7:$B$306,B218,'方案版本'!$L$7:$L$306,"已冻结")&lt;&gt;1),"方案引用无效",IF(OR(NOT(ISNUMBER(F218)),M218=""),"待补登记信息",IF(AND(M218="已观测",OR(K218="",AND(NOT(ISNUMBER(G218)),J218=""))),"待补观测与来源",IF(AND(ISNUMBER(G218),H218=""),"待补数值单位",IF(AND(N218&lt;&gt;"",OR(N218=A218,COUNTIFS('观测证据'!$A$7:$A$306,N218,'观测证据'!$B$7:$B$306,B218,'观测证据'!$M$7:$M$306,"已更正")&lt;&gt;1)),"更正引用待核对","有效输入"))))))))</x:f>
      </x:c>
    </x:row>
    <x:row r="219" ht="25" customHeight="1">
      <x:c r="A219" s="3"/>
      <x:c r="B219" s="3"/>
      <x:c r="C219" s="3"/>
      <x:c r="D219" s="3"/>
      <x:c r="E219" s="25"/>
      <x:c r="F219" s="25"/>
      <x:c r="G219" s="22"/>
      <x:c r="H219" s="3"/>
      <x:c r="I219" s="22"/>
      <x:c r="J219" s="3"/>
      <x:c r="K219" s="3"/>
      <x:c r="L219" s="3"/>
      <x:c r="M219" s="3"/>
      <x:c r="N219" s="3"/>
      <x:c r="O219" s="3"/>
      <x:c r="P219" s="19" t="str">
        <x:f>IF(A219="","",IF(COUNTIFS('观测证据'!$A$7:$A$306,A219)&lt;&gt;1,"编号重复",IF(COUNTIFS('问题总览'!$A$7:$A$306,B219)&lt;&gt;1,"问题引用无效",IF(AND(C219&lt;&gt;"",COUNTIFS('方案版本'!$A$7:$A$306,C219,'方案版本'!$B$7:$B$306,B219,'方案版本'!$L$7:$L$306,"已冻结")&lt;&gt;1),"方案引用无效",IF(OR(NOT(ISNUMBER(F219)),M219=""),"待补登记信息",IF(AND(M219="已观测",OR(K219="",AND(NOT(ISNUMBER(G219)),J219=""))),"待补观测与来源",IF(AND(ISNUMBER(G219),H219=""),"待补数值单位",IF(AND(N219&lt;&gt;"",OR(N219=A219,COUNTIFS('观测证据'!$A$7:$A$306,N219,'观测证据'!$B$7:$B$306,B219,'观测证据'!$M$7:$M$306,"已更正")&lt;&gt;1)),"更正引用待核对","有效输入"))))))))</x:f>
      </x:c>
    </x:row>
    <x:row r="220" ht="25" customHeight="1">
      <x:c r="A220" s="3"/>
      <x:c r="B220" s="3"/>
      <x:c r="C220" s="3"/>
      <x:c r="D220" s="3"/>
      <x:c r="E220" s="25"/>
      <x:c r="F220" s="25"/>
      <x:c r="G220" s="22"/>
      <x:c r="H220" s="3"/>
      <x:c r="I220" s="22"/>
      <x:c r="J220" s="3"/>
      <x:c r="K220" s="3"/>
      <x:c r="L220" s="3"/>
      <x:c r="M220" s="3"/>
      <x:c r="N220" s="3"/>
      <x:c r="O220" s="3"/>
      <x:c r="P220" s="19" t="str">
        <x:f>IF(A220="","",IF(COUNTIFS('观测证据'!$A$7:$A$306,A220)&lt;&gt;1,"编号重复",IF(COUNTIFS('问题总览'!$A$7:$A$306,B220)&lt;&gt;1,"问题引用无效",IF(AND(C220&lt;&gt;"",COUNTIFS('方案版本'!$A$7:$A$306,C220,'方案版本'!$B$7:$B$306,B220,'方案版本'!$L$7:$L$306,"已冻结")&lt;&gt;1),"方案引用无效",IF(OR(NOT(ISNUMBER(F220)),M220=""),"待补登记信息",IF(AND(M220="已观测",OR(K220="",AND(NOT(ISNUMBER(G220)),J220=""))),"待补观测与来源",IF(AND(ISNUMBER(G220),H220=""),"待补数值单位",IF(AND(N220&lt;&gt;"",OR(N220=A220,COUNTIFS('观测证据'!$A$7:$A$306,N220,'观测证据'!$B$7:$B$306,B220,'观测证据'!$M$7:$M$306,"已更正")&lt;&gt;1)),"更正引用待核对","有效输入"))))))))</x:f>
      </x:c>
    </x:row>
    <x:row r="221" ht="25" customHeight="1">
      <x:c r="A221" s="3"/>
      <x:c r="B221" s="3"/>
      <x:c r="C221" s="3"/>
      <x:c r="D221" s="3"/>
      <x:c r="E221" s="25"/>
      <x:c r="F221" s="25"/>
      <x:c r="G221" s="22"/>
      <x:c r="H221" s="3"/>
      <x:c r="I221" s="22"/>
      <x:c r="J221" s="3"/>
      <x:c r="K221" s="3"/>
      <x:c r="L221" s="3"/>
      <x:c r="M221" s="3"/>
      <x:c r="N221" s="3"/>
      <x:c r="O221" s="3"/>
      <x:c r="P221" s="19" t="str">
        <x:f>IF(A221="","",IF(COUNTIFS('观测证据'!$A$7:$A$306,A221)&lt;&gt;1,"编号重复",IF(COUNTIFS('问题总览'!$A$7:$A$306,B221)&lt;&gt;1,"问题引用无效",IF(AND(C221&lt;&gt;"",COUNTIFS('方案版本'!$A$7:$A$306,C221,'方案版本'!$B$7:$B$306,B221,'方案版本'!$L$7:$L$306,"已冻结")&lt;&gt;1),"方案引用无效",IF(OR(NOT(ISNUMBER(F221)),M221=""),"待补登记信息",IF(AND(M221="已观测",OR(K221="",AND(NOT(ISNUMBER(G221)),J221=""))),"待补观测与来源",IF(AND(ISNUMBER(G221),H221=""),"待补数值单位",IF(AND(N221&lt;&gt;"",OR(N221=A221,COUNTIFS('观测证据'!$A$7:$A$306,N221,'观测证据'!$B$7:$B$306,B221,'观测证据'!$M$7:$M$306,"已更正")&lt;&gt;1)),"更正引用待核对","有效输入"))))))))</x:f>
      </x:c>
    </x:row>
    <x:row r="222" ht="25" customHeight="1">
      <x:c r="A222" s="3"/>
      <x:c r="B222" s="3"/>
      <x:c r="C222" s="3"/>
      <x:c r="D222" s="3"/>
      <x:c r="E222" s="25"/>
      <x:c r="F222" s="25"/>
      <x:c r="G222" s="22"/>
      <x:c r="H222" s="3"/>
      <x:c r="I222" s="22"/>
      <x:c r="J222" s="3"/>
      <x:c r="K222" s="3"/>
      <x:c r="L222" s="3"/>
      <x:c r="M222" s="3"/>
      <x:c r="N222" s="3"/>
      <x:c r="O222" s="3"/>
      <x:c r="P222" s="19" t="str">
        <x:f>IF(A222="","",IF(COUNTIFS('观测证据'!$A$7:$A$306,A222)&lt;&gt;1,"编号重复",IF(COUNTIFS('问题总览'!$A$7:$A$306,B222)&lt;&gt;1,"问题引用无效",IF(AND(C222&lt;&gt;"",COUNTIFS('方案版本'!$A$7:$A$306,C222,'方案版本'!$B$7:$B$306,B222,'方案版本'!$L$7:$L$306,"已冻结")&lt;&gt;1),"方案引用无效",IF(OR(NOT(ISNUMBER(F222)),M222=""),"待补登记信息",IF(AND(M222="已观测",OR(K222="",AND(NOT(ISNUMBER(G222)),J222=""))),"待补观测与来源",IF(AND(ISNUMBER(G222),H222=""),"待补数值单位",IF(AND(N222&lt;&gt;"",OR(N222=A222,COUNTIFS('观测证据'!$A$7:$A$306,N222,'观测证据'!$B$7:$B$306,B222,'观测证据'!$M$7:$M$306,"已更正")&lt;&gt;1)),"更正引用待核对","有效输入"))))))))</x:f>
      </x:c>
    </x:row>
    <x:row r="223" ht="25" customHeight="1">
      <x:c r="A223" s="3"/>
      <x:c r="B223" s="3"/>
      <x:c r="C223" s="3"/>
      <x:c r="D223" s="3"/>
      <x:c r="E223" s="25"/>
      <x:c r="F223" s="25"/>
      <x:c r="G223" s="22"/>
      <x:c r="H223" s="3"/>
      <x:c r="I223" s="22"/>
      <x:c r="J223" s="3"/>
      <x:c r="K223" s="3"/>
      <x:c r="L223" s="3"/>
      <x:c r="M223" s="3"/>
      <x:c r="N223" s="3"/>
      <x:c r="O223" s="3"/>
      <x:c r="P223" s="19" t="str">
        <x:f>IF(A223="","",IF(COUNTIFS('观测证据'!$A$7:$A$306,A223)&lt;&gt;1,"编号重复",IF(COUNTIFS('问题总览'!$A$7:$A$306,B223)&lt;&gt;1,"问题引用无效",IF(AND(C223&lt;&gt;"",COUNTIFS('方案版本'!$A$7:$A$306,C223,'方案版本'!$B$7:$B$306,B223,'方案版本'!$L$7:$L$306,"已冻结")&lt;&gt;1),"方案引用无效",IF(OR(NOT(ISNUMBER(F223)),M223=""),"待补登记信息",IF(AND(M223="已观测",OR(K223="",AND(NOT(ISNUMBER(G223)),J223=""))),"待补观测与来源",IF(AND(ISNUMBER(G223),H223=""),"待补数值单位",IF(AND(N223&lt;&gt;"",OR(N223=A223,COUNTIFS('观测证据'!$A$7:$A$306,N223,'观测证据'!$B$7:$B$306,B223,'观测证据'!$M$7:$M$306,"已更正")&lt;&gt;1)),"更正引用待核对","有效输入"))))))))</x:f>
      </x:c>
    </x:row>
    <x:row r="224" ht="25" customHeight="1">
      <x:c r="A224" s="3"/>
      <x:c r="B224" s="3"/>
      <x:c r="C224" s="3"/>
      <x:c r="D224" s="3"/>
      <x:c r="E224" s="25"/>
      <x:c r="F224" s="25"/>
      <x:c r="G224" s="22"/>
      <x:c r="H224" s="3"/>
      <x:c r="I224" s="22"/>
      <x:c r="J224" s="3"/>
      <x:c r="K224" s="3"/>
      <x:c r="L224" s="3"/>
      <x:c r="M224" s="3"/>
      <x:c r="N224" s="3"/>
      <x:c r="O224" s="3"/>
      <x:c r="P224" s="19" t="str">
        <x:f>IF(A224="","",IF(COUNTIFS('观测证据'!$A$7:$A$306,A224)&lt;&gt;1,"编号重复",IF(COUNTIFS('问题总览'!$A$7:$A$306,B224)&lt;&gt;1,"问题引用无效",IF(AND(C224&lt;&gt;"",COUNTIFS('方案版本'!$A$7:$A$306,C224,'方案版本'!$B$7:$B$306,B224,'方案版本'!$L$7:$L$306,"已冻结")&lt;&gt;1),"方案引用无效",IF(OR(NOT(ISNUMBER(F224)),M224=""),"待补登记信息",IF(AND(M224="已观测",OR(K224="",AND(NOT(ISNUMBER(G224)),J224=""))),"待补观测与来源",IF(AND(ISNUMBER(G224),H224=""),"待补数值单位",IF(AND(N224&lt;&gt;"",OR(N224=A224,COUNTIFS('观测证据'!$A$7:$A$306,N224,'观测证据'!$B$7:$B$306,B224,'观测证据'!$M$7:$M$306,"已更正")&lt;&gt;1)),"更正引用待核对","有效输入"))))))))</x:f>
      </x:c>
    </x:row>
    <x:row r="225" ht="25" customHeight="1">
      <x:c r="A225" s="3"/>
      <x:c r="B225" s="3"/>
      <x:c r="C225" s="3"/>
      <x:c r="D225" s="3"/>
      <x:c r="E225" s="25"/>
      <x:c r="F225" s="25"/>
      <x:c r="G225" s="22"/>
      <x:c r="H225" s="3"/>
      <x:c r="I225" s="22"/>
      <x:c r="J225" s="3"/>
      <x:c r="K225" s="3"/>
      <x:c r="L225" s="3"/>
      <x:c r="M225" s="3"/>
      <x:c r="N225" s="3"/>
      <x:c r="O225" s="3"/>
      <x:c r="P225" s="19" t="str">
        <x:f>IF(A225="","",IF(COUNTIFS('观测证据'!$A$7:$A$306,A225)&lt;&gt;1,"编号重复",IF(COUNTIFS('问题总览'!$A$7:$A$306,B225)&lt;&gt;1,"问题引用无效",IF(AND(C225&lt;&gt;"",COUNTIFS('方案版本'!$A$7:$A$306,C225,'方案版本'!$B$7:$B$306,B225,'方案版本'!$L$7:$L$306,"已冻结")&lt;&gt;1),"方案引用无效",IF(OR(NOT(ISNUMBER(F225)),M225=""),"待补登记信息",IF(AND(M225="已观测",OR(K225="",AND(NOT(ISNUMBER(G225)),J225=""))),"待补观测与来源",IF(AND(ISNUMBER(G225),H225=""),"待补数值单位",IF(AND(N225&lt;&gt;"",OR(N225=A225,COUNTIFS('观测证据'!$A$7:$A$306,N225,'观测证据'!$B$7:$B$306,B225,'观测证据'!$M$7:$M$306,"已更正")&lt;&gt;1)),"更正引用待核对","有效输入"))))))))</x:f>
      </x:c>
    </x:row>
    <x:row r="226" ht="25" customHeight="1">
      <x:c r="A226" s="3"/>
      <x:c r="B226" s="3"/>
      <x:c r="C226" s="3"/>
      <x:c r="D226" s="3"/>
      <x:c r="E226" s="25"/>
      <x:c r="F226" s="25"/>
      <x:c r="G226" s="22"/>
      <x:c r="H226" s="3"/>
      <x:c r="I226" s="22"/>
      <x:c r="J226" s="3"/>
      <x:c r="K226" s="3"/>
      <x:c r="L226" s="3"/>
      <x:c r="M226" s="3"/>
      <x:c r="N226" s="3"/>
      <x:c r="O226" s="3"/>
      <x:c r="P226" s="19" t="str">
        <x:f>IF(A226="","",IF(COUNTIFS('观测证据'!$A$7:$A$306,A226)&lt;&gt;1,"编号重复",IF(COUNTIFS('问题总览'!$A$7:$A$306,B226)&lt;&gt;1,"问题引用无效",IF(AND(C226&lt;&gt;"",COUNTIFS('方案版本'!$A$7:$A$306,C226,'方案版本'!$B$7:$B$306,B226,'方案版本'!$L$7:$L$306,"已冻结")&lt;&gt;1),"方案引用无效",IF(OR(NOT(ISNUMBER(F226)),M226=""),"待补登记信息",IF(AND(M226="已观测",OR(K226="",AND(NOT(ISNUMBER(G226)),J226=""))),"待补观测与来源",IF(AND(ISNUMBER(G226),H226=""),"待补数值单位",IF(AND(N226&lt;&gt;"",OR(N226=A226,COUNTIFS('观测证据'!$A$7:$A$306,N226,'观测证据'!$B$7:$B$306,B226,'观测证据'!$M$7:$M$306,"已更正")&lt;&gt;1)),"更正引用待核对","有效输入"))))))))</x:f>
      </x:c>
    </x:row>
    <x:row r="227" ht="25" customHeight="1">
      <x:c r="A227" s="3"/>
      <x:c r="B227" s="3"/>
      <x:c r="C227" s="3"/>
      <x:c r="D227" s="3"/>
      <x:c r="E227" s="25"/>
      <x:c r="F227" s="25"/>
      <x:c r="G227" s="22"/>
      <x:c r="H227" s="3"/>
      <x:c r="I227" s="22"/>
      <x:c r="J227" s="3"/>
      <x:c r="K227" s="3"/>
      <x:c r="L227" s="3"/>
      <x:c r="M227" s="3"/>
      <x:c r="N227" s="3"/>
      <x:c r="O227" s="3"/>
      <x:c r="P227" s="19" t="str">
        <x:f>IF(A227="","",IF(COUNTIFS('观测证据'!$A$7:$A$306,A227)&lt;&gt;1,"编号重复",IF(COUNTIFS('问题总览'!$A$7:$A$306,B227)&lt;&gt;1,"问题引用无效",IF(AND(C227&lt;&gt;"",COUNTIFS('方案版本'!$A$7:$A$306,C227,'方案版本'!$B$7:$B$306,B227,'方案版本'!$L$7:$L$306,"已冻结")&lt;&gt;1),"方案引用无效",IF(OR(NOT(ISNUMBER(F227)),M227=""),"待补登记信息",IF(AND(M227="已观测",OR(K227="",AND(NOT(ISNUMBER(G227)),J227=""))),"待补观测与来源",IF(AND(ISNUMBER(G227),H227=""),"待补数值单位",IF(AND(N227&lt;&gt;"",OR(N227=A227,COUNTIFS('观测证据'!$A$7:$A$306,N227,'观测证据'!$B$7:$B$306,B227,'观测证据'!$M$7:$M$306,"已更正")&lt;&gt;1)),"更正引用待核对","有效输入"))))))))</x:f>
      </x:c>
    </x:row>
    <x:row r="228" ht="25" customHeight="1">
      <x:c r="A228" s="3"/>
      <x:c r="B228" s="3"/>
      <x:c r="C228" s="3"/>
      <x:c r="D228" s="3"/>
      <x:c r="E228" s="25"/>
      <x:c r="F228" s="25"/>
      <x:c r="G228" s="22"/>
      <x:c r="H228" s="3"/>
      <x:c r="I228" s="22"/>
      <x:c r="J228" s="3"/>
      <x:c r="K228" s="3"/>
      <x:c r="L228" s="3"/>
      <x:c r="M228" s="3"/>
      <x:c r="N228" s="3"/>
      <x:c r="O228" s="3"/>
      <x:c r="P228" s="19" t="str">
        <x:f>IF(A228="","",IF(COUNTIFS('观测证据'!$A$7:$A$306,A228)&lt;&gt;1,"编号重复",IF(COUNTIFS('问题总览'!$A$7:$A$306,B228)&lt;&gt;1,"问题引用无效",IF(AND(C228&lt;&gt;"",COUNTIFS('方案版本'!$A$7:$A$306,C228,'方案版本'!$B$7:$B$306,B228,'方案版本'!$L$7:$L$306,"已冻结")&lt;&gt;1),"方案引用无效",IF(OR(NOT(ISNUMBER(F228)),M228=""),"待补登记信息",IF(AND(M228="已观测",OR(K228="",AND(NOT(ISNUMBER(G228)),J228=""))),"待补观测与来源",IF(AND(ISNUMBER(G228),H228=""),"待补数值单位",IF(AND(N228&lt;&gt;"",OR(N228=A228,COUNTIFS('观测证据'!$A$7:$A$306,N228,'观测证据'!$B$7:$B$306,B228,'观测证据'!$M$7:$M$306,"已更正")&lt;&gt;1)),"更正引用待核对","有效输入"))))))))</x:f>
      </x:c>
    </x:row>
    <x:row r="229" ht="25" customHeight="1">
      <x:c r="A229" s="3"/>
      <x:c r="B229" s="3"/>
      <x:c r="C229" s="3"/>
      <x:c r="D229" s="3"/>
      <x:c r="E229" s="25"/>
      <x:c r="F229" s="25"/>
      <x:c r="G229" s="22"/>
      <x:c r="H229" s="3"/>
      <x:c r="I229" s="22"/>
      <x:c r="J229" s="3"/>
      <x:c r="K229" s="3"/>
      <x:c r="L229" s="3"/>
      <x:c r="M229" s="3"/>
      <x:c r="N229" s="3"/>
      <x:c r="O229" s="3"/>
      <x:c r="P229" s="19" t="str">
        <x:f>IF(A229="","",IF(COUNTIFS('观测证据'!$A$7:$A$306,A229)&lt;&gt;1,"编号重复",IF(COUNTIFS('问题总览'!$A$7:$A$306,B229)&lt;&gt;1,"问题引用无效",IF(AND(C229&lt;&gt;"",COUNTIFS('方案版本'!$A$7:$A$306,C229,'方案版本'!$B$7:$B$306,B229,'方案版本'!$L$7:$L$306,"已冻结")&lt;&gt;1),"方案引用无效",IF(OR(NOT(ISNUMBER(F229)),M229=""),"待补登记信息",IF(AND(M229="已观测",OR(K229="",AND(NOT(ISNUMBER(G229)),J229=""))),"待补观测与来源",IF(AND(ISNUMBER(G229),H229=""),"待补数值单位",IF(AND(N229&lt;&gt;"",OR(N229=A229,COUNTIFS('观测证据'!$A$7:$A$306,N229,'观测证据'!$B$7:$B$306,B229,'观测证据'!$M$7:$M$306,"已更正")&lt;&gt;1)),"更正引用待核对","有效输入"))))))))</x:f>
      </x:c>
    </x:row>
    <x:row r="230" ht="25" customHeight="1">
      <x:c r="A230" s="3"/>
      <x:c r="B230" s="3"/>
      <x:c r="C230" s="3"/>
      <x:c r="D230" s="3"/>
      <x:c r="E230" s="25"/>
      <x:c r="F230" s="25"/>
      <x:c r="G230" s="22"/>
      <x:c r="H230" s="3"/>
      <x:c r="I230" s="22"/>
      <x:c r="J230" s="3"/>
      <x:c r="K230" s="3"/>
      <x:c r="L230" s="3"/>
      <x:c r="M230" s="3"/>
      <x:c r="N230" s="3"/>
      <x:c r="O230" s="3"/>
      <x:c r="P230" s="19" t="str">
        <x:f>IF(A230="","",IF(COUNTIFS('观测证据'!$A$7:$A$306,A230)&lt;&gt;1,"编号重复",IF(COUNTIFS('问题总览'!$A$7:$A$306,B230)&lt;&gt;1,"问题引用无效",IF(AND(C230&lt;&gt;"",COUNTIFS('方案版本'!$A$7:$A$306,C230,'方案版本'!$B$7:$B$306,B230,'方案版本'!$L$7:$L$306,"已冻结")&lt;&gt;1),"方案引用无效",IF(OR(NOT(ISNUMBER(F230)),M230=""),"待补登记信息",IF(AND(M230="已观测",OR(K230="",AND(NOT(ISNUMBER(G230)),J230=""))),"待补观测与来源",IF(AND(ISNUMBER(G230),H230=""),"待补数值单位",IF(AND(N230&lt;&gt;"",OR(N230=A230,COUNTIFS('观测证据'!$A$7:$A$306,N230,'观测证据'!$B$7:$B$306,B230,'观测证据'!$M$7:$M$306,"已更正")&lt;&gt;1)),"更正引用待核对","有效输入"))))))))</x:f>
      </x:c>
    </x:row>
    <x:row r="231" ht="25" customHeight="1">
      <x:c r="A231" s="3"/>
      <x:c r="B231" s="3"/>
      <x:c r="C231" s="3"/>
      <x:c r="D231" s="3"/>
      <x:c r="E231" s="25"/>
      <x:c r="F231" s="25"/>
      <x:c r="G231" s="22"/>
      <x:c r="H231" s="3"/>
      <x:c r="I231" s="22"/>
      <x:c r="J231" s="3"/>
      <x:c r="K231" s="3"/>
      <x:c r="L231" s="3"/>
      <x:c r="M231" s="3"/>
      <x:c r="N231" s="3"/>
      <x:c r="O231" s="3"/>
      <x:c r="P231" s="19" t="str">
        <x:f>IF(A231="","",IF(COUNTIFS('观测证据'!$A$7:$A$306,A231)&lt;&gt;1,"编号重复",IF(COUNTIFS('问题总览'!$A$7:$A$306,B231)&lt;&gt;1,"问题引用无效",IF(AND(C231&lt;&gt;"",COUNTIFS('方案版本'!$A$7:$A$306,C231,'方案版本'!$B$7:$B$306,B231,'方案版本'!$L$7:$L$306,"已冻结")&lt;&gt;1),"方案引用无效",IF(OR(NOT(ISNUMBER(F231)),M231=""),"待补登记信息",IF(AND(M231="已观测",OR(K231="",AND(NOT(ISNUMBER(G231)),J231=""))),"待补观测与来源",IF(AND(ISNUMBER(G231),H231=""),"待补数值单位",IF(AND(N231&lt;&gt;"",OR(N231=A231,COUNTIFS('观测证据'!$A$7:$A$306,N231,'观测证据'!$B$7:$B$306,B231,'观测证据'!$M$7:$M$306,"已更正")&lt;&gt;1)),"更正引用待核对","有效输入"))))))))</x:f>
      </x:c>
    </x:row>
    <x:row r="232" ht="25" customHeight="1">
      <x:c r="A232" s="3"/>
      <x:c r="B232" s="3"/>
      <x:c r="C232" s="3"/>
      <x:c r="D232" s="3"/>
      <x:c r="E232" s="25"/>
      <x:c r="F232" s="25"/>
      <x:c r="G232" s="22"/>
      <x:c r="H232" s="3"/>
      <x:c r="I232" s="22"/>
      <x:c r="J232" s="3"/>
      <x:c r="K232" s="3"/>
      <x:c r="L232" s="3"/>
      <x:c r="M232" s="3"/>
      <x:c r="N232" s="3"/>
      <x:c r="O232" s="3"/>
      <x:c r="P232" s="19" t="str">
        <x:f>IF(A232="","",IF(COUNTIFS('观测证据'!$A$7:$A$306,A232)&lt;&gt;1,"编号重复",IF(COUNTIFS('问题总览'!$A$7:$A$306,B232)&lt;&gt;1,"问题引用无效",IF(AND(C232&lt;&gt;"",COUNTIFS('方案版本'!$A$7:$A$306,C232,'方案版本'!$B$7:$B$306,B232,'方案版本'!$L$7:$L$306,"已冻结")&lt;&gt;1),"方案引用无效",IF(OR(NOT(ISNUMBER(F232)),M232=""),"待补登记信息",IF(AND(M232="已观测",OR(K232="",AND(NOT(ISNUMBER(G232)),J232=""))),"待补观测与来源",IF(AND(ISNUMBER(G232),H232=""),"待补数值单位",IF(AND(N232&lt;&gt;"",OR(N232=A232,COUNTIFS('观测证据'!$A$7:$A$306,N232,'观测证据'!$B$7:$B$306,B232,'观测证据'!$M$7:$M$306,"已更正")&lt;&gt;1)),"更正引用待核对","有效输入"))))))))</x:f>
      </x:c>
    </x:row>
    <x:row r="233" ht="25" customHeight="1">
      <x:c r="A233" s="3"/>
      <x:c r="B233" s="3"/>
      <x:c r="C233" s="3"/>
      <x:c r="D233" s="3"/>
      <x:c r="E233" s="25"/>
      <x:c r="F233" s="25"/>
      <x:c r="G233" s="22"/>
      <x:c r="H233" s="3"/>
      <x:c r="I233" s="22"/>
      <x:c r="J233" s="3"/>
      <x:c r="K233" s="3"/>
      <x:c r="L233" s="3"/>
      <x:c r="M233" s="3"/>
      <x:c r="N233" s="3"/>
      <x:c r="O233" s="3"/>
      <x:c r="P233" s="19" t="str">
        <x:f>IF(A233="","",IF(COUNTIFS('观测证据'!$A$7:$A$306,A233)&lt;&gt;1,"编号重复",IF(COUNTIFS('问题总览'!$A$7:$A$306,B233)&lt;&gt;1,"问题引用无效",IF(AND(C233&lt;&gt;"",COUNTIFS('方案版本'!$A$7:$A$306,C233,'方案版本'!$B$7:$B$306,B233,'方案版本'!$L$7:$L$306,"已冻结")&lt;&gt;1),"方案引用无效",IF(OR(NOT(ISNUMBER(F233)),M233=""),"待补登记信息",IF(AND(M233="已观测",OR(K233="",AND(NOT(ISNUMBER(G233)),J233=""))),"待补观测与来源",IF(AND(ISNUMBER(G233),H233=""),"待补数值单位",IF(AND(N233&lt;&gt;"",OR(N233=A233,COUNTIFS('观测证据'!$A$7:$A$306,N233,'观测证据'!$B$7:$B$306,B233,'观测证据'!$M$7:$M$306,"已更正")&lt;&gt;1)),"更正引用待核对","有效输入"))))))))</x:f>
      </x:c>
    </x:row>
    <x:row r="234" ht="25" customHeight="1">
      <x:c r="A234" s="3"/>
      <x:c r="B234" s="3"/>
      <x:c r="C234" s="3"/>
      <x:c r="D234" s="3"/>
      <x:c r="E234" s="25"/>
      <x:c r="F234" s="25"/>
      <x:c r="G234" s="22"/>
      <x:c r="H234" s="3"/>
      <x:c r="I234" s="22"/>
      <x:c r="J234" s="3"/>
      <x:c r="K234" s="3"/>
      <x:c r="L234" s="3"/>
      <x:c r="M234" s="3"/>
      <x:c r="N234" s="3"/>
      <x:c r="O234" s="3"/>
      <x:c r="P234" s="19" t="str">
        <x:f>IF(A234="","",IF(COUNTIFS('观测证据'!$A$7:$A$306,A234)&lt;&gt;1,"编号重复",IF(COUNTIFS('问题总览'!$A$7:$A$306,B234)&lt;&gt;1,"问题引用无效",IF(AND(C234&lt;&gt;"",COUNTIFS('方案版本'!$A$7:$A$306,C234,'方案版本'!$B$7:$B$306,B234,'方案版本'!$L$7:$L$306,"已冻结")&lt;&gt;1),"方案引用无效",IF(OR(NOT(ISNUMBER(F234)),M234=""),"待补登记信息",IF(AND(M234="已观测",OR(K234="",AND(NOT(ISNUMBER(G234)),J234=""))),"待补观测与来源",IF(AND(ISNUMBER(G234),H234=""),"待补数值单位",IF(AND(N234&lt;&gt;"",OR(N234=A234,COUNTIFS('观测证据'!$A$7:$A$306,N234,'观测证据'!$B$7:$B$306,B234,'观测证据'!$M$7:$M$306,"已更正")&lt;&gt;1)),"更正引用待核对","有效输入"))))))))</x:f>
      </x:c>
    </x:row>
    <x:row r="235" ht="25" customHeight="1">
      <x:c r="A235" s="3"/>
      <x:c r="B235" s="3"/>
      <x:c r="C235" s="3"/>
      <x:c r="D235" s="3"/>
      <x:c r="E235" s="25"/>
      <x:c r="F235" s="25"/>
      <x:c r="G235" s="22"/>
      <x:c r="H235" s="3"/>
      <x:c r="I235" s="22"/>
      <x:c r="J235" s="3"/>
      <x:c r="K235" s="3"/>
      <x:c r="L235" s="3"/>
      <x:c r="M235" s="3"/>
      <x:c r="N235" s="3"/>
      <x:c r="O235" s="3"/>
      <x:c r="P235" s="19" t="str">
        <x:f>IF(A235="","",IF(COUNTIFS('观测证据'!$A$7:$A$306,A235)&lt;&gt;1,"编号重复",IF(COUNTIFS('问题总览'!$A$7:$A$306,B235)&lt;&gt;1,"问题引用无效",IF(AND(C235&lt;&gt;"",COUNTIFS('方案版本'!$A$7:$A$306,C235,'方案版本'!$B$7:$B$306,B235,'方案版本'!$L$7:$L$306,"已冻结")&lt;&gt;1),"方案引用无效",IF(OR(NOT(ISNUMBER(F235)),M235=""),"待补登记信息",IF(AND(M235="已观测",OR(K235="",AND(NOT(ISNUMBER(G235)),J235=""))),"待补观测与来源",IF(AND(ISNUMBER(G235),H235=""),"待补数值单位",IF(AND(N235&lt;&gt;"",OR(N235=A235,COUNTIFS('观测证据'!$A$7:$A$306,N235,'观测证据'!$B$7:$B$306,B235,'观测证据'!$M$7:$M$306,"已更正")&lt;&gt;1)),"更正引用待核对","有效输入"))))))))</x:f>
      </x:c>
    </x:row>
    <x:row r="236" ht="25" customHeight="1">
      <x:c r="A236" s="3"/>
      <x:c r="B236" s="3"/>
      <x:c r="C236" s="3"/>
      <x:c r="D236" s="3"/>
      <x:c r="E236" s="25"/>
      <x:c r="F236" s="25"/>
      <x:c r="G236" s="22"/>
      <x:c r="H236" s="3"/>
      <x:c r="I236" s="22"/>
      <x:c r="J236" s="3"/>
      <x:c r="K236" s="3"/>
      <x:c r="L236" s="3"/>
      <x:c r="M236" s="3"/>
      <x:c r="N236" s="3"/>
      <x:c r="O236" s="3"/>
      <x:c r="P236" s="19" t="str">
        <x:f>IF(A236="","",IF(COUNTIFS('观测证据'!$A$7:$A$306,A236)&lt;&gt;1,"编号重复",IF(COUNTIFS('问题总览'!$A$7:$A$306,B236)&lt;&gt;1,"问题引用无效",IF(AND(C236&lt;&gt;"",COUNTIFS('方案版本'!$A$7:$A$306,C236,'方案版本'!$B$7:$B$306,B236,'方案版本'!$L$7:$L$306,"已冻结")&lt;&gt;1),"方案引用无效",IF(OR(NOT(ISNUMBER(F236)),M236=""),"待补登记信息",IF(AND(M236="已观测",OR(K236="",AND(NOT(ISNUMBER(G236)),J236=""))),"待补观测与来源",IF(AND(ISNUMBER(G236),H236=""),"待补数值单位",IF(AND(N236&lt;&gt;"",OR(N236=A236,COUNTIFS('观测证据'!$A$7:$A$306,N236,'观测证据'!$B$7:$B$306,B236,'观测证据'!$M$7:$M$306,"已更正")&lt;&gt;1)),"更正引用待核对","有效输入"))))))))</x:f>
      </x:c>
    </x:row>
    <x:row r="237" ht="25" customHeight="1">
      <x:c r="A237" s="3"/>
      <x:c r="B237" s="3"/>
      <x:c r="C237" s="3"/>
      <x:c r="D237" s="3"/>
      <x:c r="E237" s="25"/>
      <x:c r="F237" s="25"/>
      <x:c r="G237" s="22"/>
      <x:c r="H237" s="3"/>
      <x:c r="I237" s="22"/>
      <x:c r="J237" s="3"/>
      <x:c r="K237" s="3"/>
      <x:c r="L237" s="3"/>
      <x:c r="M237" s="3"/>
      <x:c r="N237" s="3"/>
      <x:c r="O237" s="3"/>
      <x:c r="P237" s="19" t="str">
        <x:f>IF(A237="","",IF(COUNTIFS('观测证据'!$A$7:$A$306,A237)&lt;&gt;1,"编号重复",IF(COUNTIFS('问题总览'!$A$7:$A$306,B237)&lt;&gt;1,"问题引用无效",IF(AND(C237&lt;&gt;"",COUNTIFS('方案版本'!$A$7:$A$306,C237,'方案版本'!$B$7:$B$306,B237,'方案版本'!$L$7:$L$306,"已冻结")&lt;&gt;1),"方案引用无效",IF(OR(NOT(ISNUMBER(F237)),M237=""),"待补登记信息",IF(AND(M237="已观测",OR(K237="",AND(NOT(ISNUMBER(G237)),J237=""))),"待补观测与来源",IF(AND(ISNUMBER(G237),H237=""),"待补数值单位",IF(AND(N237&lt;&gt;"",OR(N237=A237,COUNTIFS('观测证据'!$A$7:$A$306,N237,'观测证据'!$B$7:$B$306,B237,'观测证据'!$M$7:$M$306,"已更正")&lt;&gt;1)),"更正引用待核对","有效输入"))))))))</x:f>
      </x:c>
    </x:row>
    <x:row r="238" ht="25" customHeight="1">
      <x:c r="A238" s="3"/>
      <x:c r="B238" s="3"/>
      <x:c r="C238" s="3"/>
      <x:c r="D238" s="3"/>
      <x:c r="E238" s="25"/>
      <x:c r="F238" s="25"/>
      <x:c r="G238" s="22"/>
      <x:c r="H238" s="3"/>
      <x:c r="I238" s="22"/>
      <x:c r="J238" s="3"/>
      <x:c r="K238" s="3"/>
      <x:c r="L238" s="3"/>
      <x:c r="M238" s="3"/>
      <x:c r="N238" s="3"/>
      <x:c r="O238" s="3"/>
      <x:c r="P238" s="19" t="str">
        <x:f>IF(A238="","",IF(COUNTIFS('观测证据'!$A$7:$A$306,A238)&lt;&gt;1,"编号重复",IF(COUNTIFS('问题总览'!$A$7:$A$306,B238)&lt;&gt;1,"问题引用无效",IF(AND(C238&lt;&gt;"",COUNTIFS('方案版本'!$A$7:$A$306,C238,'方案版本'!$B$7:$B$306,B238,'方案版本'!$L$7:$L$306,"已冻结")&lt;&gt;1),"方案引用无效",IF(OR(NOT(ISNUMBER(F238)),M238=""),"待补登记信息",IF(AND(M238="已观测",OR(K238="",AND(NOT(ISNUMBER(G238)),J238=""))),"待补观测与来源",IF(AND(ISNUMBER(G238),H238=""),"待补数值单位",IF(AND(N238&lt;&gt;"",OR(N238=A238,COUNTIFS('观测证据'!$A$7:$A$306,N238,'观测证据'!$B$7:$B$306,B238,'观测证据'!$M$7:$M$306,"已更正")&lt;&gt;1)),"更正引用待核对","有效输入"))))))))</x:f>
      </x:c>
    </x:row>
    <x:row r="239" ht="25" customHeight="1">
      <x:c r="A239" s="3"/>
      <x:c r="B239" s="3"/>
      <x:c r="C239" s="3"/>
      <x:c r="D239" s="3"/>
      <x:c r="E239" s="25"/>
      <x:c r="F239" s="25"/>
      <x:c r="G239" s="22"/>
      <x:c r="H239" s="3"/>
      <x:c r="I239" s="22"/>
      <x:c r="J239" s="3"/>
      <x:c r="K239" s="3"/>
      <x:c r="L239" s="3"/>
      <x:c r="M239" s="3"/>
      <x:c r="N239" s="3"/>
      <x:c r="O239" s="3"/>
      <x:c r="P239" s="19" t="str">
        <x:f>IF(A239="","",IF(COUNTIFS('观测证据'!$A$7:$A$306,A239)&lt;&gt;1,"编号重复",IF(COUNTIFS('问题总览'!$A$7:$A$306,B239)&lt;&gt;1,"问题引用无效",IF(AND(C239&lt;&gt;"",COUNTIFS('方案版本'!$A$7:$A$306,C239,'方案版本'!$B$7:$B$306,B239,'方案版本'!$L$7:$L$306,"已冻结")&lt;&gt;1),"方案引用无效",IF(OR(NOT(ISNUMBER(F239)),M239=""),"待补登记信息",IF(AND(M239="已观测",OR(K239="",AND(NOT(ISNUMBER(G239)),J239=""))),"待补观测与来源",IF(AND(ISNUMBER(G239),H239=""),"待补数值单位",IF(AND(N239&lt;&gt;"",OR(N239=A239,COUNTIFS('观测证据'!$A$7:$A$306,N239,'观测证据'!$B$7:$B$306,B239,'观测证据'!$M$7:$M$306,"已更正")&lt;&gt;1)),"更正引用待核对","有效输入"))))))))</x:f>
      </x:c>
    </x:row>
    <x:row r="240" ht="25" customHeight="1">
      <x:c r="A240" s="3"/>
      <x:c r="B240" s="3"/>
      <x:c r="C240" s="3"/>
      <x:c r="D240" s="3"/>
      <x:c r="E240" s="25"/>
      <x:c r="F240" s="25"/>
      <x:c r="G240" s="22"/>
      <x:c r="H240" s="3"/>
      <x:c r="I240" s="22"/>
      <x:c r="J240" s="3"/>
      <x:c r="K240" s="3"/>
      <x:c r="L240" s="3"/>
      <x:c r="M240" s="3"/>
      <x:c r="N240" s="3"/>
      <x:c r="O240" s="3"/>
      <x:c r="P240" s="19" t="str">
        <x:f>IF(A240="","",IF(COUNTIFS('观测证据'!$A$7:$A$306,A240)&lt;&gt;1,"编号重复",IF(COUNTIFS('问题总览'!$A$7:$A$306,B240)&lt;&gt;1,"问题引用无效",IF(AND(C240&lt;&gt;"",COUNTIFS('方案版本'!$A$7:$A$306,C240,'方案版本'!$B$7:$B$306,B240,'方案版本'!$L$7:$L$306,"已冻结")&lt;&gt;1),"方案引用无效",IF(OR(NOT(ISNUMBER(F240)),M240=""),"待补登记信息",IF(AND(M240="已观测",OR(K240="",AND(NOT(ISNUMBER(G240)),J240=""))),"待补观测与来源",IF(AND(ISNUMBER(G240),H240=""),"待补数值单位",IF(AND(N240&lt;&gt;"",OR(N240=A240,COUNTIFS('观测证据'!$A$7:$A$306,N240,'观测证据'!$B$7:$B$306,B240,'观测证据'!$M$7:$M$306,"已更正")&lt;&gt;1)),"更正引用待核对","有效输入"))))))))</x:f>
      </x:c>
    </x:row>
    <x:row r="241" ht="25" customHeight="1">
      <x:c r="A241" s="3"/>
      <x:c r="B241" s="3"/>
      <x:c r="C241" s="3"/>
      <x:c r="D241" s="3"/>
      <x:c r="E241" s="25"/>
      <x:c r="F241" s="25"/>
      <x:c r="G241" s="22"/>
      <x:c r="H241" s="3"/>
      <x:c r="I241" s="22"/>
      <x:c r="J241" s="3"/>
      <x:c r="K241" s="3"/>
      <x:c r="L241" s="3"/>
      <x:c r="M241" s="3"/>
      <x:c r="N241" s="3"/>
      <x:c r="O241" s="3"/>
      <x:c r="P241" s="19" t="str">
        <x:f>IF(A241="","",IF(COUNTIFS('观测证据'!$A$7:$A$306,A241)&lt;&gt;1,"编号重复",IF(COUNTIFS('问题总览'!$A$7:$A$306,B241)&lt;&gt;1,"问题引用无效",IF(AND(C241&lt;&gt;"",COUNTIFS('方案版本'!$A$7:$A$306,C241,'方案版本'!$B$7:$B$306,B241,'方案版本'!$L$7:$L$306,"已冻结")&lt;&gt;1),"方案引用无效",IF(OR(NOT(ISNUMBER(F241)),M241=""),"待补登记信息",IF(AND(M241="已观测",OR(K241="",AND(NOT(ISNUMBER(G241)),J241=""))),"待补观测与来源",IF(AND(ISNUMBER(G241),H241=""),"待补数值单位",IF(AND(N241&lt;&gt;"",OR(N241=A241,COUNTIFS('观测证据'!$A$7:$A$306,N241,'观测证据'!$B$7:$B$306,B241,'观测证据'!$M$7:$M$306,"已更正")&lt;&gt;1)),"更正引用待核对","有效输入"))))))))</x:f>
      </x:c>
    </x:row>
    <x:row r="242" ht="25" customHeight="1">
      <x:c r="A242" s="3"/>
      <x:c r="B242" s="3"/>
      <x:c r="C242" s="3"/>
      <x:c r="D242" s="3"/>
      <x:c r="E242" s="25"/>
      <x:c r="F242" s="25"/>
      <x:c r="G242" s="22"/>
      <x:c r="H242" s="3"/>
      <x:c r="I242" s="22"/>
      <x:c r="J242" s="3"/>
      <x:c r="K242" s="3"/>
      <x:c r="L242" s="3"/>
      <x:c r="M242" s="3"/>
      <x:c r="N242" s="3"/>
      <x:c r="O242" s="3"/>
      <x:c r="P242" s="19" t="str">
        <x:f>IF(A242="","",IF(COUNTIFS('观测证据'!$A$7:$A$306,A242)&lt;&gt;1,"编号重复",IF(COUNTIFS('问题总览'!$A$7:$A$306,B242)&lt;&gt;1,"问题引用无效",IF(AND(C242&lt;&gt;"",COUNTIFS('方案版本'!$A$7:$A$306,C242,'方案版本'!$B$7:$B$306,B242,'方案版本'!$L$7:$L$306,"已冻结")&lt;&gt;1),"方案引用无效",IF(OR(NOT(ISNUMBER(F242)),M242=""),"待补登记信息",IF(AND(M242="已观测",OR(K242="",AND(NOT(ISNUMBER(G242)),J242=""))),"待补观测与来源",IF(AND(ISNUMBER(G242),H242=""),"待补数值单位",IF(AND(N242&lt;&gt;"",OR(N242=A242,COUNTIFS('观测证据'!$A$7:$A$306,N242,'观测证据'!$B$7:$B$306,B242,'观测证据'!$M$7:$M$306,"已更正")&lt;&gt;1)),"更正引用待核对","有效输入"))))))))</x:f>
      </x:c>
    </x:row>
    <x:row r="243" ht="25" customHeight="1">
      <x:c r="A243" s="3"/>
      <x:c r="B243" s="3"/>
      <x:c r="C243" s="3"/>
      <x:c r="D243" s="3"/>
      <x:c r="E243" s="25"/>
      <x:c r="F243" s="25"/>
      <x:c r="G243" s="22"/>
      <x:c r="H243" s="3"/>
      <x:c r="I243" s="22"/>
      <x:c r="J243" s="3"/>
      <x:c r="K243" s="3"/>
      <x:c r="L243" s="3"/>
      <x:c r="M243" s="3"/>
      <x:c r="N243" s="3"/>
      <x:c r="O243" s="3"/>
      <x:c r="P243" s="19" t="str">
        <x:f>IF(A243="","",IF(COUNTIFS('观测证据'!$A$7:$A$306,A243)&lt;&gt;1,"编号重复",IF(COUNTIFS('问题总览'!$A$7:$A$306,B243)&lt;&gt;1,"问题引用无效",IF(AND(C243&lt;&gt;"",COUNTIFS('方案版本'!$A$7:$A$306,C243,'方案版本'!$B$7:$B$306,B243,'方案版本'!$L$7:$L$306,"已冻结")&lt;&gt;1),"方案引用无效",IF(OR(NOT(ISNUMBER(F243)),M243=""),"待补登记信息",IF(AND(M243="已观测",OR(K243="",AND(NOT(ISNUMBER(G243)),J243=""))),"待补观测与来源",IF(AND(ISNUMBER(G243),H243=""),"待补数值单位",IF(AND(N243&lt;&gt;"",OR(N243=A243,COUNTIFS('观测证据'!$A$7:$A$306,N243,'观测证据'!$B$7:$B$306,B243,'观测证据'!$M$7:$M$306,"已更正")&lt;&gt;1)),"更正引用待核对","有效输入"))))))))</x:f>
      </x:c>
    </x:row>
    <x:row r="244" ht="25" customHeight="1">
      <x:c r="A244" s="3"/>
      <x:c r="B244" s="3"/>
      <x:c r="C244" s="3"/>
      <x:c r="D244" s="3"/>
      <x:c r="E244" s="25"/>
      <x:c r="F244" s="25"/>
      <x:c r="G244" s="22"/>
      <x:c r="H244" s="3"/>
      <x:c r="I244" s="22"/>
      <x:c r="J244" s="3"/>
      <x:c r="K244" s="3"/>
      <x:c r="L244" s="3"/>
      <x:c r="M244" s="3"/>
      <x:c r="N244" s="3"/>
      <x:c r="O244" s="3"/>
      <x:c r="P244" s="19" t="str">
        <x:f>IF(A244="","",IF(COUNTIFS('观测证据'!$A$7:$A$306,A244)&lt;&gt;1,"编号重复",IF(COUNTIFS('问题总览'!$A$7:$A$306,B244)&lt;&gt;1,"问题引用无效",IF(AND(C244&lt;&gt;"",COUNTIFS('方案版本'!$A$7:$A$306,C244,'方案版本'!$B$7:$B$306,B244,'方案版本'!$L$7:$L$306,"已冻结")&lt;&gt;1),"方案引用无效",IF(OR(NOT(ISNUMBER(F244)),M244=""),"待补登记信息",IF(AND(M244="已观测",OR(K244="",AND(NOT(ISNUMBER(G244)),J244=""))),"待补观测与来源",IF(AND(ISNUMBER(G244),H244=""),"待补数值单位",IF(AND(N244&lt;&gt;"",OR(N244=A244,COUNTIFS('观测证据'!$A$7:$A$306,N244,'观测证据'!$B$7:$B$306,B244,'观测证据'!$M$7:$M$306,"已更正")&lt;&gt;1)),"更正引用待核对","有效输入"))))))))</x:f>
      </x:c>
    </x:row>
    <x:row r="245" ht="25" customHeight="1">
      <x:c r="A245" s="3"/>
      <x:c r="B245" s="3"/>
      <x:c r="C245" s="3"/>
      <x:c r="D245" s="3"/>
      <x:c r="E245" s="25"/>
      <x:c r="F245" s="25"/>
      <x:c r="G245" s="22"/>
      <x:c r="H245" s="3"/>
      <x:c r="I245" s="22"/>
      <x:c r="J245" s="3"/>
      <x:c r="K245" s="3"/>
      <x:c r="L245" s="3"/>
      <x:c r="M245" s="3"/>
      <x:c r="N245" s="3"/>
      <x:c r="O245" s="3"/>
      <x:c r="P245" s="19" t="str">
        <x:f>IF(A245="","",IF(COUNTIFS('观测证据'!$A$7:$A$306,A245)&lt;&gt;1,"编号重复",IF(COUNTIFS('问题总览'!$A$7:$A$306,B245)&lt;&gt;1,"问题引用无效",IF(AND(C245&lt;&gt;"",COUNTIFS('方案版本'!$A$7:$A$306,C245,'方案版本'!$B$7:$B$306,B245,'方案版本'!$L$7:$L$306,"已冻结")&lt;&gt;1),"方案引用无效",IF(OR(NOT(ISNUMBER(F245)),M245=""),"待补登记信息",IF(AND(M245="已观测",OR(K245="",AND(NOT(ISNUMBER(G245)),J245=""))),"待补观测与来源",IF(AND(ISNUMBER(G245),H245=""),"待补数值单位",IF(AND(N245&lt;&gt;"",OR(N245=A245,COUNTIFS('观测证据'!$A$7:$A$306,N245,'观测证据'!$B$7:$B$306,B245,'观测证据'!$M$7:$M$306,"已更正")&lt;&gt;1)),"更正引用待核对","有效输入"))))))))</x:f>
      </x:c>
    </x:row>
    <x:row r="246" ht="25" customHeight="1">
      <x:c r="A246" s="3"/>
      <x:c r="B246" s="3"/>
      <x:c r="C246" s="3"/>
      <x:c r="D246" s="3"/>
      <x:c r="E246" s="25"/>
      <x:c r="F246" s="25"/>
      <x:c r="G246" s="22"/>
      <x:c r="H246" s="3"/>
      <x:c r="I246" s="22"/>
      <x:c r="J246" s="3"/>
      <x:c r="K246" s="3"/>
      <x:c r="L246" s="3"/>
      <x:c r="M246" s="3"/>
      <x:c r="N246" s="3"/>
      <x:c r="O246" s="3"/>
      <x:c r="P246" s="19" t="str">
        <x:f>IF(A246="","",IF(COUNTIFS('观测证据'!$A$7:$A$306,A246)&lt;&gt;1,"编号重复",IF(COUNTIFS('问题总览'!$A$7:$A$306,B246)&lt;&gt;1,"问题引用无效",IF(AND(C246&lt;&gt;"",COUNTIFS('方案版本'!$A$7:$A$306,C246,'方案版本'!$B$7:$B$306,B246,'方案版本'!$L$7:$L$306,"已冻结")&lt;&gt;1),"方案引用无效",IF(OR(NOT(ISNUMBER(F246)),M246=""),"待补登记信息",IF(AND(M246="已观测",OR(K246="",AND(NOT(ISNUMBER(G246)),J246=""))),"待补观测与来源",IF(AND(ISNUMBER(G246),H246=""),"待补数值单位",IF(AND(N246&lt;&gt;"",OR(N246=A246,COUNTIFS('观测证据'!$A$7:$A$306,N246,'观测证据'!$B$7:$B$306,B246,'观测证据'!$M$7:$M$306,"已更正")&lt;&gt;1)),"更正引用待核对","有效输入"))))))))</x:f>
      </x:c>
    </x:row>
    <x:row r="247" ht="25" customHeight="1">
      <x:c r="A247" s="3"/>
      <x:c r="B247" s="3"/>
      <x:c r="C247" s="3"/>
      <x:c r="D247" s="3"/>
      <x:c r="E247" s="25"/>
      <x:c r="F247" s="25"/>
      <x:c r="G247" s="22"/>
      <x:c r="H247" s="3"/>
      <x:c r="I247" s="22"/>
      <x:c r="J247" s="3"/>
      <x:c r="K247" s="3"/>
      <x:c r="L247" s="3"/>
      <x:c r="M247" s="3"/>
      <x:c r="N247" s="3"/>
      <x:c r="O247" s="3"/>
      <x:c r="P247" s="19" t="str">
        <x:f>IF(A247="","",IF(COUNTIFS('观测证据'!$A$7:$A$306,A247)&lt;&gt;1,"编号重复",IF(COUNTIFS('问题总览'!$A$7:$A$306,B247)&lt;&gt;1,"问题引用无效",IF(AND(C247&lt;&gt;"",COUNTIFS('方案版本'!$A$7:$A$306,C247,'方案版本'!$B$7:$B$306,B247,'方案版本'!$L$7:$L$306,"已冻结")&lt;&gt;1),"方案引用无效",IF(OR(NOT(ISNUMBER(F247)),M247=""),"待补登记信息",IF(AND(M247="已观测",OR(K247="",AND(NOT(ISNUMBER(G247)),J247=""))),"待补观测与来源",IF(AND(ISNUMBER(G247),H247=""),"待补数值单位",IF(AND(N247&lt;&gt;"",OR(N247=A247,COUNTIFS('观测证据'!$A$7:$A$306,N247,'观测证据'!$B$7:$B$306,B247,'观测证据'!$M$7:$M$306,"已更正")&lt;&gt;1)),"更正引用待核对","有效输入"))))))))</x:f>
      </x:c>
    </x:row>
    <x:row r="248" ht="25" customHeight="1">
      <x:c r="A248" s="3"/>
      <x:c r="B248" s="3"/>
      <x:c r="C248" s="3"/>
      <x:c r="D248" s="3"/>
      <x:c r="E248" s="25"/>
      <x:c r="F248" s="25"/>
      <x:c r="G248" s="22"/>
      <x:c r="H248" s="3"/>
      <x:c r="I248" s="22"/>
      <x:c r="J248" s="3"/>
      <x:c r="K248" s="3"/>
      <x:c r="L248" s="3"/>
      <x:c r="M248" s="3"/>
      <x:c r="N248" s="3"/>
      <x:c r="O248" s="3"/>
      <x:c r="P248" s="19" t="str">
        <x:f>IF(A248="","",IF(COUNTIFS('观测证据'!$A$7:$A$306,A248)&lt;&gt;1,"编号重复",IF(COUNTIFS('问题总览'!$A$7:$A$306,B248)&lt;&gt;1,"问题引用无效",IF(AND(C248&lt;&gt;"",COUNTIFS('方案版本'!$A$7:$A$306,C248,'方案版本'!$B$7:$B$306,B248,'方案版本'!$L$7:$L$306,"已冻结")&lt;&gt;1),"方案引用无效",IF(OR(NOT(ISNUMBER(F248)),M248=""),"待补登记信息",IF(AND(M248="已观测",OR(K248="",AND(NOT(ISNUMBER(G248)),J248=""))),"待补观测与来源",IF(AND(ISNUMBER(G248),H248=""),"待补数值单位",IF(AND(N248&lt;&gt;"",OR(N248=A248,COUNTIFS('观测证据'!$A$7:$A$306,N248,'观测证据'!$B$7:$B$306,B248,'观测证据'!$M$7:$M$306,"已更正")&lt;&gt;1)),"更正引用待核对","有效输入"))))))))</x:f>
      </x:c>
    </x:row>
    <x:row r="249" ht="25" customHeight="1">
      <x:c r="A249" s="3"/>
      <x:c r="B249" s="3"/>
      <x:c r="C249" s="3"/>
      <x:c r="D249" s="3"/>
      <x:c r="E249" s="25"/>
      <x:c r="F249" s="25"/>
      <x:c r="G249" s="22"/>
      <x:c r="H249" s="3"/>
      <x:c r="I249" s="22"/>
      <x:c r="J249" s="3"/>
      <x:c r="K249" s="3"/>
      <x:c r="L249" s="3"/>
      <x:c r="M249" s="3"/>
      <x:c r="N249" s="3"/>
      <x:c r="O249" s="3"/>
      <x:c r="P249" s="19" t="str">
        <x:f>IF(A249="","",IF(COUNTIFS('观测证据'!$A$7:$A$306,A249)&lt;&gt;1,"编号重复",IF(COUNTIFS('问题总览'!$A$7:$A$306,B249)&lt;&gt;1,"问题引用无效",IF(AND(C249&lt;&gt;"",COUNTIFS('方案版本'!$A$7:$A$306,C249,'方案版本'!$B$7:$B$306,B249,'方案版本'!$L$7:$L$306,"已冻结")&lt;&gt;1),"方案引用无效",IF(OR(NOT(ISNUMBER(F249)),M249=""),"待补登记信息",IF(AND(M249="已观测",OR(K249="",AND(NOT(ISNUMBER(G249)),J249=""))),"待补观测与来源",IF(AND(ISNUMBER(G249),H249=""),"待补数值单位",IF(AND(N249&lt;&gt;"",OR(N249=A249,COUNTIFS('观测证据'!$A$7:$A$306,N249,'观测证据'!$B$7:$B$306,B249,'观测证据'!$M$7:$M$306,"已更正")&lt;&gt;1)),"更正引用待核对","有效输入"))))))))</x:f>
      </x:c>
    </x:row>
    <x:row r="250" ht="25" customHeight="1">
      <x:c r="A250" s="3"/>
      <x:c r="B250" s="3"/>
      <x:c r="C250" s="3"/>
      <x:c r="D250" s="3"/>
      <x:c r="E250" s="25"/>
      <x:c r="F250" s="25"/>
      <x:c r="G250" s="22"/>
      <x:c r="H250" s="3"/>
      <x:c r="I250" s="22"/>
      <x:c r="J250" s="3"/>
      <x:c r="K250" s="3"/>
      <x:c r="L250" s="3"/>
      <x:c r="M250" s="3"/>
      <x:c r="N250" s="3"/>
      <x:c r="O250" s="3"/>
      <x:c r="P250" s="19" t="str">
        <x:f>IF(A250="","",IF(COUNTIFS('观测证据'!$A$7:$A$306,A250)&lt;&gt;1,"编号重复",IF(COUNTIFS('问题总览'!$A$7:$A$306,B250)&lt;&gt;1,"问题引用无效",IF(AND(C250&lt;&gt;"",COUNTIFS('方案版本'!$A$7:$A$306,C250,'方案版本'!$B$7:$B$306,B250,'方案版本'!$L$7:$L$306,"已冻结")&lt;&gt;1),"方案引用无效",IF(OR(NOT(ISNUMBER(F250)),M250=""),"待补登记信息",IF(AND(M250="已观测",OR(K250="",AND(NOT(ISNUMBER(G250)),J250=""))),"待补观测与来源",IF(AND(ISNUMBER(G250),H250=""),"待补数值单位",IF(AND(N250&lt;&gt;"",OR(N250=A250,COUNTIFS('观测证据'!$A$7:$A$306,N250,'观测证据'!$B$7:$B$306,B250,'观测证据'!$M$7:$M$306,"已更正")&lt;&gt;1)),"更正引用待核对","有效输入"))))))))</x:f>
      </x:c>
    </x:row>
    <x:row r="251" ht="25" customHeight="1">
      <x:c r="A251" s="3"/>
      <x:c r="B251" s="3"/>
      <x:c r="C251" s="3"/>
      <x:c r="D251" s="3"/>
      <x:c r="E251" s="25"/>
      <x:c r="F251" s="25"/>
      <x:c r="G251" s="22"/>
      <x:c r="H251" s="3"/>
      <x:c r="I251" s="22"/>
      <x:c r="J251" s="3"/>
      <x:c r="K251" s="3"/>
      <x:c r="L251" s="3"/>
      <x:c r="M251" s="3"/>
      <x:c r="N251" s="3"/>
      <x:c r="O251" s="3"/>
      <x:c r="P251" s="19" t="str">
        <x:f>IF(A251="","",IF(COUNTIFS('观测证据'!$A$7:$A$306,A251)&lt;&gt;1,"编号重复",IF(COUNTIFS('问题总览'!$A$7:$A$306,B251)&lt;&gt;1,"问题引用无效",IF(AND(C251&lt;&gt;"",COUNTIFS('方案版本'!$A$7:$A$306,C251,'方案版本'!$B$7:$B$306,B251,'方案版本'!$L$7:$L$306,"已冻结")&lt;&gt;1),"方案引用无效",IF(OR(NOT(ISNUMBER(F251)),M251=""),"待补登记信息",IF(AND(M251="已观测",OR(K251="",AND(NOT(ISNUMBER(G251)),J251=""))),"待补观测与来源",IF(AND(ISNUMBER(G251),H251=""),"待补数值单位",IF(AND(N251&lt;&gt;"",OR(N251=A251,COUNTIFS('观测证据'!$A$7:$A$306,N251,'观测证据'!$B$7:$B$306,B251,'观测证据'!$M$7:$M$306,"已更正")&lt;&gt;1)),"更正引用待核对","有效输入"))))))))</x:f>
      </x:c>
    </x:row>
    <x:row r="252" ht="25" customHeight="1">
      <x:c r="A252" s="3"/>
      <x:c r="B252" s="3"/>
      <x:c r="C252" s="3"/>
      <x:c r="D252" s="3"/>
      <x:c r="E252" s="25"/>
      <x:c r="F252" s="25"/>
      <x:c r="G252" s="22"/>
      <x:c r="H252" s="3"/>
      <x:c r="I252" s="22"/>
      <x:c r="J252" s="3"/>
      <x:c r="K252" s="3"/>
      <x:c r="L252" s="3"/>
      <x:c r="M252" s="3"/>
      <x:c r="N252" s="3"/>
      <x:c r="O252" s="3"/>
      <x:c r="P252" s="19" t="str">
        <x:f>IF(A252="","",IF(COUNTIFS('观测证据'!$A$7:$A$306,A252)&lt;&gt;1,"编号重复",IF(COUNTIFS('问题总览'!$A$7:$A$306,B252)&lt;&gt;1,"问题引用无效",IF(AND(C252&lt;&gt;"",COUNTIFS('方案版本'!$A$7:$A$306,C252,'方案版本'!$B$7:$B$306,B252,'方案版本'!$L$7:$L$306,"已冻结")&lt;&gt;1),"方案引用无效",IF(OR(NOT(ISNUMBER(F252)),M252=""),"待补登记信息",IF(AND(M252="已观测",OR(K252="",AND(NOT(ISNUMBER(G252)),J252=""))),"待补观测与来源",IF(AND(ISNUMBER(G252),H252=""),"待补数值单位",IF(AND(N252&lt;&gt;"",OR(N252=A252,COUNTIFS('观测证据'!$A$7:$A$306,N252,'观测证据'!$B$7:$B$306,B252,'观测证据'!$M$7:$M$306,"已更正")&lt;&gt;1)),"更正引用待核对","有效输入"))))))))</x:f>
      </x:c>
    </x:row>
    <x:row r="253" ht="25" customHeight="1">
      <x:c r="A253" s="3"/>
      <x:c r="B253" s="3"/>
      <x:c r="C253" s="3"/>
      <x:c r="D253" s="3"/>
      <x:c r="E253" s="25"/>
      <x:c r="F253" s="25"/>
      <x:c r="G253" s="22"/>
      <x:c r="H253" s="3"/>
      <x:c r="I253" s="22"/>
      <x:c r="J253" s="3"/>
      <x:c r="K253" s="3"/>
      <x:c r="L253" s="3"/>
      <x:c r="M253" s="3"/>
      <x:c r="N253" s="3"/>
      <x:c r="O253" s="3"/>
      <x:c r="P253" s="19" t="str">
        <x:f>IF(A253="","",IF(COUNTIFS('观测证据'!$A$7:$A$306,A253)&lt;&gt;1,"编号重复",IF(COUNTIFS('问题总览'!$A$7:$A$306,B253)&lt;&gt;1,"问题引用无效",IF(AND(C253&lt;&gt;"",COUNTIFS('方案版本'!$A$7:$A$306,C253,'方案版本'!$B$7:$B$306,B253,'方案版本'!$L$7:$L$306,"已冻结")&lt;&gt;1),"方案引用无效",IF(OR(NOT(ISNUMBER(F253)),M253=""),"待补登记信息",IF(AND(M253="已观测",OR(K253="",AND(NOT(ISNUMBER(G253)),J253=""))),"待补观测与来源",IF(AND(ISNUMBER(G253),H253=""),"待补数值单位",IF(AND(N253&lt;&gt;"",OR(N253=A253,COUNTIFS('观测证据'!$A$7:$A$306,N253,'观测证据'!$B$7:$B$306,B253,'观测证据'!$M$7:$M$306,"已更正")&lt;&gt;1)),"更正引用待核对","有效输入"))))))))</x:f>
      </x:c>
    </x:row>
    <x:row r="254" ht="25" customHeight="1">
      <x:c r="A254" s="3"/>
      <x:c r="B254" s="3"/>
      <x:c r="C254" s="3"/>
      <x:c r="D254" s="3"/>
      <x:c r="E254" s="25"/>
      <x:c r="F254" s="25"/>
      <x:c r="G254" s="22"/>
      <x:c r="H254" s="3"/>
      <x:c r="I254" s="22"/>
      <x:c r="J254" s="3"/>
      <x:c r="K254" s="3"/>
      <x:c r="L254" s="3"/>
      <x:c r="M254" s="3"/>
      <x:c r="N254" s="3"/>
      <x:c r="O254" s="3"/>
      <x:c r="P254" s="19" t="str">
        <x:f>IF(A254="","",IF(COUNTIFS('观测证据'!$A$7:$A$306,A254)&lt;&gt;1,"编号重复",IF(COUNTIFS('问题总览'!$A$7:$A$306,B254)&lt;&gt;1,"问题引用无效",IF(AND(C254&lt;&gt;"",COUNTIFS('方案版本'!$A$7:$A$306,C254,'方案版本'!$B$7:$B$306,B254,'方案版本'!$L$7:$L$306,"已冻结")&lt;&gt;1),"方案引用无效",IF(OR(NOT(ISNUMBER(F254)),M254=""),"待补登记信息",IF(AND(M254="已观测",OR(K254="",AND(NOT(ISNUMBER(G254)),J254=""))),"待补观测与来源",IF(AND(ISNUMBER(G254),H254=""),"待补数值单位",IF(AND(N254&lt;&gt;"",OR(N254=A254,COUNTIFS('观测证据'!$A$7:$A$306,N254,'观测证据'!$B$7:$B$306,B254,'观测证据'!$M$7:$M$306,"已更正")&lt;&gt;1)),"更正引用待核对","有效输入"))))))))</x:f>
      </x:c>
    </x:row>
    <x:row r="255" ht="25" customHeight="1">
      <x:c r="A255" s="3"/>
      <x:c r="B255" s="3"/>
      <x:c r="C255" s="3"/>
      <x:c r="D255" s="3"/>
      <x:c r="E255" s="25"/>
      <x:c r="F255" s="25"/>
      <x:c r="G255" s="22"/>
      <x:c r="H255" s="3"/>
      <x:c r="I255" s="22"/>
      <x:c r="J255" s="3"/>
      <x:c r="K255" s="3"/>
      <x:c r="L255" s="3"/>
      <x:c r="M255" s="3"/>
      <x:c r="N255" s="3"/>
      <x:c r="O255" s="3"/>
      <x:c r="P255" s="19" t="str">
        <x:f>IF(A255="","",IF(COUNTIFS('观测证据'!$A$7:$A$306,A255)&lt;&gt;1,"编号重复",IF(COUNTIFS('问题总览'!$A$7:$A$306,B255)&lt;&gt;1,"问题引用无效",IF(AND(C255&lt;&gt;"",COUNTIFS('方案版本'!$A$7:$A$306,C255,'方案版本'!$B$7:$B$306,B255,'方案版本'!$L$7:$L$306,"已冻结")&lt;&gt;1),"方案引用无效",IF(OR(NOT(ISNUMBER(F255)),M255=""),"待补登记信息",IF(AND(M255="已观测",OR(K255="",AND(NOT(ISNUMBER(G255)),J255=""))),"待补观测与来源",IF(AND(ISNUMBER(G255),H255=""),"待补数值单位",IF(AND(N255&lt;&gt;"",OR(N255=A255,COUNTIFS('观测证据'!$A$7:$A$306,N255,'观测证据'!$B$7:$B$306,B255,'观测证据'!$M$7:$M$306,"已更正")&lt;&gt;1)),"更正引用待核对","有效输入"))))))))</x:f>
      </x:c>
    </x:row>
    <x:row r="256" ht="25" customHeight="1">
      <x:c r="A256" s="3"/>
      <x:c r="B256" s="3"/>
      <x:c r="C256" s="3"/>
      <x:c r="D256" s="3"/>
      <x:c r="E256" s="25"/>
      <x:c r="F256" s="25"/>
      <x:c r="G256" s="22"/>
      <x:c r="H256" s="3"/>
      <x:c r="I256" s="22"/>
      <x:c r="J256" s="3"/>
      <x:c r="K256" s="3"/>
      <x:c r="L256" s="3"/>
      <x:c r="M256" s="3"/>
      <x:c r="N256" s="3"/>
      <x:c r="O256" s="3"/>
      <x:c r="P256" s="19" t="str">
        <x:f>IF(A256="","",IF(COUNTIFS('观测证据'!$A$7:$A$306,A256)&lt;&gt;1,"编号重复",IF(COUNTIFS('问题总览'!$A$7:$A$306,B256)&lt;&gt;1,"问题引用无效",IF(AND(C256&lt;&gt;"",COUNTIFS('方案版本'!$A$7:$A$306,C256,'方案版本'!$B$7:$B$306,B256,'方案版本'!$L$7:$L$306,"已冻结")&lt;&gt;1),"方案引用无效",IF(OR(NOT(ISNUMBER(F256)),M256=""),"待补登记信息",IF(AND(M256="已观测",OR(K256="",AND(NOT(ISNUMBER(G256)),J256=""))),"待补观测与来源",IF(AND(ISNUMBER(G256),H256=""),"待补数值单位",IF(AND(N256&lt;&gt;"",OR(N256=A256,COUNTIFS('观测证据'!$A$7:$A$306,N256,'观测证据'!$B$7:$B$306,B256,'观测证据'!$M$7:$M$306,"已更正")&lt;&gt;1)),"更正引用待核对","有效输入"))))))))</x:f>
      </x:c>
    </x:row>
    <x:row r="257" ht="25" customHeight="1">
      <x:c r="A257" s="3"/>
      <x:c r="B257" s="3"/>
      <x:c r="C257" s="3"/>
      <x:c r="D257" s="3"/>
      <x:c r="E257" s="25"/>
      <x:c r="F257" s="25"/>
      <x:c r="G257" s="22"/>
      <x:c r="H257" s="3"/>
      <x:c r="I257" s="22"/>
      <x:c r="J257" s="3"/>
      <x:c r="K257" s="3"/>
      <x:c r="L257" s="3"/>
      <x:c r="M257" s="3"/>
      <x:c r="N257" s="3"/>
      <x:c r="O257" s="3"/>
      <x:c r="P257" s="19" t="str">
        <x:f>IF(A257="","",IF(COUNTIFS('观测证据'!$A$7:$A$306,A257)&lt;&gt;1,"编号重复",IF(COUNTIFS('问题总览'!$A$7:$A$306,B257)&lt;&gt;1,"问题引用无效",IF(AND(C257&lt;&gt;"",COUNTIFS('方案版本'!$A$7:$A$306,C257,'方案版本'!$B$7:$B$306,B257,'方案版本'!$L$7:$L$306,"已冻结")&lt;&gt;1),"方案引用无效",IF(OR(NOT(ISNUMBER(F257)),M257=""),"待补登记信息",IF(AND(M257="已观测",OR(K257="",AND(NOT(ISNUMBER(G257)),J257=""))),"待补观测与来源",IF(AND(ISNUMBER(G257),H257=""),"待补数值单位",IF(AND(N257&lt;&gt;"",OR(N257=A257,COUNTIFS('观测证据'!$A$7:$A$306,N257,'观测证据'!$B$7:$B$306,B257,'观测证据'!$M$7:$M$306,"已更正")&lt;&gt;1)),"更正引用待核对","有效输入"))))))))</x:f>
      </x:c>
    </x:row>
    <x:row r="258" ht="25" customHeight="1">
      <x:c r="A258" s="3"/>
      <x:c r="B258" s="3"/>
      <x:c r="C258" s="3"/>
      <x:c r="D258" s="3"/>
      <x:c r="E258" s="25"/>
      <x:c r="F258" s="25"/>
      <x:c r="G258" s="22"/>
      <x:c r="H258" s="3"/>
      <x:c r="I258" s="22"/>
      <x:c r="J258" s="3"/>
      <x:c r="K258" s="3"/>
      <x:c r="L258" s="3"/>
      <x:c r="M258" s="3"/>
      <x:c r="N258" s="3"/>
      <x:c r="O258" s="3"/>
      <x:c r="P258" s="19" t="str">
        <x:f>IF(A258="","",IF(COUNTIFS('观测证据'!$A$7:$A$306,A258)&lt;&gt;1,"编号重复",IF(COUNTIFS('问题总览'!$A$7:$A$306,B258)&lt;&gt;1,"问题引用无效",IF(AND(C258&lt;&gt;"",COUNTIFS('方案版本'!$A$7:$A$306,C258,'方案版本'!$B$7:$B$306,B258,'方案版本'!$L$7:$L$306,"已冻结")&lt;&gt;1),"方案引用无效",IF(OR(NOT(ISNUMBER(F258)),M258=""),"待补登记信息",IF(AND(M258="已观测",OR(K258="",AND(NOT(ISNUMBER(G258)),J258=""))),"待补观测与来源",IF(AND(ISNUMBER(G258),H258=""),"待补数值单位",IF(AND(N258&lt;&gt;"",OR(N258=A258,COUNTIFS('观测证据'!$A$7:$A$306,N258,'观测证据'!$B$7:$B$306,B258,'观测证据'!$M$7:$M$306,"已更正")&lt;&gt;1)),"更正引用待核对","有效输入"))))))))</x:f>
      </x:c>
    </x:row>
    <x:row r="259" ht="25" customHeight="1">
      <x:c r="A259" s="3"/>
      <x:c r="B259" s="3"/>
      <x:c r="C259" s="3"/>
      <x:c r="D259" s="3"/>
      <x:c r="E259" s="25"/>
      <x:c r="F259" s="25"/>
      <x:c r="G259" s="22"/>
      <x:c r="H259" s="3"/>
      <x:c r="I259" s="22"/>
      <x:c r="J259" s="3"/>
      <x:c r="K259" s="3"/>
      <x:c r="L259" s="3"/>
      <x:c r="M259" s="3"/>
      <x:c r="N259" s="3"/>
      <x:c r="O259" s="3"/>
      <x:c r="P259" s="19" t="str">
        <x:f>IF(A259="","",IF(COUNTIFS('观测证据'!$A$7:$A$306,A259)&lt;&gt;1,"编号重复",IF(COUNTIFS('问题总览'!$A$7:$A$306,B259)&lt;&gt;1,"问题引用无效",IF(AND(C259&lt;&gt;"",COUNTIFS('方案版本'!$A$7:$A$306,C259,'方案版本'!$B$7:$B$306,B259,'方案版本'!$L$7:$L$306,"已冻结")&lt;&gt;1),"方案引用无效",IF(OR(NOT(ISNUMBER(F259)),M259=""),"待补登记信息",IF(AND(M259="已观测",OR(K259="",AND(NOT(ISNUMBER(G259)),J259=""))),"待补观测与来源",IF(AND(ISNUMBER(G259),H259=""),"待补数值单位",IF(AND(N259&lt;&gt;"",OR(N259=A259,COUNTIFS('观测证据'!$A$7:$A$306,N259,'观测证据'!$B$7:$B$306,B259,'观测证据'!$M$7:$M$306,"已更正")&lt;&gt;1)),"更正引用待核对","有效输入"))))))))</x:f>
      </x:c>
    </x:row>
    <x:row r="260" ht="25" customHeight="1">
      <x:c r="A260" s="3"/>
      <x:c r="B260" s="3"/>
      <x:c r="C260" s="3"/>
      <x:c r="D260" s="3"/>
      <x:c r="E260" s="25"/>
      <x:c r="F260" s="25"/>
      <x:c r="G260" s="22"/>
      <x:c r="H260" s="3"/>
      <x:c r="I260" s="22"/>
      <x:c r="J260" s="3"/>
      <x:c r="K260" s="3"/>
      <x:c r="L260" s="3"/>
      <x:c r="M260" s="3"/>
      <x:c r="N260" s="3"/>
      <x:c r="O260" s="3"/>
      <x:c r="P260" s="19" t="str">
        <x:f>IF(A260="","",IF(COUNTIFS('观测证据'!$A$7:$A$306,A260)&lt;&gt;1,"编号重复",IF(COUNTIFS('问题总览'!$A$7:$A$306,B260)&lt;&gt;1,"问题引用无效",IF(AND(C260&lt;&gt;"",COUNTIFS('方案版本'!$A$7:$A$306,C260,'方案版本'!$B$7:$B$306,B260,'方案版本'!$L$7:$L$306,"已冻结")&lt;&gt;1),"方案引用无效",IF(OR(NOT(ISNUMBER(F260)),M260=""),"待补登记信息",IF(AND(M260="已观测",OR(K260="",AND(NOT(ISNUMBER(G260)),J260=""))),"待补观测与来源",IF(AND(ISNUMBER(G260),H260=""),"待补数值单位",IF(AND(N260&lt;&gt;"",OR(N260=A260,COUNTIFS('观测证据'!$A$7:$A$306,N260,'观测证据'!$B$7:$B$306,B260,'观测证据'!$M$7:$M$306,"已更正")&lt;&gt;1)),"更正引用待核对","有效输入"))))))))</x:f>
      </x:c>
    </x:row>
    <x:row r="261" ht="25" customHeight="1">
      <x:c r="A261" s="3"/>
      <x:c r="B261" s="3"/>
      <x:c r="C261" s="3"/>
      <x:c r="D261" s="3"/>
      <x:c r="E261" s="25"/>
      <x:c r="F261" s="25"/>
      <x:c r="G261" s="22"/>
      <x:c r="H261" s="3"/>
      <x:c r="I261" s="22"/>
      <x:c r="J261" s="3"/>
      <x:c r="K261" s="3"/>
      <x:c r="L261" s="3"/>
      <x:c r="M261" s="3"/>
      <x:c r="N261" s="3"/>
      <x:c r="O261" s="3"/>
      <x:c r="P261" s="19" t="str">
        <x:f>IF(A261="","",IF(COUNTIFS('观测证据'!$A$7:$A$306,A261)&lt;&gt;1,"编号重复",IF(COUNTIFS('问题总览'!$A$7:$A$306,B261)&lt;&gt;1,"问题引用无效",IF(AND(C261&lt;&gt;"",COUNTIFS('方案版本'!$A$7:$A$306,C261,'方案版本'!$B$7:$B$306,B261,'方案版本'!$L$7:$L$306,"已冻结")&lt;&gt;1),"方案引用无效",IF(OR(NOT(ISNUMBER(F261)),M261=""),"待补登记信息",IF(AND(M261="已观测",OR(K261="",AND(NOT(ISNUMBER(G261)),J261=""))),"待补观测与来源",IF(AND(ISNUMBER(G261),H261=""),"待补数值单位",IF(AND(N261&lt;&gt;"",OR(N261=A261,COUNTIFS('观测证据'!$A$7:$A$306,N261,'观测证据'!$B$7:$B$306,B261,'观测证据'!$M$7:$M$306,"已更正")&lt;&gt;1)),"更正引用待核对","有效输入"))))))))</x:f>
      </x:c>
    </x:row>
    <x:row r="262" ht="25" customHeight="1">
      <x:c r="A262" s="3"/>
      <x:c r="B262" s="3"/>
      <x:c r="C262" s="3"/>
      <x:c r="D262" s="3"/>
      <x:c r="E262" s="25"/>
      <x:c r="F262" s="25"/>
      <x:c r="G262" s="22"/>
      <x:c r="H262" s="3"/>
      <x:c r="I262" s="22"/>
      <x:c r="J262" s="3"/>
      <x:c r="K262" s="3"/>
      <x:c r="L262" s="3"/>
      <x:c r="M262" s="3"/>
      <x:c r="N262" s="3"/>
      <x:c r="O262" s="3"/>
      <x:c r="P262" s="19" t="str">
        <x:f>IF(A262="","",IF(COUNTIFS('观测证据'!$A$7:$A$306,A262)&lt;&gt;1,"编号重复",IF(COUNTIFS('问题总览'!$A$7:$A$306,B262)&lt;&gt;1,"问题引用无效",IF(AND(C262&lt;&gt;"",COUNTIFS('方案版本'!$A$7:$A$306,C262,'方案版本'!$B$7:$B$306,B262,'方案版本'!$L$7:$L$306,"已冻结")&lt;&gt;1),"方案引用无效",IF(OR(NOT(ISNUMBER(F262)),M262=""),"待补登记信息",IF(AND(M262="已观测",OR(K262="",AND(NOT(ISNUMBER(G262)),J262=""))),"待补观测与来源",IF(AND(ISNUMBER(G262),H262=""),"待补数值单位",IF(AND(N262&lt;&gt;"",OR(N262=A262,COUNTIFS('观测证据'!$A$7:$A$306,N262,'观测证据'!$B$7:$B$306,B262,'观测证据'!$M$7:$M$306,"已更正")&lt;&gt;1)),"更正引用待核对","有效输入"))))))))</x:f>
      </x:c>
    </x:row>
    <x:row r="263" ht="25" customHeight="1">
      <x:c r="A263" s="3"/>
      <x:c r="B263" s="3"/>
      <x:c r="C263" s="3"/>
      <x:c r="D263" s="3"/>
      <x:c r="E263" s="25"/>
      <x:c r="F263" s="25"/>
      <x:c r="G263" s="22"/>
      <x:c r="H263" s="3"/>
      <x:c r="I263" s="22"/>
      <x:c r="J263" s="3"/>
      <x:c r="K263" s="3"/>
      <x:c r="L263" s="3"/>
      <x:c r="M263" s="3"/>
      <x:c r="N263" s="3"/>
      <x:c r="O263" s="3"/>
      <x:c r="P263" s="19" t="str">
        <x:f>IF(A263="","",IF(COUNTIFS('观测证据'!$A$7:$A$306,A263)&lt;&gt;1,"编号重复",IF(COUNTIFS('问题总览'!$A$7:$A$306,B263)&lt;&gt;1,"问题引用无效",IF(AND(C263&lt;&gt;"",COUNTIFS('方案版本'!$A$7:$A$306,C263,'方案版本'!$B$7:$B$306,B263,'方案版本'!$L$7:$L$306,"已冻结")&lt;&gt;1),"方案引用无效",IF(OR(NOT(ISNUMBER(F263)),M263=""),"待补登记信息",IF(AND(M263="已观测",OR(K263="",AND(NOT(ISNUMBER(G263)),J263=""))),"待补观测与来源",IF(AND(ISNUMBER(G263),H263=""),"待补数值单位",IF(AND(N263&lt;&gt;"",OR(N263=A263,COUNTIFS('观测证据'!$A$7:$A$306,N263,'观测证据'!$B$7:$B$306,B263,'观测证据'!$M$7:$M$306,"已更正")&lt;&gt;1)),"更正引用待核对","有效输入"))))))))</x:f>
      </x:c>
    </x:row>
    <x:row r="264" ht="25" customHeight="1">
      <x:c r="A264" s="3"/>
      <x:c r="B264" s="3"/>
      <x:c r="C264" s="3"/>
      <x:c r="D264" s="3"/>
      <x:c r="E264" s="25"/>
      <x:c r="F264" s="25"/>
      <x:c r="G264" s="22"/>
      <x:c r="H264" s="3"/>
      <x:c r="I264" s="22"/>
      <x:c r="J264" s="3"/>
      <x:c r="K264" s="3"/>
      <x:c r="L264" s="3"/>
      <x:c r="M264" s="3"/>
      <x:c r="N264" s="3"/>
      <x:c r="O264" s="3"/>
      <x:c r="P264" s="19" t="str">
        <x:f>IF(A264="","",IF(COUNTIFS('观测证据'!$A$7:$A$306,A264)&lt;&gt;1,"编号重复",IF(COUNTIFS('问题总览'!$A$7:$A$306,B264)&lt;&gt;1,"问题引用无效",IF(AND(C264&lt;&gt;"",COUNTIFS('方案版本'!$A$7:$A$306,C264,'方案版本'!$B$7:$B$306,B264,'方案版本'!$L$7:$L$306,"已冻结")&lt;&gt;1),"方案引用无效",IF(OR(NOT(ISNUMBER(F264)),M264=""),"待补登记信息",IF(AND(M264="已观测",OR(K264="",AND(NOT(ISNUMBER(G264)),J264=""))),"待补观测与来源",IF(AND(ISNUMBER(G264),H264=""),"待补数值单位",IF(AND(N264&lt;&gt;"",OR(N264=A264,COUNTIFS('观测证据'!$A$7:$A$306,N264,'观测证据'!$B$7:$B$306,B264,'观测证据'!$M$7:$M$306,"已更正")&lt;&gt;1)),"更正引用待核对","有效输入"))))))))</x:f>
      </x:c>
    </x:row>
    <x:row r="265" ht="25" customHeight="1">
      <x:c r="A265" s="3"/>
      <x:c r="B265" s="3"/>
      <x:c r="C265" s="3"/>
      <x:c r="D265" s="3"/>
      <x:c r="E265" s="25"/>
      <x:c r="F265" s="25"/>
      <x:c r="G265" s="22"/>
      <x:c r="H265" s="3"/>
      <x:c r="I265" s="22"/>
      <x:c r="J265" s="3"/>
      <x:c r="K265" s="3"/>
      <x:c r="L265" s="3"/>
      <x:c r="M265" s="3"/>
      <x:c r="N265" s="3"/>
      <x:c r="O265" s="3"/>
      <x:c r="P265" s="19" t="str">
        <x:f>IF(A265="","",IF(COUNTIFS('观测证据'!$A$7:$A$306,A265)&lt;&gt;1,"编号重复",IF(COUNTIFS('问题总览'!$A$7:$A$306,B265)&lt;&gt;1,"问题引用无效",IF(AND(C265&lt;&gt;"",COUNTIFS('方案版本'!$A$7:$A$306,C265,'方案版本'!$B$7:$B$306,B265,'方案版本'!$L$7:$L$306,"已冻结")&lt;&gt;1),"方案引用无效",IF(OR(NOT(ISNUMBER(F265)),M265=""),"待补登记信息",IF(AND(M265="已观测",OR(K265="",AND(NOT(ISNUMBER(G265)),J265=""))),"待补观测与来源",IF(AND(ISNUMBER(G265),H265=""),"待补数值单位",IF(AND(N265&lt;&gt;"",OR(N265=A265,COUNTIFS('观测证据'!$A$7:$A$306,N265,'观测证据'!$B$7:$B$306,B265,'观测证据'!$M$7:$M$306,"已更正")&lt;&gt;1)),"更正引用待核对","有效输入"))))))))</x:f>
      </x:c>
    </x:row>
    <x:row r="266" ht="25" customHeight="1">
      <x:c r="A266" s="3"/>
      <x:c r="B266" s="3"/>
      <x:c r="C266" s="3"/>
      <x:c r="D266" s="3"/>
      <x:c r="E266" s="25"/>
      <x:c r="F266" s="25"/>
      <x:c r="G266" s="22"/>
      <x:c r="H266" s="3"/>
      <x:c r="I266" s="22"/>
      <x:c r="J266" s="3"/>
      <x:c r="K266" s="3"/>
      <x:c r="L266" s="3"/>
      <x:c r="M266" s="3"/>
      <x:c r="N266" s="3"/>
      <x:c r="O266" s="3"/>
      <x:c r="P266" s="19" t="str">
        <x:f>IF(A266="","",IF(COUNTIFS('观测证据'!$A$7:$A$306,A266)&lt;&gt;1,"编号重复",IF(COUNTIFS('问题总览'!$A$7:$A$306,B266)&lt;&gt;1,"问题引用无效",IF(AND(C266&lt;&gt;"",COUNTIFS('方案版本'!$A$7:$A$306,C266,'方案版本'!$B$7:$B$306,B266,'方案版本'!$L$7:$L$306,"已冻结")&lt;&gt;1),"方案引用无效",IF(OR(NOT(ISNUMBER(F266)),M266=""),"待补登记信息",IF(AND(M266="已观测",OR(K266="",AND(NOT(ISNUMBER(G266)),J266=""))),"待补观测与来源",IF(AND(ISNUMBER(G266),H266=""),"待补数值单位",IF(AND(N266&lt;&gt;"",OR(N266=A266,COUNTIFS('观测证据'!$A$7:$A$306,N266,'观测证据'!$B$7:$B$306,B266,'观测证据'!$M$7:$M$306,"已更正")&lt;&gt;1)),"更正引用待核对","有效输入"))))))))</x:f>
      </x:c>
    </x:row>
    <x:row r="267" ht="25" customHeight="1">
      <x:c r="A267" s="3"/>
      <x:c r="B267" s="3"/>
      <x:c r="C267" s="3"/>
      <x:c r="D267" s="3"/>
      <x:c r="E267" s="25"/>
      <x:c r="F267" s="25"/>
      <x:c r="G267" s="22"/>
      <x:c r="H267" s="3"/>
      <x:c r="I267" s="22"/>
      <x:c r="J267" s="3"/>
      <x:c r="K267" s="3"/>
      <x:c r="L267" s="3"/>
      <x:c r="M267" s="3"/>
      <x:c r="N267" s="3"/>
      <x:c r="O267" s="3"/>
      <x:c r="P267" s="19" t="str">
        <x:f>IF(A267="","",IF(COUNTIFS('观测证据'!$A$7:$A$306,A267)&lt;&gt;1,"编号重复",IF(COUNTIFS('问题总览'!$A$7:$A$306,B267)&lt;&gt;1,"问题引用无效",IF(AND(C267&lt;&gt;"",COUNTIFS('方案版本'!$A$7:$A$306,C267,'方案版本'!$B$7:$B$306,B267,'方案版本'!$L$7:$L$306,"已冻结")&lt;&gt;1),"方案引用无效",IF(OR(NOT(ISNUMBER(F267)),M267=""),"待补登记信息",IF(AND(M267="已观测",OR(K267="",AND(NOT(ISNUMBER(G267)),J267=""))),"待补观测与来源",IF(AND(ISNUMBER(G267),H267=""),"待补数值单位",IF(AND(N267&lt;&gt;"",OR(N267=A267,COUNTIFS('观测证据'!$A$7:$A$306,N267,'观测证据'!$B$7:$B$306,B267,'观测证据'!$M$7:$M$306,"已更正")&lt;&gt;1)),"更正引用待核对","有效输入"))))))))</x:f>
      </x:c>
    </x:row>
    <x:row r="268" ht="25" customHeight="1">
      <x:c r="A268" s="3"/>
      <x:c r="B268" s="3"/>
      <x:c r="C268" s="3"/>
      <x:c r="D268" s="3"/>
      <x:c r="E268" s="25"/>
      <x:c r="F268" s="25"/>
      <x:c r="G268" s="22"/>
      <x:c r="H268" s="3"/>
      <x:c r="I268" s="22"/>
      <x:c r="J268" s="3"/>
      <x:c r="K268" s="3"/>
      <x:c r="L268" s="3"/>
      <x:c r="M268" s="3"/>
      <x:c r="N268" s="3"/>
      <x:c r="O268" s="3"/>
      <x:c r="P268" s="19" t="str">
        <x:f>IF(A268="","",IF(COUNTIFS('观测证据'!$A$7:$A$306,A268)&lt;&gt;1,"编号重复",IF(COUNTIFS('问题总览'!$A$7:$A$306,B268)&lt;&gt;1,"问题引用无效",IF(AND(C268&lt;&gt;"",COUNTIFS('方案版本'!$A$7:$A$306,C268,'方案版本'!$B$7:$B$306,B268,'方案版本'!$L$7:$L$306,"已冻结")&lt;&gt;1),"方案引用无效",IF(OR(NOT(ISNUMBER(F268)),M268=""),"待补登记信息",IF(AND(M268="已观测",OR(K268="",AND(NOT(ISNUMBER(G268)),J268=""))),"待补观测与来源",IF(AND(ISNUMBER(G268),H268=""),"待补数值单位",IF(AND(N268&lt;&gt;"",OR(N268=A268,COUNTIFS('观测证据'!$A$7:$A$306,N268,'观测证据'!$B$7:$B$306,B268,'观测证据'!$M$7:$M$306,"已更正")&lt;&gt;1)),"更正引用待核对","有效输入"))))))))</x:f>
      </x:c>
    </x:row>
    <x:row r="269" ht="25" customHeight="1">
      <x:c r="A269" s="3"/>
      <x:c r="B269" s="3"/>
      <x:c r="C269" s="3"/>
      <x:c r="D269" s="3"/>
      <x:c r="E269" s="25"/>
      <x:c r="F269" s="25"/>
      <x:c r="G269" s="22"/>
      <x:c r="H269" s="3"/>
      <x:c r="I269" s="22"/>
      <x:c r="J269" s="3"/>
      <x:c r="K269" s="3"/>
      <x:c r="L269" s="3"/>
      <x:c r="M269" s="3"/>
      <x:c r="N269" s="3"/>
      <x:c r="O269" s="3"/>
      <x:c r="P269" s="19" t="str">
        <x:f>IF(A269="","",IF(COUNTIFS('观测证据'!$A$7:$A$306,A269)&lt;&gt;1,"编号重复",IF(COUNTIFS('问题总览'!$A$7:$A$306,B269)&lt;&gt;1,"问题引用无效",IF(AND(C269&lt;&gt;"",COUNTIFS('方案版本'!$A$7:$A$306,C269,'方案版本'!$B$7:$B$306,B269,'方案版本'!$L$7:$L$306,"已冻结")&lt;&gt;1),"方案引用无效",IF(OR(NOT(ISNUMBER(F269)),M269=""),"待补登记信息",IF(AND(M269="已观测",OR(K269="",AND(NOT(ISNUMBER(G269)),J269=""))),"待补观测与来源",IF(AND(ISNUMBER(G269),H269=""),"待补数值单位",IF(AND(N269&lt;&gt;"",OR(N269=A269,COUNTIFS('观测证据'!$A$7:$A$306,N269,'观测证据'!$B$7:$B$306,B269,'观测证据'!$M$7:$M$306,"已更正")&lt;&gt;1)),"更正引用待核对","有效输入"))))))))</x:f>
      </x:c>
    </x:row>
    <x:row r="270" ht="25" customHeight="1">
      <x:c r="A270" s="3"/>
      <x:c r="B270" s="3"/>
      <x:c r="C270" s="3"/>
      <x:c r="D270" s="3"/>
      <x:c r="E270" s="25"/>
      <x:c r="F270" s="25"/>
      <x:c r="G270" s="22"/>
      <x:c r="H270" s="3"/>
      <x:c r="I270" s="22"/>
      <x:c r="J270" s="3"/>
      <x:c r="K270" s="3"/>
      <x:c r="L270" s="3"/>
      <x:c r="M270" s="3"/>
      <x:c r="N270" s="3"/>
      <x:c r="O270" s="3"/>
      <x:c r="P270" s="19" t="str">
        <x:f>IF(A270="","",IF(COUNTIFS('观测证据'!$A$7:$A$306,A270)&lt;&gt;1,"编号重复",IF(COUNTIFS('问题总览'!$A$7:$A$306,B270)&lt;&gt;1,"问题引用无效",IF(AND(C270&lt;&gt;"",COUNTIFS('方案版本'!$A$7:$A$306,C270,'方案版本'!$B$7:$B$306,B270,'方案版本'!$L$7:$L$306,"已冻结")&lt;&gt;1),"方案引用无效",IF(OR(NOT(ISNUMBER(F270)),M270=""),"待补登记信息",IF(AND(M270="已观测",OR(K270="",AND(NOT(ISNUMBER(G270)),J270=""))),"待补观测与来源",IF(AND(ISNUMBER(G270),H270=""),"待补数值单位",IF(AND(N270&lt;&gt;"",OR(N270=A270,COUNTIFS('观测证据'!$A$7:$A$306,N270,'观测证据'!$B$7:$B$306,B270,'观测证据'!$M$7:$M$306,"已更正")&lt;&gt;1)),"更正引用待核对","有效输入"))))))))</x:f>
      </x:c>
    </x:row>
    <x:row r="271" ht="25" customHeight="1">
      <x:c r="A271" s="3"/>
      <x:c r="B271" s="3"/>
      <x:c r="C271" s="3"/>
      <x:c r="D271" s="3"/>
      <x:c r="E271" s="25"/>
      <x:c r="F271" s="25"/>
      <x:c r="G271" s="22"/>
      <x:c r="H271" s="3"/>
      <x:c r="I271" s="22"/>
      <x:c r="J271" s="3"/>
      <x:c r="K271" s="3"/>
      <x:c r="L271" s="3"/>
      <x:c r="M271" s="3"/>
      <x:c r="N271" s="3"/>
      <x:c r="O271" s="3"/>
      <x:c r="P271" s="19" t="str">
        <x:f>IF(A271="","",IF(COUNTIFS('观测证据'!$A$7:$A$306,A271)&lt;&gt;1,"编号重复",IF(COUNTIFS('问题总览'!$A$7:$A$306,B271)&lt;&gt;1,"问题引用无效",IF(AND(C271&lt;&gt;"",COUNTIFS('方案版本'!$A$7:$A$306,C271,'方案版本'!$B$7:$B$306,B271,'方案版本'!$L$7:$L$306,"已冻结")&lt;&gt;1),"方案引用无效",IF(OR(NOT(ISNUMBER(F271)),M271=""),"待补登记信息",IF(AND(M271="已观测",OR(K271="",AND(NOT(ISNUMBER(G271)),J271=""))),"待补观测与来源",IF(AND(ISNUMBER(G271),H271=""),"待补数值单位",IF(AND(N271&lt;&gt;"",OR(N271=A271,COUNTIFS('观测证据'!$A$7:$A$306,N271,'观测证据'!$B$7:$B$306,B271,'观测证据'!$M$7:$M$306,"已更正")&lt;&gt;1)),"更正引用待核对","有效输入"))))))))</x:f>
      </x:c>
    </x:row>
    <x:row r="272" ht="25" customHeight="1">
      <x:c r="A272" s="3"/>
      <x:c r="B272" s="3"/>
      <x:c r="C272" s="3"/>
      <x:c r="D272" s="3"/>
      <x:c r="E272" s="25"/>
      <x:c r="F272" s="25"/>
      <x:c r="G272" s="22"/>
      <x:c r="H272" s="3"/>
      <x:c r="I272" s="22"/>
      <x:c r="J272" s="3"/>
      <x:c r="K272" s="3"/>
      <x:c r="L272" s="3"/>
      <x:c r="M272" s="3"/>
      <x:c r="N272" s="3"/>
      <x:c r="O272" s="3"/>
      <x:c r="P272" s="19" t="str">
        <x:f>IF(A272="","",IF(COUNTIFS('观测证据'!$A$7:$A$306,A272)&lt;&gt;1,"编号重复",IF(COUNTIFS('问题总览'!$A$7:$A$306,B272)&lt;&gt;1,"问题引用无效",IF(AND(C272&lt;&gt;"",COUNTIFS('方案版本'!$A$7:$A$306,C272,'方案版本'!$B$7:$B$306,B272,'方案版本'!$L$7:$L$306,"已冻结")&lt;&gt;1),"方案引用无效",IF(OR(NOT(ISNUMBER(F272)),M272=""),"待补登记信息",IF(AND(M272="已观测",OR(K272="",AND(NOT(ISNUMBER(G272)),J272=""))),"待补观测与来源",IF(AND(ISNUMBER(G272),H272=""),"待补数值单位",IF(AND(N272&lt;&gt;"",OR(N272=A272,COUNTIFS('观测证据'!$A$7:$A$306,N272,'观测证据'!$B$7:$B$306,B272,'观测证据'!$M$7:$M$306,"已更正")&lt;&gt;1)),"更正引用待核对","有效输入"))))))))</x:f>
      </x:c>
    </x:row>
    <x:row r="273" ht="25" customHeight="1">
      <x:c r="A273" s="3"/>
      <x:c r="B273" s="3"/>
      <x:c r="C273" s="3"/>
      <x:c r="D273" s="3"/>
      <x:c r="E273" s="25"/>
      <x:c r="F273" s="25"/>
      <x:c r="G273" s="22"/>
      <x:c r="H273" s="3"/>
      <x:c r="I273" s="22"/>
      <x:c r="J273" s="3"/>
      <x:c r="K273" s="3"/>
      <x:c r="L273" s="3"/>
      <x:c r="M273" s="3"/>
      <x:c r="N273" s="3"/>
      <x:c r="O273" s="3"/>
      <x:c r="P273" s="19" t="str">
        <x:f>IF(A273="","",IF(COUNTIFS('观测证据'!$A$7:$A$306,A273)&lt;&gt;1,"编号重复",IF(COUNTIFS('问题总览'!$A$7:$A$306,B273)&lt;&gt;1,"问题引用无效",IF(AND(C273&lt;&gt;"",COUNTIFS('方案版本'!$A$7:$A$306,C273,'方案版本'!$B$7:$B$306,B273,'方案版本'!$L$7:$L$306,"已冻结")&lt;&gt;1),"方案引用无效",IF(OR(NOT(ISNUMBER(F273)),M273=""),"待补登记信息",IF(AND(M273="已观测",OR(K273="",AND(NOT(ISNUMBER(G273)),J273=""))),"待补观测与来源",IF(AND(ISNUMBER(G273),H273=""),"待补数值单位",IF(AND(N273&lt;&gt;"",OR(N273=A273,COUNTIFS('观测证据'!$A$7:$A$306,N273,'观测证据'!$B$7:$B$306,B273,'观测证据'!$M$7:$M$306,"已更正")&lt;&gt;1)),"更正引用待核对","有效输入"))))))))</x:f>
      </x:c>
    </x:row>
    <x:row r="274" ht="25" customHeight="1">
      <x:c r="A274" s="3"/>
      <x:c r="B274" s="3"/>
      <x:c r="C274" s="3"/>
      <x:c r="D274" s="3"/>
      <x:c r="E274" s="25"/>
      <x:c r="F274" s="25"/>
      <x:c r="G274" s="22"/>
      <x:c r="H274" s="3"/>
      <x:c r="I274" s="22"/>
      <x:c r="J274" s="3"/>
      <x:c r="K274" s="3"/>
      <x:c r="L274" s="3"/>
      <x:c r="M274" s="3"/>
      <x:c r="N274" s="3"/>
      <x:c r="O274" s="3"/>
      <x:c r="P274" s="19" t="str">
        <x:f>IF(A274="","",IF(COUNTIFS('观测证据'!$A$7:$A$306,A274)&lt;&gt;1,"编号重复",IF(COUNTIFS('问题总览'!$A$7:$A$306,B274)&lt;&gt;1,"问题引用无效",IF(AND(C274&lt;&gt;"",COUNTIFS('方案版本'!$A$7:$A$306,C274,'方案版本'!$B$7:$B$306,B274,'方案版本'!$L$7:$L$306,"已冻结")&lt;&gt;1),"方案引用无效",IF(OR(NOT(ISNUMBER(F274)),M274=""),"待补登记信息",IF(AND(M274="已观测",OR(K274="",AND(NOT(ISNUMBER(G274)),J274=""))),"待补观测与来源",IF(AND(ISNUMBER(G274),H274=""),"待补数值单位",IF(AND(N274&lt;&gt;"",OR(N274=A274,COUNTIFS('观测证据'!$A$7:$A$306,N274,'观测证据'!$B$7:$B$306,B274,'观测证据'!$M$7:$M$306,"已更正")&lt;&gt;1)),"更正引用待核对","有效输入"))))))))</x:f>
      </x:c>
    </x:row>
    <x:row r="275" ht="25" customHeight="1">
      <x:c r="A275" s="3"/>
      <x:c r="B275" s="3"/>
      <x:c r="C275" s="3"/>
      <x:c r="D275" s="3"/>
      <x:c r="E275" s="25"/>
      <x:c r="F275" s="25"/>
      <x:c r="G275" s="22"/>
      <x:c r="H275" s="3"/>
      <x:c r="I275" s="22"/>
      <x:c r="J275" s="3"/>
      <x:c r="K275" s="3"/>
      <x:c r="L275" s="3"/>
      <x:c r="M275" s="3"/>
      <x:c r="N275" s="3"/>
      <x:c r="O275" s="3"/>
      <x:c r="P275" s="19" t="str">
        <x:f>IF(A275="","",IF(COUNTIFS('观测证据'!$A$7:$A$306,A275)&lt;&gt;1,"编号重复",IF(COUNTIFS('问题总览'!$A$7:$A$306,B275)&lt;&gt;1,"问题引用无效",IF(AND(C275&lt;&gt;"",COUNTIFS('方案版本'!$A$7:$A$306,C275,'方案版本'!$B$7:$B$306,B275,'方案版本'!$L$7:$L$306,"已冻结")&lt;&gt;1),"方案引用无效",IF(OR(NOT(ISNUMBER(F275)),M275=""),"待补登记信息",IF(AND(M275="已观测",OR(K275="",AND(NOT(ISNUMBER(G275)),J275=""))),"待补观测与来源",IF(AND(ISNUMBER(G275),H275=""),"待补数值单位",IF(AND(N275&lt;&gt;"",OR(N275=A275,COUNTIFS('观测证据'!$A$7:$A$306,N275,'观测证据'!$B$7:$B$306,B275,'观测证据'!$M$7:$M$306,"已更正")&lt;&gt;1)),"更正引用待核对","有效输入"))))))))</x:f>
      </x:c>
    </x:row>
    <x:row r="276" ht="25" customHeight="1">
      <x:c r="A276" s="3"/>
      <x:c r="B276" s="3"/>
      <x:c r="C276" s="3"/>
      <x:c r="D276" s="3"/>
      <x:c r="E276" s="25"/>
      <x:c r="F276" s="25"/>
      <x:c r="G276" s="22"/>
      <x:c r="H276" s="3"/>
      <x:c r="I276" s="22"/>
      <x:c r="J276" s="3"/>
      <x:c r="K276" s="3"/>
      <x:c r="L276" s="3"/>
      <x:c r="M276" s="3"/>
      <x:c r="N276" s="3"/>
      <x:c r="O276" s="3"/>
      <x:c r="P276" s="19" t="str">
        <x:f>IF(A276="","",IF(COUNTIFS('观测证据'!$A$7:$A$306,A276)&lt;&gt;1,"编号重复",IF(COUNTIFS('问题总览'!$A$7:$A$306,B276)&lt;&gt;1,"问题引用无效",IF(AND(C276&lt;&gt;"",COUNTIFS('方案版本'!$A$7:$A$306,C276,'方案版本'!$B$7:$B$306,B276,'方案版本'!$L$7:$L$306,"已冻结")&lt;&gt;1),"方案引用无效",IF(OR(NOT(ISNUMBER(F276)),M276=""),"待补登记信息",IF(AND(M276="已观测",OR(K276="",AND(NOT(ISNUMBER(G276)),J276=""))),"待补观测与来源",IF(AND(ISNUMBER(G276),H276=""),"待补数值单位",IF(AND(N276&lt;&gt;"",OR(N276=A276,COUNTIFS('观测证据'!$A$7:$A$306,N276,'观测证据'!$B$7:$B$306,B276,'观测证据'!$M$7:$M$306,"已更正")&lt;&gt;1)),"更正引用待核对","有效输入"))))))))</x:f>
      </x:c>
    </x:row>
    <x:row r="277" ht="25" customHeight="1">
      <x:c r="A277" s="3"/>
      <x:c r="B277" s="3"/>
      <x:c r="C277" s="3"/>
      <x:c r="D277" s="3"/>
      <x:c r="E277" s="25"/>
      <x:c r="F277" s="25"/>
      <x:c r="G277" s="22"/>
      <x:c r="H277" s="3"/>
      <x:c r="I277" s="22"/>
      <x:c r="J277" s="3"/>
      <x:c r="K277" s="3"/>
      <x:c r="L277" s="3"/>
      <x:c r="M277" s="3"/>
      <x:c r="N277" s="3"/>
      <x:c r="O277" s="3"/>
      <x:c r="P277" s="19" t="str">
        <x:f>IF(A277="","",IF(COUNTIFS('观测证据'!$A$7:$A$306,A277)&lt;&gt;1,"编号重复",IF(COUNTIFS('问题总览'!$A$7:$A$306,B277)&lt;&gt;1,"问题引用无效",IF(AND(C277&lt;&gt;"",COUNTIFS('方案版本'!$A$7:$A$306,C277,'方案版本'!$B$7:$B$306,B277,'方案版本'!$L$7:$L$306,"已冻结")&lt;&gt;1),"方案引用无效",IF(OR(NOT(ISNUMBER(F277)),M277=""),"待补登记信息",IF(AND(M277="已观测",OR(K277="",AND(NOT(ISNUMBER(G277)),J277=""))),"待补观测与来源",IF(AND(ISNUMBER(G277),H277=""),"待补数值单位",IF(AND(N277&lt;&gt;"",OR(N277=A277,COUNTIFS('观测证据'!$A$7:$A$306,N277,'观测证据'!$B$7:$B$306,B277,'观测证据'!$M$7:$M$306,"已更正")&lt;&gt;1)),"更正引用待核对","有效输入"))))))))</x:f>
      </x:c>
    </x:row>
    <x:row r="278" ht="25" customHeight="1">
      <x:c r="A278" s="3"/>
      <x:c r="B278" s="3"/>
      <x:c r="C278" s="3"/>
      <x:c r="D278" s="3"/>
      <x:c r="E278" s="25"/>
      <x:c r="F278" s="25"/>
      <x:c r="G278" s="22"/>
      <x:c r="H278" s="3"/>
      <x:c r="I278" s="22"/>
      <x:c r="J278" s="3"/>
      <x:c r="K278" s="3"/>
      <x:c r="L278" s="3"/>
      <x:c r="M278" s="3"/>
      <x:c r="N278" s="3"/>
      <x:c r="O278" s="3"/>
      <x:c r="P278" s="19" t="str">
        <x:f>IF(A278="","",IF(COUNTIFS('观测证据'!$A$7:$A$306,A278)&lt;&gt;1,"编号重复",IF(COUNTIFS('问题总览'!$A$7:$A$306,B278)&lt;&gt;1,"问题引用无效",IF(AND(C278&lt;&gt;"",COUNTIFS('方案版本'!$A$7:$A$306,C278,'方案版本'!$B$7:$B$306,B278,'方案版本'!$L$7:$L$306,"已冻结")&lt;&gt;1),"方案引用无效",IF(OR(NOT(ISNUMBER(F278)),M278=""),"待补登记信息",IF(AND(M278="已观测",OR(K278="",AND(NOT(ISNUMBER(G278)),J278=""))),"待补观测与来源",IF(AND(ISNUMBER(G278),H278=""),"待补数值单位",IF(AND(N278&lt;&gt;"",OR(N278=A278,COUNTIFS('观测证据'!$A$7:$A$306,N278,'观测证据'!$B$7:$B$306,B278,'观测证据'!$M$7:$M$306,"已更正")&lt;&gt;1)),"更正引用待核对","有效输入"))))))))</x:f>
      </x:c>
    </x:row>
    <x:row r="279" ht="25" customHeight="1">
      <x:c r="A279" s="3"/>
      <x:c r="B279" s="3"/>
      <x:c r="C279" s="3"/>
      <x:c r="D279" s="3"/>
      <x:c r="E279" s="25"/>
      <x:c r="F279" s="25"/>
      <x:c r="G279" s="22"/>
      <x:c r="H279" s="3"/>
      <x:c r="I279" s="22"/>
      <x:c r="J279" s="3"/>
      <x:c r="K279" s="3"/>
      <x:c r="L279" s="3"/>
      <x:c r="M279" s="3"/>
      <x:c r="N279" s="3"/>
      <x:c r="O279" s="3"/>
      <x:c r="P279" s="19" t="str">
        <x:f>IF(A279="","",IF(COUNTIFS('观测证据'!$A$7:$A$306,A279)&lt;&gt;1,"编号重复",IF(COUNTIFS('问题总览'!$A$7:$A$306,B279)&lt;&gt;1,"问题引用无效",IF(AND(C279&lt;&gt;"",COUNTIFS('方案版本'!$A$7:$A$306,C279,'方案版本'!$B$7:$B$306,B279,'方案版本'!$L$7:$L$306,"已冻结")&lt;&gt;1),"方案引用无效",IF(OR(NOT(ISNUMBER(F279)),M279=""),"待补登记信息",IF(AND(M279="已观测",OR(K279="",AND(NOT(ISNUMBER(G279)),J279=""))),"待补观测与来源",IF(AND(ISNUMBER(G279),H279=""),"待补数值单位",IF(AND(N279&lt;&gt;"",OR(N279=A279,COUNTIFS('观测证据'!$A$7:$A$306,N279,'观测证据'!$B$7:$B$306,B279,'观测证据'!$M$7:$M$306,"已更正")&lt;&gt;1)),"更正引用待核对","有效输入"))))))))</x:f>
      </x:c>
    </x:row>
    <x:row r="280" ht="25" customHeight="1">
      <x:c r="A280" s="3"/>
      <x:c r="B280" s="3"/>
      <x:c r="C280" s="3"/>
      <x:c r="D280" s="3"/>
      <x:c r="E280" s="25"/>
      <x:c r="F280" s="25"/>
      <x:c r="G280" s="22"/>
      <x:c r="H280" s="3"/>
      <x:c r="I280" s="22"/>
      <x:c r="J280" s="3"/>
      <x:c r="K280" s="3"/>
      <x:c r="L280" s="3"/>
      <x:c r="M280" s="3"/>
      <x:c r="N280" s="3"/>
      <x:c r="O280" s="3"/>
      <x:c r="P280" s="19" t="str">
        <x:f>IF(A280="","",IF(COUNTIFS('观测证据'!$A$7:$A$306,A280)&lt;&gt;1,"编号重复",IF(COUNTIFS('问题总览'!$A$7:$A$306,B280)&lt;&gt;1,"问题引用无效",IF(AND(C280&lt;&gt;"",COUNTIFS('方案版本'!$A$7:$A$306,C280,'方案版本'!$B$7:$B$306,B280,'方案版本'!$L$7:$L$306,"已冻结")&lt;&gt;1),"方案引用无效",IF(OR(NOT(ISNUMBER(F280)),M280=""),"待补登记信息",IF(AND(M280="已观测",OR(K280="",AND(NOT(ISNUMBER(G280)),J280=""))),"待补观测与来源",IF(AND(ISNUMBER(G280),H280=""),"待补数值单位",IF(AND(N280&lt;&gt;"",OR(N280=A280,COUNTIFS('观测证据'!$A$7:$A$306,N280,'观测证据'!$B$7:$B$306,B280,'观测证据'!$M$7:$M$306,"已更正")&lt;&gt;1)),"更正引用待核对","有效输入"))))))))</x:f>
      </x:c>
    </x:row>
    <x:row r="281" ht="25" customHeight="1">
      <x:c r="A281" s="3"/>
      <x:c r="B281" s="3"/>
      <x:c r="C281" s="3"/>
      <x:c r="D281" s="3"/>
      <x:c r="E281" s="25"/>
      <x:c r="F281" s="25"/>
      <x:c r="G281" s="22"/>
      <x:c r="H281" s="3"/>
      <x:c r="I281" s="22"/>
      <x:c r="J281" s="3"/>
      <x:c r="K281" s="3"/>
      <x:c r="L281" s="3"/>
      <x:c r="M281" s="3"/>
      <x:c r="N281" s="3"/>
      <x:c r="O281" s="3"/>
      <x:c r="P281" s="19" t="str">
        <x:f>IF(A281="","",IF(COUNTIFS('观测证据'!$A$7:$A$306,A281)&lt;&gt;1,"编号重复",IF(COUNTIFS('问题总览'!$A$7:$A$306,B281)&lt;&gt;1,"问题引用无效",IF(AND(C281&lt;&gt;"",COUNTIFS('方案版本'!$A$7:$A$306,C281,'方案版本'!$B$7:$B$306,B281,'方案版本'!$L$7:$L$306,"已冻结")&lt;&gt;1),"方案引用无效",IF(OR(NOT(ISNUMBER(F281)),M281=""),"待补登记信息",IF(AND(M281="已观测",OR(K281="",AND(NOT(ISNUMBER(G281)),J281=""))),"待补观测与来源",IF(AND(ISNUMBER(G281),H281=""),"待补数值单位",IF(AND(N281&lt;&gt;"",OR(N281=A281,COUNTIFS('观测证据'!$A$7:$A$306,N281,'观测证据'!$B$7:$B$306,B281,'观测证据'!$M$7:$M$306,"已更正")&lt;&gt;1)),"更正引用待核对","有效输入"))))))))</x:f>
      </x:c>
    </x:row>
    <x:row r="282" ht="25" customHeight="1">
      <x:c r="A282" s="3"/>
      <x:c r="B282" s="3"/>
      <x:c r="C282" s="3"/>
      <x:c r="D282" s="3"/>
      <x:c r="E282" s="25"/>
      <x:c r="F282" s="25"/>
      <x:c r="G282" s="22"/>
      <x:c r="H282" s="3"/>
      <x:c r="I282" s="22"/>
      <x:c r="J282" s="3"/>
      <x:c r="K282" s="3"/>
      <x:c r="L282" s="3"/>
      <x:c r="M282" s="3"/>
      <x:c r="N282" s="3"/>
      <x:c r="O282" s="3"/>
      <x:c r="P282" s="19" t="str">
        <x:f>IF(A282="","",IF(COUNTIFS('观测证据'!$A$7:$A$306,A282)&lt;&gt;1,"编号重复",IF(COUNTIFS('问题总览'!$A$7:$A$306,B282)&lt;&gt;1,"问题引用无效",IF(AND(C282&lt;&gt;"",COUNTIFS('方案版本'!$A$7:$A$306,C282,'方案版本'!$B$7:$B$306,B282,'方案版本'!$L$7:$L$306,"已冻结")&lt;&gt;1),"方案引用无效",IF(OR(NOT(ISNUMBER(F282)),M282=""),"待补登记信息",IF(AND(M282="已观测",OR(K282="",AND(NOT(ISNUMBER(G282)),J282=""))),"待补观测与来源",IF(AND(ISNUMBER(G282),H282=""),"待补数值单位",IF(AND(N282&lt;&gt;"",OR(N282=A282,COUNTIFS('观测证据'!$A$7:$A$306,N282,'观测证据'!$B$7:$B$306,B282,'观测证据'!$M$7:$M$306,"已更正")&lt;&gt;1)),"更正引用待核对","有效输入"))))))))</x:f>
      </x:c>
    </x:row>
    <x:row r="283" ht="25" customHeight="1">
      <x:c r="A283" s="3"/>
      <x:c r="B283" s="3"/>
      <x:c r="C283" s="3"/>
      <x:c r="D283" s="3"/>
      <x:c r="E283" s="25"/>
      <x:c r="F283" s="25"/>
      <x:c r="G283" s="22"/>
      <x:c r="H283" s="3"/>
      <x:c r="I283" s="22"/>
      <x:c r="J283" s="3"/>
      <x:c r="K283" s="3"/>
      <x:c r="L283" s="3"/>
      <x:c r="M283" s="3"/>
      <x:c r="N283" s="3"/>
      <x:c r="O283" s="3"/>
      <x:c r="P283" s="19" t="str">
        <x:f>IF(A283="","",IF(COUNTIFS('观测证据'!$A$7:$A$306,A283)&lt;&gt;1,"编号重复",IF(COUNTIFS('问题总览'!$A$7:$A$306,B283)&lt;&gt;1,"问题引用无效",IF(AND(C283&lt;&gt;"",COUNTIFS('方案版本'!$A$7:$A$306,C283,'方案版本'!$B$7:$B$306,B283,'方案版本'!$L$7:$L$306,"已冻结")&lt;&gt;1),"方案引用无效",IF(OR(NOT(ISNUMBER(F283)),M283=""),"待补登记信息",IF(AND(M283="已观测",OR(K283="",AND(NOT(ISNUMBER(G283)),J283=""))),"待补观测与来源",IF(AND(ISNUMBER(G283),H283=""),"待补数值单位",IF(AND(N283&lt;&gt;"",OR(N283=A283,COUNTIFS('观测证据'!$A$7:$A$306,N283,'观测证据'!$B$7:$B$306,B283,'观测证据'!$M$7:$M$306,"已更正")&lt;&gt;1)),"更正引用待核对","有效输入"))))))))</x:f>
      </x:c>
    </x:row>
    <x:row r="284" ht="25" customHeight="1">
      <x:c r="A284" s="3"/>
      <x:c r="B284" s="3"/>
      <x:c r="C284" s="3"/>
      <x:c r="D284" s="3"/>
      <x:c r="E284" s="25"/>
      <x:c r="F284" s="25"/>
      <x:c r="G284" s="22"/>
      <x:c r="H284" s="3"/>
      <x:c r="I284" s="22"/>
      <x:c r="J284" s="3"/>
      <x:c r="K284" s="3"/>
      <x:c r="L284" s="3"/>
      <x:c r="M284" s="3"/>
      <x:c r="N284" s="3"/>
      <x:c r="O284" s="3"/>
      <x:c r="P284" s="19" t="str">
        <x:f>IF(A284="","",IF(COUNTIFS('观测证据'!$A$7:$A$306,A284)&lt;&gt;1,"编号重复",IF(COUNTIFS('问题总览'!$A$7:$A$306,B284)&lt;&gt;1,"问题引用无效",IF(AND(C284&lt;&gt;"",COUNTIFS('方案版本'!$A$7:$A$306,C284,'方案版本'!$B$7:$B$306,B284,'方案版本'!$L$7:$L$306,"已冻结")&lt;&gt;1),"方案引用无效",IF(OR(NOT(ISNUMBER(F284)),M284=""),"待补登记信息",IF(AND(M284="已观测",OR(K284="",AND(NOT(ISNUMBER(G284)),J284=""))),"待补观测与来源",IF(AND(ISNUMBER(G284),H284=""),"待补数值单位",IF(AND(N284&lt;&gt;"",OR(N284=A284,COUNTIFS('观测证据'!$A$7:$A$306,N284,'观测证据'!$B$7:$B$306,B284,'观测证据'!$M$7:$M$306,"已更正")&lt;&gt;1)),"更正引用待核对","有效输入"))))))))</x:f>
      </x:c>
    </x:row>
    <x:row r="285" ht="25" customHeight="1">
      <x:c r="A285" s="3"/>
      <x:c r="B285" s="3"/>
      <x:c r="C285" s="3"/>
      <x:c r="D285" s="3"/>
      <x:c r="E285" s="25"/>
      <x:c r="F285" s="25"/>
      <x:c r="G285" s="22"/>
      <x:c r="H285" s="3"/>
      <x:c r="I285" s="22"/>
      <x:c r="J285" s="3"/>
      <x:c r="K285" s="3"/>
      <x:c r="L285" s="3"/>
      <x:c r="M285" s="3"/>
      <x:c r="N285" s="3"/>
      <x:c r="O285" s="3"/>
      <x:c r="P285" s="19" t="str">
        <x:f>IF(A285="","",IF(COUNTIFS('观测证据'!$A$7:$A$306,A285)&lt;&gt;1,"编号重复",IF(COUNTIFS('问题总览'!$A$7:$A$306,B285)&lt;&gt;1,"问题引用无效",IF(AND(C285&lt;&gt;"",COUNTIFS('方案版本'!$A$7:$A$306,C285,'方案版本'!$B$7:$B$306,B285,'方案版本'!$L$7:$L$306,"已冻结")&lt;&gt;1),"方案引用无效",IF(OR(NOT(ISNUMBER(F285)),M285=""),"待补登记信息",IF(AND(M285="已观测",OR(K285="",AND(NOT(ISNUMBER(G285)),J285=""))),"待补观测与来源",IF(AND(ISNUMBER(G285),H285=""),"待补数值单位",IF(AND(N285&lt;&gt;"",OR(N285=A285,COUNTIFS('观测证据'!$A$7:$A$306,N285,'观测证据'!$B$7:$B$306,B285,'观测证据'!$M$7:$M$306,"已更正")&lt;&gt;1)),"更正引用待核对","有效输入"))))))))</x:f>
      </x:c>
    </x:row>
    <x:row r="286" ht="25" customHeight="1">
      <x:c r="A286" s="3"/>
      <x:c r="B286" s="3"/>
      <x:c r="C286" s="3"/>
      <x:c r="D286" s="3"/>
      <x:c r="E286" s="25"/>
      <x:c r="F286" s="25"/>
      <x:c r="G286" s="22"/>
      <x:c r="H286" s="3"/>
      <x:c r="I286" s="22"/>
      <x:c r="J286" s="3"/>
      <x:c r="K286" s="3"/>
      <x:c r="L286" s="3"/>
      <x:c r="M286" s="3"/>
      <x:c r="N286" s="3"/>
      <x:c r="O286" s="3"/>
      <x:c r="P286" s="19" t="str">
        <x:f>IF(A286="","",IF(COUNTIFS('观测证据'!$A$7:$A$306,A286)&lt;&gt;1,"编号重复",IF(COUNTIFS('问题总览'!$A$7:$A$306,B286)&lt;&gt;1,"问题引用无效",IF(AND(C286&lt;&gt;"",COUNTIFS('方案版本'!$A$7:$A$306,C286,'方案版本'!$B$7:$B$306,B286,'方案版本'!$L$7:$L$306,"已冻结")&lt;&gt;1),"方案引用无效",IF(OR(NOT(ISNUMBER(F286)),M286=""),"待补登记信息",IF(AND(M286="已观测",OR(K286="",AND(NOT(ISNUMBER(G286)),J286=""))),"待补观测与来源",IF(AND(ISNUMBER(G286),H286=""),"待补数值单位",IF(AND(N286&lt;&gt;"",OR(N286=A286,COUNTIFS('观测证据'!$A$7:$A$306,N286,'观测证据'!$B$7:$B$306,B286,'观测证据'!$M$7:$M$306,"已更正")&lt;&gt;1)),"更正引用待核对","有效输入"))))))))</x:f>
      </x:c>
    </x:row>
    <x:row r="287" ht="25" customHeight="1">
      <x:c r="A287" s="3"/>
      <x:c r="B287" s="3"/>
      <x:c r="C287" s="3"/>
      <x:c r="D287" s="3"/>
      <x:c r="E287" s="25"/>
      <x:c r="F287" s="25"/>
      <x:c r="G287" s="22"/>
      <x:c r="H287" s="3"/>
      <x:c r="I287" s="22"/>
      <x:c r="J287" s="3"/>
      <x:c r="K287" s="3"/>
      <x:c r="L287" s="3"/>
      <x:c r="M287" s="3"/>
      <x:c r="N287" s="3"/>
      <x:c r="O287" s="3"/>
      <x:c r="P287" s="19" t="str">
        <x:f>IF(A287="","",IF(COUNTIFS('观测证据'!$A$7:$A$306,A287)&lt;&gt;1,"编号重复",IF(COUNTIFS('问题总览'!$A$7:$A$306,B287)&lt;&gt;1,"问题引用无效",IF(AND(C287&lt;&gt;"",COUNTIFS('方案版本'!$A$7:$A$306,C287,'方案版本'!$B$7:$B$306,B287,'方案版本'!$L$7:$L$306,"已冻结")&lt;&gt;1),"方案引用无效",IF(OR(NOT(ISNUMBER(F287)),M287=""),"待补登记信息",IF(AND(M287="已观测",OR(K287="",AND(NOT(ISNUMBER(G287)),J287=""))),"待补观测与来源",IF(AND(ISNUMBER(G287),H287=""),"待补数值单位",IF(AND(N287&lt;&gt;"",OR(N287=A287,COUNTIFS('观测证据'!$A$7:$A$306,N287,'观测证据'!$B$7:$B$306,B287,'观测证据'!$M$7:$M$306,"已更正")&lt;&gt;1)),"更正引用待核对","有效输入"))))))))</x:f>
      </x:c>
    </x:row>
    <x:row r="288" ht="25" customHeight="1">
      <x:c r="A288" s="3"/>
      <x:c r="B288" s="3"/>
      <x:c r="C288" s="3"/>
      <x:c r="D288" s="3"/>
      <x:c r="E288" s="25"/>
      <x:c r="F288" s="25"/>
      <x:c r="G288" s="22"/>
      <x:c r="H288" s="3"/>
      <x:c r="I288" s="22"/>
      <x:c r="J288" s="3"/>
      <x:c r="K288" s="3"/>
      <x:c r="L288" s="3"/>
      <x:c r="M288" s="3"/>
      <x:c r="N288" s="3"/>
      <x:c r="O288" s="3"/>
      <x:c r="P288" s="19" t="str">
        <x:f>IF(A288="","",IF(COUNTIFS('观测证据'!$A$7:$A$306,A288)&lt;&gt;1,"编号重复",IF(COUNTIFS('问题总览'!$A$7:$A$306,B288)&lt;&gt;1,"问题引用无效",IF(AND(C288&lt;&gt;"",COUNTIFS('方案版本'!$A$7:$A$306,C288,'方案版本'!$B$7:$B$306,B288,'方案版本'!$L$7:$L$306,"已冻结")&lt;&gt;1),"方案引用无效",IF(OR(NOT(ISNUMBER(F288)),M288=""),"待补登记信息",IF(AND(M288="已观测",OR(K288="",AND(NOT(ISNUMBER(G288)),J288=""))),"待补观测与来源",IF(AND(ISNUMBER(G288),H288=""),"待补数值单位",IF(AND(N288&lt;&gt;"",OR(N288=A288,COUNTIFS('观测证据'!$A$7:$A$306,N288,'观测证据'!$B$7:$B$306,B288,'观测证据'!$M$7:$M$306,"已更正")&lt;&gt;1)),"更正引用待核对","有效输入"))))))))</x:f>
      </x:c>
    </x:row>
    <x:row r="289" ht="25" customHeight="1">
      <x:c r="A289" s="3"/>
      <x:c r="B289" s="3"/>
      <x:c r="C289" s="3"/>
      <x:c r="D289" s="3"/>
      <x:c r="E289" s="25"/>
      <x:c r="F289" s="25"/>
      <x:c r="G289" s="22"/>
      <x:c r="H289" s="3"/>
      <x:c r="I289" s="22"/>
      <x:c r="J289" s="3"/>
      <x:c r="K289" s="3"/>
      <x:c r="L289" s="3"/>
      <x:c r="M289" s="3"/>
      <x:c r="N289" s="3"/>
      <x:c r="O289" s="3"/>
      <x:c r="P289" s="19" t="str">
        <x:f>IF(A289="","",IF(COUNTIFS('观测证据'!$A$7:$A$306,A289)&lt;&gt;1,"编号重复",IF(COUNTIFS('问题总览'!$A$7:$A$306,B289)&lt;&gt;1,"问题引用无效",IF(AND(C289&lt;&gt;"",COUNTIFS('方案版本'!$A$7:$A$306,C289,'方案版本'!$B$7:$B$306,B289,'方案版本'!$L$7:$L$306,"已冻结")&lt;&gt;1),"方案引用无效",IF(OR(NOT(ISNUMBER(F289)),M289=""),"待补登记信息",IF(AND(M289="已观测",OR(K289="",AND(NOT(ISNUMBER(G289)),J289=""))),"待补观测与来源",IF(AND(ISNUMBER(G289),H289=""),"待补数值单位",IF(AND(N289&lt;&gt;"",OR(N289=A289,COUNTIFS('观测证据'!$A$7:$A$306,N289,'观测证据'!$B$7:$B$306,B289,'观测证据'!$M$7:$M$306,"已更正")&lt;&gt;1)),"更正引用待核对","有效输入"))))))))</x:f>
      </x:c>
    </x:row>
    <x:row r="290" ht="25" customHeight="1">
      <x:c r="A290" s="3"/>
      <x:c r="B290" s="3"/>
      <x:c r="C290" s="3"/>
      <x:c r="D290" s="3"/>
      <x:c r="E290" s="25"/>
      <x:c r="F290" s="25"/>
      <x:c r="G290" s="22"/>
      <x:c r="H290" s="3"/>
      <x:c r="I290" s="22"/>
      <x:c r="J290" s="3"/>
      <x:c r="K290" s="3"/>
      <x:c r="L290" s="3"/>
      <x:c r="M290" s="3"/>
      <x:c r="N290" s="3"/>
      <x:c r="O290" s="3"/>
      <x:c r="P290" s="19" t="str">
        <x:f>IF(A290="","",IF(COUNTIFS('观测证据'!$A$7:$A$306,A290)&lt;&gt;1,"编号重复",IF(COUNTIFS('问题总览'!$A$7:$A$306,B290)&lt;&gt;1,"问题引用无效",IF(AND(C290&lt;&gt;"",COUNTIFS('方案版本'!$A$7:$A$306,C290,'方案版本'!$B$7:$B$306,B290,'方案版本'!$L$7:$L$306,"已冻结")&lt;&gt;1),"方案引用无效",IF(OR(NOT(ISNUMBER(F290)),M290=""),"待补登记信息",IF(AND(M290="已观测",OR(K290="",AND(NOT(ISNUMBER(G290)),J290=""))),"待补观测与来源",IF(AND(ISNUMBER(G290),H290=""),"待补数值单位",IF(AND(N290&lt;&gt;"",OR(N290=A290,COUNTIFS('观测证据'!$A$7:$A$306,N290,'观测证据'!$B$7:$B$306,B290,'观测证据'!$M$7:$M$306,"已更正")&lt;&gt;1)),"更正引用待核对","有效输入"))))))))</x:f>
      </x:c>
    </x:row>
    <x:row r="291" ht="25" customHeight="1">
      <x:c r="A291" s="3"/>
      <x:c r="B291" s="3"/>
      <x:c r="C291" s="3"/>
      <x:c r="D291" s="3"/>
      <x:c r="E291" s="25"/>
      <x:c r="F291" s="25"/>
      <x:c r="G291" s="22"/>
      <x:c r="H291" s="3"/>
      <x:c r="I291" s="22"/>
      <x:c r="J291" s="3"/>
      <x:c r="K291" s="3"/>
      <x:c r="L291" s="3"/>
      <x:c r="M291" s="3"/>
      <x:c r="N291" s="3"/>
      <x:c r="O291" s="3"/>
      <x:c r="P291" s="19" t="str">
        <x:f>IF(A291="","",IF(COUNTIFS('观测证据'!$A$7:$A$306,A291)&lt;&gt;1,"编号重复",IF(COUNTIFS('问题总览'!$A$7:$A$306,B291)&lt;&gt;1,"问题引用无效",IF(AND(C291&lt;&gt;"",COUNTIFS('方案版本'!$A$7:$A$306,C291,'方案版本'!$B$7:$B$306,B291,'方案版本'!$L$7:$L$306,"已冻结")&lt;&gt;1),"方案引用无效",IF(OR(NOT(ISNUMBER(F291)),M291=""),"待补登记信息",IF(AND(M291="已观测",OR(K291="",AND(NOT(ISNUMBER(G291)),J291=""))),"待补观测与来源",IF(AND(ISNUMBER(G291),H291=""),"待补数值单位",IF(AND(N291&lt;&gt;"",OR(N291=A291,COUNTIFS('观测证据'!$A$7:$A$306,N291,'观测证据'!$B$7:$B$306,B291,'观测证据'!$M$7:$M$306,"已更正")&lt;&gt;1)),"更正引用待核对","有效输入"))))))))</x:f>
      </x:c>
    </x:row>
    <x:row r="292" ht="25" customHeight="1">
      <x:c r="A292" s="3"/>
      <x:c r="B292" s="3"/>
      <x:c r="C292" s="3"/>
      <x:c r="D292" s="3"/>
      <x:c r="E292" s="25"/>
      <x:c r="F292" s="25"/>
      <x:c r="G292" s="22"/>
      <x:c r="H292" s="3"/>
      <x:c r="I292" s="22"/>
      <x:c r="J292" s="3"/>
      <x:c r="K292" s="3"/>
      <x:c r="L292" s="3"/>
      <x:c r="M292" s="3"/>
      <x:c r="N292" s="3"/>
      <x:c r="O292" s="3"/>
      <x:c r="P292" s="19" t="str">
        <x:f>IF(A292="","",IF(COUNTIFS('观测证据'!$A$7:$A$306,A292)&lt;&gt;1,"编号重复",IF(COUNTIFS('问题总览'!$A$7:$A$306,B292)&lt;&gt;1,"问题引用无效",IF(AND(C292&lt;&gt;"",COUNTIFS('方案版本'!$A$7:$A$306,C292,'方案版本'!$B$7:$B$306,B292,'方案版本'!$L$7:$L$306,"已冻结")&lt;&gt;1),"方案引用无效",IF(OR(NOT(ISNUMBER(F292)),M292=""),"待补登记信息",IF(AND(M292="已观测",OR(K292="",AND(NOT(ISNUMBER(G292)),J292=""))),"待补观测与来源",IF(AND(ISNUMBER(G292),H292=""),"待补数值单位",IF(AND(N292&lt;&gt;"",OR(N292=A292,COUNTIFS('观测证据'!$A$7:$A$306,N292,'观测证据'!$B$7:$B$306,B292,'观测证据'!$M$7:$M$306,"已更正")&lt;&gt;1)),"更正引用待核对","有效输入"))))))))</x:f>
      </x:c>
    </x:row>
    <x:row r="293" ht="25" customHeight="1">
      <x:c r="A293" s="3"/>
      <x:c r="B293" s="3"/>
      <x:c r="C293" s="3"/>
      <x:c r="D293" s="3"/>
      <x:c r="E293" s="25"/>
      <x:c r="F293" s="25"/>
      <x:c r="G293" s="22"/>
      <x:c r="H293" s="3"/>
      <x:c r="I293" s="22"/>
      <x:c r="J293" s="3"/>
      <x:c r="K293" s="3"/>
      <x:c r="L293" s="3"/>
      <x:c r="M293" s="3"/>
      <x:c r="N293" s="3"/>
      <x:c r="O293" s="3"/>
      <x:c r="P293" s="19" t="str">
        <x:f>IF(A293="","",IF(COUNTIFS('观测证据'!$A$7:$A$306,A293)&lt;&gt;1,"编号重复",IF(COUNTIFS('问题总览'!$A$7:$A$306,B293)&lt;&gt;1,"问题引用无效",IF(AND(C293&lt;&gt;"",COUNTIFS('方案版本'!$A$7:$A$306,C293,'方案版本'!$B$7:$B$306,B293,'方案版本'!$L$7:$L$306,"已冻结")&lt;&gt;1),"方案引用无效",IF(OR(NOT(ISNUMBER(F293)),M293=""),"待补登记信息",IF(AND(M293="已观测",OR(K293="",AND(NOT(ISNUMBER(G293)),J293=""))),"待补观测与来源",IF(AND(ISNUMBER(G293),H293=""),"待补数值单位",IF(AND(N293&lt;&gt;"",OR(N293=A293,COUNTIFS('观测证据'!$A$7:$A$306,N293,'观测证据'!$B$7:$B$306,B293,'观测证据'!$M$7:$M$306,"已更正")&lt;&gt;1)),"更正引用待核对","有效输入"))))))))</x:f>
      </x:c>
    </x:row>
    <x:row r="294" ht="25" customHeight="1">
      <x:c r="A294" s="3"/>
      <x:c r="B294" s="3"/>
      <x:c r="C294" s="3"/>
      <x:c r="D294" s="3"/>
      <x:c r="E294" s="25"/>
      <x:c r="F294" s="25"/>
      <x:c r="G294" s="22"/>
      <x:c r="H294" s="3"/>
      <x:c r="I294" s="22"/>
      <x:c r="J294" s="3"/>
      <x:c r="K294" s="3"/>
      <x:c r="L294" s="3"/>
      <x:c r="M294" s="3"/>
      <x:c r="N294" s="3"/>
      <x:c r="O294" s="3"/>
      <x:c r="P294" s="19" t="str">
        <x:f>IF(A294="","",IF(COUNTIFS('观测证据'!$A$7:$A$306,A294)&lt;&gt;1,"编号重复",IF(COUNTIFS('问题总览'!$A$7:$A$306,B294)&lt;&gt;1,"问题引用无效",IF(AND(C294&lt;&gt;"",COUNTIFS('方案版本'!$A$7:$A$306,C294,'方案版本'!$B$7:$B$306,B294,'方案版本'!$L$7:$L$306,"已冻结")&lt;&gt;1),"方案引用无效",IF(OR(NOT(ISNUMBER(F294)),M294=""),"待补登记信息",IF(AND(M294="已观测",OR(K294="",AND(NOT(ISNUMBER(G294)),J294=""))),"待补观测与来源",IF(AND(ISNUMBER(G294),H294=""),"待补数值单位",IF(AND(N294&lt;&gt;"",OR(N294=A294,COUNTIFS('观测证据'!$A$7:$A$306,N294,'观测证据'!$B$7:$B$306,B294,'观测证据'!$M$7:$M$306,"已更正")&lt;&gt;1)),"更正引用待核对","有效输入"))))))))</x:f>
      </x:c>
    </x:row>
    <x:row r="295" ht="25" customHeight="1">
      <x:c r="A295" s="3"/>
      <x:c r="B295" s="3"/>
      <x:c r="C295" s="3"/>
      <x:c r="D295" s="3"/>
      <x:c r="E295" s="25"/>
      <x:c r="F295" s="25"/>
      <x:c r="G295" s="22"/>
      <x:c r="H295" s="3"/>
      <x:c r="I295" s="22"/>
      <x:c r="J295" s="3"/>
      <x:c r="K295" s="3"/>
      <x:c r="L295" s="3"/>
      <x:c r="M295" s="3"/>
      <x:c r="N295" s="3"/>
      <x:c r="O295" s="3"/>
      <x:c r="P295" s="19" t="str">
        <x:f>IF(A295="","",IF(COUNTIFS('观测证据'!$A$7:$A$306,A295)&lt;&gt;1,"编号重复",IF(COUNTIFS('问题总览'!$A$7:$A$306,B295)&lt;&gt;1,"问题引用无效",IF(AND(C295&lt;&gt;"",COUNTIFS('方案版本'!$A$7:$A$306,C295,'方案版本'!$B$7:$B$306,B295,'方案版本'!$L$7:$L$306,"已冻结")&lt;&gt;1),"方案引用无效",IF(OR(NOT(ISNUMBER(F295)),M295=""),"待补登记信息",IF(AND(M295="已观测",OR(K295="",AND(NOT(ISNUMBER(G295)),J295=""))),"待补观测与来源",IF(AND(ISNUMBER(G295),H295=""),"待补数值单位",IF(AND(N295&lt;&gt;"",OR(N295=A295,COUNTIFS('观测证据'!$A$7:$A$306,N295,'观测证据'!$B$7:$B$306,B295,'观测证据'!$M$7:$M$306,"已更正")&lt;&gt;1)),"更正引用待核对","有效输入"))))))))</x:f>
      </x:c>
    </x:row>
    <x:row r="296" ht="25" customHeight="1">
      <x:c r="A296" s="3"/>
      <x:c r="B296" s="3"/>
      <x:c r="C296" s="3"/>
      <x:c r="D296" s="3"/>
      <x:c r="E296" s="25"/>
      <x:c r="F296" s="25"/>
      <x:c r="G296" s="22"/>
      <x:c r="H296" s="3"/>
      <x:c r="I296" s="22"/>
      <x:c r="J296" s="3"/>
      <x:c r="K296" s="3"/>
      <x:c r="L296" s="3"/>
      <x:c r="M296" s="3"/>
      <x:c r="N296" s="3"/>
      <x:c r="O296" s="3"/>
      <x:c r="P296" s="19" t="str">
        <x:f>IF(A296="","",IF(COUNTIFS('观测证据'!$A$7:$A$306,A296)&lt;&gt;1,"编号重复",IF(COUNTIFS('问题总览'!$A$7:$A$306,B296)&lt;&gt;1,"问题引用无效",IF(AND(C296&lt;&gt;"",COUNTIFS('方案版本'!$A$7:$A$306,C296,'方案版本'!$B$7:$B$306,B296,'方案版本'!$L$7:$L$306,"已冻结")&lt;&gt;1),"方案引用无效",IF(OR(NOT(ISNUMBER(F296)),M296=""),"待补登记信息",IF(AND(M296="已观测",OR(K296="",AND(NOT(ISNUMBER(G296)),J296=""))),"待补观测与来源",IF(AND(ISNUMBER(G296),H296=""),"待补数值单位",IF(AND(N296&lt;&gt;"",OR(N296=A296,COUNTIFS('观测证据'!$A$7:$A$306,N296,'观测证据'!$B$7:$B$306,B296,'观测证据'!$M$7:$M$306,"已更正")&lt;&gt;1)),"更正引用待核对","有效输入"))))))))</x:f>
      </x:c>
    </x:row>
    <x:row r="297" ht="25" customHeight="1">
      <x:c r="A297" s="3"/>
      <x:c r="B297" s="3"/>
      <x:c r="C297" s="3"/>
      <x:c r="D297" s="3"/>
      <x:c r="E297" s="25"/>
      <x:c r="F297" s="25"/>
      <x:c r="G297" s="22"/>
      <x:c r="H297" s="3"/>
      <x:c r="I297" s="22"/>
      <x:c r="J297" s="3"/>
      <x:c r="K297" s="3"/>
      <x:c r="L297" s="3"/>
      <x:c r="M297" s="3"/>
      <x:c r="N297" s="3"/>
      <x:c r="O297" s="3"/>
      <x:c r="P297" s="19" t="str">
        <x:f>IF(A297="","",IF(COUNTIFS('观测证据'!$A$7:$A$306,A297)&lt;&gt;1,"编号重复",IF(COUNTIFS('问题总览'!$A$7:$A$306,B297)&lt;&gt;1,"问题引用无效",IF(AND(C297&lt;&gt;"",COUNTIFS('方案版本'!$A$7:$A$306,C297,'方案版本'!$B$7:$B$306,B297,'方案版本'!$L$7:$L$306,"已冻结")&lt;&gt;1),"方案引用无效",IF(OR(NOT(ISNUMBER(F297)),M297=""),"待补登记信息",IF(AND(M297="已观测",OR(K297="",AND(NOT(ISNUMBER(G297)),J297=""))),"待补观测与来源",IF(AND(ISNUMBER(G297),H297=""),"待补数值单位",IF(AND(N297&lt;&gt;"",OR(N297=A297,COUNTIFS('观测证据'!$A$7:$A$306,N297,'观测证据'!$B$7:$B$306,B297,'观测证据'!$M$7:$M$306,"已更正")&lt;&gt;1)),"更正引用待核对","有效输入"))))))))</x:f>
      </x:c>
    </x:row>
    <x:row r="298" ht="25" customHeight="1">
      <x:c r="A298" s="3"/>
      <x:c r="B298" s="3"/>
      <x:c r="C298" s="3"/>
      <x:c r="D298" s="3"/>
      <x:c r="E298" s="25"/>
      <x:c r="F298" s="25"/>
      <x:c r="G298" s="22"/>
      <x:c r="H298" s="3"/>
      <x:c r="I298" s="22"/>
      <x:c r="J298" s="3"/>
      <x:c r="K298" s="3"/>
      <x:c r="L298" s="3"/>
      <x:c r="M298" s="3"/>
      <x:c r="N298" s="3"/>
      <x:c r="O298" s="3"/>
      <x:c r="P298" s="19" t="str">
        <x:f>IF(A298="","",IF(COUNTIFS('观测证据'!$A$7:$A$306,A298)&lt;&gt;1,"编号重复",IF(COUNTIFS('问题总览'!$A$7:$A$306,B298)&lt;&gt;1,"问题引用无效",IF(AND(C298&lt;&gt;"",COUNTIFS('方案版本'!$A$7:$A$306,C298,'方案版本'!$B$7:$B$306,B298,'方案版本'!$L$7:$L$306,"已冻结")&lt;&gt;1),"方案引用无效",IF(OR(NOT(ISNUMBER(F298)),M298=""),"待补登记信息",IF(AND(M298="已观测",OR(K298="",AND(NOT(ISNUMBER(G298)),J298=""))),"待补观测与来源",IF(AND(ISNUMBER(G298),H298=""),"待补数值单位",IF(AND(N298&lt;&gt;"",OR(N298=A298,COUNTIFS('观测证据'!$A$7:$A$306,N298,'观测证据'!$B$7:$B$306,B298,'观测证据'!$M$7:$M$306,"已更正")&lt;&gt;1)),"更正引用待核对","有效输入"))))))))</x:f>
      </x:c>
    </x:row>
    <x:row r="299" ht="25" customHeight="1">
      <x:c r="A299" s="3"/>
      <x:c r="B299" s="3"/>
      <x:c r="C299" s="3"/>
      <x:c r="D299" s="3"/>
      <x:c r="E299" s="25"/>
      <x:c r="F299" s="25"/>
      <x:c r="G299" s="22"/>
      <x:c r="H299" s="3"/>
      <x:c r="I299" s="22"/>
      <x:c r="J299" s="3"/>
      <x:c r="K299" s="3"/>
      <x:c r="L299" s="3"/>
      <x:c r="M299" s="3"/>
      <x:c r="N299" s="3"/>
      <x:c r="O299" s="3"/>
      <x:c r="P299" s="19" t="str">
        <x:f>IF(A299="","",IF(COUNTIFS('观测证据'!$A$7:$A$306,A299)&lt;&gt;1,"编号重复",IF(COUNTIFS('问题总览'!$A$7:$A$306,B299)&lt;&gt;1,"问题引用无效",IF(AND(C299&lt;&gt;"",COUNTIFS('方案版本'!$A$7:$A$306,C299,'方案版本'!$B$7:$B$306,B299,'方案版本'!$L$7:$L$306,"已冻结")&lt;&gt;1),"方案引用无效",IF(OR(NOT(ISNUMBER(F299)),M299=""),"待补登记信息",IF(AND(M299="已观测",OR(K299="",AND(NOT(ISNUMBER(G299)),J299=""))),"待补观测与来源",IF(AND(ISNUMBER(G299),H299=""),"待补数值单位",IF(AND(N299&lt;&gt;"",OR(N299=A299,COUNTIFS('观测证据'!$A$7:$A$306,N299,'观测证据'!$B$7:$B$306,B299,'观测证据'!$M$7:$M$306,"已更正")&lt;&gt;1)),"更正引用待核对","有效输入"))))))))</x:f>
      </x:c>
    </x:row>
    <x:row r="300" ht="25" customHeight="1">
      <x:c r="A300" s="3"/>
      <x:c r="B300" s="3"/>
      <x:c r="C300" s="3"/>
      <x:c r="D300" s="3"/>
      <x:c r="E300" s="25"/>
      <x:c r="F300" s="25"/>
      <x:c r="G300" s="22"/>
      <x:c r="H300" s="3"/>
      <x:c r="I300" s="22"/>
      <x:c r="J300" s="3"/>
      <x:c r="K300" s="3"/>
      <x:c r="L300" s="3"/>
      <x:c r="M300" s="3"/>
      <x:c r="N300" s="3"/>
      <x:c r="O300" s="3"/>
      <x:c r="P300" s="19" t="str">
        <x:f>IF(A300="","",IF(COUNTIFS('观测证据'!$A$7:$A$306,A300)&lt;&gt;1,"编号重复",IF(COUNTIFS('问题总览'!$A$7:$A$306,B300)&lt;&gt;1,"问题引用无效",IF(AND(C300&lt;&gt;"",COUNTIFS('方案版本'!$A$7:$A$306,C300,'方案版本'!$B$7:$B$306,B300,'方案版本'!$L$7:$L$306,"已冻结")&lt;&gt;1),"方案引用无效",IF(OR(NOT(ISNUMBER(F300)),M300=""),"待补登记信息",IF(AND(M300="已观测",OR(K300="",AND(NOT(ISNUMBER(G300)),J300=""))),"待补观测与来源",IF(AND(ISNUMBER(G300),H300=""),"待补数值单位",IF(AND(N300&lt;&gt;"",OR(N300=A300,COUNTIFS('观测证据'!$A$7:$A$306,N300,'观测证据'!$B$7:$B$306,B300,'观测证据'!$M$7:$M$306,"已更正")&lt;&gt;1)),"更正引用待核对","有效输入"))))))))</x:f>
      </x:c>
    </x:row>
    <x:row r="301" ht="25" customHeight="1">
      <x:c r="A301" s="3"/>
      <x:c r="B301" s="3"/>
      <x:c r="C301" s="3"/>
      <x:c r="D301" s="3"/>
      <x:c r="E301" s="25"/>
      <x:c r="F301" s="25"/>
      <x:c r="G301" s="22"/>
      <x:c r="H301" s="3"/>
      <x:c r="I301" s="22"/>
      <x:c r="J301" s="3"/>
      <x:c r="K301" s="3"/>
      <x:c r="L301" s="3"/>
      <x:c r="M301" s="3"/>
      <x:c r="N301" s="3"/>
      <x:c r="O301" s="3"/>
      <x:c r="P301" s="19" t="str">
        <x:f>IF(A301="","",IF(COUNTIFS('观测证据'!$A$7:$A$306,A301)&lt;&gt;1,"编号重复",IF(COUNTIFS('问题总览'!$A$7:$A$306,B301)&lt;&gt;1,"问题引用无效",IF(AND(C301&lt;&gt;"",COUNTIFS('方案版本'!$A$7:$A$306,C301,'方案版本'!$B$7:$B$306,B301,'方案版本'!$L$7:$L$306,"已冻结")&lt;&gt;1),"方案引用无效",IF(OR(NOT(ISNUMBER(F301)),M301=""),"待补登记信息",IF(AND(M301="已观测",OR(K301="",AND(NOT(ISNUMBER(G301)),J301=""))),"待补观测与来源",IF(AND(ISNUMBER(G301),H301=""),"待补数值单位",IF(AND(N301&lt;&gt;"",OR(N301=A301,COUNTIFS('观测证据'!$A$7:$A$306,N301,'观测证据'!$B$7:$B$306,B301,'观测证据'!$M$7:$M$306,"已更正")&lt;&gt;1)),"更正引用待核对","有效输入"))))))))</x:f>
      </x:c>
    </x:row>
    <x:row r="302" ht="25" customHeight="1">
      <x:c r="A302" s="3"/>
      <x:c r="B302" s="3"/>
      <x:c r="C302" s="3"/>
      <x:c r="D302" s="3"/>
      <x:c r="E302" s="25"/>
      <x:c r="F302" s="25"/>
      <x:c r="G302" s="22"/>
      <x:c r="H302" s="3"/>
      <x:c r="I302" s="22"/>
      <x:c r="J302" s="3"/>
      <x:c r="K302" s="3"/>
      <x:c r="L302" s="3"/>
      <x:c r="M302" s="3"/>
      <x:c r="N302" s="3"/>
      <x:c r="O302" s="3"/>
      <x:c r="P302" s="19" t="str">
        <x:f>IF(A302="","",IF(COUNTIFS('观测证据'!$A$7:$A$306,A302)&lt;&gt;1,"编号重复",IF(COUNTIFS('问题总览'!$A$7:$A$306,B302)&lt;&gt;1,"问题引用无效",IF(AND(C302&lt;&gt;"",COUNTIFS('方案版本'!$A$7:$A$306,C302,'方案版本'!$B$7:$B$306,B302,'方案版本'!$L$7:$L$306,"已冻结")&lt;&gt;1),"方案引用无效",IF(OR(NOT(ISNUMBER(F302)),M302=""),"待补登记信息",IF(AND(M302="已观测",OR(K302="",AND(NOT(ISNUMBER(G302)),J302=""))),"待补观测与来源",IF(AND(ISNUMBER(G302),H302=""),"待补数值单位",IF(AND(N302&lt;&gt;"",OR(N302=A302,COUNTIFS('观测证据'!$A$7:$A$306,N302,'观测证据'!$B$7:$B$306,B302,'观测证据'!$M$7:$M$306,"已更正")&lt;&gt;1)),"更正引用待核对","有效输入"))))))))</x:f>
      </x:c>
    </x:row>
    <x:row r="303" ht="25" customHeight="1">
      <x:c r="A303" s="3"/>
      <x:c r="B303" s="3"/>
      <x:c r="C303" s="3"/>
      <x:c r="D303" s="3"/>
      <x:c r="E303" s="25"/>
      <x:c r="F303" s="25"/>
      <x:c r="G303" s="22"/>
      <x:c r="H303" s="3"/>
      <x:c r="I303" s="22"/>
      <x:c r="J303" s="3"/>
      <x:c r="K303" s="3"/>
      <x:c r="L303" s="3"/>
      <x:c r="M303" s="3"/>
      <x:c r="N303" s="3"/>
      <x:c r="O303" s="3"/>
      <x:c r="P303" s="19" t="str">
        <x:f>IF(A303="","",IF(COUNTIFS('观测证据'!$A$7:$A$306,A303)&lt;&gt;1,"编号重复",IF(COUNTIFS('问题总览'!$A$7:$A$306,B303)&lt;&gt;1,"问题引用无效",IF(AND(C303&lt;&gt;"",COUNTIFS('方案版本'!$A$7:$A$306,C303,'方案版本'!$B$7:$B$306,B303,'方案版本'!$L$7:$L$306,"已冻结")&lt;&gt;1),"方案引用无效",IF(OR(NOT(ISNUMBER(F303)),M303=""),"待补登记信息",IF(AND(M303="已观测",OR(K303="",AND(NOT(ISNUMBER(G303)),J303=""))),"待补观测与来源",IF(AND(ISNUMBER(G303),H303=""),"待补数值单位",IF(AND(N303&lt;&gt;"",OR(N303=A303,COUNTIFS('观测证据'!$A$7:$A$306,N303,'观测证据'!$B$7:$B$306,B303,'观测证据'!$M$7:$M$306,"已更正")&lt;&gt;1)),"更正引用待核对","有效输入"))))))))</x:f>
      </x:c>
    </x:row>
    <x:row r="304" ht="25" customHeight="1">
      <x:c r="A304" s="3"/>
      <x:c r="B304" s="3"/>
      <x:c r="C304" s="3"/>
      <x:c r="D304" s="3"/>
      <x:c r="E304" s="25"/>
      <x:c r="F304" s="25"/>
      <x:c r="G304" s="22"/>
      <x:c r="H304" s="3"/>
      <x:c r="I304" s="22"/>
      <x:c r="J304" s="3"/>
      <x:c r="K304" s="3"/>
      <x:c r="L304" s="3"/>
      <x:c r="M304" s="3"/>
      <x:c r="N304" s="3"/>
      <x:c r="O304" s="3"/>
      <x:c r="P304" s="19" t="str">
        <x:f>IF(A304="","",IF(COUNTIFS('观测证据'!$A$7:$A$306,A304)&lt;&gt;1,"编号重复",IF(COUNTIFS('问题总览'!$A$7:$A$306,B304)&lt;&gt;1,"问题引用无效",IF(AND(C304&lt;&gt;"",COUNTIFS('方案版本'!$A$7:$A$306,C304,'方案版本'!$B$7:$B$306,B304,'方案版本'!$L$7:$L$306,"已冻结")&lt;&gt;1),"方案引用无效",IF(OR(NOT(ISNUMBER(F304)),M304=""),"待补登记信息",IF(AND(M304="已观测",OR(K304="",AND(NOT(ISNUMBER(G304)),J304=""))),"待补观测与来源",IF(AND(ISNUMBER(G304),H304=""),"待补数值单位",IF(AND(N304&lt;&gt;"",OR(N304=A304,COUNTIFS('观测证据'!$A$7:$A$306,N304,'观测证据'!$B$7:$B$306,B304,'观测证据'!$M$7:$M$306,"已更正")&lt;&gt;1)),"更正引用待核对","有效输入"))))))))</x:f>
      </x:c>
    </x:row>
    <x:row r="305" ht="25" customHeight="1">
      <x:c r="A305" s="3"/>
      <x:c r="B305" s="3"/>
      <x:c r="C305" s="3"/>
      <x:c r="D305" s="3"/>
      <x:c r="E305" s="25"/>
      <x:c r="F305" s="25"/>
      <x:c r="G305" s="22"/>
      <x:c r="H305" s="3"/>
      <x:c r="I305" s="22"/>
      <x:c r="J305" s="3"/>
      <x:c r="K305" s="3"/>
      <x:c r="L305" s="3"/>
      <x:c r="M305" s="3"/>
      <x:c r="N305" s="3"/>
      <x:c r="O305" s="3"/>
      <x:c r="P305" s="19" t="str">
        <x:f>IF(A305="","",IF(COUNTIFS('观测证据'!$A$7:$A$306,A305)&lt;&gt;1,"编号重复",IF(COUNTIFS('问题总览'!$A$7:$A$306,B305)&lt;&gt;1,"问题引用无效",IF(AND(C305&lt;&gt;"",COUNTIFS('方案版本'!$A$7:$A$306,C305,'方案版本'!$B$7:$B$306,B305,'方案版本'!$L$7:$L$306,"已冻结")&lt;&gt;1),"方案引用无效",IF(OR(NOT(ISNUMBER(F305)),M305=""),"待补登记信息",IF(AND(M305="已观测",OR(K305="",AND(NOT(ISNUMBER(G305)),J305=""))),"待补观测与来源",IF(AND(ISNUMBER(G305),H305=""),"待补数值单位",IF(AND(N305&lt;&gt;"",OR(N305=A305,COUNTIFS('观测证据'!$A$7:$A$306,N305,'观测证据'!$B$7:$B$306,B305,'观测证据'!$M$7:$M$306,"已更正")&lt;&gt;1)),"更正引用待核对","有效输入"))))))))</x:f>
      </x:c>
    </x:row>
    <x:row r="306" ht="25" customHeight="1">
      <x:c r="A306" s="3"/>
      <x:c r="B306" s="3"/>
      <x:c r="C306" s="3"/>
      <x:c r="D306" s="3"/>
      <x:c r="E306" s="25"/>
      <x:c r="F306" s="25"/>
      <x:c r="G306" s="22"/>
      <x:c r="H306" s="3"/>
      <x:c r="I306" s="22"/>
      <x:c r="J306" s="3"/>
      <x:c r="K306" s="3"/>
      <x:c r="L306" s="3"/>
      <x:c r="M306" s="3"/>
      <x:c r="N306" s="3"/>
      <x:c r="O306" s="3"/>
      <x:c r="P306" s="19" t="str">
        <x:f>IF(A306="","",IF(COUNTIFS('观测证据'!$A$7:$A$306,A306)&lt;&gt;1,"编号重复",IF(COUNTIFS('问题总览'!$A$7:$A$306,B306)&lt;&gt;1,"问题引用无效",IF(AND(C306&lt;&gt;"",COUNTIFS('方案版本'!$A$7:$A$306,C306,'方案版本'!$B$7:$B$306,B306,'方案版本'!$L$7:$L$306,"已冻结")&lt;&gt;1),"方案引用无效",IF(OR(NOT(ISNUMBER(F306)),M306=""),"待补登记信息",IF(AND(M306="已观测",OR(K306="",AND(NOT(ISNUMBER(G306)),J306=""))),"待补观测与来源",IF(AND(ISNUMBER(G306),H306=""),"待补数值单位",IF(AND(N306&lt;&gt;"",OR(N306=A306,COUNTIFS('观测证据'!$A$7:$A$306,N306,'观测证据'!$B$7:$B$306,B306,'观测证据'!$M$7:$M$306,"已更正")&lt;&gt;1)),"更正引用待核对","有效输入"))))))))</x:f>
      </x:c>
    </x:row>
  </x:sheetData>
  <x:conditionalFormatting sqref="P7:P306">
    <x:cfRule type="expression" dxfId="3" priority="1">
      <x:formula>AND($A7&lt;&gt;"",P7&lt;&gt;"有效输入")</x:formula>
    </x:cfRule>
  </x:conditionalFormatting>
  <x:dataValidations count="1">
    <x:dataValidation type="list" sqref="M7:M306">
      <x:formula1>"已观测,未观测,未到期,缺失,无法判定,已更正,撤销"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67bd445ac47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3" hidden="0" customWidth="1"/>
    <x:col min="5" max="5" width="23" hidden="0" customWidth="1"/>
    <x:col min="6" max="6" width="29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9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9" hidden="0" customWidth="1"/>
    <x:col min="18" max="18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16" t="str">
        <x:v>预测登记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</x:row>
    <x:row r="3" ht="25" customHeight="1">
      <x:c r="A3" s="18" t="str">
        <x:v>每行一项预测。概率填0至1；事件判定为0或1。只有事前指定且已判定的记录评分。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0" customHeight="1">
      <x:c r="A6" s="12" t="str">
        <x:v>预测ID</x:v>
      </x:c>
      <x:c r="B6" s="13" t="str">
        <x:v>问题ID</x:v>
      </x:c>
      <x:c r="C6" s="13" t="str">
        <x:v>方案ID</x:v>
      </x:c>
      <x:c r="D6" s="13" t="str">
        <x:v>登记时间</x:v>
      </x:c>
      <x:c r="E6" s="13" t="str">
        <x:v>到期时间</x:v>
      </x:c>
      <x:c r="F6" s="13" t="str">
        <x:v>事件与判定标准</x:v>
      </x:c>
      <x:c r="G6" s="13" t="str">
        <x:v>预测概率</x:v>
      </x:c>
      <x:c r="H6" s="13" t="str">
        <x:v>基准概率</x:v>
      </x:c>
      <x:c r="I6" s="13" t="str">
        <x:v>判定状态</x:v>
      </x:c>
      <x:c r="J6" s="13" t="str">
        <x:v>实际结果（0/1）</x:v>
      </x:c>
      <x:c r="K6" s="13" t="str">
        <x:v>判定时间</x:v>
      </x:c>
      <x:c r="L6" s="13" t="str">
        <x:v>证据OB引用</x:v>
      </x:c>
      <x:c r="M6" s="13" t="str">
        <x:v>事前指定评价</x:v>
      </x:c>
      <x:c r="N6" s="13" t="str">
        <x:v>Brier分数</x:v>
      </x:c>
      <x:c r="O6" s="13" t="str">
        <x:v>基准Brier</x:v>
      </x:c>
      <x:c r="P6" s="13" t="str">
        <x:v>相对改善</x:v>
      </x:c>
      <x:c r="Q6" s="13" t="str">
        <x:v>预测文件</x:v>
      </x:c>
      <x:c r="R6" s="14" t="str">
        <x:v>输入检查</x:v>
      </x:c>
    </x:row>
    <x:row r="7" ht="25" customHeight="1">
      <x:c r="A7" s="3"/>
      <x:c r="B7" s="3"/>
      <x:c r="C7" s="3"/>
      <x:c r="D7" s="25"/>
      <x:c r="E7" s="25"/>
      <x:c r="F7" s="3"/>
      <x:c r="G7" s="26"/>
      <x:c r="H7" s="26"/>
      <x:c r="I7" s="3"/>
      <x:c r="J7" s="22"/>
      <x:c r="K7" s="25"/>
      <x:c r="L7" s="3"/>
      <x:c r="M7" s="3"/>
      <x:c r="N7" s="24" t="str">
        <x:f>IF(AND(R7="有效输入",I7="已判定",M7="是",ISNUMBER(G7)),(G7-J7)^2,"")</x:f>
      </x:c>
      <x:c r="O7" s="24" t="str">
        <x:f>IF(AND(ISNUMBER(N7),ISNUMBER(H7)),(H7-J7)^2,"")</x:f>
      </x:c>
      <x:c r="P7" s="24" t="str">
        <x:f>IF(AND(ISNUMBER(N7),ISNUMBER(O7)),O7-N7,"")</x:f>
      </x:c>
      <x:c r="Q7" s="3"/>
      <x:c r="R7" s="19" t="str">
        <x:f>IF(A7="","",IF(COUNTIFS('预测登记'!$A$7:$A$306,A7)&lt;&gt;1,"编号重复",IF(COUNTIFS('问题总览'!$A$7:$A$306,B7)&lt;&gt;1,"问题引用无效",IF(COUNTIFS('方案版本'!$A$7:$A$306,C7,'方案版本'!$B$7:$B$306,B7,'方案版本'!$L$7:$L$306,"已冻结")&lt;&gt;1,"方案引用无效",IF(OR(NOT(ISNUMBER(D7)),NOT(ISNUMBER(E7)),F7="",I7="",M7="",Q7=""),"待补预测信息",IF(D7&gt;E7,"非事前到期登记",IF(OR(AND(G7&lt;&gt;"",OR(NOT(ISNUMBER(G7)),G7&lt;0,G7&gt;1)),AND(H7&lt;&gt;"",OR(NOT(ISNUMBER(H7)),H7&lt;0,H7&gt;1))),"概率无效",IF(AND(I7="已判定",OR(NOT(ISNUMBER(J7)),AND(J7&lt;&gt;0,J7&lt;&gt;1),NOT(ISNUMBER(K7)),L7="")),"待补判定证据",IF(AND(I7="已判定",D7&gt;K7),"事后补录不评分","有效输入")))))))))</x:f>
      </x:c>
    </x:row>
    <x:row r="8" ht="25" customHeight="1">
      <x:c r="A8" s="3"/>
      <x:c r="B8" s="3"/>
      <x:c r="C8" s="3"/>
      <x:c r="D8" s="25"/>
      <x:c r="E8" s="25"/>
      <x:c r="F8" s="3"/>
      <x:c r="G8" s="26"/>
      <x:c r="H8" s="26"/>
      <x:c r="I8" s="3"/>
      <x:c r="J8" s="22"/>
      <x:c r="K8" s="25"/>
      <x:c r="L8" s="3"/>
      <x:c r="M8" s="3"/>
      <x:c r="N8" s="24" t="str">
        <x:f>IF(AND(R8="有效输入",I8="已判定",M8="是",ISNUMBER(G8)),(G8-J8)^2,"")</x:f>
      </x:c>
      <x:c r="O8" s="24" t="str">
        <x:f>IF(AND(ISNUMBER(N8),ISNUMBER(H8)),(H8-J8)^2,"")</x:f>
      </x:c>
      <x:c r="P8" s="24" t="str">
        <x:f>IF(AND(ISNUMBER(N8),ISNUMBER(O8)),O8-N8,"")</x:f>
      </x:c>
      <x:c r="Q8" s="3"/>
      <x:c r="R8" s="19" t="str">
        <x:f>IF(A8="","",IF(COUNTIFS('预测登记'!$A$7:$A$306,A8)&lt;&gt;1,"编号重复",IF(COUNTIFS('问题总览'!$A$7:$A$306,B8)&lt;&gt;1,"问题引用无效",IF(COUNTIFS('方案版本'!$A$7:$A$306,C8,'方案版本'!$B$7:$B$306,B8,'方案版本'!$L$7:$L$306,"已冻结")&lt;&gt;1,"方案引用无效",IF(OR(NOT(ISNUMBER(D8)),NOT(ISNUMBER(E8)),F8="",I8="",M8="",Q8=""),"待补预测信息",IF(D8&gt;E8,"非事前到期登记",IF(OR(AND(G8&lt;&gt;"",OR(NOT(ISNUMBER(G8)),G8&lt;0,G8&gt;1)),AND(H8&lt;&gt;"",OR(NOT(ISNUMBER(H8)),H8&lt;0,H8&gt;1))),"概率无效",IF(AND(I8="已判定",OR(NOT(ISNUMBER(J8)),AND(J8&lt;&gt;0,J8&lt;&gt;1),NOT(ISNUMBER(K8)),L8="")),"待补判定证据",IF(AND(I8="已判定",D8&gt;K8),"事后补录不评分","有效输入")))))))))</x:f>
      </x:c>
    </x:row>
    <x:row r="9" ht="25" customHeight="1">
      <x:c r="A9" s="3"/>
      <x:c r="B9" s="3"/>
      <x:c r="C9" s="3"/>
      <x:c r="D9" s="25"/>
      <x:c r="E9" s="25"/>
      <x:c r="F9" s="3"/>
      <x:c r="G9" s="26"/>
      <x:c r="H9" s="26"/>
      <x:c r="I9" s="3"/>
      <x:c r="J9" s="22"/>
      <x:c r="K9" s="25"/>
      <x:c r="L9" s="3"/>
      <x:c r="M9" s="3"/>
      <x:c r="N9" s="24" t="str">
        <x:f>IF(AND(R9="有效输入",I9="已判定",M9="是",ISNUMBER(G9)),(G9-J9)^2,"")</x:f>
      </x:c>
      <x:c r="O9" s="24" t="str">
        <x:f>IF(AND(ISNUMBER(N9),ISNUMBER(H9)),(H9-J9)^2,"")</x:f>
      </x:c>
      <x:c r="P9" s="24" t="str">
        <x:f>IF(AND(ISNUMBER(N9),ISNUMBER(O9)),O9-N9,"")</x:f>
      </x:c>
      <x:c r="Q9" s="3"/>
      <x:c r="R9" s="19" t="str">
        <x:f>IF(A9="","",IF(COUNTIFS('预测登记'!$A$7:$A$306,A9)&lt;&gt;1,"编号重复",IF(COUNTIFS('问题总览'!$A$7:$A$306,B9)&lt;&gt;1,"问题引用无效",IF(COUNTIFS('方案版本'!$A$7:$A$306,C9,'方案版本'!$B$7:$B$306,B9,'方案版本'!$L$7:$L$306,"已冻结")&lt;&gt;1,"方案引用无效",IF(OR(NOT(ISNUMBER(D9)),NOT(ISNUMBER(E9)),F9="",I9="",M9="",Q9=""),"待补预测信息",IF(D9&gt;E9,"非事前到期登记",IF(OR(AND(G9&lt;&gt;"",OR(NOT(ISNUMBER(G9)),G9&lt;0,G9&gt;1)),AND(H9&lt;&gt;"",OR(NOT(ISNUMBER(H9)),H9&lt;0,H9&gt;1))),"概率无效",IF(AND(I9="已判定",OR(NOT(ISNUMBER(J9)),AND(J9&lt;&gt;0,J9&lt;&gt;1),NOT(ISNUMBER(K9)),L9="")),"待补判定证据",IF(AND(I9="已判定",D9&gt;K9),"事后补录不评分","有效输入")))))))))</x:f>
      </x:c>
    </x:row>
    <x:row r="10" ht="25" customHeight="1">
      <x:c r="A10" s="3"/>
      <x:c r="B10" s="3"/>
      <x:c r="C10" s="3"/>
      <x:c r="D10" s="25"/>
      <x:c r="E10" s="25"/>
      <x:c r="F10" s="3"/>
      <x:c r="G10" s="26"/>
      <x:c r="H10" s="26"/>
      <x:c r="I10" s="3"/>
      <x:c r="J10" s="22"/>
      <x:c r="K10" s="25"/>
      <x:c r="L10" s="3"/>
      <x:c r="M10" s="3"/>
      <x:c r="N10" s="24" t="str">
        <x:f>IF(AND(R10="有效输入",I10="已判定",M10="是",ISNUMBER(G10)),(G10-J10)^2,"")</x:f>
      </x:c>
      <x:c r="O10" s="24" t="str">
        <x:f>IF(AND(ISNUMBER(N10),ISNUMBER(H10)),(H10-J10)^2,"")</x:f>
      </x:c>
      <x:c r="P10" s="24" t="str">
        <x:f>IF(AND(ISNUMBER(N10),ISNUMBER(O10)),O10-N10,"")</x:f>
      </x:c>
      <x:c r="Q10" s="3"/>
      <x:c r="R10" s="19" t="str">
        <x:f>IF(A10="","",IF(COUNTIFS('预测登记'!$A$7:$A$306,A10)&lt;&gt;1,"编号重复",IF(COUNTIFS('问题总览'!$A$7:$A$306,B10)&lt;&gt;1,"问题引用无效",IF(COUNTIFS('方案版本'!$A$7:$A$306,C10,'方案版本'!$B$7:$B$306,B10,'方案版本'!$L$7:$L$306,"已冻结")&lt;&gt;1,"方案引用无效",IF(OR(NOT(ISNUMBER(D10)),NOT(ISNUMBER(E10)),F10="",I10="",M10="",Q10=""),"待补预测信息",IF(D10&gt;E10,"非事前到期登记",IF(OR(AND(G10&lt;&gt;"",OR(NOT(ISNUMBER(G10)),G10&lt;0,G10&gt;1)),AND(H10&lt;&gt;"",OR(NOT(ISNUMBER(H10)),H10&lt;0,H10&gt;1))),"概率无效",IF(AND(I10="已判定",OR(NOT(ISNUMBER(J10)),AND(J10&lt;&gt;0,J10&lt;&gt;1),NOT(ISNUMBER(K10)),L10="")),"待补判定证据",IF(AND(I10="已判定",D10&gt;K10),"事后补录不评分","有效输入")))))))))</x:f>
      </x:c>
    </x:row>
    <x:row r="11" ht="25" customHeight="1">
      <x:c r="A11" s="3"/>
      <x:c r="B11" s="3"/>
      <x:c r="C11" s="3"/>
      <x:c r="D11" s="25"/>
      <x:c r="E11" s="25"/>
      <x:c r="F11" s="3"/>
      <x:c r="G11" s="26"/>
      <x:c r="H11" s="26"/>
      <x:c r="I11" s="3"/>
      <x:c r="J11" s="22"/>
      <x:c r="K11" s="25"/>
      <x:c r="L11" s="3"/>
      <x:c r="M11" s="3"/>
      <x:c r="N11" s="24" t="str">
        <x:f>IF(AND(R11="有效输入",I11="已判定",M11="是",ISNUMBER(G11)),(G11-J11)^2,"")</x:f>
      </x:c>
      <x:c r="O11" s="24" t="str">
        <x:f>IF(AND(ISNUMBER(N11),ISNUMBER(H11)),(H11-J11)^2,"")</x:f>
      </x:c>
      <x:c r="P11" s="24" t="str">
        <x:f>IF(AND(ISNUMBER(N11),ISNUMBER(O11)),O11-N11,"")</x:f>
      </x:c>
      <x:c r="Q11" s="3"/>
      <x:c r="R11" s="19" t="str">
        <x:f>IF(A11="","",IF(COUNTIFS('预测登记'!$A$7:$A$306,A11)&lt;&gt;1,"编号重复",IF(COUNTIFS('问题总览'!$A$7:$A$306,B11)&lt;&gt;1,"问题引用无效",IF(COUNTIFS('方案版本'!$A$7:$A$306,C11,'方案版本'!$B$7:$B$306,B11,'方案版本'!$L$7:$L$306,"已冻结")&lt;&gt;1,"方案引用无效",IF(OR(NOT(ISNUMBER(D11)),NOT(ISNUMBER(E11)),F11="",I11="",M11="",Q11=""),"待补预测信息",IF(D11&gt;E11,"非事前到期登记",IF(OR(AND(G11&lt;&gt;"",OR(NOT(ISNUMBER(G11)),G11&lt;0,G11&gt;1)),AND(H11&lt;&gt;"",OR(NOT(ISNUMBER(H11)),H11&lt;0,H11&gt;1))),"概率无效",IF(AND(I11="已判定",OR(NOT(ISNUMBER(J11)),AND(J11&lt;&gt;0,J11&lt;&gt;1),NOT(ISNUMBER(K11)),L11="")),"待补判定证据",IF(AND(I11="已判定",D11&gt;K11),"事后补录不评分","有效输入")))))))))</x:f>
      </x:c>
    </x:row>
    <x:row r="12" ht="25" customHeight="1">
      <x:c r="A12" s="3"/>
      <x:c r="B12" s="3"/>
      <x:c r="C12" s="3"/>
      <x:c r="D12" s="25"/>
      <x:c r="E12" s="25"/>
      <x:c r="F12" s="3"/>
      <x:c r="G12" s="26"/>
      <x:c r="H12" s="26"/>
      <x:c r="I12" s="3"/>
      <x:c r="J12" s="22"/>
      <x:c r="K12" s="25"/>
      <x:c r="L12" s="3"/>
      <x:c r="M12" s="3"/>
      <x:c r="N12" s="24" t="str">
        <x:f>IF(AND(R12="有效输入",I12="已判定",M12="是",ISNUMBER(G12)),(G12-J12)^2,"")</x:f>
      </x:c>
      <x:c r="O12" s="24" t="str">
        <x:f>IF(AND(ISNUMBER(N12),ISNUMBER(H12)),(H12-J12)^2,"")</x:f>
      </x:c>
      <x:c r="P12" s="24" t="str">
        <x:f>IF(AND(ISNUMBER(N12),ISNUMBER(O12)),O12-N12,"")</x:f>
      </x:c>
      <x:c r="Q12" s="3"/>
      <x:c r="R12" s="19" t="str">
        <x:f>IF(A12="","",IF(COUNTIFS('预测登记'!$A$7:$A$306,A12)&lt;&gt;1,"编号重复",IF(COUNTIFS('问题总览'!$A$7:$A$306,B12)&lt;&gt;1,"问题引用无效",IF(COUNTIFS('方案版本'!$A$7:$A$306,C12,'方案版本'!$B$7:$B$306,B12,'方案版本'!$L$7:$L$306,"已冻结")&lt;&gt;1,"方案引用无效",IF(OR(NOT(ISNUMBER(D12)),NOT(ISNUMBER(E12)),F12="",I12="",M12="",Q12=""),"待补预测信息",IF(D12&gt;E12,"非事前到期登记",IF(OR(AND(G12&lt;&gt;"",OR(NOT(ISNUMBER(G12)),G12&lt;0,G12&gt;1)),AND(H12&lt;&gt;"",OR(NOT(ISNUMBER(H12)),H12&lt;0,H12&gt;1))),"概率无效",IF(AND(I12="已判定",OR(NOT(ISNUMBER(J12)),AND(J12&lt;&gt;0,J12&lt;&gt;1),NOT(ISNUMBER(K12)),L12="")),"待补判定证据",IF(AND(I12="已判定",D12&gt;K12),"事后补录不评分","有效输入")))))))))</x:f>
      </x:c>
    </x:row>
    <x:row r="13" ht="25" customHeight="1">
      <x:c r="A13" s="3"/>
      <x:c r="B13" s="3"/>
      <x:c r="C13" s="3"/>
      <x:c r="D13" s="25"/>
      <x:c r="E13" s="25"/>
      <x:c r="F13" s="3"/>
      <x:c r="G13" s="26"/>
      <x:c r="H13" s="26"/>
      <x:c r="I13" s="3"/>
      <x:c r="J13" s="22"/>
      <x:c r="K13" s="25"/>
      <x:c r="L13" s="3"/>
      <x:c r="M13" s="3"/>
      <x:c r="N13" s="24" t="str">
        <x:f>IF(AND(R13="有效输入",I13="已判定",M13="是",ISNUMBER(G13)),(G13-J13)^2,"")</x:f>
      </x:c>
      <x:c r="O13" s="24" t="str">
        <x:f>IF(AND(ISNUMBER(N13),ISNUMBER(H13)),(H13-J13)^2,"")</x:f>
      </x:c>
      <x:c r="P13" s="24" t="str">
        <x:f>IF(AND(ISNUMBER(N13),ISNUMBER(O13)),O13-N13,"")</x:f>
      </x:c>
      <x:c r="Q13" s="3"/>
      <x:c r="R13" s="19" t="str">
        <x:f>IF(A13="","",IF(COUNTIFS('预测登记'!$A$7:$A$306,A13)&lt;&gt;1,"编号重复",IF(COUNTIFS('问题总览'!$A$7:$A$306,B13)&lt;&gt;1,"问题引用无效",IF(COUNTIFS('方案版本'!$A$7:$A$306,C13,'方案版本'!$B$7:$B$306,B13,'方案版本'!$L$7:$L$306,"已冻结")&lt;&gt;1,"方案引用无效",IF(OR(NOT(ISNUMBER(D13)),NOT(ISNUMBER(E13)),F13="",I13="",M13="",Q13=""),"待补预测信息",IF(D13&gt;E13,"非事前到期登记",IF(OR(AND(G13&lt;&gt;"",OR(NOT(ISNUMBER(G13)),G13&lt;0,G13&gt;1)),AND(H13&lt;&gt;"",OR(NOT(ISNUMBER(H13)),H13&lt;0,H13&gt;1))),"概率无效",IF(AND(I13="已判定",OR(NOT(ISNUMBER(J13)),AND(J13&lt;&gt;0,J13&lt;&gt;1),NOT(ISNUMBER(K13)),L13="")),"待补判定证据",IF(AND(I13="已判定",D13&gt;K13),"事后补录不评分","有效输入")))))))))</x:f>
      </x:c>
    </x:row>
    <x:row r="14" ht="25" customHeight="1">
      <x:c r="A14" s="3"/>
      <x:c r="B14" s="3"/>
      <x:c r="C14" s="3"/>
      <x:c r="D14" s="25"/>
      <x:c r="E14" s="25"/>
      <x:c r="F14" s="3"/>
      <x:c r="G14" s="26"/>
      <x:c r="H14" s="26"/>
      <x:c r="I14" s="3"/>
      <x:c r="J14" s="22"/>
      <x:c r="K14" s="25"/>
      <x:c r="L14" s="3"/>
      <x:c r="M14" s="3"/>
      <x:c r="N14" s="24" t="str">
        <x:f>IF(AND(R14="有效输入",I14="已判定",M14="是",ISNUMBER(G14)),(G14-J14)^2,"")</x:f>
      </x:c>
      <x:c r="O14" s="24" t="str">
        <x:f>IF(AND(ISNUMBER(N14),ISNUMBER(H14)),(H14-J14)^2,"")</x:f>
      </x:c>
      <x:c r="P14" s="24" t="str">
        <x:f>IF(AND(ISNUMBER(N14),ISNUMBER(O14)),O14-N14,"")</x:f>
      </x:c>
      <x:c r="Q14" s="3"/>
      <x:c r="R14" s="19" t="str">
        <x:f>IF(A14="","",IF(COUNTIFS('预测登记'!$A$7:$A$306,A14)&lt;&gt;1,"编号重复",IF(COUNTIFS('问题总览'!$A$7:$A$306,B14)&lt;&gt;1,"问题引用无效",IF(COUNTIFS('方案版本'!$A$7:$A$306,C14,'方案版本'!$B$7:$B$306,B14,'方案版本'!$L$7:$L$306,"已冻结")&lt;&gt;1,"方案引用无效",IF(OR(NOT(ISNUMBER(D14)),NOT(ISNUMBER(E14)),F14="",I14="",M14="",Q14=""),"待补预测信息",IF(D14&gt;E14,"非事前到期登记",IF(OR(AND(G14&lt;&gt;"",OR(NOT(ISNUMBER(G14)),G14&lt;0,G14&gt;1)),AND(H14&lt;&gt;"",OR(NOT(ISNUMBER(H14)),H14&lt;0,H14&gt;1))),"概率无效",IF(AND(I14="已判定",OR(NOT(ISNUMBER(J14)),AND(J14&lt;&gt;0,J14&lt;&gt;1),NOT(ISNUMBER(K14)),L14="")),"待补判定证据",IF(AND(I14="已判定",D14&gt;K14),"事后补录不评分","有效输入")))))))))</x:f>
      </x:c>
    </x:row>
    <x:row r="15" ht="25" customHeight="1">
      <x:c r="A15" s="3"/>
      <x:c r="B15" s="3"/>
      <x:c r="C15" s="3"/>
      <x:c r="D15" s="25"/>
      <x:c r="E15" s="25"/>
      <x:c r="F15" s="3"/>
      <x:c r="G15" s="26"/>
      <x:c r="H15" s="26"/>
      <x:c r="I15" s="3"/>
      <x:c r="J15" s="22"/>
      <x:c r="K15" s="25"/>
      <x:c r="L15" s="3"/>
      <x:c r="M15" s="3"/>
      <x:c r="N15" s="24" t="str">
        <x:f>IF(AND(R15="有效输入",I15="已判定",M15="是",ISNUMBER(G15)),(G15-J15)^2,"")</x:f>
      </x:c>
      <x:c r="O15" s="24" t="str">
        <x:f>IF(AND(ISNUMBER(N15),ISNUMBER(H15)),(H15-J15)^2,"")</x:f>
      </x:c>
      <x:c r="P15" s="24" t="str">
        <x:f>IF(AND(ISNUMBER(N15),ISNUMBER(O15)),O15-N15,"")</x:f>
      </x:c>
      <x:c r="Q15" s="3"/>
      <x:c r="R15" s="19" t="str">
        <x:f>IF(A15="","",IF(COUNTIFS('预测登记'!$A$7:$A$306,A15)&lt;&gt;1,"编号重复",IF(COUNTIFS('问题总览'!$A$7:$A$306,B15)&lt;&gt;1,"问题引用无效",IF(COUNTIFS('方案版本'!$A$7:$A$306,C15,'方案版本'!$B$7:$B$306,B15,'方案版本'!$L$7:$L$306,"已冻结")&lt;&gt;1,"方案引用无效",IF(OR(NOT(ISNUMBER(D15)),NOT(ISNUMBER(E15)),F15="",I15="",M15="",Q15=""),"待补预测信息",IF(D15&gt;E15,"非事前到期登记",IF(OR(AND(G15&lt;&gt;"",OR(NOT(ISNUMBER(G15)),G15&lt;0,G15&gt;1)),AND(H15&lt;&gt;"",OR(NOT(ISNUMBER(H15)),H15&lt;0,H15&gt;1))),"概率无效",IF(AND(I15="已判定",OR(NOT(ISNUMBER(J15)),AND(J15&lt;&gt;0,J15&lt;&gt;1),NOT(ISNUMBER(K15)),L15="")),"待补判定证据",IF(AND(I15="已判定",D15&gt;K15),"事后补录不评分","有效输入")))))))))</x:f>
      </x:c>
    </x:row>
    <x:row r="16" ht="25" customHeight="1">
      <x:c r="A16" s="3"/>
      <x:c r="B16" s="3"/>
      <x:c r="C16" s="3"/>
      <x:c r="D16" s="25"/>
      <x:c r="E16" s="25"/>
      <x:c r="F16" s="3"/>
      <x:c r="G16" s="26"/>
      <x:c r="H16" s="26"/>
      <x:c r="I16" s="3"/>
      <x:c r="J16" s="22"/>
      <x:c r="K16" s="25"/>
      <x:c r="L16" s="3"/>
      <x:c r="M16" s="3"/>
      <x:c r="N16" s="24" t="str">
        <x:f>IF(AND(R16="有效输入",I16="已判定",M16="是",ISNUMBER(G16)),(G16-J16)^2,"")</x:f>
      </x:c>
      <x:c r="O16" s="24" t="str">
        <x:f>IF(AND(ISNUMBER(N16),ISNUMBER(H16)),(H16-J16)^2,"")</x:f>
      </x:c>
      <x:c r="P16" s="24" t="str">
        <x:f>IF(AND(ISNUMBER(N16),ISNUMBER(O16)),O16-N16,"")</x:f>
      </x:c>
      <x:c r="Q16" s="3"/>
      <x:c r="R16" s="19" t="str">
        <x:f>IF(A16="","",IF(COUNTIFS('预测登记'!$A$7:$A$306,A16)&lt;&gt;1,"编号重复",IF(COUNTIFS('问题总览'!$A$7:$A$306,B16)&lt;&gt;1,"问题引用无效",IF(COUNTIFS('方案版本'!$A$7:$A$306,C16,'方案版本'!$B$7:$B$306,B16,'方案版本'!$L$7:$L$306,"已冻结")&lt;&gt;1,"方案引用无效",IF(OR(NOT(ISNUMBER(D16)),NOT(ISNUMBER(E16)),F16="",I16="",M16="",Q16=""),"待补预测信息",IF(D16&gt;E16,"非事前到期登记",IF(OR(AND(G16&lt;&gt;"",OR(NOT(ISNUMBER(G16)),G16&lt;0,G16&gt;1)),AND(H16&lt;&gt;"",OR(NOT(ISNUMBER(H16)),H16&lt;0,H16&gt;1))),"概率无效",IF(AND(I16="已判定",OR(NOT(ISNUMBER(J16)),AND(J16&lt;&gt;0,J16&lt;&gt;1),NOT(ISNUMBER(K16)),L16="")),"待补判定证据",IF(AND(I16="已判定",D16&gt;K16),"事后补录不评分","有效输入")))))))))</x:f>
      </x:c>
    </x:row>
    <x:row r="17" ht="25" customHeight="1">
      <x:c r="A17" s="3"/>
      <x:c r="B17" s="3"/>
      <x:c r="C17" s="3"/>
      <x:c r="D17" s="25"/>
      <x:c r="E17" s="25"/>
      <x:c r="F17" s="3"/>
      <x:c r="G17" s="26"/>
      <x:c r="H17" s="26"/>
      <x:c r="I17" s="3"/>
      <x:c r="J17" s="22"/>
      <x:c r="K17" s="25"/>
      <x:c r="L17" s="3"/>
      <x:c r="M17" s="3"/>
      <x:c r="N17" s="24" t="str">
        <x:f>IF(AND(R17="有效输入",I17="已判定",M17="是",ISNUMBER(G17)),(G17-J17)^2,"")</x:f>
      </x:c>
      <x:c r="O17" s="24" t="str">
        <x:f>IF(AND(ISNUMBER(N17),ISNUMBER(H17)),(H17-J17)^2,"")</x:f>
      </x:c>
      <x:c r="P17" s="24" t="str">
        <x:f>IF(AND(ISNUMBER(N17),ISNUMBER(O17)),O17-N17,"")</x:f>
      </x:c>
      <x:c r="Q17" s="3"/>
      <x:c r="R17" s="19" t="str">
        <x:f>IF(A17="","",IF(COUNTIFS('预测登记'!$A$7:$A$306,A17)&lt;&gt;1,"编号重复",IF(COUNTIFS('问题总览'!$A$7:$A$306,B17)&lt;&gt;1,"问题引用无效",IF(COUNTIFS('方案版本'!$A$7:$A$306,C17,'方案版本'!$B$7:$B$306,B17,'方案版本'!$L$7:$L$306,"已冻结")&lt;&gt;1,"方案引用无效",IF(OR(NOT(ISNUMBER(D17)),NOT(ISNUMBER(E17)),F17="",I17="",M17="",Q17=""),"待补预测信息",IF(D17&gt;E17,"非事前到期登记",IF(OR(AND(G17&lt;&gt;"",OR(NOT(ISNUMBER(G17)),G17&lt;0,G17&gt;1)),AND(H17&lt;&gt;"",OR(NOT(ISNUMBER(H17)),H17&lt;0,H17&gt;1))),"概率无效",IF(AND(I17="已判定",OR(NOT(ISNUMBER(J17)),AND(J17&lt;&gt;0,J17&lt;&gt;1),NOT(ISNUMBER(K17)),L17="")),"待补判定证据",IF(AND(I17="已判定",D17&gt;K17),"事后补录不评分","有效输入")))))))))</x:f>
      </x:c>
    </x:row>
    <x:row r="18" ht="25" customHeight="1">
      <x:c r="A18" s="3"/>
      <x:c r="B18" s="3"/>
      <x:c r="C18" s="3"/>
      <x:c r="D18" s="25"/>
      <x:c r="E18" s="25"/>
      <x:c r="F18" s="3"/>
      <x:c r="G18" s="26"/>
      <x:c r="H18" s="26"/>
      <x:c r="I18" s="3"/>
      <x:c r="J18" s="22"/>
      <x:c r="K18" s="25"/>
      <x:c r="L18" s="3"/>
      <x:c r="M18" s="3"/>
      <x:c r="N18" s="24" t="str">
        <x:f>IF(AND(R18="有效输入",I18="已判定",M18="是",ISNUMBER(G18)),(G18-J18)^2,"")</x:f>
      </x:c>
      <x:c r="O18" s="24" t="str">
        <x:f>IF(AND(ISNUMBER(N18),ISNUMBER(H18)),(H18-J18)^2,"")</x:f>
      </x:c>
      <x:c r="P18" s="24" t="str">
        <x:f>IF(AND(ISNUMBER(N18),ISNUMBER(O18)),O18-N18,"")</x:f>
      </x:c>
      <x:c r="Q18" s="3"/>
      <x:c r="R18" s="19" t="str">
        <x:f>IF(A18="","",IF(COUNTIFS('预测登记'!$A$7:$A$306,A18)&lt;&gt;1,"编号重复",IF(COUNTIFS('问题总览'!$A$7:$A$306,B18)&lt;&gt;1,"问题引用无效",IF(COUNTIFS('方案版本'!$A$7:$A$306,C18,'方案版本'!$B$7:$B$306,B18,'方案版本'!$L$7:$L$306,"已冻结")&lt;&gt;1,"方案引用无效",IF(OR(NOT(ISNUMBER(D18)),NOT(ISNUMBER(E18)),F18="",I18="",M18="",Q18=""),"待补预测信息",IF(D18&gt;E18,"非事前到期登记",IF(OR(AND(G18&lt;&gt;"",OR(NOT(ISNUMBER(G18)),G18&lt;0,G18&gt;1)),AND(H18&lt;&gt;"",OR(NOT(ISNUMBER(H18)),H18&lt;0,H18&gt;1))),"概率无效",IF(AND(I18="已判定",OR(NOT(ISNUMBER(J18)),AND(J18&lt;&gt;0,J18&lt;&gt;1),NOT(ISNUMBER(K18)),L18="")),"待补判定证据",IF(AND(I18="已判定",D18&gt;K18),"事后补录不评分","有效输入")))))))))</x:f>
      </x:c>
    </x:row>
    <x:row r="19" ht="25" customHeight="1">
      <x:c r="A19" s="3"/>
      <x:c r="B19" s="3"/>
      <x:c r="C19" s="3"/>
      <x:c r="D19" s="25"/>
      <x:c r="E19" s="25"/>
      <x:c r="F19" s="3"/>
      <x:c r="G19" s="26"/>
      <x:c r="H19" s="26"/>
      <x:c r="I19" s="3"/>
      <x:c r="J19" s="22"/>
      <x:c r="K19" s="25"/>
      <x:c r="L19" s="3"/>
      <x:c r="M19" s="3"/>
      <x:c r="N19" s="24" t="str">
        <x:f>IF(AND(R19="有效输入",I19="已判定",M19="是",ISNUMBER(G19)),(G19-J19)^2,"")</x:f>
      </x:c>
      <x:c r="O19" s="24" t="str">
        <x:f>IF(AND(ISNUMBER(N19),ISNUMBER(H19)),(H19-J19)^2,"")</x:f>
      </x:c>
      <x:c r="P19" s="24" t="str">
        <x:f>IF(AND(ISNUMBER(N19),ISNUMBER(O19)),O19-N19,"")</x:f>
      </x:c>
      <x:c r="Q19" s="3"/>
      <x:c r="R19" s="19" t="str">
        <x:f>IF(A19="","",IF(COUNTIFS('预测登记'!$A$7:$A$306,A19)&lt;&gt;1,"编号重复",IF(COUNTIFS('问题总览'!$A$7:$A$306,B19)&lt;&gt;1,"问题引用无效",IF(COUNTIFS('方案版本'!$A$7:$A$306,C19,'方案版本'!$B$7:$B$306,B19,'方案版本'!$L$7:$L$306,"已冻结")&lt;&gt;1,"方案引用无效",IF(OR(NOT(ISNUMBER(D19)),NOT(ISNUMBER(E19)),F19="",I19="",M19="",Q19=""),"待补预测信息",IF(D19&gt;E19,"非事前到期登记",IF(OR(AND(G19&lt;&gt;"",OR(NOT(ISNUMBER(G19)),G19&lt;0,G19&gt;1)),AND(H19&lt;&gt;"",OR(NOT(ISNUMBER(H19)),H19&lt;0,H19&gt;1))),"概率无效",IF(AND(I19="已判定",OR(NOT(ISNUMBER(J19)),AND(J19&lt;&gt;0,J19&lt;&gt;1),NOT(ISNUMBER(K19)),L19="")),"待补判定证据",IF(AND(I19="已判定",D19&gt;K19),"事后补录不评分","有效输入")))))))))</x:f>
      </x:c>
    </x:row>
    <x:row r="20" ht="25" customHeight="1">
      <x:c r="A20" s="3"/>
      <x:c r="B20" s="3"/>
      <x:c r="C20" s="3"/>
      <x:c r="D20" s="25"/>
      <x:c r="E20" s="25"/>
      <x:c r="F20" s="3"/>
      <x:c r="G20" s="26"/>
      <x:c r="H20" s="26"/>
      <x:c r="I20" s="3"/>
      <x:c r="J20" s="22"/>
      <x:c r="K20" s="25"/>
      <x:c r="L20" s="3"/>
      <x:c r="M20" s="3"/>
      <x:c r="N20" s="24" t="str">
        <x:f>IF(AND(R20="有效输入",I20="已判定",M20="是",ISNUMBER(G20)),(G20-J20)^2,"")</x:f>
      </x:c>
      <x:c r="O20" s="24" t="str">
        <x:f>IF(AND(ISNUMBER(N20),ISNUMBER(H20)),(H20-J20)^2,"")</x:f>
      </x:c>
      <x:c r="P20" s="24" t="str">
        <x:f>IF(AND(ISNUMBER(N20),ISNUMBER(O20)),O20-N20,"")</x:f>
      </x:c>
      <x:c r="Q20" s="3"/>
      <x:c r="R20" s="19" t="str">
        <x:f>IF(A20="","",IF(COUNTIFS('预测登记'!$A$7:$A$306,A20)&lt;&gt;1,"编号重复",IF(COUNTIFS('问题总览'!$A$7:$A$306,B20)&lt;&gt;1,"问题引用无效",IF(COUNTIFS('方案版本'!$A$7:$A$306,C20,'方案版本'!$B$7:$B$306,B20,'方案版本'!$L$7:$L$306,"已冻结")&lt;&gt;1,"方案引用无效",IF(OR(NOT(ISNUMBER(D20)),NOT(ISNUMBER(E20)),F20="",I20="",M20="",Q20=""),"待补预测信息",IF(D20&gt;E20,"非事前到期登记",IF(OR(AND(G20&lt;&gt;"",OR(NOT(ISNUMBER(G20)),G20&lt;0,G20&gt;1)),AND(H20&lt;&gt;"",OR(NOT(ISNUMBER(H20)),H20&lt;0,H20&gt;1))),"概率无效",IF(AND(I20="已判定",OR(NOT(ISNUMBER(J20)),AND(J20&lt;&gt;0,J20&lt;&gt;1),NOT(ISNUMBER(K20)),L20="")),"待补判定证据",IF(AND(I20="已判定",D20&gt;K20),"事后补录不评分","有效输入")))))))))</x:f>
      </x:c>
    </x:row>
    <x:row r="21" ht="25" customHeight="1">
      <x:c r="A21" s="3"/>
      <x:c r="B21" s="3"/>
      <x:c r="C21" s="3"/>
      <x:c r="D21" s="25"/>
      <x:c r="E21" s="25"/>
      <x:c r="F21" s="3"/>
      <x:c r="G21" s="26"/>
      <x:c r="H21" s="26"/>
      <x:c r="I21" s="3"/>
      <x:c r="J21" s="22"/>
      <x:c r="K21" s="25"/>
      <x:c r="L21" s="3"/>
      <x:c r="M21" s="3"/>
      <x:c r="N21" s="24" t="str">
        <x:f>IF(AND(R21="有效输入",I21="已判定",M21="是",ISNUMBER(G21)),(G21-J21)^2,"")</x:f>
      </x:c>
      <x:c r="O21" s="24" t="str">
        <x:f>IF(AND(ISNUMBER(N21),ISNUMBER(H21)),(H21-J21)^2,"")</x:f>
      </x:c>
      <x:c r="P21" s="24" t="str">
        <x:f>IF(AND(ISNUMBER(N21),ISNUMBER(O21)),O21-N21,"")</x:f>
      </x:c>
      <x:c r="Q21" s="3"/>
      <x:c r="R21" s="19" t="str">
        <x:f>IF(A21="","",IF(COUNTIFS('预测登记'!$A$7:$A$306,A21)&lt;&gt;1,"编号重复",IF(COUNTIFS('问题总览'!$A$7:$A$306,B21)&lt;&gt;1,"问题引用无效",IF(COUNTIFS('方案版本'!$A$7:$A$306,C21,'方案版本'!$B$7:$B$306,B21,'方案版本'!$L$7:$L$306,"已冻结")&lt;&gt;1,"方案引用无效",IF(OR(NOT(ISNUMBER(D21)),NOT(ISNUMBER(E21)),F21="",I21="",M21="",Q21=""),"待补预测信息",IF(D21&gt;E21,"非事前到期登记",IF(OR(AND(G21&lt;&gt;"",OR(NOT(ISNUMBER(G21)),G21&lt;0,G21&gt;1)),AND(H21&lt;&gt;"",OR(NOT(ISNUMBER(H21)),H21&lt;0,H21&gt;1))),"概率无效",IF(AND(I21="已判定",OR(NOT(ISNUMBER(J21)),AND(J21&lt;&gt;0,J21&lt;&gt;1),NOT(ISNUMBER(K21)),L21="")),"待补判定证据",IF(AND(I21="已判定",D21&gt;K21),"事后补录不评分","有效输入")))))))))</x:f>
      </x:c>
    </x:row>
    <x:row r="22" ht="25" customHeight="1">
      <x:c r="A22" s="3"/>
      <x:c r="B22" s="3"/>
      <x:c r="C22" s="3"/>
      <x:c r="D22" s="25"/>
      <x:c r="E22" s="25"/>
      <x:c r="F22" s="3"/>
      <x:c r="G22" s="26"/>
      <x:c r="H22" s="26"/>
      <x:c r="I22" s="3"/>
      <x:c r="J22" s="22"/>
      <x:c r="K22" s="25"/>
      <x:c r="L22" s="3"/>
      <x:c r="M22" s="3"/>
      <x:c r="N22" s="24" t="str">
        <x:f>IF(AND(R22="有效输入",I22="已判定",M22="是",ISNUMBER(G22)),(G22-J22)^2,"")</x:f>
      </x:c>
      <x:c r="O22" s="24" t="str">
        <x:f>IF(AND(ISNUMBER(N22),ISNUMBER(H22)),(H22-J22)^2,"")</x:f>
      </x:c>
      <x:c r="P22" s="24" t="str">
        <x:f>IF(AND(ISNUMBER(N22),ISNUMBER(O22)),O22-N22,"")</x:f>
      </x:c>
      <x:c r="Q22" s="3"/>
      <x:c r="R22" s="19" t="str">
        <x:f>IF(A22="","",IF(COUNTIFS('预测登记'!$A$7:$A$306,A22)&lt;&gt;1,"编号重复",IF(COUNTIFS('问题总览'!$A$7:$A$306,B22)&lt;&gt;1,"问题引用无效",IF(COUNTIFS('方案版本'!$A$7:$A$306,C22,'方案版本'!$B$7:$B$306,B22,'方案版本'!$L$7:$L$306,"已冻结")&lt;&gt;1,"方案引用无效",IF(OR(NOT(ISNUMBER(D22)),NOT(ISNUMBER(E22)),F22="",I22="",M22="",Q22=""),"待补预测信息",IF(D22&gt;E22,"非事前到期登记",IF(OR(AND(G22&lt;&gt;"",OR(NOT(ISNUMBER(G22)),G22&lt;0,G22&gt;1)),AND(H22&lt;&gt;"",OR(NOT(ISNUMBER(H22)),H22&lt;0,H22&gt;1))),"概率无效",IF(AND(I22="已判定",OR(NOT(ISNUMBER(J22)),AND(J22&lt;&gt;0,J22&lt;&gt;1),NOT(ISNUMBER(K22)),L22="")),"待补判定证据",IF(AND(I22="已判定",D22&gt;K22),"事后补录不评分","有效输入")))))))))</x:f>
      </x:c>
    </x:row>
    <x:row r="23" ht="25" customHeight="1">
      <x:c r="A23" s="3"/>
      <x:c r="B23" s="3"/>
      <x:c r="C23" s="3"/>
      <x:c r="D23" s="25"/>
      <x:c r="E23" s="25"/>
      <x:c r="F23" s="3"/>
      <x:c r="G23" s="26"/>
      <x:c r="H23" s="26"/>
      <x:c r="I23" s="3"/>
      <x:c r="J23" s="22"/>
      <x:c r="K23" s="25"/>
      <x:c r="L23" s="3"/>
      <x:c r="M23" s="3"/>
      <x:c r="N23" s="24" t="str">
        <x:f>IF(AND(R23="有效输入",I23="已判定",M23="是",ISNUMBER(G23)),(G23-J23)^2,"")</x:f>
      </x:c>
      <x:c r="O23" s="24" t="str">
        <x:f>IF(AND(ISNUMBER(N23),ISNUMBER(H23)),(H23-J23)^2,"")</x:f>
      </x:c>
      <x:c r="P23" s="24" t="str">
        <x:f>IF(AND(ISNUMBER(N23),ISNUMBER(O23)),O23-N23,"")</x:f>
      </x:c>
      <x:c r="Q23" s="3"/>
      <x:c r="R23" s="19" t="str">
        <x:f>IF(A23="","",IF(COUNTIFS('预测登记'!$A$7:$A$306,A23)&lt;&gt;1,"编号重复",IF(COUNTIFS('问题总览'!$A$7:$A$306,B23)&lt;&gt;1,"问题引用无效",IF(COUNTIFS('方案版本'!$A$7:$A$306,C23,'方案版本'!$B$7:$B$306,B23,'方案版本'!$L$7:$L$306,"已冻结")&lt;&gt;1,"方案引用无效",IF(OR(NOT(ISNUMBER(D23)),NOT(ISNUMBER(E23)),F23="",I23="",M23="",Q23=""),"待补预测信息",IF(D23&gt;E23,"非事前到期登记",IF(OR(AND(G23&lt;&gt;"",OR(NOT(ISNUMBER(G23)),G23&lt;0,G23&gt;1)),AND(H23&lt;&gt;"",OR(NOT(ISNUMBER(H23)),H23&lt;0,H23&gt;1))),"概率无效",IF(AND(I23="已判定",OR(NOT(ISNUMBER(J23)),AND(J23&lt;&gt;0,J23&lt;&gt;1),NOT(ISNUMBER(K23)),L23="")),"待补判定证据",IF(AND(I23="已判定",D23&gt;K23),"事后补录不评分","有效输入")))))))))</x:f>
      </x:c>
    </x:row>
    <x:row r="24" ht="25" customHeight="1">
      <x:c r="A24" s="3"/>
      <x:c r="B24" s="3"/>
      <x:c r="C24" s="3"/>
      <x:c r="D24" s="25"/>
      <x:c r="E24" s="25"/>
      <x:c r="F24" s="3"/>
      <x:c r="G24" s="26"/>
      <x:c r="H24" s="26"/>
      <x:c r="I24" s="3"/>
      <x:c r="J24" s="22"/>
      <x:c r="K24" s="25"/>
      <x:c r="L24" s="3"/>
      <x:c r="M24" s="3"/>
      <x:c r="N24" s="24" t="str">
        <x:f>IF(AND(R24="有效输入",I24="已判定",M24="是",ISNUMBER(G24)),(G24-J24)^2,"")</x:f>
      </x:c>
      <x:c r="O24" s="24" t="str">
        <x:f>IF(AND(ISNUMBER(N24),ISNUMBER(H24)),(H24-J24)^2,"")</x:f>
      </x:c>
      <x:c r="P24" s="24" t="str">
        <x:f>IF(AND(ISNUMBER(N24),ISNUMBER(O24)),O24-N24,"")</x:f>
      </x:c>
      <x:c r="Q24" s="3"/>
      <x:c r="R24" s="19" t="str">
        <x:f>IF(A24="","",IF(COUNTIFS('预测登记'!$A$7:$A$306,A24)&lt;&gt;1,"编号重复",IF(COUNTIFS('问题总览'!$A$7:$A$306,B24)&lt;&gt;1,"问题引用无效",IF(COUNTIFS('方案版本'!$A$7:$A$306,C24,'方案版本'!$B$7:$B$306,B24,'方案版本'!$L$7:$L$306,"已冻结")&lt;&gt;1,"方案引用无效",IF(OR(NOT(ISNUMBER(D24)),NOT(ISNUMBER(E24)),F24="",I24="",M24="",Q24=""),"待补预测信息",IF(D24&gt;E24,"非事前到期登记",IF(OR(AND(G24&lt;&gt;"",OR(NOT(ISNUMBER(G24)),G24&lt;0,G24&gt;1)),AND(H24&lt;&gt;"",OR(NOT(ISNUMBER(H24)),H24&lt;0,H24&gt;1))),"概率无效",IF(AND(I24="已判定",OR(NOT(ISNUMBER(J24)),AND(J24&lt;&gt;0,J24&lt;&gt;1),NOT(ISNUMBER(K24)),L24="")),"待补判定证据",IF(AND(I24="已判定",D24&gt;K24),"事后补录不评分","有效输入")))))))))</x:f>
      </x:c>
    </x:row>
    <x:row r="25" ht="25" customHeight="1">
      <x:c r="A25" s="3"/>
      <x:c r="B25" s="3"/>
      <x:c r="C25" s="3"/>
      <x:c r="D25" s="25"/>
      <x:c r="E25" s="25"/>
      <x:c r="F25" s="3"/>
      <x:c r="G25" s="26"/>
      <x:c r="H25" s="26"/>
      <x:c r="I25" s="3"/>
      <x:c r="J25" s="22"/>
      <x:c r="K25" s="25"/>
      <x:c r="L25" s="3"/>
      <x:c r="M25" s="3"/>
      <x:c r="N25" s="24" t="str">
        <x:f>IF(AND(R25="有效输入",I25="已判定",M25="是",ISNUMBER(G25)),(G25-J25)^2,"")</x:f>
      </x:c>
      <x:c r="O25" s="24" t="str">
        <x:f>IF(AND(ISNUMBER(N25),ISNUMBER(H25)),(H25-J25)^2,"")</x:f>
      </x:c>
      <x:c r="P25" s="24" t="str">
        <x:f>IF(AND(ISNUMBER(N25),ISNUMBER(O25)),O25-N25,"")</x:f>
      </x:c>
      <x:c r="Q25" s="3"/>
      <x:c r="R25" s="19" t="str">
        <x:f>IF(A25="","",IF(COUNTIFS('预测登记'!$A$7:$A$306,A25)&lt;&gt;1,"编号重复",IF(COUNTIFS('问题总览'!$A$7:$A$306,B25)&lt;&gt;1,"问题引用无效",IF(COUNTIFS('方案版本'!$A$7:$A$306,C25,'方案版本'!$B$7:$B$306,B25,'方案版本'!$L$7:$L$306,"已冻结")&lt;&gt;1,"方案引用无效",IF(OR(NOT(ISNUMBER(D25)),NOT(ISNUMBER(E25)),F25="",I25="",M25="",Q25=""),"待补预测信息",IF(D25&gt;E25,"非事前到期登记",IF(OR(AND(G25&lt;&gt;"",OR(NOT(ISNUMBER(G25)),G25&lt;0,G25&gt;1)),AND(H25&lt;&gt;"",OR(NOT(ISNUMBER(H25)),H25&lt;0,H25&gt;1))),"概率无效",IF(AND(I25="已判定",OR(NOT(ISNUMBER(J25)),AND(J25&lt;&gt;0,J25&lt;&gt;1),NOT(ISNUMBER(K25)),L25="")),"待补判定证据",IF(AND(I25="已判定",D25&gt;K25),"事后补录不评分","有效输入")))))))))</x:f>
      </x:c>
    </x:row>
    <x:row r="26" ht="25" customHeight="1">
      <x:c r="A26" s="3"/>
      <x:c r="B26" s="3"/>
      <x:c r="C26" s="3"/>
      <x:c r="D26" s="25"/>
      <x:c r="E26" s="25"/>
      <x:c r="F26" s="3"/>
      <x:c r="G26" s="26"/>
      <x:c r="H26" s="26"/>
      <x:c r="I26" s="3"/>
      <x:c r="J26" s="22"/>
      <x:c r="K26" s="25"/>
      <x:c r="L26" s="3"/>
      <x:c r="M26" s="3"/>
      <x:c r="N26" s="24" t="str">
        <x:f>IF(AND(R26="有效输入",I26="已判定",M26="是",ISNUMBER(G26)),(G26-J26)^2,"")</x:f>
      </x:c>
      <x:c r="O26" s="24" t="str">
        <x:f>IF(AND(ISNUMBER(N26),ISNUMBER(H26)),(H26-J26)^2,"")</x:f>
      </x:c>
      <x:c r="P26" s="24" t="str">
        <x:f>IF(AND(ISNUMBER(N26),ISNUMBER(O26)),O26-N26,"")</x:f>
      </x:c>
      <x:c r="Q26" s="3"/>
      <x:c r="R26" s="19" t="str">
        <x:f>IF(A26="","",IF(COUNTIFS('预测登记'!$A$7:$A$306,A26)&lt;&gt;1,"编号重复",IF(COUNTIFS('问题总览'!$A$7:$A$306,B26)&lt;&gt;1,"问题引用无效",IF(COUNTIFS('方案版本'!$A$7:$A$306,C26,'方案版本'!$B$7:$B$306,B26,'方案版本'!$L$7:$L$306,"已冻结")&lt;&gt;1,"方案引用无效",IF(OR(NOT(ISNUMBER(D26)),NOT(ISNUMBER(E26)),F26="",I26="",M26="",Q26=""),"待补预测信息",IF(D26&gt;E26,"非事前到期登记",IF(OR(AND(G26&lt;&gt;"",OR(NOT(ISNUMBER(G26)),G26&lt;0,G26&gt;1)),AND(H26&lt;&gt;"",OR(NOT(ISNUMBER(H26)),H26&lt;0,H26&gt;1))),"概率无效",IF(AND(I26="已判定",OR(NOT(ISNUMBER(J26)),AND(J26&lt;&gt;0,J26&lt;&gt;1),NOT(ISNUMBER(K26)),L26="")),"待补判定证据",IF(AND(I26="已判定",D26&gt;K26),"事后补录不评分","有效输入")))))))))</x:f>
      </x:c>
    </x:row>
    <x:row r="27" ht="25" customHeight="1">
      <x:c r="A27" s="3"/>
      <x:c r="B27" s="3"/>
      <x:c r="C27" s="3"/>
      <x:c r="D27" s="25"/>
      <x:c r="E27" s="25"/>
      <x:c r="F27" s="3"/>
      <x:c r="G27" s="26"/>
      <x:c r="H27" s="26"/>
      <x:c r="I27" s="3"/>
      <x:c r="J27" s="22"/>
      <x:c r="K27" s="25"/>
      <x:c r="L27" s="3"/>
      <x:c r="M27" s="3"/>
      <x:c r="N27" s="24" t="str">
        <x:f>IF(AND(R27="有效输入",I27="已判定",M27="是",ISNUMBER(G27)),(G27-J27)^2,"")</x:f>
      </x:c>
      <x:c r="O27" s="24" t="str">
        <x:f>IF(AND(ISNUMBER(N27),ISNUMBER(H27)),(H27-J27)^2,"")</x:f>
      </x:c>
      <x:c r="P27" s="24" t="str">
        <x:f>IF(AND(ISNUMBER(N27),ISNUMBER(O27)),O27-N27,"")</x:f>
      </x:c>
      <x:c r="Q27" s="3"/>
      <x:c r="R27" s="19" t="str">
        <x:f>IF(A27="","",IF(COUNTIFS('预测登记'!$A$7:$A$306,A27)&lt;&gt;1,"编号重复",IF(COUNTIFS('问题总览'!$A$7:$A$306,B27)&lt;&gt;1,"问题引用无效",IF(COUNTIFS('方案版本'!$A$7:$A$306,C27,'方案版本'!$B$7:$B$306,B27,'方案版本'!$L$7:$L$306,"已冻结")&lt;&gt;1,"方案引用无效",IF(OR(NOT(ISNUMBER(D27)),NOT(ISNUMBER(E27)),F27="",I27="",M27="",Q27=""),"待补预测信息",IF(D27&gt;E27,"非事前到期登记",IF(OR(AND(G27&lt;&gt;"",OR(NOT(ISNUMBER(G27)),G27&lt;0,G27&gt;1)),AND(H27&lt;&gt;"",OR(NOT(ISNUMBER(H27)),H27&lt;0,H27&gt;1))),"概率无效",IF(AND(I27="已判定",OR(NOT(ISNUMBER(J27)),AND(J27&lt;&gt;0,J27&lt;&gt;1),NOT(ISNUMBER(K27)),L27="")),"待补判定证据",IF(AND(I27="已判定",D27&gt;K27),"事后补录不评分","有效输入")))))))))</x:f>
      </x:c>
    </x:row>
    <x:row r="28" ht="25" customHeight="1">
      <x:c r="A28" s="3"/>
      <x:c r="B28" s="3"/>
      <x:c r="C28" s="3"/>
      <x:c r="D28" s="25"/>
      <x:c r="E28" s="25"/>
      <x:c r="F28" s="3"/>
      <x:c r="G28" s="26"/>
      <x:c r="H28" s="26"/>
      <x:c r="I28" s="3"/>
      <x:c r="J28" s="22"/>
      <x:c r="K28" s="25"/>
      <x:c r="L28" s="3"/>
      <x:c r="M28" s="3"/>
      <x:c r="N28" s="24" t="str">
        <x:f>IF(AND(R28="有效输入",I28="已判定",M28="是",ISNUMBER(G28)),(G28-J28)^2,"")</x:f>
      </x:c>
      <x:c r="O28" s="24" t="str">
        <x:f>IF(AND(ISNUMBER(N28),ISNUMBER(H28)),(H28-J28)^2,"")</x:f>
      </x:c>
      <x:c r="P28" s="24" t="str">
        <x:f>IF(AND(ISNUMBER(N28),ISNUMBER(O28)),O28-N28,"")</x:f>
      </x:c>
      <x:c r="Q28" s="3"/>
      <x:c r="R28" s="19" t="str">
        <x:f>IF(A28="","",IF(COUNTIFS('预测登记'!$A$7:$A$306,A28)&lt;&gt;1,"编号重复",IF(COUNTIFS('问题总览'!$A$7:$A$306,B28)&lt;&gt;1,"问题引用无效",IF(COUNTIFS('方案版本'!$A$7:$A$306,C28,'方案版本'!$B$7:$B$306,B28,'方案版本'!$L$7:$L$306,"已冻结")&lt;&gt;1,"方案引用无效",IF(OR(NOT(ISNUMBER(D28)),NOT(ISNUMBER(E28)),F28="",I28="",M28="",Q28=""),"待补预测信息",IF(D28&gt;E28,"非事前到期登记",IF(OR(AND(G28&lt;&gt;"",OR(NOT(ISNUMBER(G28)),G28&lt;0,G28&gt;1)),AND(H28&lt;&gt;"",OR(NOT(ISNUMBER(H28)),H28&lt;0,H28&gt;1))),"概率无效",IF(AND(I28="已判定",OR(NOT(ISNUMBER(J28)),AND(J28&lt;&gt;0,J28&lt;&gt;1),NOT(ISNUMBER(K28)),L28="")),"待补判定证据",IF(AND(I28="已判定",D28&gt;K28),"事后补录不评分","有效输入")))))))))</x:f>
      </x:c>
    </x:row>
    <x:row r="29" ht="25" customHeight="1">
      <x:c r="A29" s="3"/>
      <x:c r="B29" s="3"/>
      <x:c r="C29" s="3"/>
      <x:c r="D29" s="25"/>
      <x:c r="E29" s="25"/>
      <x:c r="F29" s="3"/>
      <x:c r="G29" s="26"/>
      <x:c r="H29" s="26"/>
      <x:c r="I29" s="3"/>
      <x:c r="J29" s="22"/>
      <x:c r="K29" s="25"/>
      <x:c r="L29" s="3"/>
      <x:c r="M29" s="3"/>
      <x:c r="N29" s="24" t="str">
        <x:f>IF(AND(R29="有效输入",I29="已判定",M29="是",ISNUMBER(G29)),(G29-J29)^2,"")</x:f>
      </x:c>
      <x:c r="O29" s="24" t="str">
        <x:f>IF(AND(ISNUMBER(N29),ISNUMBER(H29)),(H29-J29)^2,"")</x:f>
      </x:c>
      <x:c r="P29" s="24" t="str">
        <x:f>IF(AND(ISNUMBER(N29),ISNUMBER(O29)),O29-N29,"")</x:f>
      </x:c>
      <x:c r="Q29" s="3"/>
      <x:c r="R29" s="19" t="str">
        <x:f>IF(A29="","",IF(COUNTIFS('预测登记'!$A$7:$A$306,A29)&lt;&gt;1,"编号重复",IF(COUNTIFS('问题总览'!$A$7:$A$306,B29)&lt;&gt;1,"问题引用无效",IF(COUNTIFS('方案版本'!$A$7:$A$306,C29,'方案版本'!$B$7:$B$306,B29,'方案版本'!$L$7:$L$306,"已冻结")&lt;&gt;1,"方案引用无效",IF(OR(NOT(ISNUMBER(D29)),NOT(ISNUMBER(E29)),F29="",I29="",M29="",Q29=""),"待补预测信息",IF(D29&gt;E29,"非事前到期登记",IF(OR(AND(G29&lt;&gt;"",OR(NOT(ISNUMBER(G29)),G29&lt;0,G29&gt;1)),AND(H29&lt;&gt;"",OR(NOT(ISNUMBER(H29)),H29&lt;0,H29&gt;1))),"概率无效",IF(AND(I29="已判定",OR(NOT(ISNUMBER(J29)),AND(J29&lt;&gt;0,J29&lt;&gt;1),NOT(ISNUMBER(K29)),L29="")),"待补判定证据",IF(AND(I29="已判定",D29&gt;K29),"事后补录不评分","有效输入")))))))))</x:f>
      </x:c>
    </x:row>
    <x:row r="30" ht="25" customHeight="1">
      <x:c r="A30" s="3"/>
      <x:c r="B30" s="3"/>
      <x:c r="C30" s="3"/>
      <x:c r="D30" s="25"/>
      <x:c r="E30" s="25"/>
      <x:c r="F30" s="3"/>
      <x:c r="G30" s="26"/>
      <x:c r="H30" s="26"/>
      <x:c r="I30" s="3"/>
      <x:c r="J30" s="22"/>
      <x:c r="K30" s="25"/>
      <x:c r="L30" s="3"/>
      <x:c r="M30" s="3"/>
      <x:c r="N30" s="24" t="str">
        <x:f>IF(AND(R30="有效输入",I30="已判定",M30="是",ISNUMBER(G30)),(G30-J30)^2,"")</x:f>
      </x:c>
      <x:c r="O30" s="24" t="str">
        <x:f>IF(AND(ISNUMBER(N30),ISNUMBER(H30)),(H30-J30)^2,"")</x:f>
      </x:c>
      <x:c r="P30" s="24" t="str">
        <x:f>IF(AND(ISNUMBER(N30),ISNUMBER(O30)),O30-N30,"")</x:f>
      </x:c>
      <x:c r="Q30" s="3"/>
      <x:c r="R30" s="19" t="str">
        <x:f>IF(A30="","",IF(COUNTIFS('预测登记'!$A$7:$A$306,A30)&lt;&gt;1,"编号重复",IF(COUNTIFS('问题总览'!$A$7:$A$306,B30)&lt;&gt;1,"问题引用无效",IF(COUNTIFS('方案版本'!$A$7:$A$306,C30,'方案版本'!$B$7:$B$306,B30,'方案版本'!$L$7:$L$306,"已冻结")&lt;&gt;1,"方案引用无效",IF(OR(NOT(ISNUMBER(D30)),NOT(ISNUMBER(E30)),F30="",I30="",M30="",Q30=""),"待补预测信息",IF(D30&gt;E30,"非事前到期登记",IF(OR(AND(G30&lt;&gt;"",OR(NOT(ISNUMBER(G30)),G30&lt;0,G30&gt;1)),AND(H30&lt;&gt;"",OR(NOT(ISNUMBER(H30)),H30&lt;0,H30&gt;1))),"概率无效",IF(AND(I30="已判定",OR(NOT(ISNUMBER(J30)),AND(J30&lt;&gt;0,J30&lt;&gt;1),NOT(ISNUMBER(K30)),L30="")),"待补判定证据",IF(AND(I30="已判定",D30&gt;K30),"事后补录不评分","有效输入")))))))))</x:f>
      </x:c>
    </x:row>
    <x:row r="31" ht="25" customHeight="1">
      <x:c r="A31" s="3"/>
      <x:c r="B31" s="3"/>
      <x:c r="C31" s="3"/>
      <x:c r="D31" s="25"/>
      <x:c r="E31" s="25"/>
      <x:c r="F31" s="3"/>
      <x:c r="G31" s="26"/>
      <x:c r="H31" s="26"/>
      <x:c r="I31" s="3"/>
      <x:c r="J31" s="22"/>
      <x:c r="K31" s="25"/>
      <x:c r="L31" s="3"/>
      <x:c r="M31" s="3"/>
      <x:c r="N31" s="24" t="str">
        <x:f>IF(AND(R31="有效输入",I31="已判定",M31="是",ISNUMBER(G31)),(G31-J31)^2,"")</x:f>
      </x:c>
      <x:c r="O31" s="24" t="str">
        <x:f>IF(AND(ISNUMBER(N31),ISNUMBER(H31)),(H31-J31)^2,"")</x:f>
      </x:c>
      <x:c r="P31" s="24" t="str">
        <x:f>IF(AND(ISNUMBER(N31),ISNUMBER(O31)),O31-N31,"")</x:f>
      </x:c>
      <x:c r="Q31" s="3"/>
      <x:c r="R31" s="19" t="str">
        <x:f>IF(A31="","",IF(COUNTIFS('预测登记'!$A$7:$A$306,A31)&lt;&gt;1,"编号重复",IF(COUNTIFS('问题总览'!$A$7:$A$306,B31)&lt;&gt;1,"问题引用无效",IF(COUNTIFS('方案版本'!$A$7:$A$306,C31,'方案版本'!$B$7:$B$306,B31,'方案版本'!$L$7:$L$306,"已冻结")&lt;&gt;1,"方案引用无效",IF(OR(NOT(ISNUMBER(D31)),NOT(ISNUMBER(E31)),F31="",I31="",M31="",Q31=""),"待补预测信息",IF(D31&gt;E31,"非事前到期登记",IF(OR(AND(G31&lt;&gt;"",OR(NOT(ISNUMBER(G31)),G31&lt;0,G31&gt;1)),AND(H31&lt;&gt;"",OR(NOT(ISNUMBER(H31)),H31&lt;0,H31&gt;1))),"概率无效",IF(AND(I31="已判定",OR(NOT(ISNUMBER(J31)),AND(J31&lt;&gt;0,J31&lt;&gt;1),NOT(ISNUMBER(K31)),L31="")),"待补判定证据",IF(AND(I31="已判定",D31&gt;K31),"事后补录不评分","有效输入")))))))))</x:f>
      </x:c>
    </x:row>
    <x:row r="32" ht="25" customHeight="1">
      <x:c r="A32" s="3"/>
      <x:c r="B32" s="3"/>
      <x:c r="C32" s="3"/>
      <x:c r="D32" s="25"/>
      <x:c r="E32" s="25"/>
      <x:c r="F32" s="3"/>
      <x:c r="G32" s="26"/>
      <x:c r="H32" s="26"/>
      <x:c r="I32" s="3"/>
      <x:c r="J32" s="22"/>
      <x:c r="K32" s="25"/>
      <x:c r="L32" s="3"/>
      <x:c r="M32" s="3"/>
      <x:c r="N32" s="24" t="str">
        <x:f>IF(AND(R32="有效输入",I32="已判定",M32="是",ISNUMBER(G32)),(G32-J32)^2,"")</x:f>
      </x:c>
      <x:c r="O32" s="24" t="str">
        <x:f>IF(AND(ISNUMBER(N32),ISNUMBER(H32)),(H32-J32)^2,"")</x:f>
      </x:c>
      <x:c r="P32" s="24" t="str">
        <x:f>IF(AND(ISNUMBER(N32),ISNUMBER(O32)),O32-N32,"")</x:f>
      </x:c>
      <x:c r="Q32" s="3"/>
      <x:c r="R32" s="19" t="str">
        <x:f>IF(A32="","",IF(COUNTIFS('预测登记'!$A$7:$A$306,A32)&lt;&gt;1,"编号重复",IF(COUNTIFS('问题总览'!$A$7:$A$306,B32)&lt;&gt;1,"问题引用无效",IF(COUNTIFS('方案版本'!$A$7:$A$306,C32,'方案版本'!$B$7:$B$306,B32,'方案版本'!$L$7:$L$306,"已冻结")&lt;&gt;1,"方案引用无效",IF(OR(NOT(ISNUMBER(D32)),NOT(ISNUMBER(E32)),F32="",I32="",M32="",Q32=""),"待补预测信息",IF(D32&gt;E32,"非事前到期登记",IF(OR(AND(G32&lt;&gt;"",OR(NOT(ISNUMBER(G32)),G32&lt;0,G32&gt;1)),AND(H32&lt;&gt;"",OR(NOT(ISNUMBER(H32)),H32&lt;0,H32&gt;1))),"概率无效",IF(AND(I32="已判定",OR(NOT(ISNUMBER(J32)),AND(J32&lt;&gt;0,J32&lt;&gt;1),NOT(ISNUMBER(K32)),L32="")),"待补判定证据",IF(AND(I32="已判定",D32&gt;K32),"事后补录不评分","有效输入")))))))))</x:f>
      </x:c>
    </x:row>
    <x:row r="33" ht="25" customHeight="1">
      <x:c r="A33" s="3"/>
      <x:c r="B33" s="3"/>
      <x:c r="C33" s="3"/>
      <x:c r="D33" s="25"/>
      <x:c r="E33" s="25"/>
      <x:c r="F33" s="3"/>
      <x:c r="G33" s="26"/>
      <x:c r="H33" s="26"/>
      <x:c r="I33" s="3"/>
      <x:c r="J33" s="22"/>
      <x:c r="K33" s="25"/>
      <x:c r="L33" s="3"/>
      <x:c r="M33" s="3"/>
      <x:c r="N33" s="24" t="str">
        <x:f>IF(AND(R33="有效输入",I33="已判定",M33="是",ISNUMBER(G33)),(G33-J33)^2,"")</x:f>
      </x:c>
      <x:c r="O33" s="24" t="str">
        <x:f>IF(AND(ISNUMBER(N33),ISNUMBER(H33)),(H33-J33)^2,"")</x:f>
      </x:c>
      <x:c r="P33" s="24" t="str">
        <x:f>IF(AND(ISNUMBER(N33),ISNUMBER(O33)),O33-N33,"")</x:f>
      </x:c>
      <x:c r="Q33" s="3"/>
      <x:c r="R33" s="19" t="str">
        <x:f>IF(A33="","",IF(COUNTIFS('预测登记'!$A$7:$A$306,A33)&lt;&gt;1,"编号重复",IF(COUNTIFS('问题总览'!$A$7:$A$306,B33)&lt;&gt;1,"问题引用无效",IF(COUNTIFS('方案版本'!$A$7:$A$306,C33,'方案版本'!$B$7:$B$306,B33,'方案版本'!$L$7:$L$306,"已冻结")&lt;&gt;1,"方案引用无效",IF(OR(NOT(ISNUMBER(D33)),NOT(ISNUMBER(E33)),F33="",I33="",M33="",Q33=""),"待补预测信息",IF(D33&gt;E33,"非事前到期登记",IF(OR(AND(G33&lt;&gt;"",OR(NOT(ISNUMBER(G33)),G33&lt;0,G33&gt;1)),AND(H33&lt;&gt;"",OR(NOT(ISNUMBER(H33)),H33&lt;0,H33&gt;1))),"概率无效",IF(AND(I33="已判定",OR(NOT(ISNUMBER(J33)),AND(J33&lt;&gt;0,J33&lt;&gt;1),NOT(ISNUMBER(K33)),L33="")),"待补判定证据",IF(AND(I33="已判定",D33&gt;K33),"事后补录不评分","有效输入")))))))))</x:f>
      </x:c>
    </x:row>
    <x:row r="34" ht="25" customHeight="1">
      <x:c r="A34" s="3"/>
      <x:c r="B34" s="3"/>
      <x:c r="C34" s="3"/>
      <x:c r="D34" s="25"/>
      <x:c r="E34" s="25"/>
      <x:c r="F34" s="3"/>
      <x:c r="G34" s="26"/>
      <x:c r="H34" s="26"/>
      <x:c r="I34" s="3"/>
      <x:c r="J34" s="22"/>
      <x:c r="K34" s="25"/>
      <x:c r="L34" s="3"/>
      <x:c r="M34" s="3"/>
      <x:c r="N34" s="24" t="str">
        <x:f>IF(AND(R34="有效输入",I34="已判定",M34="是",ISNUMBER(G34)),(G34-J34)^2,"")</x:f>
      </x:c>
      <x:c r="O34" s="24" t="str">
        <x:f>IF(AND(ISNUMBER(N34),ISNUMBER(H34)),(H34-J34)^2,"")</x:f>
      </x:c>
      <x:c r="P34" s="24" t="str">
        <x:f>IF(AND(ISNUMBER(N34),ISNUMBER(O34)),O34-N34,"")</x:f>
      </x:c>
      <x:c r="Q34" s="3"/>
      <x:c r="R34" s="19" t="str">
        <x:f>IF(A34="","",IF(COUNTIFS('预测登记'!$A$7:$A$306,A34)&lt;&gt;1,"编号重复",IF(COUNTIFS('问题总览'!$A$7:$A$306,B34)&lt;&gt;1,"问题引用无效",IF(COUNTIFS('方案版本'!$A$7:$A$306,C34,'方案版本'!$B$7:$B$306,B34,'方案版本'!$L$7:$L$306,"已冻结")&lt;&gt;1,"方案引用无效",IF(OR(NOT(ISNUMBER(D34)),NOT(ISNUMBER(E34)),F34="",I34="",M34="",Q34=""),"待补预测信息",IF(D34&gt;E34,"非事前到期登记",IF(OR(AND(G34&lt;&gt;"",OR(NOT(ISNUMBER(G34)),G34&lt;0,G34&gt;1)),AND(H34&lt;&gt;"",OR(NOT(ISNUMBER(H34)),H34&lt;0,H34&gt;1))),"概率无效",IF(AND(I34="已判定",OR(NOT(ISNUMBER(J34)),AND(J34&lt;&gt;0,J34&lt;&gt;1),NOT(ISNUMBER(K34)),L34="")),"待补判定证据",IF(AND(I34="已判定",D34&gt;K34),"事后补录不评分","有效输入")))))))))</x:f>
      </x:c>
    </x:row>
    <x:row r="35" ht="25" customHeight="1">
      <x:c r="A35" s="3"/>
      <x:c r="B35" s="3"/>
      <x:c r="C35" s="3"/>
      <x:c r="D35" s="25"/>
      <x:c r="E35" s="25"/>
      <x:c r="F35" s="3"/>
      <x:c r="G35" s="26"/>
      <x:c r="H35" s="26"/>
      <x:c r="I35" s="3"/>
      <x:c r="J35" s="22"/>
      <x:c r="K35" s="25"/>
      <x:c r="L35" s="3"/>
      <x:c r="M35" s="3"/>
      <x:c r="N35" s="24" t="str">
        <x:f>IF(AND(R35="有效输入",I35="已判定",M35="是",ISNUMBER(G35)),(G35-J35)^2,"")</x:f>
      </x:c>
      <x:c r="O35" s="24" t="str">
        <x:f>IF(AND(ISNUMBER(N35),ISNUMBER(H35)),(H35-J35)^2,"")</x:f>
      </x:c>
      <x:c r="P35" s="24" t="str">
        <x:f>IF(AND(ISNUMBER(N35),ISNUMBER(O35)),O35-N35,"")</x:f>
      </x:c>
      <x:c r="Q35" s="3"/>
      <x:c r="R35" s="19" t="str">
        <x:f>IF(A35="","",IF(COUNTIFS('预测登记'!$A$7:$A$306,A35)&lt;&gt;1,"编号重复",IF(COUNTIFS('问题总览'!$A$7:$A$306,B35)&lt;&gt;1,"问题引用无效",IF(COUNTIFS('方案版本'!$A$7:$A$306,C35,'方案版本'!$B$7:$B$306,B35,'方案版本'!$L$7:$L$306,"已冻结")&lt;&gt;1,"方案引用无效",IF(OR(NOT(ISNUMBER(D35)),NOT(ISNUMBER(E35)),F35="",I35="",M35="",Q35=""),"待补预测信息",IF(D35&gt;E35,"非事前到期登记",IF(OR(AND(G35&lt;&gt;"",OR(NOT(ISNUMBER(G35)),G35&lt;0,G35&gt;1)),AND(H35&lt;&gt;"",OR(NOT(ISNUMBER(H35)),H35&lt;0,H35&gt;1))),"概率无效",IF(AND(I35="已判定",OR(NOT(ISNUMBER(J35)),AND(J35&lt;&gt;0,J35&lt;&gt;1),NOT(ISNUMBER(K35)),L35="")),"待补判定证据",IF(AND(I35="已判定",D35&gt;K35),"事后补录不评分","有效输入")))))))))</x:f>
      </x:c>
    </x:row>
    <x:row r="36" ht="25" customHeight="1">
      <x:c r="A36" s="3"/>
      <x:c r="B36" s="3"/>
      <x:c r="C36" s="3"/>
      <x:c r="D36" s="25"/>
      <x:c r="E36" s="25"/>
      <x:c r="F36" s="3"/>
      <x:c r="G36" s="26"/>
      <x:c r="H36" s="26"/>
      <x:c r="I36" s="3"/>
      <x:c r="J36" s="22"/>
      <x:c r="K36" s="25"/>
      <x:c r="L36" s="3"/>
      <x:c r="M36" s="3"/>
      <x:c r="N36" s="24" t="str">
        <x:f>IF(AND(R36="有效输入",I36="已判定",M36="是",ISNUMBER(G36)),(G36-J36)^2,"")</x:f>
      </x:c>
      <x:c r="O36" s="24" t="str">
        <x:f>IF(AND(ISNUMBER(N36),ISNUMBER(H36)),(H36-J36)^2,"")</x:f>
      </x:c>
      <x:c r="P36" s="24" t="str">
        <x:f>IF(AND(ISNUMBER(N36),ISNUMBER(O36)),O36-N36,"")</x:f>
      </x:c>
      <x:c r="Q36" s="3"/>
      <x:c r="R36" s="19" t="str">
        <x:f>IF(A36="","",IF(COUNTIFS('预测登记'!$A$7:$A$306,A36)&lt;&gt;1,"编号重复",IF(COUNTIFS('问题总览'!$A$7:$A$306,B36)&lt;&gt;1,"问题引用无效",IF(COUNTIFS('方案版本'!$A$7:$A$306,C36,'方案版本'!$B$7:$B$306,B36,'方案版本'!$L$7:$L$306,"已冻结")&lt;&gt;1,"方案引用无效",IF(OR(NOT(ISNUMBER(D36)),NOT(ISNUMBER(E36)),F36="",I36="",M36="",Q36=""),"待补预测信息",IF(D36&gt;E36,"非事前到期登记",IF(OR(AND(G36&lt;&gt;"",OR(NOT(ISNUMBER(G36)),G36&lt;0,G36&gt;1)),AND(H36&lt;&gt;"",OR(NOT(ISNUMBER(H36)),H36&lt;0,H36&gt;1))),"概率无效",IF(AND(I36="已判定",OR(NOT(ISNUMBER(J36)),AND(J36&lt;&gt;0,J36&lt;&gt;1),NOT(ISNUMBER(K36)),L36="")),"待补判定证据",IF(AND(I36="已判定",D36&gt;K36),"事后补录不评分","有效输入")))))))))</x:f>
      </x:c>
    </x:row>
    <x:row r="37" ht="25" customHeight="1">
      <x:c r="A37" s="3"/>
      <x:c r="B37" s="3"/>
      <x:c r="C37" s="3"/>
      <x:c r="D37" s="25"/>
      <x:c r="E37" s="25"/>
      <x:c r="F37" s="3"/>
      <x:c r="G37" s="26"/>
      <x:c r="H37" s="26"/>
      <x:c r="I37" s="3"/>
      <x:c r="J37" s="22"/>
      <x:c r="K37" s="25"/>
      <x:c r="L37" s="3"/>
      <x:c r="M37" s="3"/>
      <x:c r="N37" s="24" t="str">
        <x:f>IF(AND(R37="有效输入",I37="已判定",M37="是",ISNUMBER(G37)),(G37-J37)^2,"")</x:f>
      </x:c>
      <x:c r="O37" s="24" t="str">
        <x:f>IF(AND(ISNUMBER(N37),ISNUMBER(H37)),(H37-J37)^2,"")</x:f>
      </x:c>
      <x:c r="P37" s="24" t="str">
        <x:f>IF(AND(ISNUMBER(N37),ISNUMBER(O37)),O37-N37,"")</x:f>
      </x:c>
      <x:c r="Q37" s="3"/>
      <x:c r="R37" s="19" t="str">
        <x:f>IF(A37="","",IF(COUNTIFS('预测登记'!$A$7:$A$306,A37)&lt;&gt;1,"编号重复",IF(COUNTIFS('问题总览'!$A$7:$A$306,B37)&lt;&gt;1,"问题引用无效",IF(COUNTIFS('方案版本'!$A$7:$A$306,C37,'方案版本'!$B$7:$B$306,B37,'方案版本'!$L$7:$L$306,"已冻结")&lt;&gt;1,"方案引用无效",IF(OR(NOT(ISNUMBER(D37)),NOT(ISNUMBER(E37)),F37="",I37="",M37="",Q37=""),"待补预测信息",IF(D37&gt;E37,"非事前到期登记",IF(OR(AND(G37&lt;&gt;"",OR(NOT(ISNUMBER(G37)),G37&lt;0,G37&gt;1)),AND(H37&lt;&gt;"",OR(NOT(ISNUMBER(H37)),H37&lt;0,H37&gt;1))),"概率无效",IF(AND(I37="已判定",OR(NOT(ISNUMBER(J37)),AND(J37&lt;&gt;0,J37&lt;&gt;1),NOT(ISNUMBER(K37)),L37="")),"待补判定证据",IF(AND(I37="已判定",D37&gt;K37),"事后补录不评分","有效输入")))))))))</x:f>
      </x:c>
    </x:row>
    <x:row r="38" ht="25" customHeight="1">
      <x:c r="A38" s="3"/>
      <x:c r="B38" s="3"/>
      <x:c r="C38" s="3"/>
      <x:c r="D38" s="25"/>
      <x:c r="E38" s="25"/>
      <x:c r="F38" s="3"/>
      <x:c r="G38" s="26"/>
      <x:c r="H38" s="26"/>
      <x:c r="I38" s="3"/>
      <x:c r="J38" s="22"/>
      <x:c r="K38" s="25"/>
      <x:c r="L38" s="3"/>
      <x:c r="M38" s="3"/>
      <x:c r="N38" s="24" t="str">
        <x:f>IF(AND(R38="有效输入",I38="已判定",M38="是",ISNUMBER(G38)),(G38-J38)^2,"")</x:f>
      </x:c>
      <x:c r="O38" s="24" t="str">
        <x:f>IF(AND(ISNUMBER(N38),ISNUMBER(H38)),(H38-J38)^2,"")</x:f>
      </x:c>
      <x:c r="P38" s="24" t="str">
        <x:f>IF(AND(ISNUMBER(N38),ISNUMBER(O38)),O38-N38,"")</x:f>
      </x:c>
      <x:c r="Q38" s="3"/>
      <x:c r="R38" s="19" t="str">
        <x:f>IF(A38="","",IF(COUNTIFS('预测登记'!$A$7:$A$306,A38)&lt;&gt;1,"编号重复",IF(COUNTIFS('问题总览'!$A$7:$A$306,B38)&lt;&gt;1,"问题引用无效",IF(COUNTIFS('方案版本'!$A$7:$A$306,C38,'方案版本'!$B$7:$B$306,B38,'方案版本'!$L$7:$L$306,"已冻结")&lt;&gt;1,"方案引用无效",IF(OR(NOT(ISNUMBER(D38)),NOT(ISNUMBER(E38)),F38="",I38="",M38="",Q38=""),"待补预测信息",IF(D38&gt;E38,"非事前到期登记",IF(OR(AND(G38&lt;&gt;"",OR(NOT(ISNUMBER(G38)),G38&lt;0,G38&gt;1)),AND(H38&lt;&gt;"",OR(NOT(ISNUMBER(H38)),H38&lt;0,H38&gt;1))),"概率无效",IF(AND(I38="已判定",OR(NOT(ISNUMBER(J38)),AND(J38&lt;&gt;0,J38&lt;&gt;1),NOT(ISNUMBER(K38)),L38="")),"待补判定证据",IF(AND(I38="已判定",D38&gt;K38),"事后补录不评分","有效输入")))))))))</x:f>
      </x:c>
    </x:row>
    <x:row r="39" ht="25" customHeight="1">
      <x:c r="A39" s="3"/>
      <x:c r="B39" s="3"/>
      <x:c r="C39" s="3"/>
      <x:c r="D39" s="25"/>
      <x:c r="E39" s="25"/>
      <x:c r="F39" s="3"/>
      <x:c r="G39" s="26"/>
      <x:c r="H39" s="26"/>
      <x:c r="I39" s="3"/>
      <x:c r="J39" s="22"/>
      <x:c r="K39" s="25"/>
      <x:c r="L39" s="3"/>
      <x:c r="M39" s="3"/>
      <x:c r="N39" s="24" t="str">
        <x:f>IF(AND(R39="有效输入",I39="已判定",M39="是",ISNUMBER(G39)),(G39-J39)^2,"")</x:f>
      </x:c>
      <x:c r="O39" s="24" t="str">
        <x:f>IF(AND(ISNUMBER(N39),ISNUMBER(H39)),(H39-J39)^2,"")</x:f>
      </x:c>
      <x:c r="P39" s="24" t="str">
        <x:f>IF(AND(ISNUMBER(N39),ISNUMBER(O39)),O39-N39,"")</x:f>
      </x:c>
      <x:c r="Q39" s="3"/>
      <x:c r="R39" s="19" t="str">
        <x:f>IF(A39="","",IF(COUNTIFS('预测登记'!$A$7:$A$306,A39)&lt;&gt;1,"编号重复",IF(COUNTIFS('问题总览'!$A$7:$A$306,B39)&lt;&gt;1,"问题引用无效",IF(COUNTIFS('方案版本'!$A$7:$A$306,C39,'方案版本'!$B$7:$B$306,B39,'方案版本'!$L$7:$L$306,"已冻结")&lt;&gt;1,"方案引用无效",IF(OR(NOT(ISNUMBER(D39)),NOT(ISNUMBER(E39)),F39="",I39="",M39="",Q39=""),"待补预测信息",IF(D39&gt;E39,"非事前到期登记",IF(OR(AND(G39&lt;&gt;"",OR(NOT(ISNUMBER(G39)),G39&lt;0,G39&gt;1)),AND(H39&lt;&gt;"",OR(NOT(ISNUMBER(H39)),H39&lt;0,H39&gt;1))),"概率无效",IF(AND(I39="已判定",OR(NOT(ISNUMBER(J39)),AND(J39&lt;&gt;0,J39&lt;&gt;1),NOT(ISNUMBER(K39)),L39="")),"待补判定证据",IF(AND(I39="已判定",D39&gt;K39),"事后补录不评分","有效输入")))))))))</x:f>
      </x:c>
    </x:row>
    <x:row r="40" ht="25" customHeight="1">
      <x:c r="A40" s="3"/>
      <x:c r="B40" s="3"/>
      <x:c r="C40" s="3"/>
      <x:c r="D40" s="25"/>
      <x:c r="E40" s="25"/>
      <x:c r="F40" s="3"/>
      <x:c r="G40" s="26"/>
      <x:c r="H40" s="26"/>
      <x:c r="I40" s="3"/>
      <x:c r="J40" s="22"/>
      <x:c r="K40" s="25"/>
      <x:c r="L40" s="3"/>
      <x:c r="M40" s="3"/>
      <x:c r="N40" s="24" t="str">
        <x:f>IF(AND(R40="有效输入",I40="已判定",M40="是",ISNUMBER(G40)),(G40-J40)^2,"")</x:f>
      </x:c>
      <x:c r="O40" s="24" t="str">
        <x:f>IF(AND(ISNUMBER(N40),ISNUMBER(H40)),(H40-J40)^2,"")</x:f>
      </x:c>
      <x:c r="P40" s="24" t="str">
        <x:f>IF(AND(ISNUMBER(N40),ISNUMBER(O40)),O40-N40,"")</x:f>
      </x:c>
      <x:c r="Q40" s="3"/>
      <x:c r="R40" s="19" t="str">
        <x:f>IF(A40="","",IF(COUNTIFS('预测登记'!$A$7:$A$306,A40)&lt;&gt;1,"编号重复",IF(COUNTIFS('问题总览'!$A$7:$A$306,B40)&lt;&gt;1,"问题引用无效",IF(COUNTIFS('方案版本'!$A$7:$A$306,C40,'方案版本'!$B$7:$B$306,B40,'方案版本'!$L$7:$L$306,"已冻结")&lt;&gt;1,"方案引用无效",IF(OR(NOT(ISNUMBER(D40)),NOT(ISNUMBER(E40)),F40="",I40="",M40="",Q40=""),"待补预测信息",IF(D40&gt;E40,"非事前到期登记",IF(OR(AND(G40&lt;&gt;"",OR(NOT(ISNUMBER(G40)),G40&lt;0,G40&gt;1)),AND(H40&lt;&gt;"",OR(NOT(ISNUMBER(H40)),H40&lt;0,H40&gt;1))),"概率无效",IF(AND(I40="已判定",OR(NOT(ISNUMBER(J40)),AND(J40&lt;&gt;0,J40&lt;&gt;1),NOT(ISNUMBER(K40)),L40="")),"待补判定证据",IF(AND(I40="已判定",D40&gt;K40),"事后补录不评分","有效输入")))))))))</x:f>
      </x:c>
    </x:row>
    <x:row r="41" ht="25" customHeight="1">
      <x:c r="A41" s="3"/>
      <x:c r="B41" s="3"/>
      <x:c r="C41" s="3"/>
      <x:c r="D41" s="25"/>
      <x:c r="E41" s="25"/>
      <x:c r="F41" s="3"/>
      <x:c r="G41" s="26"/>
      <x:c r="H41" s="26"/>
      <x:c r="I41" s="3"/>
      <x:c r="J41" s="22"/>
      <x:c r="K41" s="25"/>
      <x:c r="L41" s="3"/>
      <x:c r="M41" s="3"/>
      <x:c r="N41" s="24" t="str">
        <x:f>IF(AND(R41="有效输入",I41="已判定",M41="是",ISNUMBER(G41)),(G41-J41)^2,"")</x:f>
      </x:c>
      <x:c r="O41" s="24" t="str">
        <x:f>IF(AND(ISNUMBER(N41),ISNUMBER(H41)),(H41-J41)^2,"")</x:f>
      </x:c>
      <x:c r="P41" s="24" t="str">
        <x:f>IF(AND(ISNUMBER(N41),ISNUMBER(O41)),O41-N41,"")</x:f>
      </x:c>
      <x:c r="Q41" s="3"/>
      <x:c r="R41" s="19" t="str">
        <x:f>IF(A41="","",IF(COUNTIFS('预测登记'!$A$7:$A$306,A41)&lt;&gt;1,"编号重复",IF(COUNTIFS('问题总览'!$A$7:$A$306,B41)&lt;&gt;1,"问题引用无效",IF(COUNTIFS('方案版本'!$A$7:$A$306,C41,'方案版本'!$B$7:$B$306,B41,'方案版本'!$L$7:$L$306,"已冻结")&lt;&gt;1,"方案引用无效",IF(OR(NOT(ISNUMBER(D41)),NOT(ISNUMBER(E41)),F41="",I41="",M41="",Q41=""),"待补预测信息",IF(D41&gt;E41,"非事前到期登记",IF(OR(AND(G41&lt;&gt;"",OR(NOT(ISNUMBER(G41)),G41&lt;0,G41&gt;1)),AND(H41&lt;&gt;"",OR(NOT(ISNUMBER(H41)),H41&lt;0,H41&gt;1))),"概率无效",IF(AND(I41="已判定",OR(NOT(ISNUMBER(J41)),AND(J41&lt;&gt;0,J41&lt;&gt;1),NOT(ISNUMBER(K41)),L41="")),"待补判定证据",IF(AND(I41="已判定",D41&gt;K41),"事后补录不评分","有效输入")))))))))</x:f>
      </x:c>
    </x:row>
    <x:row r="42" ht="25" customHeight="1">
      <x:c r="A42" s="3"/>
      <x:c r="B42" s="3"/>
      <x:c r="C42" s="3"/>
      <x:c r="D42" s="25"/>
      <x:c r="E42" s="25"/>
      <x:c r="F42" s="3"/>
      <x:c r="G42" s="26"/>
      <x:c r="H42" s="26"/>
      <x:c r="I42" s="3"/>
      <x:c r="J42" s="22"/>
      <x:c r="K42" s="25"/>
      <x:c r="L42" s="3"/>
      <x:c r="M42" s="3"/>
      <x:c r="N42" s="24" t="str">
        <x:f>IF(AND(R42="有效输入",I42="已判定",M42="是",ISNUMBER(G42)),(G42-J42)^2,"")</x:f>
      </x:c>
      <x:c r="O42" s="24" t="str">
        <x:f>IF(AND(ISNUMBER(N42),ISNUMBER(H42)),(H42-J42)^2,"")</x:f>
      </x:c>
      <x:c r="P42" s="24" t="str">
        <x:f>IF(AND(ISNUMBER(N42),ISNUMBER(O42)),O42-N42,"")</x:f>
      </x:c>
      <x:c r="Q42" s="3"/>
      <x:c r="R42" s="19" t="str">
        <x:f>IF(A42="","",IF(COUNTIFS('预测登记'!$A$7:$A$306,A42)&lt;&gt;1,"编号重复",IF(COUNTIFS('问题总览'!$A$7:$A$306,B42)&lt;&gt;1,"问题引用无效",IF(COUNTIFS('方案版本'!$A$7:$A$306,C42,'方案版本'!$B$7:$B$306,B42,'方案版本'!$L$7:$L$306,"已冻结")&lt;&gt;1,"方案引用无效",IF(OR(NOT(ISNUMBER(D42)),NOT(ISNUMBER(E42)),F42="",I42="",M42="",Q42=""),"待补预测信息",IF(D42&gt;E42,"非事前到期登记",IF(OR(AND(G42&lt;&gt;"",OR(NOT(ISNUMBER(G42)),G42&lt;0,G42&gt;1)),AND(H42&lt;&gt;"",OR(NOT(ISNUMBER(H42)),H42&lt;0,H42&gt;1))),"概率无效",IF(AND(I42="已判定",OR(NOT(ISNUMBER(J42)),AND(J42&lt;&gt;0,J42&lt;&gt;1),NOT(ISNUMBER(K42)),L42="")),"待补判定证据",IF(AND(I42="已判定",D42&gt;K42),"事后补录不评分","有效输入")))))))))</x:f>
      </x:c>
    </x:row>
    <x:row r="43" ht="25" customHeight="1">
      <x:c r="A43" s="3"/>
      <x:c r="B43" s="3"/>
      <x:c r="C43" s="3"/>
      <x:c r="D43" s="25"/>
      <x:c r="E43" s="25"/>
      <x:c r="F43" s="3"/>
      <x:c r="G43" s="26"/>
      <x:c r="H43" s="26"/>
      <x:c r="I43" s="3"/>
      <x:c r="J43" s="22"/>
      <x:c r="K43" s="25"/>
      <x:c r="L43" s="3"/>
      <x:c r="M43" s="3"/>
      <x:c r="N43" s="24" t="str">
        <x:f>IF(AND(R43="有效输入",I43="已判定",M43="是",ISNUMBER(G43)),(G43-J43)^2,"")</x:f>
      </x:c>
      <x:c r="O43" s="24" t="str">
        <x:f>IF(AND(ISNUMBER(N43),ISNUMBER(H43)),(H43-J43)^2,"")</x:f>
      </x:c>
      <x:c r="P43" s="24" t="str">
        <x:f>IF(AND(ISNUMBER(N43),ISNUMBER(O43)),O43-N43,"")</x:f>
      </x:c>
      <x:c r="Q43" s="3"/>
      <x:c r="R43" s="19" t="str">
        <x:f>IF(A43="","",IF(COUNTIFS('预测登记'!$A$7:$A$306,A43)&lt;&gt;1,"编号重复",IF(COUNTIFS('问题总览'!$A$7:$A$306,B43)&lt;&gt;1,"问题引用无效",IF(COUNTIFS('方案版本'!$A$7:$A$306,C43,'方案版本'!$B$7:$B$306,B43,'方案版本'!$L$7:$L$306,"已冻结")&lt;&gt;1,"方案引用无效",IF(OR(NOT(ISNUMBER(D43)),NOT(ISNUMBER(E43)),F43="",I43="",M43="",Q43=""),"待补预测信息",IF(D43&gt;E43,"非事前到期登记",IF(OR(AND(G43&lt;&gt;"",OR(NOT(ISNUMBER(G43)),G43&lt;0,G43&gt;1)),AND(H43&lt;&gt;"",OR(NOT(ISNUMBER(H43)),H43&lt;0,H43&gt;1))),"概率无效",IF(AND(I43="已判定",OR(NOT(ISNUMBER(J43)),AND(J43&lt;&gt;0,J43&lt;&gt;1),NOT(ISNUMBER(K43)),L43="")),"待补判定证据",IF(AND(I43="已判定",D43&gt;K43),"事后补录不评分","有效输入")))))))))</x:f>
      </x:c>
    </x:row>
    <x:row r="44" ht="25" customHeight="1">
      <x:c r="A44" s="3"/>
      <x:c r="B44" s="3"/>
      <x:c r="C44" s="3"/>
      <x:c r="D44" s="25"/>
      <x:c r="E44" s="25"/>
      <x:c r="F44" s="3"/>
      <x:c r="G44" s="26"/>
      <x:c r="H44" s="26"/>
      <x:c r="I44" s="3"/>
      <x:c r="J44" s="22"/>
      <x:c r="K44" s="25"/>
      <x:c r="L44" s="3"/>
      <x:c r="M44" s="3"/>
      <x:c r="N44" s="24" t="str">
        <x:f>IF(AND(R44="有效输入",I44="已判定",M44="是",ISNUMBER(G44)),(G44-J44)^2,"")</x:f>
      </x:c>
      <x:c r="O44" s="24" t="str">
        <x:f>IF(AND(ISNUMBER(N44),ISNUMBER(H44)),(H44-J44)^2,"")</x:f>
      </x:c>
      <x:c r="P44" s="24" t="str">
        <x:f>IF(AND(ISNUMBER(N44),ISNUMBER(O44)),O44-N44,"")</x:f>
      </x:c>
      <x:c r="Q44" s="3"/>
      <x:c r="R44" s="19" t="str">
        <x:f>IF(A44="","",IF(COUNTIFS('预测登记'!$A$7:$A$306,A44)&lt;&gt;1,"编号重复",IF(COUNTIFS('问题总览'!$A$7:$A$306,B44)&lt;&gt;1,"问题引用无效",IF(COUNTIFS('方案版本'!$A$7:$A$306,C44,'方案版本'!$B$7:$B$306,B44,'方案版本'!$L$7:$L$306,"已冻结")&lt;&gt;1,"方案引用无效",IF(OR(NOT(ISNUMBER(D44)),NOT(ISNUMBER(E44)),F44="",I44="",M44="",Q44=""),"待补预测信息",IF(D44&gt;E44,"非事前到期登记",IF(OR(AND(G44&lt;&gt;"",OR(NOT(ISNUMBER(G44)),G44&lt;0,G44&gt;1)),AND(H44&lt;&gt;"",OR(NOT(ISNUMBER(H44)),H44&lt;0,H44&gt;1))),"概率无效",IF(AND(I44="已判定",OR(NOT(ISNUMBER(J44)),AND(J44&lt;&gt;0,J44&lt;&gt;1),NOT(ISNUMBER(K44)),L44="")),"待补判定证据",IF(AND(I44="已判定",D44&gt;K44),"事后补录不评分","有效输入")))))))))</x:f>
      </x:c>
    </x:row>
    <x:row r="45" ht="25" customHeight="1">
      <x:c r="A45" s="3"/>
      <x:c r="B45" s="3"/>
      <x:c r="C45" s="3"/>
      <x:c r="D45" s="25"/>
      <x:c r="E45" s="25"/>
      <x:c r="F45" s="3"/>
      <x:c r="G45" s="26"/>
      <x:c r="H45" s="26"/>
      <x:c r="I45" s="3"/>
      <x:c r="J45" s="22"/>
      <x:c r="K45" s="25"/>
      <x:c r="L45" s="3"/>
      <x:c r="M45" s="3"/>
      <x:c r="N45" s="24" t="str">
        <x:f>IF(AND(R45="有效输入",I45="已判定",M45="是",ISNUMBER(G45)),(G45-J45)^2,"")</x:f>
      </x:c>
      <x:c r="O45" s="24" t="str">
        <x:f>IF(AND(ISNUMBER(N45),ISNUMBER(H45)),(H45-J45)^2,"")</x:f>
      </x:c>
      <x:c r="P45" s="24" t="str">
        <x:f>IF(AND(ISNUMBER(N45),ISNUMBER(O45)),O45-N45,"")</x:f>
      </x:c>
      <x:c r="Q45" s="3"/>
      <x:c r="R45" s="19" t="str">
        <x:f>IF(A45="","",IF(COUNTIFS('预测登记'!$A$7:$A$306,A45)&lt;&gt;1,"编号重复",IF(COUNTIFS('问题总览'!$A$7:$A$306,B45)&lt;&gt;1,"问题引用无效",IF(COUNTIFS('方案版本'!$A$7:$A$306,C45,'方案版本'!$B$7:$B$306,B45,'方案版本'!$L$7:$L$306,"已冻结")&lt;&gt;1,"方案引用无效",IF(OR(NOT(ISNUMBER(D45)),NOT(ISNUMBER(E45)),F45="",I45="",M45="",Q45=""),"待补预测信息",IF(D45&gt;E45,"非事前到期登记",IF(OR(AND(G45&lt;&gt;"",OR(NOT(ISNUMBER(G45)),G45&lt;0,G45&gt;1)),AND(H45&lt;&gt;"",OR(NOT(ISNUMBER(H45)),H45&lt;0,H45&gt;1))),"概率无效",IF(AND(I45="已判定",OR(NOT(ISNUMBER(J45)),AND(J45&lt;&gt;0,J45&lt;&gt;1),NOT(ISNUMBER(K45)),L45="")),"待补判定证据",IF(AND(I45="已判定",D45&gt;K45),"事后补录不评分","有效输入")))))))))</x:f>
      </x:c>
    </x:row>
    <x:row r="46" ht="25" customHeight="1">
      <x:c r="A46" s="3"/>
      <x:c r="B46" s="3"/>
      <x:c r="C46" s="3"/>
      <x:c r="D46" s="25"/>
      <x:c r="E46" s="25"/>
      <x:c r="F46" s="3"/>
      <x:c r="G46" s="26"/>
      <x:c r="H46" s="26"/>
      <x:c r="I46" s="3"/>
      <x:c r="J46" s="22"/>
      <x:c r="K46" s="25"/>
      <x:c r="L46" s="3"/>
      <x:c r="M46" s="3"/>
      <x:c r="N46" s="24" t="str">
        <x:f>IF(AND(R46="有效输入",I46="已判定",M46="是",ISNUMBER(G46)),(G46-J46)^2,"")</x:f>
      </x:c>
      <x:c r="O46" s="24" t="str">
        <x:f>IF(AND(ISNUMBER(N46),ISNUMBER(H46)),(H46-J46)^2,"")</x:f>
      </x:c>
      <x:c r="P46" s="24" t="str">
        <x:f>IF(AND(ISNUMBER(N46),ISNUMBER(O46)),O46-N46,"")</x:f>
      </x:c>
      <x:c r="Q46" s="3"/>
      <x:c r="R46" s="19" t="str">
        <x:f>IF(A46="","",IF(COUNTIFS('预测登记'!$A$7:$A$306,A46)&lt;&gt;1,"编号重复",IF(COUNTIFS('问题总览'!$A$7:$A$306,B46)&lt;&gt;1,"问题引用无效",IF(COUNTIFS('方案版本'!$A$7:$A$306,C46,'方案版本'!$B$7:$B$306,B46,'方案版本'!$L$7:$L$306,"已冻结")&lt;&gt;1,"方案引用无效",IF(OR(NOT(ISNUMBER(D46)),NOT(ISNUMBER(E46)),F46="",I46="",M46="",Q46=""),"待补预测信息",IF(D46&gt;E46,"非事前到期登记",IF(OR(AND(G46&lt;&gt;"",OR(NOT(ISNUMBER(G46)),G46&lt;0,G46&gt;1)),AND(H46&lt;&gt;"",OR(NOT(ISNUMBER(H46)),H46&lt;0,H46&gt;1))),"概率无效",IF(AND(I46="已判定",OR(NOT(ISNUMBER(J46)),AND(J46&lt;&gt;0,J46&lt;&gt;1),NOT(ISNUMBER(K46)),L46="")),"待补判定证据",IF(AND(I46="已判定",D46&gt;K46),"事后补录不评分","有效输入")))))))))</x:f>
      </x:c>
    </x:row>
    <x:row r="47" ht="25" customHeight="1">
      <x:c r="A47" s="3"/>
      <x:c r="B47" s="3"/>
      <x:c r="C47" s="3"/>
      <x:c r="D47" s="25"/>
      <x:c r="E47" s="25"/>
      <x:c r="F47" s="3"/>
      <x:c r="G47" s="26"/>
      <x:c r="H47" s="26"/>
      <x:c r="I47" s="3"/>
      <x:c r="J47" s="22"/>
      <x:c r="K47" s="25"/>
      <x:c r="L47" s="3"/>
      <x:c r="M47" s="3"/>
      <x:c r="N47" s="24" t="str">
        <x:f>IF(AND(R47="有效输入",I47="已判定",M47="是",ISNUMBER(G47)),(G47-J47)^2,"")</x:f>
      </x:c>
      <x:c r="O47" s="24" t="str">
        <x:f>IF(AND(ISNUMBER(N47),ISNUMBER(H47)),(H47-J47)^2,"")</x:f>
      </x:c>
      <x:c r="P47" s="24" t="str">
        <x:f>IF(AND(ISNUMBER(N47),ISNUMBER(O47)),O47-N47,"")</x:f>
      </x:c>
      <x:c r="Q47" s="3"/>
      <x:c r="R47" s="19" t="str">
        <x:f>IF(A47="","",IF(COUNTIFS('预测登记'!$A$7:$A$306,A47)&lt;&gt;1,"编号重复",IF(COUNTIFS('问题总览'!$A$7:$A$306,B47)&lt;&gt;1,"问题引用无效",IF(COUNTIFS('方案版本'!$A$7:$A$306,C47,'方案版本'!$B$7:$B$306,B47,'方案版本'!$L$7:$L$306,"已冻结")&lt;&gt;1,"方案引用无效",IF(OR(NOT(ISNUMBER(D47)),NOT(ISNUMBER(E47)),F47="",I47="",M47="",Q47=""),"待补预测信息",IF(D47&gt;E47,"非事前到期登记",IF(OR(AND(G47&lt;&gt;"",OR(NOT(ISNUMBER(G47)),G47&lt;0,G47&gt;1)),AND(H47&lt;&gt;"",OR(NOT(ISNUMBER(H47)),H47&lt;0,H47&gt;1))),"概率无效",IF(AND(I47="已判定",OR(NOT(ISNUMBER(J47)),AND(J47&lt;&gt;0,J47&lt;&gt;1),NOT(ISNUMBER(K47)),L47="")),"待补判定证据",IF(AND(I47="已判定",D47&gt;K47),"事后补录不评分","有效输入")))))))))</x:f>
      </x:c>
    </x:row>
    <x:row r="48" ht="25" customHeight="1">
      <x:c r="A48" s="3"/>
      <x:c r="B48" s="3"/>
      <x:c r="C48" s="3"/>
      <x:c r="D48" s="25"/>
      <x:c r="E48" s="25"/>
      <x:c r="F48" s="3"/>
      <x:c r="G48" s="26"/>
      <x:c r="H48" s="26"/>
      <x:c r="I48" s="3"/>
      <x:c r="J48" s="22"/>
      <x:c r="K48" s="25"/>
      <x:c r="L48" s="3"/>
      <x:c r="M48" s="3"/>
      <x:c r="N48" s="24" t="str">
        <x:f>IF(AND(R48="有效输入",I48="已判定",M48="是",ISNUMBER(G48)),(G48-J48)^2,"")</x:f>
      </x:c>
      <x:c r="O48" s="24" t="str">
        <x:f>IF(AND(ISNUMBER(N48),ISNUMBER(H48)),(H48-J48)^2,"")</x:f>
      </x:c>
      <x:c r="P48" s="24" t="str">
        <x:f>IF(AND(ISNUMBER(N48),ISNUMBER(O48)),O48-N48,"")</x:f>
      </x:c>
      <x:c r="Q48" s="3"/>
      <x:c r="R48" s="19" t="str">
        <x:f>IF(A48="","",IF(COUNTIFS('预测登记'!$A$7:$A$306,A48)&lt;&gt;1,"编号重复",IF(COUNTIFS('问题总览'!$A$7:$A$306,B48)&lt;&gt;1,"问题引用无效",IF(COUNTIFS('方案版本'!$A$7:$A$306,C48,'方案版本'!$B$7:$B$306,B48,'方案版本'!$L$7:$L$306,"已冻结")&lt;&gt;1,"方案引用无效",IF(OR(NOT(ISNUMBER(D48)),NOT(ISNUMBER(E48)),F48="",I48="",M48="",Q48=""),"待补预测信息",IF(D48&gt;E48,"非事前到期登记",IF(OR(AND(G48&lt;&gt;"",OR(NOT(ISNUMBER(G48)),G48&lt;0,G48&gt;1)),AND(H48&lt;&gt;"",OR(NOT(ISNUMBER(H48)),H48&lt;0,H48&gt;1))),"概率无效",IF(AND(I48="已判定",OR(NOT(ISNUMBER(J48)),AND(J48&lt;&gt;0,J48&lt;&gt;1),NOT(ISNUMBER(K48)),L48="")),"待补判定证据",IF(AND(I48="已判定",D48&gt;K48),"事后补录不评分","有效输入")))))))))</x:f>
      </x:c>
    </x:row>
    <x:row r="49" ht="25" customHeight="1">
      <x:c r="A49" s="3"/>
      <x:c r="B49" s="3"/>
      <x:c r="C49" s="3"/>
      <x:c r="D49" s="25"/>
      <x:c r="E49" s="25"/>
      <x:c r="F49" s="3"/>
      <x:c r="G49" s="26"/>
      <x:c r="H49" s="26"/>
      <x:c r="I49" s="3"/>
      <x:c r="J49" s="22"/>
      <x:c r="K49" s="25"/>
      <x:c r="L49" s="3"/>
      <x:c r="M49" s="3"/>
      <x:c r="N49" s="24" t="str">
        <x:f>IF(AND(R49="有效输入",I49="已判定",M49="是",ISNUMBER(G49)),(G49-J49)^2,"")</x:f>
      </x:c>
      <x:c r="O49" s="24" t="str">
        <x:f>IF(AND(ISNUMBER(N49),ISNUMBER(H49)),(H49-J49)^2,"")</x:f>
      </x:c>
      <x:c r="P49" s="24" t="str">
        <x:f>IF(AND(ISNUMBER(N49),ISNUMBER(O49)),O49-N49,"")</x:f>
      </x:c>
      <x:c r="Q49" s="3"/>
      <x:c r="R49" s="19" t="str">
        <x:f>IF(A49="","",IF(COUNTIFS('预测登记'!$A$7:$A$306,A49)&lt;&gt;1,"编号重复",IF(COUNTIFS('问题总览'!$A$7:$A$306,B49)&lt;&gt;1,"问题引用无效",IF(COUNTIFS('方案版本'!$A$7:$A$306,C49,'方案版本'!$B$7:$B$306,B49,'方案版本'!$L$7:$L$306,"已冻结")&lt;&gt;1,"方案引用无效",IF(OR(NOT(ISNUMBER(D49)),NOT(ISNUMBER(E49)),F49="",I49="",M49="",Q49=""),"待补预测信息",IF(D49&gt;E49,"非事前到期登记",IF(OR(AND(G49&lt;&gt;"",OR(NOT(ISNUMBER(G49)),G49&lt;0,G49&gt;1)),AND(H49&lt;&gt;"",OR(NOT(ISNUMBER(H49)),H49&lt;0,H49&gt;1))),"概率无效",IF(AND(I49="已判定",OR(NOT(ISNUMBER(J49)),AND(J49&lt;&gt;0,J49&lt;&gt;1),NOT(ISNUMBER(K49)),L49="")),"待补判定证据",IF(AND(I49="已判定",D49&gt;K49),"事后补录不评分","有效输入")))))))))</x:f>
      </x:c>
    </x:row>
    <x:row r="50" ht="25" customHeight="1">
      <x:c r="A50" s="3"/>
      <x:c r="B50" s="3"/>
      <x:c r="C50" s="3"/>
      <x:c r="D50" s="25"/>
      <x:c r="E50" s="25"/>
      <x:c r="F50" s="3"/>
      <x:c r="G50" s="26"/>
      <x:c r="H50" s="26"/>
      <x:c r="I50" s="3"/>
      <x:c r="J50" s="22"/>
      <x:c r="K50" s="25"/>
      <x:c r="L50" s="3"/>
      <x:c r="M50" s="3"/>
      <x:c r="N50" s="24" t="str">
        <x:f>IF(AND(R50="有效输入",I50="已判定",M50="是",ISNUMBER(G50)),(G50-J50)^2,"")</x:f>
      </x:c>
      <x:c r="O50" s="24" t="str">
        <x:f>IF(AND(ISNUMBER(N50),ISNUMBER(H50)),(H50-J50)^2,"")</x:f>
      </x:c>
      <x:c r="P50" s="24" t="str">
        <x:f>IF(AND(ISNUMBER(N50),ISNUMBER(O50)),O50-N50,"")</x:f>
      </x:c>
      <x:c r="Q50" s="3"/>
      <x:c r="R50" s="19" t="str">
        <x:f>IF(A50="","",IF(COUNTIFS('预测登记'!$A$7:$A$306,A50)&lt;&gt;1,"编号重复",IF(COUNTIFS('问题总览'!$A$7:$A$306,B50)&lt;&gt;1,"问题引用无效",IF(COUNTIFS('方案版本'!$A$7:$A$306,C50,'方案版本'!$B$7:$B$306,B50,'方案版本'!$L$7:$L$306,"已冻结")&lt;&gt;1,"方案引用无效",IF(OR(NOT(ISNUMBER(D50)),NOT(ISNUMBER(E50)),F50="",I50="",M50="",Q50=""),"待补预测信息",IF(D50&gt;E50,"非事前到期登记",IF(OR(AND(G50&lt;&gt;"",OR(NOT(ISNUMBER(G50)),G50&lt;0,G50&gt;1)),AND(H50&lt;&gt;"",OR(NOT(ISNUMBER(H50)),H50&lt;0,H50&gt;1))),"概率无效",IF(AND(I50="已判定",OR(NOT(ISNUMBER(J50)),AND(J50&lt;&gt;0,J50&lt;&gt;1),NOT(ISNUMBER(K50)),L50="")),"待补判定证据",IF(AND(I50="已判定",D50&gt;K50),"事后补录不评分","有效输入")))))))))</x:f>
      </x:c>
    </x:row>
    <x:row r="51" ht="25" customHeight="1">
      <x:c r="A51" s="3"/>
      <x:c r="B51" s="3"/>
      <x:c r="C51" s="3"/>
      <x:c r="D51" s="25"/>
      <x:c r="E51" s="25"/>
      <x:c r="F51" s="3"/>
      <x:c r="G51" s="26"/>
      <x:c r="H51" s="26"/>
      <x:c r="I51" s="3"/>
      <x:c r="J51" s="22"/>
      <x:c r="K51" s="25"/>
      <x:c r="L51" s="3"/>
      <x:c r="M51" s="3"/>
      <x:c r="N51" s="24" t="str">
        <x:f>IF(AND(R51="有效输入",I51="已判定",M51="是",ISNUMBER(G51)),(G51-J51)^2,"")</x:f>
      </x:c>
      <x:c r="O51" s="24" t="str">
        <x:f>IF(AND(ISNUMBER(N51),ISNUMBER(H51)),(H51-J51)^2,"")</x:f>
      </x:c>
      <x:c r="P51" s="24" t="str">
        <x:f>IF(AND(ISNUMBER(N51),ISNUMBER(O51)),O51-N51,"")</x:f>
      </x:c>
      <x:c r="Q51" s="3"/>
      <x:c r="R51" s="19" t="str">
        <x:f>IF(A51="","",IF(COUNTIFS('预测登记'!$A$7:$A$306,A51)&lt;&gt;1,"编号重复",IF(COUNTIFS('问题总览'!$A$7:$A$306,B51)&lt;&gt;1,"问题引用无效",IF(COUNTIFS('方案版本'!$A$7:$A$306,C51,'方案版本'!$B$7:$B$306,B51,'方案版本'!$L$7:$L$306,"已冻结")&lt;&gt;1,"方案引用无效",IF(OR(NOT(ISNUMBER(D51)),NOT(ISNUMBER(E51)),F51="",I51="",M51="",Q51=""),"待补预测信息",IF(D51&gt;E51,"非事前到期登记",IF(OR(AND(G51&lt;&gt;"",OR(NOT(ISNUMBER(G51)),G51&lt;0,G51&gt;1)),AND(H51&lt;&gt;"",OR(NOT(ISNUMBER(H51)),H51&lt;0,H51&gt;1))),"概率无效",IF(AND(I51="已判定",OR(NOT(ISNUMBER(J51)),AND(J51&lt;&gt;0,J51&lt;&gt;1),NOT(ISNUMBER(K51)),L51="")),"待补判定证据",IF(AND(I51="已判定",D51&gt;K51),"事后补录不评分","有效输入")))))))))</x:f>
      </x:c>
    </x:row>
    <x:row r="52" ht="25" customHeight="1">
      <x:c r="A52" s="3"/>
      <x:c r="B52" s="3"/>
      <x:c r="C52" s="3"/>
      <x:c r="D52" s="25"/>
      <x:c r="E52" s="25"/>
      <x:c r="F52" s="3"/>
      <x:c r="G52" s="26"/>
      <x:c r="H52" s="26"/>
      <x:c r="I52" s="3"/>
      <x:c r="J52" s="22"/>
      <x:c r="K52" s="25"/>
      <x:c r="L52" s="3"/>
      <x:c r="M52" s="3"/>
      <x:c r="N52" s="24" t="str">
        <x:f>IF(AND(R52="有效输入",I52="已判定",M52="是",ISNUMBER(G52)),(G52-J52)^2,"")</x:f>
      </x:c>
      <x:c r="O52" s="24" t="str">
        <x:f>IF(AND(ISNUMBER(N52),ISNUMBER(H52)),(H52-J52)^2,"")</x:f>
      </x:c>
      <x:c r="P52" s="24" t="str">
        <x:f>IF(AND(ISNUMBER(N52),ISNUMBER(O52)),O52-N52,"")</x:f>
      </x:c>
      <x:c r="Q52" s="3"/>
      <x:c r="R52" s="19" t="str">
        <x:f>IF(A52="","",IF(COUNTIFS('预测登记'!$A$7:$A$306,A52)&lt;&gt;1,"编号重复",IF(COUNTIFS('问题总览'!$A$7:$A$306,B52)&lt;&gt;1,"问题引用无效",IF(COUNTIFS('方案版本'!$A$7:$A$306,C52,'方案版本'!$B$7:$B$306,B52,'方案版本'!$L$7:$L$306,"已冻结")&lt;&gt;1,"方案引用无效",IF(OR(NOT(ISNUMBER(D52)),NOT(ISNUMBER(E52)),F52="",I52="",M52="",Q52=""),"待补预测信息",IF(D52&gt;E52,"非事前到期登记",IF(OR(AND(G52&lt;&gt;"",OR(NOT(ISNUMBER(G52)),G52&lt;0,G52&gt;1)),AND(H52&lt;&gt;"",OR(NOT(ISNUMBER(H52)),H52&lt;0,H52&gt;1))),"概率无效",IF(AND(I52="已判定",OR(NOT(ISNUMBER(J52)),AND(J52&lt;&gt;0,J52&lt;&gt;1),NOT(ISNUMBER(K52)),L52="")),"待补判定证据",IF(AND(I52="已判定",D52&gt;K52),"事后补录不评分","有效输入")))))))))</x:f>
      </x:c>
    </x:row>
    <x:row r="53" ht="25" customHeight="1">
      <x:c r="A53" s="3"/>
      <x:c r="B53" s="3"/>
      <x:c r="C53" s="3"/>
      <x:c r="D53" s="25"/>
      <x:c r="E53" s="25"/>
      <x:c r="F53" s="3"/>
      <x:c r="G53" s="26"/>
      <x:c r="H53" s="26"/>
      <x:c r="I53" s="3"/>
      <x:c r="J53" s="22"/>
      <x:c r="K53" s="25"/>
      <x:c r="L53" s="3"/>
      <x:c r="M53" s="3"/>
      <x:c r="N53" s="24" t="str">
        <x:f>IF(AND(R53="有效输入",I53="已判定",M53="是",ISNUMBER(G53)),(G53-J53)^2,"")</x:f>
      </x:c>
      <x:c r="O53" s="24" t="str">
        <x:f>IF(AND(ISNUMBER(N53),ISNUMBER(H53)),(H53-J53)^2,"")</x:f>
      </x:c>
      <x:c r="P53" s="24" t="str">
        <x:f>IF(AND(ISNUMBER(N53),ISNUMBER(O53)),O53-N53,"")</x:f>
      </x:c>
      <x:c r="Q53" s="3"/>
      <x:c r="R53" s="19" t="str">
        <x:f>IF(A53="","",IF(COUNTIFS('预测登记'!$A$7:$A$306,A53)&lt;&gt;1,"编号重复",IF(COUNTIFS('问题总览'!$A$7:$A$306,B53)&lt;&gt;1,"问题引用无效",IF(COUNTIFS('方案版本'!$A$7:$A$306,C53,'方案版本'!$B$7:$B$306,B53,'方案版本'!$L$7:$L$306,"已冻结")&lt;&gt;1,"方案引用无效",IF(OR(NOT(ISNUMBER(D53)),NOT(ISNUMBER(E53)),F53="",I53="",M53="",Q53=""),"待补预测信息",IF(D53&gt;E53,"非事前到期登记",IF(OR(AND(G53&lt;&gt;"",OR(NOT(ISNUMBER(G53)),G53&lt;0,G53&gt;1)),AND(H53&lt;&gt;"",OR(NOT(ISNUMBER(H53)),H53&lt;0,H53&gt;1))),"概率无效",IF(AND(I53="已判定",OR(NOT(ISNUMBER(J53)),AND(J53&lt;&gt;0,J53&lt;&gt;1),NOT(ISNUMBER(K53)),L53="")),"待补判定证据",IF(AND(I53="已判定",D53&gt;K53),"事后补录不评分","有效输入")))))))))</x:f>
      </x:c>
    </x:row>
    <x:row r="54" ht="25" customHeight="1">
      <x:c r="A54" s="3"/>
      <x:c r="B54" s="3"/>
      <x:c r="C54" s="3"/>
      <x:c r="D54" s="25"/>
      <x:c r="E54" s="25"/>
      <x:c r="F54" s="3"/>
      <x:c r="G54" s="26"/>
      <x:c r="H54" s="26"/>
      <x:c r="I54" s="3"/>
      <x:c r="J54" s="22"/>
      <x:c r="K54" s="25"/>
      <x:c r="L54" s="3"/>
      <x:c r="M54" s="3"/>
      <x:c r="N54" s="24" t="str">
        <x:f>IF(AND(R54="有效输入",I54="已判定",M54="是",ISNUMBER(G54)),(G54-J54)^2,"")</x:f>
      </x:c>
      <x:c r="O54" s="24" t="str">
        <x:f>IF(AND(ISNUMBER(N54),ISNUMBER(H54)),(H54-J54)^2,"")</x:f>
      </x:c>
      <x:c r="P54" s="24" t="str">
        <x:f>IF(AND(ISNUMBER(N54),ISNUMBER(O54)),O54-N54,"")</x:f>
      </x:c>
      <x:c r="Q54" s="3"/>
      <x:c r="R54" s="19" t="str">
        <x:f>IF(A54="","",IF(COUNTIFS('预测登记'!$A$7:$A$306,A54)&lt;&gt;1,"编号重复",IF(COUNTIFS('问题总览'!$A$7:$A$306,B54)&lt;&gt;1,"问题引用无效",IF(COUNTIFS('方案版本'!$A$7:$A$306,C54,'方案版本'!$B$7:$B$306,B54,'方案版本'!$L$7:$L$306,"已冻结")&lt;&gt;1,"方案引用无效",IF(OR(NOT(ISNUMBER(D54)),NOT(ISNUMBER(E54)),F54="",I54="",M54="",Q54=""),"待补预测信息",IF(D54&gt;E54,"非事前到期登记",IF(OR(AND(G54&lt;&gt;"",OR(NOT(ISNUMBER(G54)),G54&lt;0,G54&gt;1)),AND(H54&lt;&gt;"",OR(NOT(ISNUMBER(H54)),H54&lt;0,H54&gt;1))),"概率无效",IF(AND(I54="已判定",OR(NOT(ISNUMBER(J54)),AND(J54&lt;&gt;0,J54&lt;&gt;1),NOT(ISNUMBER(K54)),L54="")),"待补判定证据",IF(AND(I54="已判定",D54&gt;K54),"事后补录不评分","有效输入")))))))))</x:f>
      </x:c>
    </x:row>
    <x:row r="55" ht="25" customHeight="1">
      <x:c r="A55" s="3"/>
      <x:c r="B55" s="3"/>
      <x:c r="C55" s="3"/>
      <x:c r="D55" s="25"/>
      <x:c r="E55" s="25"/>
      <x:c r="F55" s="3"/>
      <x:c r="G55" s="26"/>
      <x:c r="H55" s="26"/>
      <x:c r="I55" s="3"/>
      <x:c r="J55" s="22"/>
      <x:c r="K55" s="25"/>
      <x:c r="L55" s="3"/>
      <x:c r="M55" s="3"/>
      <x:c r="N55" s="24" t="str">
        <x:f>IF(AND(R55="有效输入",I55="已判定",M55="是",ISNUMBER(G55)),(G55-J55)^2,"")</x:f>
      </x:c>
      <x:c r="O55" s="24" t="str">
        <x:f>IF(AND(ISNUMBER(N55),ISNUMBER(H55)),(H55-J55)^2,"")</x:f>
      </x:c>
      <x:c r="P55" s="24" t="str">
        <x:f>IF(AND(ISNUMBER(N55),ISNUMBER(O55)),O55-N55,"")</x:f>
      </x:c>
      <x:c r="Q55" s="3"/>
      <x:c r="R55" s="19" t="str">
        <x:f>IF(A55="","",IF(COUNTIFS('预测登记'!$A$7:$A$306,A55)&lt;&gt;1,"编号重复",IF(COUNTIFS('问题总览'!$A$7:$A$306,B55)&lt;&gt;1,"问题引用无效",IF(COUNTIFS('方案版本'!$A$7:$A$306,C55,'方案版本'!$B$7:$B$306,B55,'方案版本'!$L$7:$L$306,"已冻结")&lt;&gt;1,"方案引用无效",IF(OR(NOT(ISNUMBER(D55)),NOT(ISNUMBER(E55)),F55="",I55="",M55="",Q55=""),"待补预测信息",IF(D55&gt;E55,"非事前到期登记",IF(OR(AND(G55&lt;&gt;"",OR(NOT(ISNUMBER(G55)),G55&lt;0,G55&gt;1)),AND(H55&lt;&gt;"",OR(NOT(ISNUMBER(H55)),H55&lt;0,H55&gt;1))),"概率无效",IF(AND(I55="已判定",OR(NOT(ISNUMBER(J55)),AND(J55&lt;&gt;0,J55&lt;&gt;1),NOT(ISNUMBER(K55)),L55="")),"待补判定证据",IF(AND(I55="已判定",D55&gt;K55),"事后补录不评分","有效输入")))))))))</x:f>
      </x:c>
    </x:row>
    <x:row r="56" ht="25" customHeight="1">
      <x:c r="A56" s="3"/>
      <x:c r="B56" s="3"/>
      <x:c r="C56" s="3"/>
      <x:c r="D56" s="25"/>
      <x:c r="E56" s="25"/>
      <x:c r="F56" s="3"/>
      <x:c r="G56" s="26"/>
      <x:c r="H56" s="26"/>
      <x:c r="I56" s="3"/>
      <x:c r="J56" s="22"/>
      <x:c r="K56" s="25"/>
      <x:c r="L56" s="3"/>
      <x:c r="M56" s="3"/>
      <x:c r="N56" s="24" t="str">
        <x:f>IF(AND(R56="有效输入",I56="已判定",M56="是",ISNUMBER(G56)),(G56-J56)^2,"")</x:f>
      </x:c>
      <x:c r="O56" s="24" t="str">
        <x:f>IF(AND(ISNUMBER(N56),ISNUMBER(H56)),(H56-J56)^2,"")</x:f>
      </x:c>
      <x:c r="P56" s="24" t="str">
        <x:f>IF(AND(ISNUMBER(N56),ISNUMBER(O56)),O56-N56,"")</x:f>
      </x:c>
      <x:c r="Q56" s="3"/>
      <x:c r="R56" s="19" t="str">
        <x:f>IF(A56="","",IF(COUNTIFS('预测登记'!$A$7:$A$306,A56)&lt;&gt;1,"编号重复",IF(COUNTIFS('问题总览'!$A$7:$A$306,B56)&lt;&gt;1,"问题引用无效",IF(COUNTIFS('方案版本'!$A$7:$A$306,C56,'方案版本'!$B$7:$B$306,B56,'方案版本'!$L$7:$L$306,"已冻结")&lt;&gt;1,"方案引用无效",IF(OR(NOT(ISNUMBER(D56)),NOT(ISNUMBER(E56)),F56="",I56="",M56="",Q56=""),"待补预测信息",IF(D56&gt;E56,"非事前到期登记",IF(OR(AND(G56&lt;&gt;"",OR(NOT(ISNUMBER(G56)),G56&lt;0,G56&gt;1)),AND(H56&lt;&gt;"",OR(NOT(ISNUMBER(H56)),H56&lt;0,H56&gt;1))),"概率无效",IF(AND(I56="已判定",OR(NOT(ISNUMBER(J56)),AND(J56&lt;&gt;0,J56&lt;&gt;1),NOT(ISNUMBER(K56)),L56="")),"待补判定证据",IF(AND(I56="已判定",D56&gt;K56),"事后补录不评分","有效输入")))))))))</x:f>
      </x:c>
    </x:row>
    <x:row r="57" ht="25" customHeight="1">
      <x:c r="A57" s="3"/>
      <x:c r="B57" s="3"/>
      <x:c r="C57" s="3"/>
      <x:c r="D57" s="25"/>
      <x:c r="E57" s="25"/>
      <x:c r="F57" s="3"/>
      <x:c r="G57" s="26"/>
      <x:c r="H57" s="26"/>
      <x:c r="I57" s="3"/>
      <x:c r="J57" s="22"/>
      <x:c r="K57" s="25"/>
      <x:c r="L57" s="3"/>
      <x:c r="M57" s="3"/>
      <x:c r="N57" s="24" t="str">
        <x:f>IF(AND(R57="有效输入",I57="已判定",M57="是",ISNUMBER(G57)),(G57-J57)^2,"")</x:f>
      </x:c>
      <x:c r="O57" s="24" t="str">
        <x:f>IF(AND(ISNUMBER(N57),ISNUMBER(H57)),(H57-J57)^2,"")</x:f>
      </x:c>
      <x:c r="P57" s="24" t="str">
        <x:f>IF(AND(ISNUMBER(N57),ISNUMBER(O57)),O57-N57,"")</x:f>
      </x:c>
      <x:c r="Q57" s="3"/>
      <x:c r="R57" s="19" t="str">
        <x:f>IF(A57="","",IF(COUNTIFS('预测登记'!$A$7:$A$306,A57)&lt;&gt;1,"编号重复",IF(COUNTIFS('问题总览'!$A$7:$A$306,B57)&lt;&gt;1,"问题引用无效",IF(COUNTIFS('方案版本'!$A$7:$A$306,C57,'方案版本'!$B$7:$B$306,B57,'方案版本'!$L$7:$L$306,"已冻结")&lt;&gt;1,"方案引用无效",IF(OR(NOT(ISNUMBER(D57)),NOT(ISNUMBER(E57)),F57="",I57="",M57="",Q57=""),"待补预测信息",IF(D57&gt;E57,"非事前到期登记",IF(OR(AND(G57&lt;&gt;"",OR(NOT(ISNUMBER(G57)),G57&lt;0,G57&gt;1)),AND(H57&lt;&gt;"",OR(NOT(ISNUMBER(H57)),H57&lt;0,H57&gt;1))),"概率无效",IF(AND(I57="已判定",OR(NOT(ISNUMBER(J57)),AND(J57&lt;&gt;0,J57&lt;&gt;1),NOT(ISNUMBER(K57)),L57="")),"待补判定证据",IF(AND(I57="已判定",D57&gt;K57),"事后补录不评分","有效输入")))))))))</x:f>
      </x:c>
    </x:row>
    <x:row r="58" ht="25" customHeight="1">
      <x:c r="A58" s="3"/>
      <x:c r="B58" s="3"/>
      <x:c r="C58" s="3"/>
      <x:c r="D58" s="25"/>
      <x:c r="E58" s="25"/>
      <x:c r="F58" s="3"/>
      <x:c r="G58" s="26"/>
      <x:c r="H58" s="26"/>
      <x:c r="I58" s="3"/>
      <x:c r="J58" s="22"/>
      <x:c r="K58" s="25"/>
      <x:c r="L58" s="3"/>
      <x:c r="M58" s="3"/>
      <x:c r="N58" s="24" t="str">
        <x:f>IF(AND(R58="有效输入",I58="已判定",M58="是",ISNUMBER(G58)),(G58-J58)^2,"")</x:f>
      </x:c>
      <x:c r="O58" s="24" t="str">
        <x:f>IF(AND(ISNUMBER(N58),ISNUMBER(H58)),(H58-J58)^2,"")</x:f>
      </x:c>
      <x:c r="P58" s="24" t="str">
        <x:f>IF(AND(ISNUMBER(N58),ISNUMBER(O58)),O58-N58,"")</x:f>
      </x:c>
      <x:c r="Q58" s="3"/>
      <x:c r="R58" s="19" t="str">
        <x:f>IF(A58="","",IF(COUNTIFS('预测登记'!$A$7:$A$306,A58)&lt;&gt;1,"编号重复",IF(COUNTIFS('问题总览'!$A$7:$A$306,B58)&lt;&gt;1,"问题引用无效",IF(COUNTIFS('方案版本'!$A$7:$A$306,C58,'方案版本'!$B$7:$B$306,B58,'方案版本'!$L$7:$L$306,"已冻结")&lt;&gt;1,"方案引用无效",IF(OR(NOT(ISNUMBER(D58)),NOT(ISNUMBER(E58)),F58="",I58="",M58="",Q58=""),"待补预测信息",IF(D58&gt;E58,"非事前到期登记",IF(OR(AND(G58&lt;&gt;"",OR(NOT(ISNUMBER(G58)),G58&lt;0,G58&gt;1)),AND(H58&lt;&gt;"",OR(NOT(ISNUMBER(H58)),H58&lt;0,H58&gt;1))),"概率无效",IF(AND(I58="已判定",OR(NOT(ISNUMBER(J58)),AND(J58&lt;&gt;0,J58&lt;&gt;1),NOT(ISNUMBER(K58)),L58="")),"待补判定证据",IF(AND(I58="已判定",D58&gt;K58),"事后补录不评分","有效输入")))))))))</x:f>
      </x:c>
    </x:row>
    <x:row r="59" ht="25" customHeight="1">
      <x:c r="A59" s="3"/>
      <x:c r="B59" s="3"/>
      <x:c r="C59" s="3"/>
      <x:c r="D59" s="25"/>
      <x:c r="E59" s="25"/>
      <x:c r="F59" s="3"/>
      <x:c r="G59" s="26"/>
      <x:c r="H59" s="26"/>
      <x:c r="I59" s="3"/>
      <x:c r="J59" s="22"/>
      <x:c r="K59" s="25"/>
      <x:c r="L59" s="3"/>
      <x:c r="M59" s="3"/>
      <x:c r="N59" s="24" t="str">
        <x:f>IF(AND(R59="有效输入",I59="已判定",M59="是",ISNUMBER(G59)),(G59-J59)^2,"")</x:f>
      </x:c>
      <x:c r="O59" s="24" t="str">
        <x:f>IF(AND(ISNUMBER(N59),ISNUMBER(H59)),(H59-J59)^2,"")</x:f>
      </x:c>
      <x:c r="P59" s="24" t="str">
        <x:f>IF(AND(ISNUMBER(N59),ISNUMBER(O59)),O59-N59,"")</x:f>
      </x:c>
      <x:c r="Q59" s="3"/>
      <x:c r="R59" s="19" t="str">
        <x:f>IF(A59="","",IF(COUNTIFS('预测登记'!$A$7:$A$306,A59)&lt;&gt;1,"编号重复",IF(COUNTIFS('问题总览'!$A$7:$A$306,B59)&lt;&gt;1,"问题引用无效",IF(COUNTIFS('方案版本'!$A$7:$A$306,C59,'方案版本'!$B$7:$B$306,B59,'方案版本'!$L$7:$L$306,"已冻结")&lt;&gt;1,"方案引用无效",IF(OR(NOT(ISNUMBER(D59)),NOT(ISNUMBER(E59)),F59="",I59="",M59="",Q59=""),"待补预测信息",IF(D59&gt;E59,"非事前到期登记",IF(OR(AND(G59&lt;&gt;"",OR(NOT(ISNUMBER(G59)),G59&lt;0,G59&gt;1)),AND(H59&lt;&gt;"",OR(NOT(ISNUMBER(H59)),H59&lt;0,H59&gt;1))),"概率无效",IF(AND(I59="已判定",OR(NOT(ISNUMBER(J59)),AND(J59&lt;&gt;0,J59&lt;&gt;1),NOT(ISNUMBER(K59)),L59="")),"待补判定证据",IF(AND(I59="已判定",D59&gt;K59),"事后补录不评分","有效输入")))))))))</x:f>
      </x:c>
    </x:row>
    <x:row r="60" ht="25" customHeight="1">
      <x:c r="A60" s="3"/>
      <x:c r="B60" s="3"/>
      <x:c r="C60" s="3"/>
      <x:c r="D60" s="25"/>
      <x:c r="E60" s="25"/>
      <x:c r="F60" s="3"/>
      <x:c r="G60" s="26"/>
      <x:c r="H60" s="26"/>
      <x:c r="I60" s="3"/>
      <x:c r="J60" s="22"/>
      <x:c r="K60" s="25"/>
      <x:c r="L60" s="3"/>
      <x:c r="M60" s="3"/>
      <x:c r="N60" s="24" t="str">
        <x:f>IF(AND(R60="有效输入",I60="已判定",M60="是",ISNUMBER(G60)),(G60-J60)^2,"")</x:f>
      </x:c>
      <x:c r="O60" s="24" t="str">
        <x:f>IF(AND(ISNUMBER(N60),ISNUMBER(H60)),(H60-J60)^2,"")</x:f>
      </x:c>
      <x:c r="P60" s="24" t="str">
        <x:f>IF(AND(ISNUMBER(N60),ISNUMBER(O60)),O60-N60,"")</x:f>
      </x:c>
      <x:c r="Q60" s="3"/>
      <x:c r="R60" s="19" t="str">
        <x:f>IF(A60="","",IF(COUNTIFS('预测登记'!$A$7:$A$306,A60)&lt;&gt;1,"编号重复",IF(COUNTIFS('问题总览'!$A$7:$A$306,B60)&lt;&gt;1,"问题引用无效",IF(COUNTIFS('方案版本'!$A$7:$A$306,C60,'方案版本'!$B$7:$B$306,B60,'方案版本'!$L$7:$L$306,"已冻结")&lt;&gt;1,"方案引用无效",IF(OR(NOT(ISNUMBER(D60)),NOT(ISNUMBER(E60)),F60="",I60="",M60="",Q60=""),"待补预测信息",IF(D60&gt;E60,"非事前到期登记",IF(OR(AND(G60&lt;&gt;"",OR(NOT(ISNUMBER(G60)),G60&lt;0,G60&gt;1)),AND(H60&lt;&gt;"",OR(NOT(ISNUMBER(H60)),H60&lt;0,H60&gt;1))),"概率无效",IF(AND(I60="已判定",OR(NOT(ISNUMBER(J60)),AND(J60&lt;&gt;0,J60&lt;&gt;1),NOT(ISNUMBER(K60)),L60="")),"待补判定证据",IF(AND(I60="已判定",D60&gt;K60),"事后补录不评分","有效输入")))))))))</x:f>
      </x:c>
    </x:row>
    <x:row r="61" ht="25" customHeight="1">
      <x:c r="A61" s="3"/>
      <x:c r="B61" s="3"/>
      <x:c r="C61" s="3"/>
      <x:c r="D61" s="25"/>
      <x:c r="E61" s="25"/>
      <x:c r="F61" s="3"/>
      <x:c r="G61" s="26"/>
      <x:c r="H61" s="26"/>
      <x:c r="I61" s="3"/>
      <x:c r="J61" s="22"/>
      <x:c r="K61" s="25"/>
      <x:c r="L61" s="3"/>
      <x:c r="M61" s="3"/>
      <x:c r="N61" s="24" t="str">
        <x:f>IF(AND(R61="有效输入",I61="已判定",M61="是",ISNUMBER(G61)),(G61-J61)^2,"")</x:f>
      </x:c>
      <x:c r="O61" s="24" t="str">
        <x:f>IF(AND(ISNUMBER(N61),ISNUMBER(H61)),(H61-J61)^2,"")</x:f>
      </x:c>
      <x:c r="P61" s="24" t="str">
        <x:f>IF(AND(ISNUMBER(N61),ISNUMBER(O61)),O61-N61,"")</x:f>
      </x:c>
      <x:c r="Q61" s="3"/>
      <x:c r="R61" s="19" t="str">
        <x:f>IF(A61="","",IF(COUNTIFS('预测登记'!$A$7:$A$306,A61)&lt;&gt;1,"编号重复",IF(COUNTIFS('问题总览'!$A$7:$A$306,B61)&lt;&gt;1,"问题引用无效",IF(COUNTIFS('方案版本'!$A$7:$A$306,C61,'方案版本'!$B$7:$B$306,B61,'方案版本'!$L$7:$L$306,"已冻结")&lt;&gt;1,"方案引用无效",IF(OR(NOT(ISNUMBER(D61)),NOT(ISNUMBER(E61)),F61="",I61="",M61="",Q61=""),"待补预测信息",IF(D61&gt;E61,"非事前到期登记",IF(OR(AND(G61&lt;&gt;"",OR(NOT(ISNUMBER(G61)),G61&lt;0,G61&gt;1)),AND(H61&lt;&gt;"",OR(NOT(ISNUMBER(H61)),H61&lt;0,H61&gt;1))),"概率无效",IF(AND(I61="已判定",OR(NOT(ISNUMBER(J61)),AND(J61&lt;&gt;0,J61&lt;&gt;1),NOT(ISNUMBER(K61)),L61="")),"待补判定证据",IF(AND(I61="已判定",D61&gt;K61),"事后补录不评分","有效输入")))))))))</x:f>
      </x:c>
    </x:row>
    <x:row r="62" ht="25" customHeight="1">
      <x:c r="A62" s="3"/>
      <x:c r="B62" s="3"/>
      <x:c r="C62" s="3"/>
      <x:c r="D62" s="25"/>
      <x:c r="E62" s="25"/>
      <x:c r="F62" s="3"/>
      <x:c r="G62" s="26"/>
      <x:c r="H62" s="26"/>
      <x:c r="I62" s="3"/>
      <x:c r="J62" s="22"/>
      <x:c r="K62" s="25"/>
      <x:c r="L62" s="3"/>
      <x:c r="M62" s="3"/>
      <x:c r="N62" s="24" t="str">
        <x:f>IF(AND(R62="有效输入",I62="已判定",M62="是",ISNUMBER(G62)),(G62-J62)^2,"")</x:f>
      </x:c>
      <x:c r="O62" s="24" t="str">
        <x:f>IF(AND(ISNUMBER(N62),ISNUMBER(H62)),(H62-J62)^2,"")</x:f>
      </x:c>
      <x:c r="P62" s="24" t="str">
        <x:f>IF(AND(ISNUMBER(N62),ISNUMBER(O62)),O62-N62,"")</x:f>
      </x:c>
      <x:c r="Q62" s="3"/>
      <x:c r="R62" s="19" t="str">
        <x:f>IF(A62="","",IF(COUNTIFS('预测登记'!$A$7:$A$306,A62)&lt;&gt;1,"编号重复",IF(COUNTIFS('问题总览'!$A$7:$A$306,B62)&lt;&gt;1,"问题引用无效",IF(COUNTIFS('方案版本'!$A$7:$A$306,C62,'方案版本'!$B$7:$B$306,B62,'方案版本'!$L$7:$L$306,"已冻结")&lt;&gt;1,"方案引用无效",IF(OR(NOT(ISNUMBER(D62)),NOT(ISNUMBER(E62)),F62="",I62="",M62="",Q62=""),"待补预测信息",IF(D62&gt;E62,"非事前到期登记",IF(OR(AND(G62&lt;&gt;"",OR(NOT(ISNUMBER(G62)),G62&lt;0,G62&gt;1)),AND(H62&lt;&gt;"",OR(NOT(ISNUMBER(H62)),H62&lt;0,H62&gt;1))),"概率无效",IF(AND(I62="已判定",OR(NOT(ISNUMBER(J62)),AND(J62&lt;&gt;0,J62&lt;&gt;1),NOT(ISNUMBER(K62)),L62="")),"待补判定证据",IF(AND(I62="已判定",D62&gt;K62),"事后补录不评分","有效输入")))))))))</x:f>
      </x:c>
    </x:row>
    <x:row r="63" ht="25" customHeight="1">
      <x:c r="A63" s="3"/>
      <x:c r="B63" s="3"/>
      <x:c r="C63" s="3"/>
      <x:c r="D63" s="25"/>
      <x:c r="E63" s="25"/>
      <x:c r="F63" s="3"/>
      <x:c r="G63" s="26"/>
      <x:c r="H63" s="26"/>
      <x:c r="I63" s="3"/>
      <x:c r="J63" s="22"/>
      <x:c r="K63" s="25"/>
      <x:c r="L63" s="3"/>
      <x:c r="M63" s="3"/>
      <x:c r="N63" s="24" t="str">
        <x:f>IF(AND(R63="有效输入",I63="已判定",M63="是",ISNUMBER(G63)),(G63-J63)^2,"")</x:f>
      </x:c>
      <x:c r="O63" s="24" t="str">
        <x:f>IF(AND(ISNUMBER(N63),ISNUMBER(H63)),(H63-J63)^2,"")</x:f>
      </x:c>
      <x:c r="P63" s="24" t="str">
        <x:f>IF(AND(ISNUMBER(N63),ISNUMBER(O63)),O63-N63,"")</x:f>
      </x:c>
      <x:c r="Q63" s="3"/>
      <x:c r="R63" s="19" t="str">
        <x:f>IF(A63="","",IF(COUNTIFS('预测登记'!$A$7:$A$306,A63)&lt;&gt;1,"编号重复",IF(COUNTIFS('问题总览'!$A$7:$A$306,B63)&lt;&gt;1,"问题引用无效",IF(COUNTIFS('方案版本'!$A$7:$A$306,C63,'方案版本'!$B$7:$B$306,B63,'方案版本'!$L$7:$L$306,"已冻结")&lt;&gt;1,"方案引用无效",IF(OR(NOT(ISNUMBER(D63)),NOT(ISNUMBER(E63)),F63="",I63="",M63="",Q63=""),"待补预测信息",IF(D63&gt;E63,"非事前到期登记",IF(OR(AND(G63&lt;&gt;"",OR(NOT(ISNUMBER(G63)),G63&lt;0,G63&gt;1)),AND(H63&lt;&gt;"",OR(NOT(ISNUMBER(H63)),H63&lt;0,H63&gt;1))),"概率无效",IF(AND(I63="已判定",OR(NOT(ISNUMBER(J63)),AND(J63&lt;&gt;0,J63&lt;&gt;1),NOT(ISNUMBER(K63)),L63="")),"待补判定证据",IF(AND(I63="已判定",D63&gt;K63),"事后补录不评分","有效输入")))))))))</x:f>
      </x:c>
    </x:row>
    <x:row r="64" ht="25" customHeight="1">
      <x:c r="A64" s="3"/>
      <x:c r="B64" s="3"/>
      <x:c r="C64" s="3"/>
      <x:c r="D64" s="25"/>
      <x:c r="E64" s="25"/>
      <x:c r="F64" s="3"/>
      <x:c r="G64" s="26"/>
      <x:c r="H64" s="26"/>
      <x:c r="I64" s="3"/>
      <x:c r="J64" s="22"/>
      <x:c r="K64" s="25"/>
      <x:c r="L64" s="3"/>
      <x:c r="M64" s="3"/>
      <x:c r="N64" s="24" t="str">
        <x:f>IF(AND(R64="有效输入",I64="已判定",M64="是",ISNUMBER(G64)),(G64-J64)^2,"")</x:f>
      </x:c>
      <x:c r="O64" s="24" t="str">
        <x:f>IF(AND(ISNUMBER(N64),ISNUMBER(H64)),(H64-J64)^2,"")</x:f>
      </x:c>
      <x:c r="P64" s="24" t="str">
        <x:f>IF(AND(ISNUMBER(N64),ISNUMBER(O64)),O64-N64,"")</x:f>
      </x:c>
      <x:c r="Q64" s="3"/>
      <x:c r="R64" s="19" t="str">
        <x:f>IF(A64="","",IF(COUNTIFS('预测登记'!$A$7:$A$306,A64)&lt;&gt;1,"编号重复",IF(COUNTIFS('问题总览'!$A$7:$A$306,B64)&lt;&gt;1,"问题引用无效",IF(COUNTIFS('方案版本'!$A$7:$A$306,C64,'方案版本'!$B$7:$B$306,B64,'方案版本'!$L$7:$L$306,"已冻结")&lt;&gt;1,"方案引用无效",IF(OR(NOT(ISNUMBER(D64)),NOT(ISNUMBER(E64)),F64="",I64="",M64="",Q64=""),"待补预测信息",IF(D64&gt;E64,"非事前到期登记",IF(OR(AND(G64&lt;&gt;"",OR(NOT(ISNUMBER(G64)),G64&lt;0,G64&gt;1)),AND(H64&lt;&gt;"",OR(NOT(ISNUMBER(H64)),H64&lt;0,H64&gt;1))),"概率无效",IF(AND(I64="已判定",OR(NOT(ISNUMBER(J64)),AND(J64&lt;&gt;0,J64&lt;&gt;1),NOT(ISNUMBER(K64)),L64="")),"待补判定证据",IF(AND(I64="已判定",D64&gt;K64),"事后补录不评分","有效输入")))))))))</x:f>
      </x:c>
    </x:row>
    <x:row r="65" ht="25" customHeight="1">
      <x:c r="A65" s="3"/>
      <x:c r="B65" s="3"/>
      <x:c r="C65" s="3"/>
      <x:c r="D65" s="25"/>
      <x:c r="E65" s="25"/>
      <x:c r="F65" s="3"/>
      <x:c r="G65" s="26"/>
      <x:c r="H65" s="26"/>
      <x:c r="I65" s="3"/>
      <x:c r="J65" s="22"/>
      <x:c r="K65" s="25"/>
      <x:c r="L65" s="3"/>
      <x:c r="M65" s="3"/>
      <x:c r="N65" s="24" t="str">
        <x:f>IF(AND(R65="有效输入",I65="已判定",M65="是",ISNUMBER(G65)),(G65-J65)^2,"")</x:f>
      </x:c>
      <x:c r="O65" s="24" t="str">
        <x:f>IF(AND(ISNUMBER(N65),ISNUMBER(H65)),(H65-J65)^2,"")</x:f>
      </x:c>
      <x:c r="P65" s="24" t="str">
        <x:f>IF(AND(ISNUMBER(N65),ISNUMBER(O65)),O65-N65,"")</x:f>
      </x:c>
      <x:c r="Q65" s="3"/>
      <x:c r="R65" s="19" t="str">
        <x:f>IF(A65="","",IF(COUNTIFS('预测登记'!$A$7:$A$306,A65)&lt;&gt;1,"编号重复",IF(COUNTIFS('问题总览'!$A$7:$A$306,B65)&lt;&gt;1,"问题引用无效",IF(COUNTIFS('方案版本'!$A$7:$A$306,C65,'方案版本'!$B$7:$B$306,B65,'方案版本'!$L$7:$L$306,"已冻结")&lt;&gt;1,"方案引用无效",IF(OR(NOT(ISNUMBER(D65)),NOT(ISNUMBER(E65)),F65="",I65="",M65="",Q65=""),"待补预测信息",IF(D65&gt;E65,"非事前到期登记",IF(OR(AND(G65&lt;&gt;"",OR(NOT(ISNUMBER(G65)),G65&lt;0,G65&gt;1)),AND(H65&lt;&gt;"",OR(NOT(ISNUMBER(H65)),H65&lt;0,H65&gt;1))),"概率无效",IF(AND(I65="已判定",OR(NOT(ISNUMBER(J65)),AND(J65&lt;&gt;0,J65&lt;&gt;1),NOT(ISNUMBER(K65)),L65="")),"待补判定证据",IF(AND(I65="已判定",D65&gt;K65),"事后补录不评分","有效输入")))))))))</x:f>
      </x:c>
    </x:row>
    <x:row r="66" ht="25" customHeight="1">
      <x:c r="A66" s="3"/>
      <x:c r="B66" s="3"/>
      <x:c r="C66" s="3"/>
      <x:c r="D66" s="25"/>
      <x:c r="E66" s="25"/>
      <x:c r="F66" s="3"/>
      <x:c r="G66" s="26"/>
      <x:c r="H66" s="26"/>
      <x:c r="I66" s="3"/>
      <x:c r="J66" s="22"/>
      <x:c r="K66" s="25"/>
      <x:c r="L66" s="3"/>
      <x:c r="M66" s="3"/>
      <x:c r="N66" s="24" t="str">
        <x:f>IF(AND(R66="有效输入",I66="已判定",M66="是",ISNUMBER(G66)),(G66-J66)^2,"")</x:f>
      </x:c>
      <x:c r="O66" s="24" t="str">
        <x:f>IF(AND(ISNUMBER(N66),ISNUMBER(H66)),(H66-J66)^2,"")</x:f>
      </x:c>
      <x:c r="P66" s="24" t="str">
        <x:f>IF(AND(ISNUMBER(N66),ISNUMBER(O66)),O66-N66,"")</x:f>
      </x:c>
      <x:c r="Q66" s="3"/>
      <x:c r="R66" s="19" t="str">
        <x:f>IF(A66="","",IF(COUNTIFS('预测登记'!$A$7:$A$306,A66)&lt;&gt;1,"编号重复",IF(COUNTIFS('问题总览'!$A$7:$A$306,B66)&lt;&gt;1,"问题引用无效",IF(COUNTIFS('方案版本'!$A$7:$A$306,C66,'方案版本'!$B$7:$B$306,B66,'方案版本'!$L$7:$L$306,"已冻结")&lt;&gt;1,"方案引用无效",IF(OR(NOT(ISNUMBER(D66)),NOT(ISNUMBER(E66)),F66="",I66="",M66="",Q66=""),"待补预测信息",IF(D66&gt;E66,"非事前到期登记",IF(OR(AND(G66&lt;&gt;"",OR(NOT(ISNUMBER(G66)),G66&lt;0,G66&gt;1)),AND(H66&lt;&gt;"",OR(NOT(ISNUMBER(H66)),H66&lt;0,H66&gt;1))),"概率无效",IF(AND(I66="已判定",OR(NOT(ISNUMBER(J66)),AND(J66&lt;&gt;0,J66&lt;&gt;1),NOT(ISNUMBER(K66)),L66="")),"待补判定证据",IF(AND(I66="已判定",D66&gt;K66),"事后补录不评分","有效输入")))))))))</x:f>
      </x:c>
    </x:row>
    <x:row r="67" ht="25" customHeight="1">
      <x:c r="A67" s="3"/>
      <x:c r="B67" s="3"/>
      <x:c r="C67" s="3"/>
      <x:c r="D67" s="25"/>
      <x:c r="E67" s="25"/>
      <x:c r="F67" s="3"/>
      <x:c r="G67" s="26"/>
      <x:c r="H67" s="26"/>
      <x:c r="I67" s="3"/>
      <x:c r="J67" s="22"/>
      <x:c r="K67" s="25"/>
      <x:c r="L67" s="3"/>
      <x:c r="M67" s="3"/>
      <x:c r="N67" s="24" t="str">
        <x:f>IF(AND(R67="有效输入",I67="已判定",M67="是",ISNUMBER(G67)),(G67-J67)^2,"")</x:f>
      </x:c>
      <x:c r="O67" s="24" t="str">
        <x:f>IF(AND(ISNUMBER(N67),ISNUMBER(H67)),(H67-J67)^2,"")</x:f>
      </x:c>
      <x:c r="P67" s="24" t="str">
        <x:f>IF(AND(ISNUMBER(N67),ISNUMBER(O67)),O67-N67,"")</x:f>
      </x:c>
      <x:c r="Q67" s="3"/>
      <x:c r="R67" s="19" t="str">
        <x:f>IF(A67="","",IF(COUNTIFS('预测登记'!$A$7:$A$306,A67)&lt;&gt;1,"编号重复",IF(COUNTIFS('问题总览'!$A$7:$A$306,B67)&lt;&gt;1,"问题引用无效",IF(COUNTIFS('方案版本'!$A$7:$A$306,C67,'方案版本'!$B$7:$B$306,B67,'方案版本'!$L$7:$L$306,"已冻结")&lt;&gt;1,"方案引用无效",IF(OR(NOT(ISNUMBER(D67)),NOT(ISNUMBER(E67)),F67="",I67="",M67="",Q67=""),"待补预测信息",IF(D67&gt;E67,"非事前到期登记",IF(OR(AND(G67&lt;&gt;"",OR(NOT(ISNUMBER(G67)),G67&lt;0,G67&gt;1)),AND(H67&lt;&gt;"",OR(NOT(ISNUMBER(H67)),H67&lt;0,H67&gt;1))),"概率无效",IF(AND(I67="已判定",OR(NOT(ISNUMBER(J67)),AND(J67&lt;&gt;0,J67&lt;&gt;1),NOT(ISNUMBER(K67)),L67="")),"待补判定证据",IF(AND(I67="已判定",D67&gt;K67),"事后补录不评分","有效输入")))))))))</x:f>
      </x:c>
    </x:row>
    <x:row r="68" ht="25" customHeight="1">
      <x:c r="A68" s="3"/>
      <x:c r="B68" s="3"/>
      <x:c r="C68" s="3"/>
      <x:c r="D68" s="25"/>
      <x:c r="E68" s="25"/>
      <x:c r="F68" s="3"/>
      <x:c r="G68" s="26"/>
      <x:c r="H68" s="26"/>
      <x:c r="I68" s="3"/>
      <x:c r="J68" s="22"/>
      <x:c r="K68" s="25"/>
      <x:c r="L68" s="3"/>
      <x:c r="M68" s="3"/>
      <x:c r="N68" s="24" t="str">
        <x:f>IF(AND(R68="有效输入",I68="已判定",M68="是",ISNUMBER(G68)),(G68-J68)^2,"")</x:f>
      </x:c>
      <x:c r="O68" s="24" t="str">
        <x:f>IF(AND(ISNUMBER(N68),ISNUMBER(H68)),(H68-J68)^2,"")</x:f>
      </x:c>
      <x:c r="P68" s="24" t="str">
        <x:f>IF(AND(ISNUMBER(N68),ISNUMBER(O68)),O68-N68,"")</x:f>
      </x:c>
      <x:c r="Q68" s="3"/>
      <x:c r="R68" s="19" t="str">
        <x:f>IF(A68="","",IF(COUNTIFS('预测登记'!$A$7:$A$306,A68)&lt;&gt;1,"编号重复",IF(COUNTIFS('问题总览'!$A$7:$A$306,B68)&lt;&gt;1,"问题引用无效",IF(COUNTIFS('方案版本'!$A$7:$A$306,C68,'方案版本'!$B$7:$B$306,B68,'方案版本'!$L$7:$L$306,"已冻结")&lt;&gt;1,"方案引用无效",IF(OR(NOT(ISNUMBER(D68)),NOT(ISNUMBER(E68)),F68="",I68="",M68="",Q68=""),"待补预测信息",IF(D68&gt;E68,"非事前到期登记",IF(OR(AND(G68&lt;&gt;"",OR(NOT(ISNUMBER(G68)),G68&lt;0,G68&gt;1)),AND(H68&lt;&gt;"",OR(NOT(ISNUMBER(H68)),H68&lt;0,H68&gt;1))),"概率无效",IF(AND(I68="已判定",OR(NOT(ISNUMBER(J68)),AND(J68&lt;&gt;0,J68&lt;&gt;1),NOT(ISNUMBER(K68)),L68="")),"待补判定证据",IF(AND(I68="已判定",D68&gt;K68),"事后补录不评分","有效输入")))))))))</x:f>
      </x:c>
    </x:row>
    <x:row r="69" ht="25" customHeight="1">
      <x:c r="A69" s="3"/>
      <x:c r="B69" s="3"/>
      <x:c r="C69" s="3"/>
      <x:c r="D69" s="25"/>
      <x:c r="E69" s="25"/>
      <x:c r="F69" s="3"/>
      <x:c r="G69" s="26"/>
      <x:c r="H69" s="26"/>
      <x:c r="I69" s="3"/>
      <x:c r="J69" s="22"/>
      <x:c r="K69" s="25"/>
      <x:c r="L69" s="3"/>
      <x:c r="M69" s="3"/>
      <x:c r="N69" s="24" t="str">
        <x:f>IF(AND(R69="有效输入",I69="已判定",M69="是",ISNUMBER(G69)),(G69-J69)^2,"")</x:f>
      </x:c>
      <x:c r="O69" s="24" t="str">
        <x:f>IF(AND(ISNUMBER(N69),ISNUMBER(H69)),(H69-J69)^2,"")</x:f>
      </x:c>
      <x:c r="P69" s="24" t="str">
        <x:f>IF(AND(ISNUMBER(N69),ISNUMBER(O69)),O69-N69,"")</x:f>
      </x:c>
      <x:c r="Q69" s="3"/>
      <x:c r="R69" s="19" t="str">
        <x:f>IF(A69="","",IF(COUNTIFS('预测登记'!$A$7:$A$306,A69)&lt;&gt;1,"编号重复",IF(COUNTIFS('问题总览'!$A$7:$A$306,B69)&lt;&gt;1,"问题引用无效",IF(COUNTIFS('方案版本'!$A$7:$A$306,C69,'方案版本'!$B$7:$B$306,B69,'方案版本'!$L$7:$L$306,"已冻结")&lt;&gt;1,"方案引用无效",IF(OR(NOT(ISNUMBER(D69)),NOT(ISNUMBER(E69)),F69="",I69="",M69="",Q69=""),"待补预测信息",IF(D69&gt;E69,"非事前到期登记",IF(OR(AND(G69&lt;&gt;"",OR(NOT(ISNUMBER(G69)),G69&lt;0,G69&gt;1)),AND(H69&lt;&gt;"",OR(NOT(ISNUMBER(H69)),H69&lt;0,H69&gt;1))),"概率无效",IF(AND(I69="已判定",OR(NOT(ISNUMBER(J69)),AND(J69&lt;&gt;0,J69&lt;&gt;1),NOT(ISNUMBER(K69)),L69="")),"待补判定证据",IF(AND(I69="已判定",D69&gt;K69),"事后补录不评分","有效输入")))))))))</x:f>
      </x:c>
    </x:row>
    <x:row r="70" ht="25" customHeight="1">
      <x:c r="A70" s="3"/>
      <x:c r="B70" s="3"/>
      <x:c r="C70" s="3"/>
      <x:c r="D70" s="25"/>
      <x:c r="E70" s="25"/>
      <x:c r="F70" s="3"/>
      <x:c r="G70" s="26"/>
      <x:c r="H70" s="26"/>
      <x:c r="I70" s="3"/>
      <x:c r="J70" s="22"/>
      <x:c r="K70" s="25"/>
      <x:c r="L70" s="3"/>
      <x:c r="M70" s="3"/>
      <x:c r="N70" s="24" t="str">
        <x:f>IF(AND(R70="有效输入",I70="已判定",M70="是",ISNUMBER(G70)),(G70-J70)^2,"")</x:f>
      </x:c>
      <x:c r="O70" s="24" t="str">
        <x:f>IF(AND(ISNUMBER(N70),ISNUMBER(H70)),(H70-J70)^2,"")</x:f>
      </x:c>
      <x:c r="P70" s="24" t="str">
        <x:f>IF(AND(ISNUMBER(N70),ISNUMBER(O70)),O70-N70,"")</x:f>
      </x:c>
      <x:c r="Q70" s="3"/>
      <x:c r="R70" s="19" t="str">
        <x:f>IF(A70="","",IF(COUNTIFS('预测登记'!$A$7:$A$306,A70)&lt;&gt;1,"编号重复",IF(COUNTIFS('问题总览'!$A$7:$A$306,B70)&lt;&gt;1,"问题引用无效",IF(COUNTIFS('方案版本'!$A$7:$A$306,C70,'方案版本'!$B$7:$B$306,B70,'方案版本'!$L$7:$L$306,"已冻结")&lt;&gt;1,"方案引用无效",IF(OR(NOT(ISNUMBER(D70)),NOT(ISNUMBER(E70)),F70="",I70="",M70="",Q70=""),"待补预测信息",IF(D70&gt;E70,"非事前到期登记",IF(OR(AND(G70&lt;&gt;"",OR(NOT(ISNUMBER(G70)),G70&lt;0,G70&gt;1)),AND(H70&lt;&gt;"",OR(NOT(ISNUMBER(H70)),H70&lt;0,H70&gt;1))),"概率无效",IF(AND(I70="已判定",OR(NOT(ISNUMBER(J70)),AND(J70&lt;&gt;0,J70&lt;&gt;1),NOT(ISNUMBER(K70)),L70="")),"待补判定证据",IF(AND(I70="已判定",D70&gt;K70),"事后补录不评分","有效输入")))))))))</x:f>
      </x:c>
    </x:row>
    <x:row r="71" ht="25" customHeight="1">
      <x:c r="A71" s="3"/>
      <x:c r="B71" s="3"/>
      <x:c r="C71" s="3"/>
      <x:c r="D71" s="25"/>
      <x:c r="E71" s="25"/>
      <x:c r="F71" s="3"/>
      <x:c r="G71" s="26"/>
      <x:c r="H71" s="26"/>
      <x:c r="I71" s="3"/>
      <x:c r="J71" s="22"/>
      <x:c r="K71" s="25"/>
      <x:c r="L71" s="3"/>
      <x:c r="M71" s="3"/>
      <x:c r="N71" s="24" t="str">
        <x:f>IF(AND(R71="有效输入",I71="已判定",M71="是",ISNUMBER(G71)),(G71-J71)^2,"")</x:f>
      </x:c>
      <x:c r="O71" s="24" t="str">
        <x:f>IF(AND(ISNUMBER(N71),ISNUMBER(H71)),(H71-J71)^2,"")</x:f>
      </x:c>
      <x:c r="P71" s="24" t="str">
        <x:f>IF(AND(ISNUMBER(N71),ISNUMBER(O71)),O71-N71,"")</x:f>
      </x:c>
      <x:c r="Q71" s="3"/>
      <x:c r="R71" s="19" t="str">
        <x:f>IF(A71="","",IF(COUNTIFS('预测登记'!$A$7:$A$306,A71)&lt;&gt;1,"编号重复",IF(COUNTIFS('问题总览'!$A$7:$A$306,B71)&lt;&gt;1,"问题引用无效",IF(COUNTIFS('方案版本'!$A$7:$A$306,C71,'方案版本'!$B$7:$B$306,B71,'方案版本'!$L$7:$L$306,"已冻结")&lt;&gt;1,"方案引用无效",IF(OR(NOT(ISNUMBER(D71)),NOT(ISNUMBER(E71)),F71="",I71="",M71="",Q71=""),"待补预测信息",IF(D71&gt;E71,"非事前到期登记",IF(OR(AND(G71&lt;&gt;"",OR(NOT(ISNUMBER(G71)),G71&lt;0,G71&gt;1)),AND(H71&lt;&gt;"",OR(NOT(ISNUMBER(H71)),H71&lt;0,H71&gt;1))),"概率无效",IF(AND(I71="已判定",OR(NOT(ISNUMBER(J71)),AND(J71&lt;&gt;0,J71&lt;&gt;1),NOT(ISNUMBER(K71)),L71="")),"待补判定证据",IF(AND(I71="已判定",D71&gt;K71),"事后补录不评分","有效输入")))))))))</x:f>
      </x:c>
    </x:row>
    <x:row r="72" ht="25" customHeight="1">
      <x:c r="A72" s="3"/>
      <x:c r="B72" s="3"/>
      <x:c r="C72" s="3"/>
      <x:c r="D72" s="25"/>
      <x:c r="E72" s="25"/>
      <x:c r="F72" s="3"/>
      <x:c r="G72" s="26"/>
      <x:c r="H72" s="26"/>
      <x:c r="I72" s="3"/>
      <x:c r="J72" s="22"/>
      <x:c r="K72" s="25"/>
      <x:c r="L72" s="3"/>
      <x:c r="M72" s="3"/>
      <x:c r="N72" s="24" t="str">
        <x:f>IF(AND(R72="有效输入",I72="已判定",M72="是",ISNUMBER(G72)),(G72-J72)^2,"")</x:f>
      </x:c>
      <x:c r="O72" s="24" t="str">
        <x:f>IF(AND(ISNUMBER(N72),ISNUMBER(H72)),(H72-J72)^2,"")</x:f>
      </x:c>
      <x:c r="P72" s="24" t="str">
        <x:f>IF(AND(ISNUMBER(N72),ISNUMBER(O72)),O72-N72,"")</x:f>
      </x:c>
      <x:c r="Q72" s="3"/>
      <x:c r="R72" s="19" t="str">
        <x:f>IF(A72="","",IF(COUNTIFS('预测登记'!$A$7:$A$306,A72)&lt;&gt;1,"编号重复",IF(COUNTIFS('问题总览'!$A$7:$A$306,B72)&lt;&gt;1,"问题引用无效",IF(COUNTIFS('方案版本'!$A$7:$A$306,C72,'方案版本'!$B$7:$B$306,B72,'方案版本'!$L$7:$L$306,"已冻结")&lt;&gt;1,"方案引用无效",IF(OR(NOT(ISNUMBER(D72)),NOT(ISNUMBER(E72)),F72="",I72="",M72="",Q72=""),"待补预测信息",IF(D72&gt;E72,"非事前到期登记",IF(OR(AND(G72&lt;&gt;"",OR(NOT(ISNUMBER(G72)),G72&lt;0,G72&gt;1)),AND(H72&lt;&gt;"",OR(NOT(ISNUMBER(H72)),H72&lt;0,H72&gt;1))),"概率无效",IF(AND(I72="已判定",OR(NOT(ISNUMBER(J72)),AND(J72&lt;&gt;0,J72&lt;&gt;1),NOT(ISNUMBER(K72)),L72="")),"待补判定证据",IF(AND(I72="已判定",D72&gt;K72),"事后补录不评分","有效输入")))))))))</x:f>
      </x:c>
    </x:row>
    <x:row r="73" ht="25" customHeight="1">
      <x:c r="A73" s="3"/>
      <x:c r="B73" s="3"/>
      <x:c r="C73" s="3"/>
      <x:c r="D73" s="25"/>
      <x:c r="E73" s="25"/>
      <x:c r="F73" s="3"/>
      <x:c r="G73" s="26"/>
      <x:c r="H73" s="26"/>
      <x:c r="I73" s="3"/>
      <x:c r="J73" s="22"/>
      <x:c r="K73" s="25"/>
      <x:c r="L73" s="3"/>
      <x:c r="M73" s="3"/>
      <x:c r="N73" s="24" t="str">
        <x:f>IF(AND(R73="有效输入",I73="已判定",M73="是",ISNUMBER(G73)),(G73-J73)^2,"")</x:f>
      </x:c>
      <x:c r="O73" s="24" t="str">
        <x:f>IF(AND(ISNUMBER(N73),ISNUMBER(H73)),(H73-J73)^2,"")</x:f>
      </x:c>
      <x:c r="P73" s="24" t="str">
        <x:f>IF(AND(ISNUMBER(N73),ISNUMBER(O73)),O73-N73,"")</x:f>
      </x:c>
      <x:c r="Q73" s="3"/>
      <x:c r="R73" s="19" t="str">
        <x:f>IF(A73="","",IF(COUNTIFS('预测登记'!$A$7:$A$306,A73)&lt;&gt;1,"编号重复",IF(COUNTIFS('问题总览'!$A$7:$A$306,B73)&lt;&gt;1,"问题引用无效",IF(COUNTIFS('方案版本'!$A$7:$A$306,C73,'方案版本'!$B$7:$B$306,B73,'方案版本'!$L$7:$L$306,"已冻结")&lt;&gt;1,"方案引用无效",IF(OR(NOT(ISNUMBER(D73)),NOT(ISNUMBER(E73)),F73="",I73="",M73="",Q73=""),"待补预测信息",IF(D73&gt;E73,"非事前到期登记",IF(OR(AND(G73&lt;&gt;"",OR(NOT(ISNUMBER(G73)),G73&lt;0,G73&gt;1)),AND(H73&lt;&gt;"",OR(NOT(ISNUMBER(H73)),H73&lt;0,H73&gt;1))),"概率无效",IF(AND(I73="已判定",OR(NOT(ISNUMBER(J73)),AND(J73&lt;&gt;0,J73&lt;&gt;1),NOT(ISNUMBER(K73)),L73="")),"待补判定证据",IF(AND(I73="已判定",D73&gt;K73),"事后补录不评分","有效输入")))))))))</x:f>
      </x:c>
    </x:row>
    <x:row r="74" ht="25" customHeight="1">
      <x:c r="A74" s="3"/>
      <x:c r="B74" s="3"/>
      <x:c r="C74" s="3"/>
      <x:c r="D74" s="25"/>
      <x:c r="E74" s="25"/>
      <x:c r="F74" s="3"/>
      <x:c r="G74" s="26"/>
      <x:c r="H74" s="26"/>
      <x:c r="I74" s="3"/>
      <x:c r="J74" s="22"/>
      <x:c r="K74" s="25"/>
      <x:c r="L74" s="3"/>
      <x:c r="M74" s="3"/>
      <x:c r="N74" s="24" t="str">
        <x:f>IF(AND(R74="有效输入",I74="已判定",M74="是",ISNUMBER(G74)),(G74-J74)^2,"")</x:f>
      </x:c>
      <x:c r="O74" s="24" t="str">
        <x:f>IF(AND(ISNUMBER(N74),ISNUMBER(H74)),(H74-J74)^2,"")</x:f>
      </x:c>
      <x:c r="P74" s="24" t="str">
        <x:f>IF(AND(ISNUMBER(N74),ISNUMBER(O74)),O74-N74,"")</x:f>
      </x:c>
      <x:c r="Q74" s="3"/>
      <x:c r="R74" s="19" t="str">
        <x:f>IF(A74="","",IF(COUNTIFS('预测登记'!$A$7:$A$306,A74)&lt;&gt;1,"编号重复",IF(COUNTIFS('问题总览'!$A$7:$A$306,B74)&lt;&gt;1,"问题引用无效",IF(COUNTIFS('方案版本'!$A$7:$A$306,C74,'方案版本'!$B$7:$B$306,B74,'方案版本'!$L$7:$L$306,"已冻结")&lt;&gt;1,"方案引用无效",IF(OR(NOT(ISNUMBER(D74)),NOT(ISNUMBER(E74)),F74="",I74="",M74="",Q74=""),"待补预测信息",IF(D74&gt;E74,"非事前到期登记",IF(OR(AND(G74&lt;&gt;"",OR(NOT(ISNUMBER(G74)),G74&lt;0,G74&gt;1)),AND(H74&lt;&gt;"",OR(NOT(ISNUMBER(H74)),H74&lt;0,H74&gt;1))),"概率无效",IF(AND(I74="已判定",OR(NOT(ISNUMBER(J74)),AND(J74&lt;&gt;0,J74&lt;&gt;1),NOT(ISNUMBER(K74)),L74="")),"待补判定证据",IF(AND(I74="已判定",D74&gt;K74),"事后补录不评分","有效输入")))))))))</x:f>
      </x:c>
    </x:row>
    <x:row r="75" ht="25" customHeight="1">
      <x:c r="A75" s="3"/>
      <x:c r="B75" s="3"/>
      <x:c r="C75" s="3"/>
      <x:c r="D75" s="25"/>
      <x:c r="E75" s="25"/>
      <x:c r="F75" s="3"/>
      <x:c r="G75" s="26"/>
      <x:c r="H75" s="26"/>
      <x:c r="I75" s="3"/>
      <x:c r="J75" s="22"/>
      <x:c r="K75" s="25"/>
      <x:c r="L75" s="3"/>
      <x:c r="M75" s="3"/>
      <x:c r="N75" s="24" t="str">
        <x:f>IF(AND(R75="有效输入",I75="已判定",M75="是",ISNUMBER(G75)),(G75-J75)^2,"")</x:f>
      </x:c>
      <x:c r="O75" s="24" t="str">
        <x:f>IF(AND(ISNUMBER(N75),ISNUMBER(H75)),(H75-J75)^2,"")</x:f>
      </x:c>
      <x:c r="P75" s="24" t="str">
        <x:f>IF(AND(ISNUMBER(N75),ISNUMBER(O75)),O75-N75,"")</x:f>
      </x:c>
      <x:c r="Q75" s="3"/>
      <x:c r="R75" s="19" t="str">
        <x:f>IF(A75="","",IF(COUNTIFS('预测登记'!$A$7:$A$306,A75)&lt;&gt;1,"编号重复",IF(COUNTIFS('问题总览'!$A$7:$A$306,B75)&lt;&gt;1,"问题引用无效",IF(COUNTIFS('方案版本'!$A$7:$A$306,C75,'方案版本'!$B$7:$B$306,B75,'方案版本'!$L$7:$L$306,"已冻结")&lt;&gt;1,"方案引用无效",IF(OR(NOT(ISNUMBER(D75)),NOT(ISNUMBER(E75)),F75="",I75="",M75="",Q75=""),"待补预测信息",IF(D75&gt;E75,"非事前到期登记",IF(OR(AND(G75&lt;&gt;"",OR(NOT(ISNUMBER(G75)),G75&lt;0,G75&gt;1)),AND(H75&lt;&gt;"",OR(NOT(ISNUMBER(H75)),H75&lt;0,H75&gt;1))),"概率无效",IF(AND(I75="已判定",OR(NOT(ISNUMBER(J75)),AND(J75&lt;&gt;0,J75&lt;&gt;1),NOT(ISNUMBER(K75)),L75="")),"待补判定证据",IF(AND(I75="已判定",D75&gt;K75),"事后补录不评分","有效输入")))))))))</x:f>
      </x:c>
    </x:row>
    <x:row r="76" ht="25" customHeight="1">
      <x:c r="A76" s="3"/>
      <x:c r="B76" s="3"/>
      <x:c r="C76" s="3"/>
      <x:c r="D76" s="25"/>
      <x:c r="E76" s="25"/>
      <x:c r="F76" s="3"/>
      <x:c r="G76" s="26"/>
      <x:c r="H76" s="26"/>
      <x:c r="I76" s="3"/>
      <x:c r="J76" s="22"/>
      <x:c r="K76" s="25"/>
      <x:c r="L76" s="3"/>
      <x:c r="M76" s="3"/>
      <x:c r="N76" s="24" t="str">
        <x:f>IF(AND(R76="有效输入",I76="已判定",M76="是",ISNUMBER(G76)),(G76-J76)^2,"")</x:f>
      </x:c>
      <x:c r="O76" s="24" t="str">
        <x:f>IF(AND(ISNUMBER(N76),ISNUMBER(H76)),(H76-J76)^2,"")</x:f>
      </x:c>
      <x:c r="P76" s="24" t="str">
        <x:f>IF(AND(ISNUMBER(N76),ISNUMBER(O76)),O76-N76,"")</x:f>
      </x:c>
      <x:c r="Q76" s="3"/>
      <x:c r="R76" s="19" t="str">
        <x:f>IF(A76="","",IF(COUNTIFS('预测登记'!$A$7:$A$306,A76)&lt;&gt;1,"编号重复",IF(COUNTIFS('问题总览'!$A$7:$A$306,B76)&lt;&gt;1,"问题引用无效",IF(COUNTIFS('方案版本'!$A$7:$A$306,C76,'方案版本'!$B$7:$B$306,B76,'方案版本'!$L$7:$L$306,"已冻结")&lt;&gt;1,"方案引用无效",IF(OR(NOT(ISNUMBER(D76)),NOT(ISNUMBER(E76)),F76="",I76="",M76="",Q76=""),"待补预测信息",IF(D76&gt;E76,"非事前到期登记",IF(OR(AND(G76&lt;&gt;"",OR(NOT(ISNUMBER(G76)),G76&lt;0,G76&gt;1)),AND(H76&lt;&gt;"",OR(NOT(ISNUMBER(H76)),H76&lt;0,H76&gt;1))),"概率无效",IF(AND(I76="已判定",OR(NOT(ISNUMBER(J76)),AND(J76&lt;&gt;0,J76&lt;&gt;1),NOT(ISNUMBER(K76)),L76="")),"待补判定证据",IF(AND(I76="已判定",D76&gt;K76),"事后补录不评分","有效输入")))))))))</x:f>
      </x:c>
    </x:row>
    <x:row r="77" ht="25" customHeight="1">
      <x:c r="A77" s="3"/>
      <x:c r="B77" s="3"/>
      <x:c r="C77" s="3"/>
      <x:c r="D77" s="25"/>
      <x:c r="E77" s="25"/>
      <x:c r="F77" s="3"/>
      <x:c r="G77" s="26"/>
      <x:c r="H77" s="26"/>
      <x:c r="I77" s="3"/>
      <x:c r="J77" s="22"/>
      <x:c r="K77" s="25"/>
      <x:c r="L77" s="3"/>
      <x:c r="M77" s="3"/>
      <x:c r="N77" s="24" t="str">
        <x:f>IF(AND(R77="有效输入",I77="已判定",M77="是",ISNUMBER(G77)),(G77-J77)^2,"")</x:f>
      </x:c>
      <x:c r="O77" s="24" t="str">
        <x:f>IF(AND(ISNUMBER(N77),ISNUMBER(H77)),(H77-J77)^2,"")</x:f>
      </x:c>
      <x:c r="P77" s="24" t="str">
        <x:f>IF(AND(ISNUMBER(N77),ISNUMBER(O77)),O77-N77,"")</x:f>
      </x:c>
      <x:c r="Q77" s="3"/>
      <x:c r="R77" s="19" t="str">
        <x:f>IF(A77="","",IF(COUNTIFS('预测登记'!$A$7:$A$306,A77)&lt;&gt;1,"编号重复",IF(COUNTIFS('问题总览'!$A$7:$A$306,B77)&lt;&gt;1,"问题引用无效",IF(COUNTIFS('方案版本'!$A$7:$A$306,C77,'方案版本'!$B$7:$B$306,B77,'方案版本'!$L$7:$L$306,"已冻结")&lt;&gt;1,"方案引用无效",IF(OR(NOT(ISNUMBER(D77)),NOT(ISNUMBER(E77)),F77="",I77="",M77="",Q77=""),"待补预测信息",IF(D77&gt;E77,"非事前到期登记",IF(OR(AND(G77&lt;&gt;"",OR(NOT(ISNUMBER(G77)),G77&lt;0,G77&gt;1)),AND(H77&lt;&gt;"",OR(NOT(ISNUMBER(H77)),H77&lt;0,H77&gt;1))),"概率无效",IF(AND(I77="已判定",OR(NOT(ISNUMBER(J77)),AND(J77&lt;&gt;0,J77&lt;&gt;1),NOT(ISNUMBER(K77)),L77="")),"待补判定证据",IF(AND(I77="已判定",D77&gt;K77),"事后补录不评分","有效输入")))))))))</x:f>
      </x:c>
    </x:row>
    <x:row r="78" ht="25" customHeight="1">
      <x:c r="A78" s="3"/>
      <x:c r="B78" s="3"/>
      <x:c r="C78" s="3"/>
      <x:c r="D78" s="25"/>
      <x:c r="E78" s="25"/>
      <x:c r="F78" s="3"/>
      <x:c r="G78" s="26"/>
      <x:c r="H78" s="26"/>
      <x:c r="I78" s="3"/>
      <x:c r="J78" s="22"/>
      <x:c r="K78" s="25"/>
      <x:c r="L78" s="3"/>
      <x:c r="M78" s="3"/>
      <x:c r="N78" s="24" t="str">
        <x:f>IF(AND(R78="有效输入",I78="已判定",M78="是",ISNUMBER(G78)),(G78-J78)^2,"")</x:f>
      </x:c>
      <x:c r="O78" s="24" t="str">
        <x:f>IF(AND(ISNUMBER(N78),ISNUMBER(H78)),(H78-J78)^2,"")</x:f>
      </x:c>
      <x:c r="P78" s="24" t="str">
        <x:f>IF(AND(ISNUMBER(N78),ISNUMBER(O78)),O78-N78,"")</x:f>
      </x:c>
      <x:c r="Q78" s="3"/>
      <x:c r="R78" s="19" t="str">
        <x:f>IF(A78="","",IF(COUNTIFS('预测登记'!$A$7:$A$306,A78)&lt;&gt;1,"编号重复",IF(COUNTIFS('问题总览'!$A$7:$A$306,B78)&lt;&gt;1,"问题引用无效",IF(COUNTIFS('方案版本'!$A$7:$A$306,C78,'方案版本'!$B$7:$B$306,B78,'方案版本'!$L$7:$L$306,"已冻结")&lt;&gt;1,"方案引用无效",IF(OR(NOT(ISNUMBER(D78)),NOT(ISNUMBER(E78)),F78="",I78="",M78="",Q78=""),"待补预测信息",IF(D78&gt;E78,"非事前到期登记",IF(OR(AND(G78&lt;&gt;"",OR(NOT(ISNUMBER(G78)),G78&lt;0,G78&gt;1)),AND(H78&lt;&gt;"",OR(NOT(ISNUMBER(H78)),H78&lt;0,H78&gt;1))),"概率无效",IF(AND(I78="已判定",OR(NOT(ISNUMBER(J78)),AND(J78&lt;&gt;0,J78&lt;&gt;1),NOT(ISNUMBER(K78)),L78="")),"待补判定证据",IF(AND(I78="已判定",D78&gt;K78),"事后补录不评分","有效输入")))))))))</x:f>
      </x:c>
    </x:row>
    <x:row r="79" ht="25" customHeight="1">
      <x:c r="A79" s="3"/>
      <x:c r="B79" s="3"/>
      <x:c r="C79" s="3"/>
      <x:c r="D79" s="25"/>
      <x:c r="E79" s="25"/>
      <x:c r="F79" s="3"/>
      <x:c r="G79" s="26"/>
      <x:c r="H79" s="26"/>
      <x:c r="I79" s="3"/>
      <x:c r="J79" s="22"/>
      <x:c r="K79" s="25"/>
      <x:c r="L79" s="3"/>
      <x:c r="M79" s="3"/>
      <x:c r="N79" s="24" t="str">
        <x:f>IF(AND(R79="有效输入",I79="已判定",M79="是",ISNUMBER(G79)),(G79-J79)^2,"")</x:f>
      </x:c>
      <x:c r="O79" s="24" t="str">
        <x:f>IF(AND(ISNUMBER(N79),ISNUMBER(H79)),(H79-J79)^2,"")</x:f>
      </x:c>
      <x:c r="P79" s="24" t="str">
        <x:f>IF(AND(ISNUMBER(N79),ISNUMBER(O79)),O79-N79,"")</x:f>
      </x:c>
      <x:c r="Q79" s="3"/>
      <x:c r="R79" s="19" t="str">
        <x:f>IF(A79="","",IF(COUNTIFS('预测登记'!$A$7:$A$306,A79)&lt;&gt;1,"编号重复",IF(COUNTIFS('问题总览'!$A$7:$A$306,B79)&lt;&gt;1,"问题引用无效",IF(COUNTIFS('方案版本'!$A$7:$A$306,C79,'方案版本'!$B$7:$B$306,B79,'方案版本'!$L$7:$L$306,"已冻结")&lt;&gt;1,"方案引用无效",IF(OR(NOT(ISNUMBER(D79)),NOT(ISNUMBER(E79)),F79="",I79="",M79="",Q79=""),"待补预测信息",IF(D79&gt;E79,"非事前到期登记",IF(OR(AND(G79&lt;&gt;"",OR(NOT(ISNUMBER(G79)),G79&lt;0,G79&gt;1)),AND(H79&lt;&gt;"",OR(NOT(ISNUMBER(H79)),H79&lt;0,H79&gt;1))),"概率无效",IF(AND(I79="已判定",OR(NOT(ISNUMBER(J79)),AND(J79&lt;&gt;0,J79&lt;&gt;1),NOT(ISNUMBER(K79)),L79="")),"待补判定证据",IF(AND(I79="已判定",D79&gt;K79),"事后补录不评分","有效输入")))))))))</x:f>
      </x:c>
    </x:row>
    <x:row r="80" ht="25" customHeight="1">
      <x:c r="A80" s="3"/>
      <x:c r="B80" s="3"/>
      <x:c r="C80" s="3"/>
      <x:c r="D80" s="25"/>
      <x:c r="E80" s="25"/>
      <x:c r="F80" s="3"/>
      <x:c r="G80" s="26"/>
      <x:c r="H80" s="26"/>
      <x:c r="I80" s="3"/>
      <x:c r="J80" s="22"/>
      <x:c r="K80" s="25"/>
      <x:c r="L80" s="3"/>
      <x:c r="M80" s="3"/>
      <x:c r="N80" s="24" t="str">
        <x:f>IF(AND(R80="有效输入",I80="已判定",M80="是",ISNUMBER(G80)),(G80-J80)^2,"")</x:f>
      </x:c>
      <x:c r="O80" s="24" t="str">
        <x:f>IF(AND(ISNUMBER(N80),ISNUMBER(H80)),(H80-J80)^2,"")</x:f>
      </x:c>
      <x:c r="P80" s="24" t="str">
        <x:f>IF(AND(ISNUMBER(N80),ISNUMBER(O80)),O80-N80,"")</x:f>
      </x:c>
      <x:c r="Q80" s="3"/>
      <x:c r="R80" s="19" t="str">
        <x:f>IF(A80="","",IF(COUNTIFS('预测登记'!$A$7:$A$306,A80)&lt;&gt;1,"编号重复",IF(COUNTIFS('问题总览'!$A$7:$A$306,B80)&lt;&gt;1,"问题引用无效",IF(COUNTIFS('方案版本'!$A$7:$A$306,C80,'方案版本'!$B$7:$B$306,B80,'方案版本'!$L$7:$L$306,"已冻结")&lt;&gt;1,"方案引用无效",IF(OR(NOT(ISNUMBER(D80)),NOT(ISNUMBER(E80)),F80="",I80="",M80="",Q80=""),"待补预测信息",IF(D80&gt;E80,"非事前到期登记",IF(OR(AND(G80&lt;&gt;"",OR(NOT(ISNUMBER(G80)),G80&lt;0,G80&gt;1)),AND(H80&lt;&gt;"",OR(NOT(ISNUMBER(H80)),H80&lt;0,H80&gt;1))),"概率无效",IF(AND(I80="已判定",OR(NOT(ISNUMBER(J80)),AND(J80&lt;&gt;0,J80&lt;&gt;1),NOT(ISNUMBER(K80)),L80="")),"待补判定证据",IF(AND(I80="已判定",D80&gt;K80),"事后补录不评分","有效输入")))))))))</x:f>
      </x:c>
    </x:row>
    <x:row r="81" ht="25" customHeight="1">
      <x:c r="A81" s="3"/>
      <x:c r="B81" s="3"/>
      <x:c r="C81" s="3"/>
      <x:c r="D81" s="25"/>
      <x:c r="E81" s="25"/>
      <x:c r="F81" s="3"/>
      <x:c r="G81" s="26"/>
      <x:c r="H81" s="26"/>
      <x:c r="I81" s="3"/>
      <x:c r="J81" s="22"/>
      <x:c r="K81" s="25"/>
      <x:c r="L81" s="3"/>
      <x:c r="M81" s="3"/>
      <x:c r="N81" s="24" t="str">
        <x:f>IF(AND(R81="有效输入",I81="已判定",M81="是",ISNUMBER(G81)),(G81-J81)^2,"")</x:f>
      </x:c>
      <x:c r="O81" s="24" t="str">
        <x:f>IF(AND(ISNUMBER(N81),ISNUMBER(H81)),(H81-J81)^2,"")</x:f>
      </x:c>
      <x:c r="P81" s="24" t="str">
        <x:f>IF(AND(ISNUMBER(N81),ISNUMBER(O81)),O81-N81,"")</x:f>
      </x:c>
      <x:c r="Q81" s="3"/>
      <x:c r="R81" s="19" t="str">
        <x:f>IF(A81="","",IF(COUNTIFS('预测登记'!$A$7:$A$306,A81)&lt;&gt;1,"编号重复",IF(COUNTIFS('问题总览'!$A$7:$A$306,B81)&lt;&gt;1,"问题引用无效",IF(COUNTIFS('方案版本'!$A$7:$A$306,C81,'方案版本'!$B$7:$B$306,B81,'方案版本'!$L$7:$L$306,"已冻结")&lt;&gt;1,"方案引用无效",IF(OR(NOT(ISNUMBER(D81)),NOT(ISNUMBER(E81)),F81="",I81="",M81="",Q81=""),"待补预测信息",IF(D81&gt;E81,"非事前到期登记",IF(OR(AND(G81&lt;&gt;"",OR(NOT(ISNUMBER(G81)),G81&lt;0,G81&gt;1)),AND(H81&lt;&gt;"",OR(NOT(ISNUMBER(H81)),H81&lt;0,H81&gt;1))),"概率无效",IF(AND(I81="已判定",OR(NOT(ISNUMBER(J81)),AND(J81&lt;&gt;0,J81&lt;&gt;1),NOT(ISNUMBER(K81)),L81="")),"待补判定证据",IF(AND(I81="已判定",D81&gt;K81),"事后补录不评分","有效输入")))))))))</x:f>
      </x:c>
    </x:row>
    <x:row r="82" ht="25" customHeight="1">
      <x:c r="A82" s="3"/>
      <x:c r="B82" s="3"/>
      <x:c r="C82" s="3"/>
      <x:c r="D82" s="25"/>
      <x:c r="E82" s="25"/>
      <x:c r="F82" s="3"/>
      <x:c r="G82" s="26"/>
      <x:c r="H82" s="26"/>
      <x:c r="I82" s="3"/>
      <x:c r="J82" s="22"/>
      <x:c r="K82" s="25"/>
      <x:c r="L82" s="3"/>
      <x:c r="M82" s="3"/>
      <x:c r="N82" s="24" t="str">
        <x:f>IF(AND(R82="有效输入",I82="已判定",M82="是",ISNUMBER(G82)),(G82-J82)^2,"")</x:f>
      </x:c>
      <x:c r="O82" s="24" t="str">
        <x:f>IF(AND(ISNUMBER(N82),ISNUMBER(H82)),(H82-J82)^2,"")</x:f>
      </x:c>
      <x:c r="P82" s="24" t="str">
        <x:f>IF(AND(ISNUMBER(N82),ISNUMBER(O82)),O82-N82,"")</x:f>
      </x:c>
      <x:c r="Q82" s="3"/>
      <x:c r="R82" s="19" t="str">
        <x:f>IF(A82="","",IF(COUNTIFS('预测登记'!$A$7:$A$306,A82)&lt;&gt;1,"编号重复",IF(COUNTIFS('问题总览'!$A$7:$A$306,B82)&lt;&gt;1,"问题引用无效",IF(COUNTIFS('方案版本'!$A$7:$A$306,C82,'方案版本'!$B$7:$B$306,B82,'方案版本'!$L$7:$L$306,"已冻结")&lt;&gt;1,"方案引用无效",IF(OR(NOT(ISNUMBER(D82)),NOT(ISNUMBER(E82)),F82="",I82="",M82="",Q82=""),"待补预测信息",IF(D82&gt;E82,"非事前到期登记",IF(OR(AND(G82&lt;&gt;"",OR(NOT(ISNUMBER(G82)),G82&lt;0,G82&gt;1)),AND(H82&lt;&gt;"",OR(NOT(ISNUMBER(H82)),H82&lt;0,H82&gt;1))),"概率无效",IF(AND(I82="已判定",OR(NOT(ISNUMBER(J82)),AND(J82&lt;&gt;0,J82&lt;&gt;1),NOT(ISNUMBER(K82)),L82="")),"待补判定证据",IF(AND(I82="已判定",D82&gt;K82),"事后补录不评分","有效输入")))))))))</x:f>
      </x:c>
    </x:row>
    <x:row r="83" ht="25" customHeight="1">
      <x:c r="A83" s="3"/>
      <x:c r="B83" s="3"/>
      <x:c r="C83" s="3"/>
      <x:c r="D83" s="25"/>
      <x:c r="E83" s="25"/>
      <x:c r="F83" s="3"/>
      <x:c r="G83" s="26"/>
      <x:c r="H83" s="26"/>
      <x:c r="I83" s="3"/>
      <x:c r="J83" s="22"/>
      <x:c r="K83" s="25"/>
      <x:c r="L83" s="3"/>
      <x:c r="M83" s="3"/>
      <x:c r="N83" s="24" t="str">
        <x:f>IF(AND(R83="有效输入",I83="已判定",M83="是",ISNUMBER(G83)),(G83-J83)^2,"")</x:f>
      </x:c>
      <x:c r="O83" s="24" t="str">
        <x:f>IF(AND(ISNUMBER(N83),ISNUMBER(H83)),(H83-J83)^2,"")</x:f>
      </x:c>
      <x:c r="P83" s="24" t="str">
        <x:f>IF(AND(ISNUMBER(N83),ISNUMBER(O83)),O83-N83,"")</x:f>
      </x:c>
      <x:c r="Q83" s="3"/>
      <x:c r="R83" s="19" t="str">
        <x:f>IF(A83="","",IF(COUNTIFS('预测登记'!$A$7:$A$306,A83)&lt;&gt;1,"编号重复",IF(COUNTIFS('问题总览'!$A$7:$A$306,B83)&lt;&gt;1,"问题引用无效",IF(COUNTIFS('方案版本'!$A$7:$A$306,C83,'方案版本'!$B$7:$B$306,B83,'方案版本'!$L$7:$L$306,"已冻结")&lt;&gt;1,"方案引用无效",IF(OR(NOT(ISNUMBER(D83)),NOT(ISNUMBER(E83)),F83="",I83="",M83="",Q83=""),"待补预测信息",IF(D83&gt;E83,"非事前到期登记",IF(OR(AND(G83&lt;&gt;"",OR(NOT(ISNUMBER(G83)),G83&lt;0,G83&gt;1)),AND(H83&lt;&gt;"",OR(NOT(ISNUMBER(H83)),H83&lt;0,H83&gt;1))),"概率无效",IF(AND(I83="已判定",OR(NOT(ISNUMBER(J83)),AND(J83&lt;&gt;0,J83&lt;&gt;1),NOT(ISNUMBER(K83)),L83="")),"待补判定证据",IF(AND(I83="已判定",D83&gt;K83),"事后补录不评分","有效输入")))))))))</x:f>
      </x:c>
    </x:row>
    <x:row r="84" ht="25" customHeight="1">
      <x:c r="A84" s="3"/>
      <x:c r="B84" s="3"/>
      <x:c r="C84" s="3"/>
      <x:c r="D84" s="25"/>
      <x:c r="E84" s="25"/>
      <x:c r="F84" s="3"/>
      <x:c r="G84" s="26"/>
      <x:c r="H84" s="26"/>
      <x:c r="I84" s="3"/>
      <x:c r="J84" s="22"/>
      <x:c r="K84" s="25"/>
      <x:c r="L84" s="3"/>
      <x:c r="M84" s="3"/>
      <x:c r="N84" s="24" t="str">
        <x:f>IF(AND(R84="有效输入",I84="已判定",M84="是",ISNUMBER(G84)),(G84-J84)^2,"")</x:f>
      </x:c>
      <x:c r="O84" s="24" t="str">
        <x:f>IF(AND(ISNUMBER(N84),ISNUMBER(H84)),(H84-J84)^2,"")</x:f>
      </x:c>
      <x:c r="P84" s="24" t="str">
        <x:f>IF(AND(ISNUMBER(N84),ISNUMBER(O84)),O84-N84,"")</x:f>
      </x:c>
      <x:c r="Q84" s="3"/>
      <x:c r="R84" s="19" t="str">
        <x:f>IF(A84="","",IF(COUNTIFS('预测登记'!$A$7:$A$306,A84)&lt;&gt;1,"编号重复",IF(COUNTIFS('问题总览'!$A$7:$A$306,B84)&lt;&gt;1,"问题引用无效",IF(COUNTIFS('方案版本'!$A$7:$A$306,C84,'方案版本'!$B$7:$B$306,B84,'方案版本'!$L$7:$L$306,"已冻结")&lt;&gt;1,"方案引用无效",IF(OR(NOT(ISNUMBER(D84)),NOT(ISNUMBER(E84)),F84="",I84="",M84="",Q84=""),"待补预测信息",IF(D84&gt;E84,"非事前到期登记",IF(OR(AND(G84&lt;&gt;"",OR(NOT(ISNUMBER(G84)),G84&lt;0,G84&gt;1)),AND(H84&lt;&gt;"",OR(NOT(ISNUMBER(H84)),H84&lt;0,H84&gt;1))),"概率无效",IF(AND(I84="已判定",OR(NOT(ISNUMBER(J84)),AND(J84&lt;&gt;0,J84&lt;&gt;1),NOT(ISNUMBER(K84)),L84="")),"待补判定证据",IF(AND(I84="已判定",D84&gt;K84),"事后补录不评分","有效输入")))))))))</x:f>
      </x:c>
    </x:row>
    <x:row r="85" ht="25" customHeight="1">
      <x:c r="A85" s="3"/>
      <x:c r="B85" s="3"/>
      <x:c r="C85" s="3"/>
      <x:c r="D85" s="25"/>
      <x:c r="E85" s="25"/>
      <x:c r="F85" s="3"/>
      <x:c r="G85" s="26"/>
      <x:c r="H85" s="26"/>
      <x:c r="I85" s="3"/>
      <x:c r="J85" s="22"/>
      <x:c r="K85" s="25"/>
      <x:c r="L85" s="3"/>
      <x:c r="M85" s="3"/>
      <x:c r="N85" s="24" t="str">
        <x:f>IF(AND(R85="有效输入",I85="已判定",M85="是",ISNUMBER(G85)),(G85-J85)^2,"")</x:f>
      </x:c>
      <x:c r="O85" s="24" t="str">
        <x:f>IF(AND(ISNUMBER(N85),ISNUMBER(H85)),(H85-J85)^2,"")</x:f>
      </x:c>
      <x:c r="P85" s="24" t="str">
        <x:f>IF(AND(ISNUMBER(N85),ISNUMBER(O85)),O85-N85,"")</x:f>
      </x:c>
      <x:c r="Q85" s="3"/>
      <x:c r="R85" s="19" t="str">
        <x:f>IF(A85="","",IF(COUNTIFS('预测登记'!$A$7:$A$306,A85)&lt;&gt;1,"编号重复",IF(COUNTIFS('问题总览'!$A$7:$A$306,B85)&lt;&gt;1,"问题引用无效",IF(COUNTIFS('方案版本'!$A$7:$A$306,C85,'方案版本'!$B$7:$B$306,B85,'方案版本'!$L$7:$L$306,"已冻结")&lt;&gt;1,"方案引用无效",IF(OR(NOT(ISNUMBER(D85)),NOT(ISNUMBER(E85)),F85="",I85="",M85="",Q85=""),"待补预测信息",IF(D85&gt;E85,"非事前到期登记",IF(OR(AND(G85&lt;&gt;"",OR(NOT(ISNUMBER(G85)),G85&lt;0,G85&gt;1)),AND(H85&lt;&gt;"",OR(NOT(ISNUMBER(H85)),H85&lt;0,H85&gt;1))),"概率无效",IF(AND(I85="已判定",OR(NOT(ISNUMBER(J85)),AND(J85&lt;&gt;0,J85&lt;&gt;1),NOT(ISNUMBER(K85)),L85="")),"待补判定证据",IF(AND(I85="已判定",D85&gt;K85),"事后补录不评分","有效输入")))))))))</x:f>
      </x:c>
    </x:row>
    <x:row r="86" ht="25" customHeight="1">
      <x:c r="A86" s="3"/>
      <x:c r="B86" s="3"/>
      <x:c r="C86" s="3"/>
      <x:c r="D86" s="25"/>
      <x:c r="E86" s="25"/>
      <x:c r="F86" s="3"/>
      <x:c r="G86" s="26"/>
      <x:c r="H86" s="26"/>
      <x:c r="I86" s="3"/>
      <x:c r="J86" s="22"/>
      <x:c r="K86" s="25"/>
      <x:c r="L86" s="3"/>
      <x:c r="M86" s="3"/>
      <x:c r="N86" s="24" t="str">
        <x:f>IF(AND(R86="有效输入",I86="已判定",M86="是",ISNUMBER(G86)),(G86-J86)^2,"")</x:f>
      </x:c>
      <x:c r="O86" s="24" t="str">
        <x:f>IF(AND(ISNUMBER(N86),ISNUMBER(H86)),(H86-J86)^2,"")</x:f>
      </x:c>
      <x:c r="P86" s="24" t="str">
        <x:f>IF(AND(ISNUMBER(N86),ISNUMBER(O86)),O86-N86,"")</x:f>
      </x:c>
      <x:c r="Q86" s="3"/>
      <x:c r="R86" s="19" t="str">
        <x:f>IF(A86="","",IF(COUNTIFS('预测登记'!$A$7:$A$306,A86)&lt;&gt;1,"编号重复",IF(COUNTIFS('问题总览'!$A$7:$A$306,B86)&lt;&gt;1,"问题引用无效",IF(COUNTIFS('方案版本'!$A$7:$A$306,C86,'方案版本'!$B$7:$B$306,B86,'方案版本'!$L$7:$L$306,"已冻结")&lt;&gt;1,"方案引用无效",IF(OR(NOT(ISNUMBER(D86)),NOT(ISNUMBER(E86)),F86="",I86="",M86="",Q86=""),"待补预测信息",IF(D86&gt;E86,"非事前到期登记",IF(OR(AND(G86&lt;&gt;"",OR(NOT(ISNUMBER(G86)),G86&lt;0,G86&gt;1)),AND(H86&lt;&gt;"",OR(NOT(ISNUMBER(H86)),H86&lt;0,H86&gt;1))),"概率无效",IF(AND(I86="已判定",OR(NOT(ISNUMBER(J86)),AND(J86&lt;&gt;0,J86&lt;&gt;1),NOT(ISNUMBER(K86)),L86="")),"待补判定证据",IF(AND(I86="已判定",D86&gt;K86),"事后补录不评分","有效输入")))))))))</x:f>
      </x:c>
    </x:row>
    <x:row r="87" ht="25" customHeight="1">
      <x:c r="A87" s="3"/>
      <x:c r="B87" s="3"/>
      <x:c r="C87" s="3"/>
      <x:c r="D87" s="25"/>
      <x:c r="E87" s="25"/>
      <x:c r="F87" s="3"/>
      <x:c r="G87" s="26"/>
      <x:c r="H87" s="26"/>
      <x:c r="I87" s="3"/>
      <x:c r="J87" s="22"/>
      <x:c r="K87" s="25"/>
      <x:c r="L87" s="3"/>
      <x:c r="M87" s="3"/>
      <x:c r="N87" s="24" t="str">
        <x:f>IF(AND(R87="有效输入",I87="已判定",M87="是",ISNUMBER(G87)),(G87-J87)^2,"")</x:f>
      </x:c>
      <x:c r="O87" s="24" t="str">
        <x:f>IF(AND(ISNUMBER(N87),ISNUMBER(H87)),(H87-J87)^2,"")</x:f>
      </x:c>
      <x:c r="P87" s="24" t="str">
        <x:f>IF(AND(ISNUMBER(N87),ISNUMBER(O87)),O87-N87,"")</x:f>
      </x:c>
      <x:c r="Q87" s="3"/>
      <x:c r="R87" s="19" t="str">
        <x:f>IF(A87="","",IF(COUNTIFS('预测登记'!$A$7:$A$306,A87)&lt;&gt;1,"编号重复",IF(COUNTIFS('问题总览'!$A$7:$A$306,B87)&lt;&gt;1,"问题引用无效",IF(COUNTIFS('方案版本'!$A$7:$A$306,C87,'方案版本'!$B$7:$B$306,B87,'方案版本'!$L$7:$L$306,"已冻结")&lt;&gt;1,"方案引用无效",IF(OR(NOT(ISNUMBER(D87)),NOT(ISNUMBER(E87)),F87="",I87="",M87="",Q87=""),"待补预测信息",IF(D87&gt;E87,"非事前到期登记",IF(OR(AND(G87&lt;&gt;"",OR(NOT(ISNUMBER(G87)),G87&lt;0,G87&gt;1)),AND(H87&lt;&gt;"",OR(NOT(ISNUMBER(H87)),H87&lt;0,H87&gt;1))),"概率无效",IF(AND(I87="已判定",OR(NOT(ISNUMBER(J87)),AND(J87&lt;&gt;0,J87&lt;&gt;1),NOT(ISNUMBER(K87)),L87="")),"待补判定证据",IF(AND(I87="已判定",D87&gt;K87),"事后补录不评分","有效输入")))))))))</x:f>
      </x:c>
    </x:row>
    <x:row r="88" ht="25" customHeight="1">
      <x:c r="A88" s="3"/>
      <x:c r="B88" s="3"/>
      <x:c r="C88" s="3"/>
      <x:c r="D88" s="25"/>
      <x:c r="E88" s="25"/>
      <x:c r="F88" s="3"/>
      <x:c r="G88" s="26"/>
      <x:c r="H88" s="26"/>
      <x:c r="I88" s="3"/>
      <x:c r="J88" s="22"/>
      <x:c r="K88" s="25"/>
      <x:c r="L88" s="3"/>
      <x:c r="M88" s="3"/>
      <x:c r="N88" s="24" t="str">
        <x:f>IF(AND(R88="有效输入",I88="已判定",M88="是",ISNUMBER(G88)),(G88-J88)^2,"")</x:f>
      </x:c>
      <x:c r="O88" s="24" t="str">
        <x:f>IF(AND(ISNUMBER(N88),ISNUMBER(H88)),(H88-J88)^2,"")</x:f>
      </x:c>
      <x:c r="P88" s="24" t="str">
        <x:f>IF(AND(ISNUMBER(N88),ISNUMBER(O88)),O88-N88,"")</x:f>
      </x:c>
      <x:c r="Q88" s="3"/>
      <x:c r="R88" s="19" t="str">
        <x:f>IF(A88="","",IF(COUNTIFS('预测登记'!$A$7:$A$306,A88)&lt;&gt;1,"编号重复",IF(COUNTIFS('问题总览'!$A$7:$A$306,B88)&lt;&gt;1,"问题引用无效",IF(COUNTIFS('方案版本'!$A$7:$A$306,C88,'方案版本'!$B$7:$B$306,B88,'方案版本'!$L$7:$L$306,"已冻结")&lt;&gt;1,"方案引用无效",IF(OR(NOT(ISNUMBER(D88)),NOT(ISNUMBER(E88)),F88="",I88="",M88="",Q88=""),"待补预测信息",IF(D88&gt;E88,"非事前到期登记",IF(OR(AND(G88&lt;&gt;"",OR(NOT(ISNUMBER(G88)),G88&lt;0,G88&gt;1)),AND(H88&lt;&gt;"",OR(NOT(ISNUMBER(H88)),H88&lt;0,H88&gt;1))),"概率无效",IF(AND(I88="已判定",OR(NOT(ISNUMBER(J88)),AND(J88&lt;&gt;0,J88&lt;&gt;1),NOT(ISNUMBER(K88)),L88="")),"待补判定证据",IF(AND(I88="已判定",D88&gt;K88),"事后补录不评分","有效输入")))))))))</x:f>
      </x:c>
    </x:row>
    <x:row r="89" ht="25" customHeight="1">
      <x:c r="A89" s="3"/>
      <x:c r="B89" s="3"/>
      <x:c r="C89" s="3"/>
      <x:c r="D89" s="25"/>
      <x:c r="E89" s="25"/>
      <x:c r="F89" s="3"/>
      <x:c r="G89" s="26"/>
      <x:c r="H89" s="26"/>
      <x:c r="I89" s="3"/>
      <x:c r="J89" s="22"/>
      <x:c r="K89" s="25"/>
      <x:c r="L89" s="3"/>
      <x:c r="M89" s="3"/>
      <x:c r="N89" s="24" t="str">
        <x:f>IF(AND(R89="有效输入",I89="已判定",M89="是",ISNUMBER(G89)),(G89-J89)^2,"")</x:f>
      </x:c>
      <x:c r="O89" s="24" t="str">
        <x:f>IF(AND(ISNUMBER(N89),ISNUMBER(H89)),(H89-J89)^2,"")</x:f>
      </x:c>
      <x:c r="P89" s="24" t="str">
        <x:f>IF(AND(ISNUMBER(N89),ISNUMBER(O89)),O89-N89,"")</x:f>
      </x:c>
      <x:c r="Q89" s="3"/>
      <x:c r="R89" s="19" t="str">
        <x:f>IF(A89="","",IF(COUNTIFS('预测登记'!$A$7:$A$306,A89)&lt;&gt;1,"编号重复",IF(COUNTIFS('问题总览'!$A$7:$A$306,B89)&lt;&gt;1,"问题引用无效",IF(COUNTIFS('方案版本'!$A$7:$A$306,C89,'方案版本'!$B$7:$B$306,B89,'方案版本'!$L$7:$L$306,"已冻结")&lt;&gt;1,"方案引用无效",IF(OR(NOT(ISNUMBER(D89)),NOT(ISNUMBER(E89)),F89="",I89="",M89="",Q89=""),"待补预测信息",IF(D89&gt;E89,"非事前到期登记",IF(OR(AND(G89&lt;&gt;"",OR(NOT(ISNUMBER(G89)),G89&lt;0,G89&gt;1)),AND(H89&lt;&gt;"",OR(NOT(ISNUMBER(H89)),H89&lt;0,H89&gt;1))),"概率无效",IF(AND(I89="已判定",OR(NOT(ISNUMBER(J89)),AND(J89&lt;&gt;0,J89&lt;&gt;1),NOT(ISNUMBER(K89)),L89="")),"待补判定证据",IF(AND(I89="已判定",D89&gt;K89),"事后补录不评分","有效输入")))))))))</x:f>
      </x:c>
    </x:row>
    <x:row r="90" ht="25" customHeight="1">
      <x:c r="A90" s="3"/>
      <x:c r="B90" s="3"/>
      <x:c r="C90" s="3"/>
      <x:c r="D90" s="25"/>
      <x:c r="E90" s="25"/>
      <x:c r="F90" s="3"/>
      <x:c r="G90" s="26"/>
      <x:c r="H90" s="26"/>
      <x:c r="I90" s="3"/>
      <x:c r="J90" s="22"/>
      <x:c r="K90" s="25"/>
      <x:c r="L90" s="3"/>
      <x:c r="M90" s="3"/>
      <x:c r="N90" s="24" t="str">
        <x:f>IF(AND(R90="有效输入",I90="已判定",M90="是",ISNUMBER(G90)),(G90-J90)^2,"")</x:f>
      </x:c>
      <x:c r="O90" s="24" t="str">
        <x:f>IF(AND(ISNUMBER(N90),ISNUMBER(H90)),(H90-J90)^2,"")</x:f>
      </x:c>
      <x:c r="P90" s="24" t="str">
        <x:f>IF(AND(ISNUMBER(N90),ISNUMBER(O90)),O90-N90,"")</x:f>
      </x:c>
      <x:c r="Q90" s="3"/>
      <x:c r="R90" s="19" t="str">
        <x:f>IF(A90="","",IF(COUNTIFS('预测登记'!$A$7:$A$306,A90)&lt;&gt;1,"编号重复",IF(COUNTIFS('问题总览'!$A$7:$A$306,B90)&lt;&gt;1,"问题引用无效",IF(COUNTIFS('方案版本'!$A$7:$A$306,C90,'方案版本'!$B$7:$B$306,B90,'方案版本'!$L$7:$L$306,"已冻结")&lt;&gt;1,"方案引用无效",IF(OR(NOT(ISNUMBER(D90)),NOT(ISNUMBER(E90)),F90="",I90="",M90="",Q90=""),"待补预测信息",IF(D90&gt;E90,"非事前到期登记",IF(OR(AND(G90&lt;&gt;"",OR(NOT(ISNUMBER(G90)),G90&lt;0,G90&gt;1)),AND(H90&lt;&gt;"",OR(NOT(ISNUMBER(H90)),H90&lt;0,H90&gt;1))),"概率无效",IF(AND(I90="已判定",OR(NOT(ISNUMBER(J90)),AND(J90&lt;&gt;0,J90&lt;&gt;1),NOT(ISNUMBER(K90)),L90="")),"待补判定证据",IF(AND(I90="已判定",D90&gt;K90),"事后补录不评分","有效输入")))))))))</x:f>
      </x:c>
    </x:row>
    <x:row r="91" ht="25" customHeight="1">
      <x:c r="A91" s="3"/>
      <x:c r="B91" s="3"/>
      <x:c r="C91" s="3"/>
      <x:c r="D91" s="25"/>
      <x:c r="E91" s="25"/>
      <x:c r="F91" s="3"/>
      <x:c r="G91" s="26"/>
      <x:c r="H91" s="26"/>
      <x:c r="I91" s="3"/>
      <x:c r="J91" s="22"/>
      <x:c r="K91" s="25"/>
      <x:c r="L91" s="3"/>
      <x:c r="M91" s="3"/>
      <x:c r="N91" s="24" t="str">
        <x:f>IF(AND(R91="有效输入",I91="已判定",M91="是",ISNUMBER(G91)),(G91-J91)^2,"")</x:f>
      </x:c>
      <x:c r="O91" s="24" t="str">
        <x:f>IF(AND(ISNUMBER(N91),ISNUMBER(H91)),(H91-J91)^2,"")</x:f>
      </x:c>
      <x:c r="P91" s="24" t="str">
        <x:f>IF(AND(ISNUMBER(N91),ISNUMBER(O91)),O91-N91,"")</x:f>
      </x:c>
      <x:c r="Q91" s="3"/>
      <x:c r="R91" s="19" t="str">
        <x:f>IF(A91="","",IF(COUNTIFS('预测登记'!$A$7:$A$306,A91)&lt;&gt;1,"编号重复",IF(COUNTIFS('问题总览'!$A$7:$A$306,B91)&lt;&gt;1,"问题引用无效",IF(COUNTIFS('方案版本'!$A$7:$A$306,C91,'方案版本'!$B$7:$B$306,B91,'方案版本'!$L$7:$L$306,"已冻结")&lt;&gt;1,"方案引用无效",IF(OR(NOT(ISNUMBER(D91)),NOT(ISNUMBER(E91)),F91="",I91="",M91="",Q91=""),"待补预测信息",IF(D91&gt;E91,"非事前到期登记",IF(OR(AND(G91&lt;&gt;"",OR(NOT(ISNUMBER(G91)),G91&lt;0,G91&gt;1)),AND(H91&lt;&gt;"",OR(NOT(ISNUMBER(H91)),H91&lt;0,H91&gt;1))),"概率无效",IF(AND(I91="已判定",OR(NOT(ISNUMBER(J91)),AND(J91&lt;&gt;0,J91&lt;&gt;1),NOT(ISNUMBER(K91)),L91="")),"待补判定证据",IF(AND(I91="已判定",D91&gt;K91),"事后补录不评分","有效输入")))))))))</x:f>
      </x:c>
    </x:row>
    <x:row r="92" ht="25" customHeight="1">
      <x:c r="A92" s="3"/>
      <x:c r="B92" s="3"/>
      <x:c r="C92" s="3"/>
      <x:c r="D92" s="25"/>
      <x:c r="E92" s="25"/>
      <x:c r="F92" s="3"/>
      <x:c r="G92" s="26"/>
      <x:c r="H92" s="26"/>
      <x:c r="I92" s="3"/>
      <x:c r="J92" s="22"/>
      <x:c r="K92" s="25"/>
      <x:c r="L92" s="3"/>
      <x:c r="M92" s="3"/>
      <x:c r="N92" s="24" t="str">
        <x:f>IF(AND(R92="有效输入",I92="已判定",M92="是",ISNUMBER(G92)),(G92-J92)^2,"")</x:f>
      </x:c>
      <x:c r="O92" s="24" t="str">
        <x:f>IF(AND(ISNUMBER(N92),ISNUMBER(H92)),(H92-J92)^2,"")</x:f>
      </x:c>
      <x:c r="P92" s="24" t="str">
        <x:f>IF(AND(ISNUMBER(N92),ISNUMBER(O92)),O92-N92,"")</x:f>
      </x:c>
      <x:c r="Q92" s="3"/>
      <x:c r="R92" s="19" t="str">
        <x:f>IF(A92="","",IF(COUNTIFS('预测登记'!$A$7:$A$306,A92)&lt;&gt;1,"编号重复",IF(COUNTIFS('问题总览'!$A$7:$A$306,B92)&lt;&gt;1,"问题引用无效",IF(COUNTIFS('方案版本'!$A$7:$A$306,C92,'方案版本'!$B$7:$B$306,B92,'方案版本'!$L$7:$L$306,"已冻结")&lt;&gt;1,"方案引用无效",IF(OR(NOT(ISNUMBER(D92)),NOT(ISNUMBER(E92)),F92="",I92="",M92="",Q92=""),"待补预测信息",IF(D92&gt;E92,"非事前到期登记",IF(OR(AND(G92&lt;&gt;"",OR(NOT(ISNUMBER(G92)),G92&lt;0,G92&gt;1)),AND(H92&lt;&gt;"",OR(NOT(ISNUMBER(H92)),H92&lt;0,H92&gt;1))),"概率无效",IF(AND(I92="已判定",OR(NOT(ISNUMBER(J92)),AND(J92&lt;&gt;0,J92&lt;&gt;1),NOT(ISNUMBER(K92)),L92="")),"待补判定证据",IF(AND(I92="已判定",D92&gt;K92),"事后补录不评分","有效输入")))))))))</x:f>
      </x:c>
    </x:row>
    <x:row r="93" ht="25" customHeight="1">
      <x:c r="A93" s="3"/>
      <x:c r="B93" s="3"/>
      <x:c r="C93" s="3"/>
      <x:c r="D93" s="25"/>
      <x:c r="E93" s="25"/>
      <x:c r="F93" s="3"/>
      <x:c r="G93" s="26"/>
      <x:c r="H93" s="26"/>
      <x:c r="I93" s="3"/>
      <x:c r="J93" s="22"/>
      <x:c r="K93" s="25"/>
      <x:c r="L93" s="3"/>
      <x:c r="M93" s="3"/>
      <x:c r="N93" s="24" t="str">
        <x:f>IF(AND(R93="有效输入",I93="已判定",M93="是",ISNUMBER(G93)),(G93-J93)^2,"")</x:f>
      </x:c>
      <x:c r="O93" s="24" t="str">
        <x:f>IF(AND(ISNUMBER(N93),ISNUMBER(H93)),(H93-J93)^2,"")</x:f>
      </x:c>
      <x:c r="P93" s="24" t="str">
        <x:f>IF(AND(ISNUMBER(N93),ISNUMBER(O93)),O93-N93,"")</x:f>
      </x:c>
      <x:c r="Q93" s="3"/>
      <x:c r="R93" s="19" t="str">
        <x:f>IF(A93="","",IF(COUNTIFS('预测登记'!$A$7:$A$306,A93)&lt;&gt;1,"编号重复",IF(COUNTIFS('问题总览'!$A$7:$A$306,B93)&lt;&gt;1,"问题引用无效",IF(COUNTIFS('方案版本'!$A$7:$A$306,C93,'方案版本'!$B$7:$B$306,B93,'方案版本'!$L$7:$L$306,"已冻结")&lt;&gt;1,"方案引用无效",IF(OR(NOT(ISNUMBER(D93)),NOT(ISNUMBER(E93)),F93="",I93="",M93="",Q93=""),"待补预测信息",IF(D93&gt;E93,"非事前到期登记",IF(OR(AND(G93&lt;&gt;"",OR(NOT(ISNUMBER(G93)),G93&lt;0,G93&gt;1)),AND(H93&lt;&gt;"",OR(NOT(ISNUMBER(H93)),H93&lt;0,H93&gt;1))),"概率无效",IF(AND(I93="已判定",OR(NOT(ISNUMBER(J93)),AND(J93&lt;&gt;0,J93&lt;&gt;1),NOT(ISNUMBER(K93)),L93="")),"待补判定证据",IF(AND(I93="已判定",D93&gt;K93),"事后补录不评分","有效输入")))))))))</x:f>
      </x:c>
    </x:row>
    <x:row r="94" ht="25" customHeight="1">
      <x:c r="A94" s="3"/>
      <x:c r="B94" s="3"/>
      <x:c r="C94" s="3"/>
      <x:c r="D94" s="25"/>
      <x:c r="E94" s="25"/>
      <x:c r="F94" s="3"/>
      <x:c r="G94" s="26"/>
      <x:c r="H94" s="26"/>
      <x:c r="I94" s="3"/>
      <x:c r="J94" s="22"/>
      <x:c r="K94" s="25"/>
      <x:c r="L94" s="3"/>
      <x:c r="M94" s="3"/>
      <x:c r="N94" s="24" t="str">
        <x:f>IF(AND(R94="有效输入",I94="已判定",M94="是",ISNUMBER(G94)),(G94-J94)^2,"")</x:f>
      </x:c>
      <x:c r="O94" s="24" t="str">
        <x:f>IF(AND(ISNUMBER(N94),ISNUMBER(H94)),(H94-J94)^2,"")</x:f>
      </x:c>
      <x:c r="P94" s="24" t="str">
        <x:f>IF(AND(ISNUMBER(N94),ISNUMBER(O94)),O94-N94,"")</x:f>
      </x:c>
      <x:c r="Q94" s="3"/>
      <x:c r="R94" s="19" t="str">
        <x:f>IF(A94="","",IF(COUNTIFS('预测登记'!$A$7:$A$306,A94)&lt;&gt;1,"编号重复",IF(COUNTIFS('问题总览'!$A$7:$A$306,B94)&lt;&gt;1,"问题引用无效",IF(COUNTIFS('方案版本'!$A$7:$A$306,C94,'方案版本'!$B$7:$B$306,B94,'方案版本'!$L$7:$L$306,"已冻结")&lt;&gt;1,"方案引用无效",IF(OR(NOT(ISNUMBER(D94)),NOT(ISNUMBER(E94)),F94="",I94="",M94="",Q94=""),"待补预测信息",IF(D94&gt;E94,"非事前到期登记",IF(OR(AND(G94&lt;&gt;"",OR(NOT(ISNUMBER(G94)),G94&lt;0,G94&gt;1)),AND(H94&lt;&gt;"",OR(NOT(ISNUMBER(H94)),H94&lt;0,H94&gt;1))),"概率无效",IF(AND(I94="已判定",OR(NOT(ISNUMBER(J94)),AND(J94&lt;&gt;0,J94&lt;&gt;1),NOT(ISNUMBER(K94)),L94="")),"待补判定证据",IF(AND(I94="已判定",D94&gt;K94),"事后补录不评分","有效输入")))))))))</x:f>
      </x:c>
    </x:row>
    <x:row r="95" ht="25" customHeight="1">
      <x:c r="A95" s="3"/>
      <x:c r="B95" s="3"/>
      <x:c r="C95" s="3"/>
      <x:c r="D95" s="25"/>
      <x:c r="E95" s="25"/>
      <x:c r="F95" s="3"/>
      <x:c r="G95" s="26"/>
      <x:c r="H95" s="26"/>
      <x:c r="I95" s="3"/>
      <x:c r="J95" s="22"/>
      <x:c r="K95" s="25"/>
      <x:c r="L95" s="3"/>
      <x:c r="M95" s="3"/>
      <x:c r="N95" s="24" t="str">
        <x:f>IF(AND(R95="有效输入",I95="已判定",M95="是",ISNUMBER(G95)),(G95-J95)^2,"")</x:f>
      </x:c>
      <x:c r="O95" s="24" t="str">
        <x:f>IF(AND(ISNUMBER(N95),ISNUMBER(H95)),(H95-J95)^2,"")</x:f>
      </x:c>
      <x:c r="P95" s="24" t="str">
        <x:f>IF(AND(ISNUMBER(N95),ISNUMBER(O95)),O95-N95,"")</x:f>
      </x:c>
      <x:c r="Q95" s="3"/>
      <x:c r="R95" s="19" t="str">
        <x:f>IF(A95="","",IF(COUNTIFS('预测登记'!$A$7:$A$306,A95)&lt;&gt;1,"编号重复",IF(COUNTIFS('问题总览'!$A$7:$A$306,B95)&lt;&gt;1,"问题引用无效",IF(COUNTIFS('方案版本'!$A$7:$A$306,C95,'方案版本'!$B$7:$B$306,B95,'方案版本'!$L$7:$L$306,"已冻结")&lt;&gt;1,"方案引用无效",IF(OR(NOT(ISNUMBER(D95)),NOT(ISNUMBER(E95)),F95="",I95="",M95="",Q95=""),"待补预测信息",IF(D95&gt;E95,"非事前到期登记",IF(OR(AND(G95&lt;&gt;"",OR(NOT(ISNUMBER(G95)),G95&lt;0,G95&gt;1)),AND(H95&lt;&gt;"",OR(NOT(ISNUMBER(H95)),H95&lt;0,H95&gt;1))),"概率无效",IF(AND(I95="已判定",OR(NOT(ISNUMBER(J95)),AND(J95&lt;&gt;0,J95&lt;&gt;1),NOT(ISNUMBER(K95)),L95="")),"待补判定证据",IF(AND(I95="已判定",D95&gt;K95),"事后补录不评分","有效输入")))))))))</x:f>
      </x:c>
    </x:row>
    <x:row r="96" ht="25" customHeight="1">
      <x:c r="A96" s="3"/>
      <x:c r="B96" s="3"/>
      <x:c r="C96" s="3"/>
      <x:c r="D96" s="25"/>
      <x:c r="E96" s="25"/>
      <x:c r="F96" s="3"/>
      <x:c r="G96" s="26"/>
      <x:c r="H96" s="26"/>
      <x:c r="I96" s="3"/>
      <x:c r="J96" s="22"/>
      <x:c r="K96" s="25"/>
      <x:c r="L96" s="3"/>
      <x:c r="M96" s="3"/>
      <x:c r="N96" s="24" t="str">
        <x:f>IF(AND(R96="有效输入",I96="已判定",M96="是",ISNUMBER(G96)),(G96-J96)^2,"")</x:f>
      </x:c>
      <x:c r="O96" s="24" t="str">
        <x:f>IF(AND(ISNUMBER(N96),ISNUMBER(H96)),(H96-J96)^2,"")</x:f>
      </x:c>
      <x:c r="P96" s="24" t="str">
        <x:f>IF(AND(ISNUMBER(N96),ISNUMBER(O96)),O96-N96,"")</x:f>
      </x:c>
      <x:c r="Q96" s="3"/>
      <x:c r="R96" s="19" t="str">
        <x:f>IF(A96="","",IF(COUNTIFS('预测登记'!$A$7:$A$306,A96)&lt;&gt;1,"编号重复",IF(COUNTIFS('问题总览'!$A$7:$A$306,B96)&lt;&gt;1,"问题引用无效",IF(COUNTIFS('方案版本'!$A$7:$A$306,C96,'方案版本'!$B$7:$B$306,B96,'方案版本'!$L$7:$L$306,"已冻结")&lt;&gt;1,"方案引用无效",IF(OR(NOT(ISNUMBER(D96)),NOT(ISNUMBER(E96)),F96="",I96="",M96="",Q96=""),"待补预测信息",IF(D96&gt;E96,"非事前到期登记",IF(OR(AND(G96&lt;&gt;"",OR(NOT(ISNUMBER(G96)),G96&lt;0,G96&gt;1)),AND(H96&lt;&gt;"",OR(NOT(ISNUMBER(H96)),H96&lt;0,H96&gt;1))),"概率无效",IF(AND(I96="已判定",OR(NOT(ISNUMBER(J96)),AND(J96&lt;&gt;0,J96&lt;&gt;1),NOT(ISNUMBER(K96)),L96="")),"待补判定证据",IF(AND(I96="已判定",D96&gt;K96),"事后补录不评分","有效输入")))))))))</x:f>
      </x:c>
    </x:row>
    <x:row r="97" ht="25" customHeight="1">
      <x:c r="A97" s="3"/>
      <x:c r="B97" s="3"/>
      <x:c r="C97" s="3"/>
      <x:c r="D97" s="25"/>
      <x:c r="E97" s="25"/>
      <x:c r="F97" s="3"/>
      <x:c r="G97" s="26"/>
      <x:c r="H97" s="26"/>
      <x:c r="I97" s="3"/>
      <x:c r="J97" s="22"/>
      <x:c r="K97" s="25"/>
      <x:c r="L97" s="3"/>
      <x:c r="M97" s="3"/>
      <x:c r="N97" s="24" t="str">
        <x:f>IF(AND(R97="有效输入",I97="已判定",M97="是",ISNUMBER(G97)),(G97-J97)^2,"")</x:f>
      </x:c>
      <x:c r="O97" s="24" t="str">
        <x:f>IF(AND(ISNUMBER(N97),ISNUMBER(H97)),(H97-J97)^2,"")</x:f>
      </x:c>
      <x:c r="P97" s="24" t="str">
        <x:f>IF(AND(ISNUMBER(N97),ISNUMBER(O97)),O97-N97,"")</x:f>
      </x:c>
      <x:c r="Q97" s="3"/>
      <x:c r="R97" s="19" t="str">
        <x:f>IF(A97="","",IF(COUNTIFS('预测登记'!$A$7:$A$306,A97)&lt;&gt;1,"编号重复",IF(COUNTIFS('问题总览'!$A$7:$A$306,B97)&lt;&gt;1,"问题引用无效",IF(COUNTIFS('方案版本'!$A$7:$A$306,C97,'方案版本'!$B$7:$B$306,B97,'方案版本'!$L$7:$L$306,"已冻结")&lt;&gt;1,"方案引用无效",IF(OR(NOT(ISNUMBER(D97)),NOT(ISNUMBER(E97)),F97="",I97="",M97="",Q97=""),"待补预测信息",IF(D97&gt;E97,"非事前到期登记",IF(OR(AND(G97&lt;&gt;"",OR(NOT(ISNUMBER(G97)),G97&lt;0,G97&gt;1)),AND(H97&lt;&gt;"",OR(NOT(ISNUMBER(H97)),H97&lt;0,H97&gt;1))),"概率无效",IF(AND(I97="已判定",OR(NOT(ISNUMBER(J97)),AND(J97&lt;&gt;0,J97&lt;&gt;1),NOT(ISNUMBER(K97)),L97="")),"待补判定证据",IF(AND(I97="已判定",D97&gt;K97),"事后补录不评分","有效输入")))))))))</x:f>
      </x:c>
    </x:row>
    <x:row r="98" ht="25" customHeight="1">
      <x:c r="A98" s="3"/>
      <x:c r="B98" s="3"/>
      <x:c r="C98" s="3"/>
      <x:c r="D98" s="25"/>
      <x:c r="E98" s="25"/>
      <x:c r="F98" s="3"/>
      <x:c r="G98" s="26"/>
      <x:c r="H98" s="26"/>
      <x:c r="I98" s="3"/>
      <x:c r="J98" s="22"/>
      <x:c r="K98" s="25"/>
      <x:c r="L98" s="3"/>
      <x:c r="M98" s="3"/>
      <x:c r="N98" s="24" t="str">
        <x:f>IF(AND(R98="有效输入",I98="已判定",M98="是",ISNUMBER(G98)),(G98-J98)^2,"")</x:f>
      </x:c>
      <x:c r="O98" s="24" t="str">
        <x:f>IF(AND(ISNUMBER(N98),ISNUMBER(H98)),(H98-J98)^2,"")</x:f>
      </x:c>
      <x:c r="P98" s="24" t="str">
        <x:f>IF(AND(ISNUMBER(N98),ISNUMBER(O98)),O98-N98,"")</x:f>
      </x:c>
      <x:c r="Q98" s="3"/>
      <x:c r="R98" s="19" t="str">
        <x:f>IF(A98="","",IF(COUNTIFS('预测登记'!$A$7:$A$306,A98)&lt;&gt;1,"编号重复",IF(COUNTIFS('问题总览'!$A$7:$A$306,B98)&lt;&gt;1,"问题引用无效",IF(COUNTIFS('方案版本'!$A$7:$A$306,C98,'方案版本'!$B$7:$B$306,B98,'方案版本'!$L$7:$L$306,"已冻结")&lt;&gt;1,"方案引用无效",IF(OR(NOT(ISNUMBER(D98)),NOT(ISNUMBER(E98)),F98="",I98="",M98="",Q98=""),"待补预测信息",IF(D98&gt;E98,"非事前到期登记",IF(OR(AND(G98&lt;&gt;"",OR(NOT(ISNUMBER(G98)),G98&lt;0,G98&gt;1)),AND(H98&lt;&gt;"",OR(NOT(ISNUMBER(H98)),H98&lt;0,H98&gt;1))),"概率无效",IF(AND(I98="已判定",OR(NOT(ISNUMBER(J98)),AND(J98&lt;&gt;0,J98&lt;&gt;1),NOT(ISNUMBER(K98)),L98="")),"待补判定证据",IF(AND(I98="已判定",D98&gt;K98),"事后补录不评分","有效输入")))))))))</x:f>
      </x:c>
    </x:row>
    <x:row r="99" ht="25" customHeight="1">
      <x:c r="A99" s="3"/>
      <x:c r="B99" s="3"/>
      <x:c r="C99" s="3"/>
      <x:c r="D99" s="25"/>
      <x:c r="E99" s="25"/>
      <x:c r="F99" s="3"/>
      <x:c r="G99" s="26"/>
      <x:c r="H99" s="26"/>
      <x:c r="I99" s="3"/>
      <x:c r="J99" s="22"/>
      <x:c r="K99" s="25"/>
      <x:c r="L99" s="3"/>
      <x:c r="M99" s="3"/>
      <x:c r="N99" s="24" t="str">
        <x:f>IF(AND(R99="有效输入",I99="已判定",M99="是",ISNUMBER(G99)),(G99-J99)^2,"")</x:f>
      </x:c>
      <x:c r="O99" s="24" t="str">
        <x:f>IF(AND(ISNUMBER(N99),ISNUMBER(H99)),(H99-J99)^2,"")</x:f>
      </x:c>
      <x:c r="P99" s="24" t="str">
        <x:f>IF(AND(ISNUMBER(N99),ISNUMBER(O99)),O99-N99,"")</x:f>
      </x:c>
      <x:c r="Q99" s="3"/>
      <x:c r="R99" s="19" t="str">
        <x:f>IF(A99="","",IF(COUNTIFS('预测登记'!$A$7:$A$306,A99)&lt;&gt;1,"编号重复",IF(COUNTIFS('问题总览'!$A$7:$A$306,B99)&lt;&gt;1,"问题引用无效",IF(COUNTIFS('方案版本'!$A$7:$A$306,C99,'方案版本'!$B$7:$B$306,B99,'方案版本'!$L$7:$L$306,"已冻结")&lt;&gt;1,"方案引用无效",IF(OR(NOT(ISNUMBER(D99)),NOT(ISNUMBER(E99)),F99="",I99="",M99="",Q99=""),"待补预测信息",IF(D99&gt;E99,"非事前到期登记",IF(OR(AND(G99&lt;&gt;"",OR(NOT(ISNUMBER(G99)),G99&lt;0,G99&gt;1)),AND(H99&lt;&gt;"",OR(NOT(ISNUMBER(H99)),H99&lt;0,H99&gt;1))),"概率无效",IF(AND(I99="已判定",OR(NOT(ISNUMBER(J99)),AND(J99&lt;&gt;0,J99&lt;&gt;1),NOT(ISNUMBER(K99)),L99="")),"待补判定证据",IF(AND(I99="已判定",D99&gt;K99),"事后补录不评分","有效输入")))))))))</x:f>
      </x:c>
    </x:row>
    <x:row r="100" ht="25" customHeight="1">
      <x:c r="A100" s="3"/>
      <x:c r="B100" s="3"/>
      <x:c r="C100" s="3"/>
      <x:c r="D100" s="25"/>
      <x:c r="E100" s="25"/>
      <x:c r="F100" s="3"/>
      <x:c r="G100" s="26"/>
      <x:c r="H100" s="26"/>
      <x:c r="I100" s="3"/>
      <x:c r="J100" s="22"/>
      <x:c r="K100" s="25"/>
      <x:c r="L100" s="3"/>
      <x:c r="M100" s="3"/>
      <x:c r="N100" s="24" t="str">
        <x:f>IF(AND(R100="有效输入",I100="已判定",M100="是",ISNUMBER(G100)),(G100-J100)^2,"")</x:f>
      </x:c>
      <x:c r="O100" s="24" t="str">
        <x:f>IF(AND(ISNUMBER(N100),ISNUMBER(H100)),(H100-J100)^2,"")</x:f>
      </x:c>
      <x:c r="P100" s="24" t="str">
        <x:f>IF(AND(ISNUMBER(N100),ISNUMBER(O100)),O100-N100,"")</x:f>
      </x:c>
      <x:c r="Q100" s="3"/>
      <x:c r="R100" s="19" t="str">
        <x:f>IF(A100="","",IF(COUNTIFS('预测登记'!$A$7:$A$306,A100)&lt;&gt;1,"编号重复",IF(COUNTIFS('问题总览'!$A$7:$A$306,B100)&lt;&gt;1,"问题引用无效",IF(COUNTIFS('方案版本'!$A$7:$A$306,C100,'方案版本'!$B$7:$B$306,B100,'方案版本'!$L$7:$L$306,"已冻结")&lt;&gt;1,"方案引用无效",IF(OR(NOT(ISNUMBER(D100)),NOT(ISNUMBER(E100)),F100="",I100="",M100="",Q100=""),"待补预测信息",IF(D100&gt;E100,"非事前到期登记",IF(OR(AND(G100&lt;&gt;"",OR(NOT(ISNUMBER(G100)),G100&lt;0,G100&gt;1)),AND(H100&lt;&gt;"",OR(NOT(ISNUMBER(H100)),H100&lt;0,H100&gt;1))),"概率无效",IF(AND(I100="已判定",OR(NOT(ISNUMBER(J100)),AND(J100&lt;&gt;0,J100&lt;&gt;1),NOT(ISNUMBER(K100)),L100="")),"待补判定证据",IF(AND(I100="已判定",D100&gt;K100),"事后补录不评分","有效输入")))))))))</x:f>
      </x:c>
    </x:row>
    <x:row r="101" ht="25" customHeight="1">
      <x:c r="A101" s="3"/>
      <x:c r="B101" s="3"/>
      <x:c r="C101" s="3"/>
      <x:c r="D101" s="25"/>
      <x:c r="E101" s="25"/>
      <x:c r="F101" s="3"/>
      <x:c r="G101" s="26"/>
      <x:c r="H101" s="26"/>
      <x:c r="I101" s="3"/>
      <x:c r="J101" s="22"/>
      <x:c r="K101" s="25"/>
      <x:c r="L101" s="3"/>
      <x:c r="M101" s="3"/>
      <x:c r="N101" s="24" t="str">
        <x:f>IF(AND(R101="有效输入",I101="已判定",M101="是",ISNUMBER(G101)),(G101-J101)^2,"")</x:f>
      </x:c>
      <x:c r="O101" s="24" t="str">
        <x:f>IF(AND(ISNUMBER(N101),ISNUMBER(H101)),(H101-J101)^2,"")</x:f>
      </x:c>
      <x:c r="P101" s="24" t="str">
        <x:f>IF(AND(ISNUMBER(N101),ISNUMBER(O101)),O101-N101,"")</x:f>
      </x:c>
      <x:c r="Q101" s="3"/>
      <x:c r="R101" s="19" t="str">
        <x:f>IF(A101="","",IF(COUNTIFS('预测登记'!$A$7:$A$306,A101)&lt;&gt;1,"编号重复",IF(COUNTIFS('问题总览'!$A$7:$A$306,B101)&lt;&gt;1,"问题引用无效",IF(COUNTIFS('方案版本'!$A$7:$A$306,C101,'方案版本'!$B$7:$B$306,B101,'方案版本'!$L$7:$L$306,"已冻结")&lt;&gt;1,"方案引用无效",IF(OR(NOT(ISNUMBER(D101)),NOT(ISNUMBER(E101)),F101="",I101="",M101="",Q101=""),"待补预测信息",IF(D101&gt;E101,"非事前到期登记",IF(OR(AND(G101&lt;&gt;"",OR(NOT(ISNUMBER(G101)),G101&lt;0,G101&gt;1)),AND(H101&lt;&gt;"",OR(NOT(ISNUMBER(H101)),H101&lt;0,H101&gt;1))),"概率无效",IF(AND(I101="已判定",OR(NOT(ISNUMBER(J101)),AND(J101&lt;&gt;0,J101&lt;&gt;1),NOT(ISNUMBER(K101)),L101="")),"待补判定证据",IF(AND(I101="已判定",D101&gt;K101),"事后补录不评分","有效输入")))))))))</x:f>
      </x:c>
    </x:row>
    <x:row r="102" ht="25" customHeight="1">
      <x:c r="A102" s="3"/>
      <x:c r="B102" s="3"/>
      <x:c r="C102" s="3"/>
      <x:c r="D102" s="25"/>
      <x:c r="E102" s="25"/>
      <x:c r="F102" s="3"/>
      <x:c r="G102" s="26"/>
      <x:c r="H102" s="26"/>
      <x:c r="I102" s="3"/>
      <x:c r="J102" s="22"/>
      <x:c r="K102" s="25"/>
      <x:c r="L102" s="3"/>
      <x:c r="M102" s="3"/>
      <x:c r="N102" s="24" t="str">
        <x:f>IF(AND(R102="有效输入",I102="已判定",M102="是",ISNUMBER(G102)),(G102-J102)^2,"")</x:f>
      </x:c>
      <x:c r="O102" s="24" t="str">
        <x:f>IF(AND(ISNUMBER(N102),ISNUMBER(H102)),(H102-J102)^2,"")</x:f>
      </x:c>
      <x:c r="P102" s="24" t="str">
        <x:f>IF(AND(ISNUMBER(N102),ISNUMBER(O102)),O102-N102,"")</x:f>
      </x:c>
      <x:c r="Q102" s="3"/>
      <x:c r="R102" s="19" t="str">
        <x:f>IF(A102="","",IF(COUNTIFS('预测登记'!$A$7:$A$306,A102)&lt;&gt;1,"编号重复",IF(COUNTIFS('问题总览'!$A$7:$A$306,B102)&lt;&gt;1,"问题引用无效",IF(COUNTIFS('方案版本'!$A$7:$A$306,C102,'方案版本'!$B$7:$B$306,B102,'方案版本'!$L$7:$L$306,"已冻结")&lt;&gt;1,"方案引用无效",IF(OR(NOT(ISNUMBER(D102)),NOT(ISNUMBER(E102)),F102="",I102="",M102="",Q102=""),"待补预测信息",IF(D102&gt;E102,"非事前到期登记",IF(OR(AND(G102&lt;&gt;"",OR(NOT(ISNUMBER(G102)),G102&lt;0,G102&gt;1)),AND(H102&lt;&gt;"",OR(NOT(ISNUMBER(H102)),H102&lt;0,H102&gt;1))),"概率无效",IF(AND(I102="已判定",OR(NOT(ISNUMBER(J102)),AND(J102&lt;&gt;0,J102&lt;&gt;1),NOT(ISNUMBER(K102)),L102="")),"待补判定证据",IF(AND(I102="已判定",D102&gt;K102),"事后补录不评分","有效输入")))))))))</x:f>
      </x:c>
    </x:row>
    <x:row r="103" ht="25" customHeight="1">
      <x:c r="A103" s="3"/>
      <x:c r="B103" s="3"/>
      <x:c r="C103" s="3"/>
      <x:c r="D103" s="25"/>
      <x:c r="E103" s="25"/>
      <x:c r="F103" s="3"/>
      <x:c r="G103" s="26"/>
      <x:c r="H103" s="26"/>
      <x:c r="I103" s="3"/>
      <x:c r="J103" s="22"/>
      <x:c r="K103" s="25"/>
      <x:c r="L103" s="3"/>
      <x:c r="M103" s="3"/>
      <x:c r="N103" s="24" t="str">
        <x:f>IF(AND(R103="有效输入",I103="已判定",M103="是",ISNUMBER(G103)),(G103-J103)^2,"")</x:f>
      </x:c>
      <x:c r="O103" s="24" t="str">
        <x:f>IF(AND(ISNUMBER(N103),ISNUMBER(H103)),(H103-J103)^2,"")</x:f>
      </x:c>
      <x:c r="P103" s="24" t="str">
        <x:f>IF(AND(ISNUMBER(N103),ISNUMBER(O103)),O103-N103,"")</x:f>
      </x:c>
      <x:c r="Q103" s="3"/>
      <x:c r="R103" s="19" t="str">
        <x:f>IF(A103="","",IF(COUNTIFS('预测登记'!$A$7:$A$306,A103)&lt;&gt;1,"编号重复",IF(COUNTIFS('问题总览'!$A$7:$A$306,B103)&lt;&gt;1,"问题引用无效",IF(COUNTIFS('方案版本'!$A$7:$A$306,C103,'方案版本'!$B$7:$B$306,B103,'方案版本'!$L$7:$L$306,"已冻结")&lt;&gt;1,"方案引用无效",IF(OR(NOT(ISNUMBER(D103)),NOT(ISNUMBER(E103)),F103="",I103="",M103="",Q103=""),"待补预测信息",IF(D103&gt;E103,"非事前到期登记",IF(OR(AND(G103&lt;&gt;"",OR(NOT(ISNUMBER(G103)),G103&lt;0,G103&gt;1)),AND(H103&lt;&gt;"",OR(NOT(ISNUMBER(H103)),H103&lt;0,H103&gt;1))),"概率无效",IF(AND(I103="已判定",OR(NOT(ISNUMBER(J103)),AND(J103&lt;&gt;0,J103&lt;&gt;1),NOT(ISNUMBER(K103)),L103="")),"待补判定证据",IF(AND(I103="已判定",D103&gt;K103),"事后补录不评分","有效输入")))))))))</x:f>
      </x:c>
    </x:row>
    <x:row r="104" ht="25" customHeight="1">
      <x:c r="A104" s="3"/>
      <x:c r="B104" s="3"/>
      <x:c r="C104" s="3"/>
      <x:c r="D104" s="25"/>
      <x:c r="E104" s="25"/>
      <x:c r="F104" s="3"/>
      <x:c r="G104" s="26"/>
      <x:c r="H104" s="26"/>
      <x:c r="I104" s="3"/>
      <x:c r="J104" s="22"/>
      <x:c r="K104" s="25"/>
      <x:c r="L104" s="3"/>
      <x:c r="M104" s="3"/>
      <x:c r="N104" s="24" t="str">
        <x:f>IF(AND(R104="有效输入",I104="已判定",M104="是",ISNUMBER(G104)),(G104-J104)^2,"")</x:f>
      </x:c>
      <x:c r="O104" s="24" t="str">
        <x:f>IF(AND(ISNUMBER(N104),ISNUMBER(H104)),(H104-J104)^2,"")</x:f>
      </x:c>
      <x:c r="P104" s="24" t="str">
        <x:f>IF(AND(ISNUMBER(N104),ISNUMBER(O104)),O104-N104,"")</x:f>
      </x:c>
      <x:c r="Q104" s="3"/>
      <x:c r="R104" s="19" t="str">
        <x:f>IF(A104="","",IF(COUNTIFS('预测登记'!$A$7:$A$306,A104)&lt;&gt;1,"编号重复",IF(COUNTIFS('问题总览'!$A$7:$A$306,B104)&lt;&gt;1,"问题引用无效",IF(COUNTIFS('方案版本'!$A$7:$A$306,C104,'方案版本'!$B$7:$B$306,B104,'方案版本'!$L$7:$L$306,"已冻结")&lt;&gt;1,"方案引用无效",IF(OR(NOT(ISNUMBER(D104)),NOT(ISNUMBER(E104)),F104="",I104="",M104="",Q104=""),"待补预测信息",IF(D104&gt;E104,"非事前到期登记",IF(OR(AND(G104&lt;&gt;"",OR(NOT(ISNUMBER(G104)),G104&lt;0,G104&gt;1)),AND(H104&lt;&gt;"",OR(NOT(ISNUMBER(H104)),H104&lt;0,H104&gt;1))),"概率无效",IF(AND(I104="已判定",OR(NOT(ISNUMBER(J104)),AND(J104&lt;&gt;0,J104&lt;&gt;1),NOT(ISNUMBER(K104)),L104="")),"待补判定证据",IF(AND(I104="已判定",D104&gt;K104),"事后补录不评分","有效输入")))))))))</x:f>
      </x:c>
    </x:row>
    <x:row r="105" ht="25" customHeight="1">
      <x:c r="A105" s="3"/>
      <x:c r="B105" s="3"/>
      <x:c r="C105" s="3"/>
      <x:c r="D105" s="25"/>
      <x:c r="E105" s="25"/>
      <x:c r="F105" s="3"/>
      <x:c r="G105" s="26"/>
      <x:c r="H105" s="26"/>
      <x:c r="I105" s="3"/>
      <x:c r="J105" s="22"/>
      <x:c r="K105" s="25"/>
      <x:c r="L105" s="3"/>
      <x:c r="M105" s="3"/>
      <x:c r="N105" s="24" t="str">
        <x:f>IF(AND(R105="有效输入",I105="已判定",M105="是",ISNUMBER(G105)),(G105-J105)^2,"")</x:f>
      </x:c>
      <x:c r="O105" s="24" t="str">
        <x:f>IF(AND(ISNUMBER(N105),ISNUMBER(H105)),(H105-J105)^2,"")</x:f>
      </x:c>
      <x:c r="P105" s="24" t="str">
        <x:f>IF(AND(ISNUMBER(N105),ISNUMBER(O105)),O105-N105,"")</x:f>
      </x:c>
      <x:c r="Q105" s="3"/>
      <x:c r="R105" s="19" t="str">
        <x:f>IF(A105="","",IF(COUNTIFS('预测登记'!$A$7:$A$306,A105)&lt;&gt;1,"编号重复",IF(COUNTIFS('问题总览'!$A$7:$A$306,B105)&lt;&gt;1,"问题引用无效",IF(COUNTIFS('方案版本'!$A$7:$A$306,C105,'方案版本'!$B$7:$B$306,B105,'方案版本'!$L$7:$L$306,"已冻结")&lt;&gt;1,"方案引用无效",IF(OR(NOT(ISNUMBER(D105)),NOT(ISNUMBER(E105)),F105="",I105="",M105="",Q105=""),"待补预测信息",IF(D105&gt;E105,"非事前到期登记",IF(OR(AND(G105&lt;&gt;"",OR(NOT(ISNUMBER(G105)),G105&lt;0,G105&gt;1)),AND(H105&lt;&gt;"",OR(NOT(ISNUMBER(H105)),H105&lt;0,H105&gt;1))),"概率无效",IF(AND(I105="已判定",OR(NOT(ISNUMBER(J105)),AND(J105&lt;&gt;0,J105&lt;&gt;1),NOT(ISNUMBER(K105)),L105="")),"待补判定证据",IF(AND(I105="已判定",D105&gt;K105),"事后补录不评分","有效输入")))))))))</x:f>
      </x:c>
    </x:row>
    <x:row r="106" ht="25" customHeight="1">
      <x:c r="A106" s="3"/>
      <x:c r="B106" s="3"/>
      <x:c r="C106" s="3"/>
      <x:c r="D106" s="25"/>
      <x:c r="E106" s="25"/>
      <x:c r="F106" s="3"/>
      <x:c r="G106" s="26"/>
      <x:c r="H106" s="26"/>
      <x:c r="I106" s="3"/>
      <x:c r="J106" s="22"/>
      <x:c r="K106" s="25"/>
      <x:c r="L106" s="3"/>
      <x:c r="M106" s="3"/>
      <x:c r="N106" s="24" t="str">
        <x:f>IF(AND(R106="有效输入",I106="已判定",M106="是",ISNUMBER(G106)),(G106-J106)^2,"")</x:f>
      </x:c>
      <x:c r="O106" s="24" t="str">
        <x:f>IF(AND(ISNUMBER(N106),ISNUMBER(H106)),(H106-J106)^2,"")</x:f>
      </x:c>
      <x:c r="P106" s="24" t="str">
        <x:f>IF(AND(ISNUMBER(N106),ISNUMBER(O106)),O106-N106,"")</x:f>
      </x:c>
      <x:c r="Q106" s="3"/>
      <x:c r="R106" s="19" t="str">
        <x:f>IF(A106="","",IF(COUNTIFS('预测登记'!$A$7:$A$306,A106)&lt;&gt;1,"编号重复",IF(COUNTIFS('问题总览'!$A$7:$A$306,B106)&lt;&gt;1,"问题引用无效",IF(COUNTIFS('方案版本'!$A$7:$A$306,C106,'方案版本'!$B$7:$B$306,B106,'方案版本'!$L$7:$L$306,"已冻结")&lt;&gt;1,"方案引用无效",IF(OR(NOT(ISNUMBER(D106)),NOT(ISNUMBER(E106)),F106="",I106="",M106="",Q106=""),"待补预测信息",IF(D106&gt;E106,"非事前到期登记",IF(OR(AND(G106&lt;&gt;"",OR(NOT(ISNUMBER(G106)),G106&lt;0,G106&gt;1)),AND(H106&lt;&gt;"",OR(NOT(ISNUMBER(H106)),H106&lt;0,H106&gt;1))),"概率无效",IF(AND(I106="已判定",OR(NOT(ISNUMBER(J106)),AND(J106&lt;&gt;0,J106&lt;&gt;1),NOT(ISNUMBER(K106)),L106="")),"待补判定证据",IF(AND(I106="已判定",D106&gt;K106),"事后补录不评分","有效输入")))))))))</x:f>
      </x:c>
    </x:row>
    <x:row r="107" ht="25" customHeight="1">
      <x:c r="A107" s="3"/>
      <x:c r="B107" s="3"/>
      <x:c r="C107" s="3"/>
      <x:c r="D107" s="25"/>
      <x:c r="E107" s="25"/>
      <x:c r="F107" s="3"/>
      <x:c r="G107" s="26"/>
      <x:c r="H107" s="26"/>
      <x:c r="I107" s="3"/>
      <x:c r="J107" s="22"/>
      <x:c r="K107" s="25"/>
      <x:c r="L107" s="3"/>
      <x:c r="M107" s="3"/>
      <x:c r="N107" s="24" t="str">
        <x:f>IF(AND(R107="有效输入",I107="已判定",M107="是",ISNUMBER(G107)),(G107-J107)^2,"")</x:f>
      </x:c>
      <x:c r="O107" s="24" t="str">
        <x:f>IF(AND(ISNUMBER(N107),ISNUMBER(H107)),(H107-J107)^2,"")</x:f>
      </x:c>
      <x:c r="P107" s="24" t="str">
        <x:f>IF(AND(ISNUMBER(N107),ISNUMBER(O107)),O107-N107,"")</x:f>
      </x:c>
      <x:c r="Q107" s="3"/>
      <x:c r="R107" s="19" t="str">
        <x:f>IF(A107="","",IF(COUNTIFS('预测登记'!$A$7:$A$306,A107)&lt;&gt;1,"编号重复",IF(COUNTIFS('问题总览'!$A$7:$A$306,B107)&lt;&gt;1,"问题引用无效",IF(COUNTIFS('方案版本'!$A$7:$A$306,C107,'方案版本'!$B$7:$B$306,B107,'方案版本'!$L$7:$L$306,"已冻结")&lt;&gt;1,"方案引用无效",IF(OR(NOT(ISNUMBER(D107)),NOT(ISNUMBER(E107)),F107="",I107="",M107="",Q107=""),"待补预测信息",IF(D107&gt;E107,"非事前到期登记",IF(OR(AND(G107&lt;&gt;"",OR(NOT(ISNUMBER(G107)),G107&lt;0,G107&gt;1)),AND(H107&lt;&gt;"",OR(NOT(ISNUMBER(H107)),H107&lt;0,H107&gt;1))),"概率无效",IF(AND(I107="已判定",OR(NOT(ISNUMBER(J107)),AND(J107&lt;&gt;0,J107&lt;&gt;1),NOT(ISNUMBER(K107)),L107="")),"待补判定证据",IF(AND(I107="已判定",D107&gt;K107),"事后补录不评分","有效输入")))))))))</x:f>
      </x:c>
    </x:row>
    <x:row r="108" ht="25" customHeight="1">
      <x:c r="A108" s="3"/>
      <x:c r="B108" s="3"/>
      <x:c r="C108" s="3"/>
      <x:c r="D108" s="25"/>
      <x:c r="E108" s="25"/>
      <x:c r="F108" s="3"/>
      <x:c r="G108" s="26"/>
      <x:c r="H108" s="26"/>
      <x:c r="I108" s="3"/>
      <x:c r="J108" s="22"/>
      <x:c r="K108" s="25"/>
      <x:c r="L108" s="3"/>
      <x:c r="M108" s="3"/>
      <x:c r="N108" s="24" t="str">
        <x:f>IF(AND(R108="有效输入",I108="已判定",M108="是",ISNUMBER(G108)),(G108-J108)^2,"")</x:f>
      </x:c>
      <x:c r="O108" s="24" t="str">
        <x:f>IF(AND(ISNUMBER(N108),ISNUMBER(H108)),(H108-J108)^2,"")</x:f>
      </x:c>
      <x:c r="P108" s="24" t="str">
        <x:f>IF(AND(ISNUMBER(N108),ISNUMBER(O108)),O108-N108,"")</x:f>
      </x:c>
      <x:c r="Q108" s="3"/>
      <x:c r="R108" s="19" t="str">
        <x:f>IF(A108="","",IF(COUNTIFS('预测登记'!$A$7:$A$306,A108)&lt;&gt;1,"编号重复",IF(COUNTIFS('问题总览'!$A$7:$A$306,B108)&lt;&gt;1,"问题引用无效",IF(COUNTIFS('方案版本'!$A$7:$A$306,C108,'方案版本'!$B$7:$B$306,B108,'方案版本'!$L$7:$L$306,"已冻结")&lt;&gt;1,"方案引用无效",IF(OR(NOT(ISNUMBER(D108)),NOT(ISNUMBER(E108)),F108="",I108="",M108="",Q108=""),"待补预测信息",IF(D108&gt;E108,"非事前到期登记",IF(OR(AND(G108&lt;&gt;"",OR(NOT(ISNUMBER(G108)),G108&lt;0,G108&gt;1)),AND(H108&lt;&gt;"",OR(NOT(ISNUMBER(H108)),H108&lt;0,H108&gt;1))),"概率无效",IF(AND(I108="已判定",OR(NOT(ISNUMBER(J108)),AND(J108&lt;&gt;0,J108&lt;&gt;1),NOT(ISNUMBER(K108)),L108="")),"待补判定证据",IF(AND(I108="已判定",D108&gt;K108),"事后补录不评分","有效输入")))))))))</x:f>
      </x:c>
    </x:row>
    <x:row r="109" ht="25" customHeight="1">
      <x:c r="A109" s="3"/>
      <x:c r="B109" s="3"/>
      <x:c r="C109" s="3"/>
      <x:c r="D109" s="25"/>
      <x:c r="E109" s="25"/>
      <x:c r="F109" s="3"/>
      <x:c r="G109" s="26"/>
      <x:c r="H109" s="26"/>
      <x:c r="I109" s="3"/>
      <x:c r="J109" s="22"/>
      <x:c r="K109" s="25"/>
      <x:c r="L109" s="3"/>
      <x:c r="M109" s="3"/>
      <x:c r="N109" s="24" t="str">
        <x:f>IF(AND(R109="有效输入",I109="已判定",M109="是",ISNUMBER(G109)),(G109-J109)^2,"")</x:f>
      </x:c>
      <x:c r="O109" s="24" t="str">
        <x:f>IF(AND(ISNUMBER(N109),ISNUMBER(H109)),(H109-J109)^2,"")</x:f>
      </x:c>
      <x:c r="P109" s="24" t="str">
        <x:f>IF(AND(ISNUMBER(N109),ISNUMBER(O109)),O109-N109,"")</x:f>
      </x:c>
      <x:c r="Q109" s="3"/>
      <x:c r="R109" s="19" t="str">
        <x:f>IF(A109="","",IF(COUNTIFS('预测登记'!$A$7:$A$306,A109)&lt;&gt;1,"编号重复",IF(COUNTIFS('问题总览'!$A$7:$A$306,B109)&lt;&gt;1,"问题引用无效",IF(COUNTIFS('方案版本'!$A$7:$A$306,C109,'方案版本'!$B$7:$B$306,B109,'方案版本'!$L$7:$L$306,"已冻结")&lt;&gt;1,"方案引用无效",IF(OR(NOT(ISNUMBER(D109)),NOT(ISNUMBER(E109)),F109="",I109="",M109="",Q109=""),"待补预测信息",IF(D109&gt;E109,"非事前到期登记",IF(OR(AND(G109&lt;&gt;"",OR(NOT(ISNUMBER(G109)),G109&lt;0,G109&gt;1)),AND(H109&lt;&gt;"",OR(NOT(ISNUMBER(H109)),H109&lt;0,H109&gt;1))),"概率无效",IF(AND(I109="已判定",OR(NOT(ISNUMBER(J109)),AND(J109&lt;&gt;0,J109&lt;&gt;1),NOT(ISNUMBER(K109)),L109="")),"待补判定证据",IF(AND(I109="已判定",D109&gt;K109),"事后补录不评分","有效输入")))))))))</x:f>
      </x:c>
    </x:row>
    <x:row r="110" ht="25" customHeight="1">
      <x:c r="A110" s="3"/>
      <x:c r="B110" s="3"/>
      <x:c r="C110" s="3"/>
      <x:c r="D110" s="25"/>
      <x:c r="E110" s="25"/>
      <x:c r="F110" s="3"/>
      <x:c r="G110" s="26"/>
      <x:c r="H110" s="26"/>
      <x:c r="I110" s="3"/>
      <x:c r="J110" s="22"/>
      <x:c r="K110" s="25"/>
      <x:c r="L110" s="3"/>
      <x:c r="M110" s="3"/>
      <x:c r="N110" s="24" t="str">
        <x:f>IF(AND(R110="有效输入",I110="已判定",M110="是",ISNUMBER(G110)),(G110-J110)^2,"")</x:f>
      </x:c>
      <x:c r="O110" s="24" t="str">
        <x:f>IF(AND(ISNUMBER(N110),ISNUMBER(H110)),(H110-J110)^2,"")</x:f>
      </x:c>
      <x:c r="P110" s="24" t="str">
        <x:f>IF(AND(ISNUMBER(N110),ISNUMBER(O110)),O110-N110,"")</x:f>
      </x:c>
      <x:c r="Q110" s="3"/>
      <x:c r="R110" s="19" t="str">
        <x:f>IF(A110="","",IF(COUNTIFS('预测登记'!$A$7:$A$306,A110)&lt;&gt;1,"编号重复",IF(COUNTIFS('问题总览'!$A$7:$A$306,B110)&lt;&gt;1,"问题引用无效",IF(COUNTIFS('方案版本'!$A$7:$A$306,C110,'方案版本'!$B$7:$B$306,B110,'方案版本'!$L$7:$L$306,"已冻结")&lt;&gt;1,"方案引用无效",IF(OR(NOT(ISNUMBER(D110)),NOT(ISNUMBER(E110)),F110="",I110="",M110="",Q110=""),"待补预测信息",IF(D110&gt;E110,"非事前到期登记",IF(OR(AND(G110&lt;&gt;"",OR(NOT(ISNUMBER(G110)),G110&lt;0,G110&gt;1)),AND(H110&lt;&gt;"",OR(NOT(ISNUMBER(H110)),H110&lt;0,H110&gt;1))),"概率无效",IF(AND(I110="已判定",OR(NOT(ISNUMBER(J110)),AND(J110&lt;&gt;0,J110&lt;&gt;1),NOT(ISNUMBER(K110)),L110="")),"待补判定证据",IF(AND(I110="已判定",D110&gt;K110),"事后补录不评分","有效输入")))))))))</x:f>
      </x:c>
    </x:row>
    <x:row r="111" ht="25" customHeight="1">
      <x:c r="A111" s="3"/>
      <x:c r="B111" s="3"/>
      <x:c r="C111" s="3"/>
      <x:c r="D111" s="25"/>
      <x:c r="E111" s="25"/>
      <x:c r="F111" s="3"/>
      <x:c r="G111" s="26"/>
      <x:c r="H111" s="26"/>
      <x:c r="I111" s="3"/>
      <x:c r="J111" s="22"/>
      <x:c r="K111" s="25"/>
      <x:c r="L111" s="3"/>
      <x:c r="M111" s="3"/>
      <x:c r="N111" s="24" t="str">
        <x:f>IF(AND(R111="有效输入",I111="已判定",M111="是",ISNUMBER(G111)),(G111-J111)^2,"")</x:f>
      </x:c>
      <x:c r="O111" s="24" t="str">
        <x:f>IF(AND(ISNUMBER(N111),ISNUMBER(H111)),(H111-J111)^2,"")</x:f>
      </x:c>
      <x:c r="P111" s="24" t="str">
        <x:f>IF(AND(ISNUMBER(N111),ISNUMBER(O111)),O111-N111,"")</x:f>
      </x:c>
      <x:c r="Q111" s="3"/>
      <x:c r="R111" s="19" t="str">
        <x:f>IF(A111="","",IF(COUNTIFS('预测登记'!$A$7:$A$306,A111)&lt;&gt;1,"编号重复",IF(COUNTIFS('问题总览'!$A$7:$A$306,B111)&lt;&gt;1,"问题引用无效",IF(COUNTIFS('方案版本'!$A$7:$A$306,C111,'方案版本'!$B$7:$B$306,B111,'方案版本'!$L$7:$L$306,"已冻结")&lt;&gt;1,"方案引用无效",IF(OR(NOT(ISNUMBER(D111)),NOT(ISNUMBER(E111)),F111="",I111="",M111="",Q111=""),"待补预测信息",IF(D111&gt;E111,"非事前到期登记",IF(OR(AND(G111&lt;&gt;"",OR(NOT(ISNUMBER(G111)),G111&lt;0,G111&gt;1)),AND(H111&lt;&gt;"",OR(NOT(ISNUMBER(H111)),H111&lt;0,H111&gt;1))),"概率无效",IF(AND(I111="已判定",OR(NOT(ISNUMBER(J111)),AND(J111&lt;&gt;0,J111&lt;&gt;1),NOT(ISNUMBER(K111)),L111="")),"待补判定证据",IF(AND(I111="已判定",D111&gt;K111),"事后补录不评分","有效输入")))))))))</x:f>
      </x:c>
    </x:row>
    <x:row r="112" ht="25" customHeight="1">
      <x:c r="A112" s="3"/>
      <x:c r="B112" s="3"/>
      <x:c r="C112" s="3"/>
      <x:c r="D112" s="25"/>
      <x:c r="E112" s="25"/>
      <x:c r="F112" s="3"/>
      <x:c r="G112" s="26"/>
      <x:c r="H112" s="26"/>
      <x:c r="I112" s="3"/>
      <x:c r="J112" s="22"/>
      <x:c r="K112" s="25"/>
      <x:c r="L112" s="3"/>
      <x:c r="M112" s="3"/>
      <x:c r="N112" s="24" t="str">
        <x:f>IF(AND(R112="有效输入",I112="已判定",M112="是",ISNUMBER(G112)),(G112-J112)^2,"")</x:f>
      </x:c>
      <x:c r="O112" s="24" t="str">
        <x:f>IF(AND(ISNUMBER(N112),ISNUMBER(H112)),(H112-J112)^2,"")</x:f>
      </x:c>
      <x:c r="P112" s="24" t="str">
        <x:f>IF(AND(ISNUMBER(N112),ISNUMBER(O112)),O112-N112,"")</x:f>
      </x:c>
      <x:c r="Q112" s="3"/>
      <x:c r="R112" s="19" t="str">
        <x:f>IF(A112="","",IF(COUNTIFS('预测登记'!$A$7:$A$306,A112)&lt;&gt;1,"编号重复",IF(COUNTIFS('问题总览'!$A$7:$A$306,B112)&lt;&gt;1,"问题引用无效",IF(COUNTIFS('方案版本'!$A$7:$A$306,C112,'方案版本'!$B$7:$B$306,B112,'方案版本'!$L$7:$L$306,"已冻结")&lt;&gt;1,"方案引用无效",IF(OR(NOT(ISNUMBER(D112)),NOT(ISNUMBER(E112)),F112="",I112="",M112="",Q112=""),"待补预测信息",IF(D112&gt;E112,"非事前到期登记",IF(OR(AND(G112&lt;&gt;"",OR(NOT(ISNUMBER(G112)),G112&lt;0,G112&gt;1)),AND(H112&lt;&gt;"",OR(NOT(ISNUMBER(H112)),H112&lt;0,H112&gt;1))),"概率无效",IF(AND(I112="已判定",OR(NOT(ISNUMBER(J112)),AND(J112&lt;&gt;0,J112&lt;&gt;1),NOT(ISNUMBER(K112)),L112="")),"待补判定证据",IF(AND(I112="已判定",D112&gt;K112),"事后补录不评分","有效输入")))))))))</x:f>
      </x:c>
    </x:row>
    <x:row r="113" ht="25" customHeight="1">
      <x:c r="A113" s="3"/>
      <x:c r="B113" s="3"/>
      <x:c r="C113" s="3"/>
      <x:c r="D113" s="25"/>
      <x:c r="E113" s="25"/>
      <x:c r="F113" s="3"/>
      <x:c r="G113" s="26"/>
      <x:c r="H113" s="26"/>
      <x:c r="I113" s="3"/>
      <x:c r="J113" s="22"/>
      <x:c r="K113" s="25"/>
      <x:c r="L113" s="3"/>
      <x:c r="M113" s="3"/>
      <x:c r="N113" s="24" t="str">
        <x:f>IF(AND(R113="有效输入",I113="已判定",M113="是",ISNUMBER(G113)),(G113-J113)^2,"")</x:f>
      </x:c>
      <x:c r="O113" s="24" t="str">
        <x:f>IF(AND(ISNUMBER(N113),ISNUMBER(H113)),(H113-J113)^2,"")</x:f>
      </x:c>
      <x:c r="P113" s="24" t="str">
        <x:f>IF(AND(ISNUMBER(N113),ISNUMBER(O113)),O113-N113,"")</x:f>
      </x:c>
      <x:c r="Q113" s="3"/>
      <x:c r="R113" s="19" t="str">
        <x:f>IF(A113="","",IF(COUNTIFS('预测登记'!$A$7:$A$306,A113)&lt;&gt;1,"编号重复",IF(COUNTIFS('问题总览'!$A$7:$A$306,B113)&lt;&gt;1,"问题引用无效",IF(COUNTIFS('方案版本'!$A$7:$A$306,C113,'方案版本'!$B$7:$B$306,B113,'方案版本'!$L$7:$L$306,"已冻结")&lt;&gt;1,"方案引用无效",IF(OR(NOT(ISNUMBER(D113)),NOT(ISNUMBER(E113)),F113="",I113="",M113="",Q113=""),"待补预测信息",IF(D113&gt;E113,"非事前到期登记",IF(OR(AND(G113&lt;&gt;"",OR(NOT(ISNUMBER(G113)),G113&lt;0,G113&gt;1)),AND(H113&lt;&gt;"",OR(NOT(ISNUMBER(H113)),H113&lt;0,H113&gt;1))),"概率无效",IF(AND(I113="已判定",OR(NOT(ISNUMBER(J113)),AND(J113&lt;&gt;0,J113&lt;&gt;1),NOT(ISNUMBER(K113)),L113="")),"待补判定证据",IF(AND(I113="已判定",D113&gt;K113),"事后补录不评分","有效输入")))))))))</x:f>
      </x:c>
    </x:row>
    <x:row r="114" ht="25" customHeight="1">
      <x:c r="A114" s="3"/>
      <x:c r="B114" s="3"/>
      <x:c r="C114" s="3"/>
      <x:c r="D114" s="25"/>
      <x:c r="E114" s="25"/>
      <x:c r="F114" s="3"/>
      <x:c r="G114" s="26"/>
      <x:c r="H114" s="26"/>
      <x:c r="I114" s="3"/>
      <x:c r="J114" s="22"/>
      <x:c r="K114" s="25"/>
      <x:c r="L114" s="3"/>
      <x:c r="M114" s="3"/>
      <x:c r="N114" s="24" t="str">
        <x:f>IF(AND(R114="有效输入",I114="已判定",M114="是",ISNUMBER(G114)),(G114-J114)^2,"")</x:f>
      </x:c>
      <x:c r="O114" s="24" t="str">
        <x:f>IF(AND(ISNUMBER(N114),ISNUMBER(H114)),(H114-J114)^2,"")</x:f>
      </x:c>
      <x:c r="P114" s="24" t="str">
        <x:f>IF(AND(ISNUMBER(N114),ISNUMBER(O114)),O114-N114,"")</x:f>
      </x:c>
      <x:c r="Q114" s="3"/>
      <x:c r="R114" s="19" t="str">
        <x:f>IF(A114="","",IF(COUNTIFS('预测登记'!$A$7:$A$306,A114)&lt;&gt;1,"编号重复",IF(COUNTIFS('问题总览'!$A$7:$A$306,B114)&lt;&gt;1,"问题引用无效",IF(COUNTIFS('方案版本'!$A$7:$A$306,C114,'方案版本'!$B$7:$B$306,B114,'方案版本'!$L$7:$L$306,"已冻结")&lt;&gt;1,"方案引用无效",IF(OR(NOT(ISNUMBER(D114)),NOT(ISNUMBER(E114)),F114="",I114="",M114="",Q114=""),"待补预测信息",IF(D114&gt;E114,"非事前到期登记",IF(OR(AND(G114&lt;&gt;"",OR(NOT(ISNUMBER(G114)),G114&lt;0,G114&gt;1)),AND(H114&lt;&gt;"",OR(NOT(ISNUMBER(H114)),H114&lt;0,H114&gt;1))),"概率无效",IF(AND(I114="已判定",OR(NOT(ISNUMBER(J114)),AND(J114&lt;&gt;0,J114&lt;&gt;1),NOT(ISNUMBER(K114)),L114="")),"待补判定证据",IF(AND(I114="已判定",D114&gt;K114),"事后补录不评分","有效输入")))))))))</x:f>
      </x:c>
    </x:row>
    <x:row r="115" ht="25" customHeight="1">
      <x:c r="A115" s="3"/>
      <x:c r="B115" s="3"/>
      <x:c r="C115" s="3"/>
      <x:c r="D115" s="25"/>
      <x:c r="E115" s="25"/>
      <x:c r="F115" s="3"/>
      <x:c r="G115" s="26"/>
      <x:c r="H115" s="26"/>
      <x:c r="I115" s="3"/>
      <x:c r="J115" s="22"/>
      <x:c r="K115" s="25"/>
      <x:c r="L115" s="3"/>
      <x:c r="M115" s="3"/>
      <x:c r="N115" s="24" t="str">
        <x:f>IF(AND(R115="有效输入",I115="已判定",M115="是",ISNUMBER(G115)),(G115-J115)^2,"")</x:f>
      </x:c>
      <x:c r="O115" s="24" t="str">
        <x:f>IF(AND(ISNUMBER(N115),ISNUMBER(H115)),(H115-J115)^2,"")</x:f>
      </x:c>
      <x:c r="P115" s="24" t="str">
        <x:f>IF(AND(ISNUMBER(N115),ISNUMBER(O115)),O115-N115,"")</x:f>
      </x:c>
      <x:c r="Q115" s="3"/>
      <x:c r="R115" s="19" t="str">
        <x:f>IF(A115="","",IF(COUNTIFS('预测登记'!$A$7:$A$306,A115)&lt;&gt;1,"编号重复",IF(COUNTIFS('问题总览'!$A$7:$A$306,B115)&lt;&gt;1,"问题引用无效",IF(COUNTIFS('方案版本'!$A$7:$A$306,C115,'方案版本'!$B$7:$B$306,B115,'方案版本'!$L$7:$L$306,"已冻结")&lt;&gt;1,"方案引用无效",IF(OR(NOT(ISNUMBER(D115)),NOT(ISNUMBER(E115)),F115="",I115="",M115="",Q115=""),"待补预测信息",IF(D115&gt;E115,"非事前到期登记",IF(OR(AND(G115&lt;&gt;"",OR(NOT(ISNUMBER(G115)),G115&lt;0,G115&gt;1)),AND(H115&lt;&gt;"",OR(NOT(ISNUMBER(H115)),H115&lt;0,H115&gt;1))),"概率无效",IF(AND(I115="已判定",OR(NOT(ISNUMBER(J115)),AND(J115&lt;&gt;0,J115&lt;&gt;1),NOT(ISNUMBER(K115)),L115="")),"待补判定证据",IF(AND(I115="已判定",D115&gt;K115),"事后补录不评分","有效输入")))))))))</x:f>
      </x:c>
    </x:row>
    <x:row r="116" ht="25" customHeight="1">
      <x:c r="A116" s="3"/>
      <x:c r="B116" s="3"/>
      <x:c r="C116" s="3"/>
      <x:c r="D116" s="25"/>
      <x:c r="E116" s="25"/>
      <x:c r="F116" s="3"/>
      <x:c r="G116" s="26"/>
      <x:c r="H116" s="26"/>
      <x:c r="I116" s="3"/>
      <x:c r="J116" s="22"/>
      <x:c r="K116" s="25"/>
      <x:c r="L116" s="3"/>
      <x:c r="M116" s="3"/>
      <x:c r="N116" s="24" t="str">
        <x:f>IF(AND(R116="有效输入",I116="已判定",M116="是",ISNUMBER(G116)),(G116-J116)^2,"")</x:f>
      </x:c>
      <x:c r="O116" s="24" t="str">
        <x:f>IF(AND(ISNUMBER(N116),ISNUMBER(H116)),(H116-J116)^2,"")</x:f>
      </x:c>
      <x:c r="P116" s="24" t="str">
        <x:f>IF(AND(ISNUMBER(N116),ISNUMBER(O116)),O116-N116,"")</x:f>
      </x:c>
      <x:c r="Q116" s="3"/>
      <x:c r="R116" s="19" t="str">
        <x:f>IF(A116="","",IF(COUNTIFS('预测登记'!$A$7:$A$306,A116)&lt;&gt;1,"编号重复",IF(COUNTIFS('问题总览'!$A$7:$A$306,B116)&lt;&gt;1,"问题引用无效",IF(COUNTIFS('方案版本'!$A$7:$A$306,C116,'方案版本'!$B$7:$B$306,B116,'方案版本'!$L$7:$L$306,"已冻结")&lt;&gt;1,"方案引用无效",IF(OR(NOT(ISNUMBER(D116)),NOT(ISNUMBER(E116)),F116="",I116="",M116="",Q116=""),"待补预测信息",IF(D116&gt;E116,"非事前到期登记",IF(OR(AND(G116&lt;&gt;"",OR(NOT(ISNUMBER(G116)),G116&lt;0,G116&gt;1)),AND(H116&lt;&gt;"",OR(NOT(ISNUMBER(H116)),H116&lt;0,H116&gt;1))),"概率无效",IF(AND(I116="已判定",OR(NOT(ISNUMBER(J116)),AND(J116&lt;&gt;0,J116&lt;&gt;1),NOT(ISNUMBER(K116)),L116="")),"待补判定证据",IF(AND(I116="已判定",D116&gt;K116),"事后补录不评分","有效输入")))))))))</x:f>
      </x:c>
    </x:row>
    <x:row r="117" ht="25" customHeight="1">
      <x:c r="A117" s="3"/>
      <x:c r="B117" s="3"/>
      <x:c r="C117" s="3"/>
      <x:c r="D117" s="25"/>
      <x:c r="E117" s="25"/>
      <x:c r="F117" s="3"/>
      <x:c r="G117" s="26"/>
      <x:c r="H117" s="26"/>
      <x:c r="I117" s="3"/>
      <x:c r="J117" s="22"/>
      <x:c r="K117" s="25"/>
      <x:c r="L117" s="3"/>
      <x:c r="M117" s="3"/>
      <x:c r="N117" s="24" t="str">
        <x:f>IF(AND(R117="有效输入",I117="已判定",M117="是",ISNUMBER(G117)),(G117-J117)^2,"")</x:f>
      </x:c>
      <x:c r="O117" s="24" t="str">
        <x:f>IF(AND(ISNUMBER(N117),ISNUMBER(H117)),(H117-J117)^2,"")</x:f>
      </x:c>
      <x:c r="P117" s="24" t="str">
        <x:f>IF(AND(ISNUMBER(N117),ISNUMBER(O117)),O117-N117,"")</x:f>
      </x:c>
      <x:c r="Q117" s="3"/>
      <x:c r="R117" s="19" t="str">
        <x:f>IF(A117="","",IF(COUNTIFS('预测登记'!$A$7:$A$306,A117)&lt;&gt;1,"编号重复",IF(COUNTIFS('问题总览'!$A$7:$A$306,B117)&lt;&gt;1,"问题引用无效",IF(COUNTIFS('方案版本'!$A$7:$A$306,C117,'方案版本'!$B$7:$B$306,B117,'方案版本'!$L$7:$L$306,"已冻结")&lt;&gt;1,"方案引用无效",IF(OR(NOT(ISNUMBER(D117)),NOT(ISNUMBER(E117)),F117="",I117="",M117="",Q117=""),"待补预测信息",IF(D117&gt;E117,"非事前到期登记",IF(OR(AND(G117&lt;&gt;"",OR(NOT(ISNUMBER(G117)),G117&lt;0,G117&gt;1)),AND(H117&lt;&gt;"",OR(NOT(ISNUMBER(H117)),H117&lt;0,H117&gt;1))),"概率无效",IF(AND(I117="已判定",OR(NOT(ISNUMBER(J117)),AND(J117&lt;&gt;0,J117&lt;&gt;1),NOT(ISNUMBER(K117)),L117="")),"待补判定证据",IF(AND(I117="已判定",D117&gt;K117),"事后补录不评分","有效输入")))))))))</x:f>
      </x:c>
    </x:row>
    <x:row r="118" ht="25" customHeight="1">
      <x:c r="A118" s="3"/>
      <x:c r="B118" s="3"/>
      <x:c r="C118" s="3"/>
      <x:c r="D118" s="25"/>
      <x:c r="E118" s="25"/>
      <x:c r="F118" s="3"/>
      <x:c r="G118" s="26"/>
      <x:c r="H118" s="26"/>
      <x:c r="I118" s="3"/>
      <x:c r="J118" s="22"/>
      <x:c r="K118" s="25"/>
      <x:c r="L118" s="3"/>
      <x:c r="M118" s="3"/>
      <x:c r="N118" s="24" t="str">
        <x:f>IF(AND(R118="有效输入",I118="已判定",M118="是",ISNUMBER(G118)),(G118-J118)^2,"")</x:f>
      </x:c>
      <x:c r="O118" s="24" t="str">
        <x:f>IF(AND(ISNUMBER(N118),ISNUMBER(H118)),(H118-J118)^2,"")</x:f>
      </x:c>
      <x:c r="P118" s="24" t="str">
        <x:f>IF(AND(ISNUMBER(N118),ISNUMBER(O118)),O118-N118,"")</x:f>
      </x:c>
      <x:c r="Q118" s="3"/>
      <x:c r="R118" s="19" t="str">
        <x:f>IF(A118="","",IF(COUNTIFS('预测登记'!$A$7:$A$306,A118)&lt;&gt;1,"编号重复",IF(COUNTIFS('问题总览'!$A$7:$A$306,B118)&lt;&gt;1,"问题引用无效",IF(COUNTIFS('方案版本'!$A$7:$A$306,C118,'方案版本'!$B$7:$B$306,B118,'方案版本'!$L$7:$L$306,"已冻结")&lt;&gt;1,"方案引用无效",IF(OR(NOT(ISNUMBER(D118)),NOT(ISNUMBER(E118)),F118="",I118="",M118="",Q118=""),"待补预测信息",IF(D118&gt;E118,"非事前到期登记",IF(OR(AND(G118&lt;&gt;"",OR(NOT(ISNUMBER(G118)),G118&lt;0,G118&gt;1)),AND(H118&lt;&gt;"",OR(NOT(ISNUMBER(H118)),H118&lt;0,H118&gt;1))),"概率无效",IF(AND(I118="已判定",OR(NOT(ISNUMBER(J118)),AND(J118&lt;&gt;0,J118&lt;&gt;1),NOT(ISNUMBER(K118)),L118="")),"待补判定证据",IF(AND(I118="已判定",D118&gt;K118),"事后补录不评分","有效输入")))))))))</x:f>
      </x:c>
    </x:row>
    <x:row r="119" ht="25" customHeight="1">
      <x:c r="A119" s="3"/>
      <x:c r="B119" s="3"/>
      <x:c r="C119" s="3"/>
      <x:c r="D119" s="25"/>
      <x:c r="E119" s="25"/>
      <x:c r="F119" s="3"/>
      <x:c r="G119" s="26"/>
      <x:c r="H119" s="26"/>
      <x:c r="I119" s="3"/>
      <x:c r="J119" s="22"/>
      <x:c r="K119" s="25"/>
      <x:c r="L119" s="3"/>
      <x:c r="M119" s="3"/>
      <x:c r="N119" s="24" t="str">
        <x:f>IF(AND(R119="有效输入",I119="已判定",M119="是",ISNUMBER(G119)),(G119-J119)^2,"")</x:f>
      </x:c>
      <x:c r="O119" s="24" t="str">
        <x:f>IF(AND(ISNUMBER(N119),ISNUMBER(H119)),(H119-J119)^2,"")</x:f>
      </x:c>
      <x:c r="P119" s="24" t="str">
        <x:f>IF(AND(ISNUMBER(N119),ISNUMBER(O119)),O119-N119,"")</x:f>
      </x:c>
      <x:c r="Q119" s="3"/>
      <x:c r="R119" s="19" t="str">
        <x:f>IF(A119="","",IF(COUNTIFS('预测登记'!$A$7:$A$306,A119)&lt;&gt;1,"编号重复",IF(COUNTIFS('问题总览'!$A$7:$A$306,B119)&lt;&gt;1,"问题引用无效",IF(COUNTIFS('方案版本'!$A$7:$A$306,C119,'方案版本'!$B$7:$B$306,B119,'方案版本'!$L$7:$L$306,"已冻结")&lt;&gt;1,"方案引用无效",IF(OR(NOT(ISNUMBER(D119)),NOT(ISNUMBER(E119)),F119="",I119="",M119="",Q119=""),"待补预测信息",IF(D119&gt;E119,"非事前到期登记",IF(OR(AND(G119&lt;&gt;"",OR(NOT(ISNUMBER(G119)),G119&lt;0,G119&gt;1)),AND(H119&lt;&gt;"",OR(NOT(ISNUMBER(H119)),H119&lt;0,H119&gt;1))),"概率无效",IF(AND(I119="已判定",OR(NOT(ISNUMBER(J119)),AND(J119&lt;&gt;0,J119&lt;&gt;1),NOT(ISNUMBER(K119)),L119="")),"待补判定证据",IF(AND(I119="已判定",D119&gt;K119),"事后补录不评分","有效输入")))))))))</x:f>
      </x:c>
    </x:row>
    <x:row r="120" ht="25" customHeight="1">
      <x:c r="A120" s="3"/>
      <x:c r="B120" s="3"/>
      <x:c r="C120" s="3"/>
      <x:c r="D120" s="25"/>
      <x:c r="E120" s="25"/>
      <x:c r="F120" s="3"/>
      <x:c r="G120" s="26"/>
      <x:c r="H120" s="26"/>
      <x:c r="I120" s="3"/>
      <x:c r="J120" s="22"/>
      <x:c r="K120" s="25"/>
      <x:c r="L120" s="3"/>
      <x:c r="M120" s="3"/>
      <x:c r="N120" s="24" t="str">
        <x:f>IF(AND(R120="有效输入",I120="已判定",M120="是",ISNUMBER(G120)),(G120-J120)^2,"")</x:f>
      </x:c>
      <x:c r="O120" s="24" t="str">
        <x:f>IF(AND(ISNUMBER(N120),ISNUMBER(H120)),(H120-J120)^2,"")</x:f>
      </x:c>
      <x:c r="P120" s="24" t="str">
        <x:f>IF(AND(ISNUMBER(N120),ISNUMBER(O120)),O120-N120,"")</x:f>
      </x:c>
      <x:c r="Q120" s="3"/>
      <x:c r="R120" s="19" t="str">
        <x:f>IF(A120="","",IF(COUNTIFS('预测登记'!$A$7:$A$306,A120)&lt;&gt;1,"编号重复",IF(COUNTIFS('问题总览'!$A$7:$A$306,B120)&lt;&gt;1,"问题引用无效",IF(COUNTIFS('方案版本'!$A$7:$A$306,C120,'方案版本'!$B$7:$B$306,B120,'方案版本'!$L$7:$L$306,"已冻结")&lt;&gt;1,"方案引用无效",IF(OR(NOT(ISNUMBER(D120)),NOT(ISNUMBER(E120)),F120="",I120="",M120="",Q120=""),"待补预测信息",IF(D120&gt;E120,"非事前到期登记",IF(OR(AND(G120&lt;&gt;"",OR(NOT(ISNUMBER(G120)),G120&lt;0,G120&gt;1)),AND(H120&lt;&gt;"",OR(NOT(ISNUMBER(H120)),H120&lt;0,H120&gt;1))),"概率无效",IF(AND(I120="已判定",OR(NOT(ISNUMBER(J120)),AND(J120&lt;&gt;0,J120&lt;&gt;1),NOT(ISNUMBER(K120)),L120="")),"待补判定证据",IF(AND(I120="已判定",D120&gt;K120),"事后补录不评分","有效输入")))))))))</x:f>
      </x:c>
    </x:row>
    <x:row r="121" ht="25" customHeight="1">
      <x:c r="A121" s="3"/>
      <x:c r="B121" s="3"/>
      <x:c r="C121" s="3"/>
      <x:c r="D121" s="25"/>
      <x:c r="E121" s="25"/>
      <x:c r="F121" s="3"/>
      <x:c r="G121" s="26"/>
      <x:c r="H121" s="26"/>
      <x:c r="I121" s="3"/>
      <x:c r="J121" s="22"/>
      <x:c r="K121" s="25"/>
      <x:c r="L121" s="3"/>
      <x:c r="M121" s="3"/>
      <x:c r="N121" s="24" t="str">
        <x:f>IF(AND(R121="有效输入",I121="已判定",M121="是",ISNUMBER(G121)),(G121-J121)^2,"")</x:f>
      </x:c>
      <x:c r="O121" s="24" t="str">
        <x:f>IF(AND(ISNUMBER(N121),ISNUMBER(H121)),(H121-J121)^2,"")</x:f>
      </x:c>
      <x:c r="P121" s="24" t="str">
        <x:f>IF(AND(ISNUMBER(N121),ISNUMBER(O121)),O121-N121,"")</x:f>
      </x:c>
      <x:c r="Q121" s="3"/>
      <x:c r="R121" s="19" t="str">
        <x:f>IF(A121="","",IF(COUNTIFS('预测登记'!$A$7:$A$306,A121)&lt;&gt;1,"编号重复",IF(COUNTIFS('问题总览'!$A$7:$A$306,B121)&lt;&gt;1,"问题引用无效",IF(COUNTIFS('方案版本'!$A$7:$A$306,C121,'方案版本'!$B$7:$B$306,B121,'方案版本'!$L$7:$L$306,"已冻结")&lt;&gt;1,"方案引用无效",IF(OR(NOT(ISNUMBER(D121)),NOT(ISNUMBER(E121)),F121="",I121="",M121="",Q121=""),"待补预测信息",IF(D121&gt;E121,"非事前到期登记",IF(OR(AND(G121&lt;&gt;"",OR(NOT(ISNUMBER(G121)),G121&lt;0,G121&gt;1)),AND(H121&lt;&gt;"",OR(NOT(ISNUMBER(H121)),H121&lt;0,H121&gt;1))),"概率无效",IF(AND(I121="已判定",OR(NOT(ISNUMBER(J121)),AND(J121&lt;&gt;0,J121&lt;&gt;1),NOT(ISNUMBER(K121)),L121="")),"待补判定证据",IF(AND(I121="已判定",D121&gt;K121),"事后补录不评分","有效输入")))))))))</x:f>
      </x:c>
    </x:row>
    <x:row r="122" ht="25" customHeight="1">
      <x:c r="A122" s="3"/>
      <x:c r="B122" s="3"/>
      <x:c r="C122" s="3"/>
      <x:c r="D122" s="25"/>
      <x:c r="E122" s="25"/>
      <x:c r="F122" s="3"/>
      <x:c r="G122" s="26"/>
      <x:c r="H122" s="26"/>
      <x:c r="I122" s="3"/>
      <x:c r="J122" s="22"/>
      <x:c r="K122" s="25"/>
      <x:c r="L122" s="3"/>
      <x:c r="M122" s="3"/>
      <x:c r="N122" s="24" t="str">
        <x:f>IF(AND(R122="有效输入",I122="已判定",M122="是",ISNUMBER(G122)),(G122-J122)^2,"")</x:f>
      </x:c>
      <x:c r="O122" s="24" t="str">
        <x:f>IF(AND(ISNUMBER(N122),ISNUMBER(H122)),(H122-J122)^2,"")</x:f>
      </x:c>
      <x:c r="P122" s="24" t="str">
        <x:f>IF(AND(ISNUMBER(N122),ISNUMBER(O122)),O122-N122,"")</x:f>
      </x:c>
      <x:c r="Q122" s="3"/>
      <x:c r="R122" s="19" t="str">
        <x:f>IF(A122="","",IF(COUNTIFS('预测登记'!$A$7:$A$306,A122)&lt;&gt;1,"编号重复",IF(COUNTIFS('问题总览'!$A$7:$A$306,B122)&lt;&gt;1,"问题引用无效",IF(COUNTIFS('方案版本'!$A$7:$A$306,C122,'方案版本'!$B$7:$B$306,B122,'方案版本'!$L$7:$L$306,"已冻结")&lt;&gt;1,"方案引用无效",IF(OR(NOT(ISNUMBER(D122)),NOT(ISNUMBER(E122)),F122="",I122="",M122="",Q122=""),"待补预测信息",IF(D122&gt;E122,"非事前到期登记",IF(OR(AND(G122&lt;&gt;"",OR(NOT(ISNUMBER(G122)),G122&lt;0,G122&gt;1)),AND(H122&lt;&gt;"",OR(NOT(ISNUMBER(H122)),H122&lt;0,H122&gt;1))),"概率无效",IF(AND(I122="已判定",OR(NOT(ISNUMBER(J122)),AND(J122&lt;&gt;0,J122&lt;&gt;1),NOT(ISNUMBER(K122)),L122="")),"待补判定证据",IF(AND(I122="已判定",D122&gt;K122),"事后补录不评分","有效输入")))))))))</x:f>
      </x:c>
    </x:row>
    <x:row r="123" ht="25" customHeight="1">
      <x:c r="A123" s="3"/>
      <x:c r="B123" s="3"/>
      <x:c r="C123" s="3"/>
      <x:c r="D123" s="25"/>
      <x:c r="E123" s="25"/>
      <x:c r="F123" s="3"/>
      <x:c r="G123" s="26"/>
      <x:c r="H123" s="26"/>
      <x:c r="I123" s="3"/>
      <x:c r="J123" s="22"/>
      <x:c r="K123" s="25"/>
      <x:c r="L123" s="3"/>
      <x:c r="M123" s="3"/>
      <x:c r="N123" s="24" t="str">
        <x:f>IF(AND(R123="有效输入",I123="已判定",M123="是",ISNUMBER(G123)),(G123-J123)^2,"")</x:f>
      </x:c>
      <x:c r="O123" s="24" t="str">
        <x:f>IF(AND(ISNUMBER(N123),ISNUMBER(H123)),(H123-J123)^2,"")</x:f>
      </x:c>
      <x:c r="P123" s="24" t="str">
        <x:f>IF(AND(ISNUMBER(N123),ISNUMBER(O123)),O123-N123,"")</x:f>
      </x:c>
      <x:c r="Q123" s="3"/>
      <x:c r="R123" s="19" t="str">
        <x:f>IF(A123="","",IF(COUNTIFS('预测登记'!$A$7:$A$306,A123)&lt;&gt;1,"编号重复",IF(COUNTIFS('问题总览'!$A$7:$A$306,B123)&lt;&gt;1,"问题引用无效",IF(COUNTIFS('方案版本'!$A$7:$A$306,C123,'方案版本'!$B$7:$B$306,B123,'方案版本'!$L$7:$L$306,"已冻结")&lt;&gt;1,"方案引用无效",IF(OR(NOT(ISNUMBER(D123)),NOT(ISNUMBER(E123)),F123="",I123="",M123="",Q123=""),"待补预测信息",IF(D123&gt;E123,"非事前到期登记",IF(OR(AND(G123&lt;&gt;"",OR(NOT(ISNUMBER(G123)),G123&lt;0,G123&gt;1)),AND(H123&lt;&gt;"",OR(NOT(ISNUMBER(H123)),H123&lt;0,H123&gt;1))),"概率无效",IF(AND(I123="已判定",OR(NOT(ISNUMBER(J123)),AND(J123&lt;&gt;0,J123&lt;&gt;1),NOT(ISNUMBER(K123)),L123="")),"待补判定证据",IF(AND(I123="已判定",D123&gt;K123),"事后补录不评分","有效输入")))))))))</x:f>
      </x:c>
    </x:row>
    <x:row r="124" ht="25" customHeight="1">
      <x:c r="A124" s="3"/>
      <x:c r="B124" s="3"/>
      <x:c r="C124" s="3"/>
      <x:c r="D124" s="25"/>
      <x:c r="E124" s="25"/>
      <x:c r="F124" s="3"/>
      <x:c r="G124" s="26"/>
      <x:c r="H124" s="26"/>
      <x:c r="I124" s="3"/>
      <x:c r="J124" s="22"/>
      <x:c r="K124" s="25"/>
      <x:c r="L124" s="3"/>
      <x:c r="M124" s="3"/>
      <x:c r="N124" s="24" t="str">
        <x:f>IF(AND(R124="有效输入",I124="已判定",M124="是",ISNUMBER(G124)),(G124-J124)^2,"")</x:f>
      </x:c>
      <x:c r="O124" s="24" t="str">
        <x:f>IF(AND(ISNUMBER(N124),ISNUMBER(H124)),(H124-J124)^2,"")</x:f>
      </x:c>
      <x:c r="P124" s="24" t="str">
        <x:f>IF(AND(ISNUMBER(N124),ISNUMBER(O124)),O124-N124,"")</x:f>
      </x:c>
      <x:c r="Q124" s="3"/>
      <x:c r="R124" s="19" t="str">
        <x:f>IF(A124="","",IF(COUNTIFS('预测登记'!$A$7:$A$306,A124)&lt;&gt;1,"编号重复",IF(COUNTIFS('问题总览'!$A$7:$A$306,B124)&lt;&gt;1,"问题引用无效",IF(COUNTIFS('方案版本'!$A$7:$A$306,C124,'方案版本'!$B$7:$B$306,B124,'方案版本'!$L$7:$L$306,"已冻结")&lt;&gt;1,"方案引用无效",IF(OR(NOT(ISNUMBER(D124)),NOT(ISNUMBER(E124)),F124="",I124="",M124="",Q124=""),"待补预测信息",IF(D124&gt;E124,"非事前到期登记",IF(OR(AND(G124&lt;&gt;"",OR(NOT(ISNUMBER(G124)),G124&lt;0,G124&gt;1)),AND(H124&lt;&gt;"",OR(NOT(ISNUMBER(H124)),H124&lt;0,H124&gt;1))),"概率无效",IF(AND(I124="已判定",OR(NOT(ISNUMBER(J124)),AND(J124&lt;&gt;0,J124&lt;&gt;1),NOT(ISNUMBER(K124)),L124="")),"待补判定证据",IF(AND(I124="已判定",D124&gt;K124),"事后补录不评分","有效输入")))))))))</x:f>
      </x:c>
    </x:row>
    <x:row r="125" ht="25" customHeight="1">
      <x:c r="A125" s="3"/>
      <x:c r="B125" s="3"/>
      <x:c r="C125" s="3"/>
      <x:c r="D125" s="25"/>
      <x:c r="E125" s="25"/>
      <x:c r="F125" s="3"/>
      <x:c r="G125" s="26"/>
      <x:c r="H125" s="26"/>
      <x:c r="I125" s="3"/>
      <x:c r="J125" s="22"/>
      <x:c r="K125" s="25"/>
      <x:c r="L125" s="3"/>
      <x:c r="M125" s="3"/>
      <x:c r="N125" s="24" t="str">
        <x:f>IF(AND(R125="有效输入",I125="已判定",M125="是",ISNUMBER(G125)),(G125-J125)^2,"")</x:f>
      </x:c>
      <x:c r="O125" s="24" t="str">
        <x:f>IF(AND(ISNUMBER(N125),ISNUMBER(H125)),(H125-J125)^2,"")</x:f>
      </x:c>
      <x:c r="P125" s="24" t="str">
        <x:f>IF(AND(ISNUMBER(N125),ISNUMBER(O125)),O125-N125,"")</x:f>
      </x:c>
      <x:c r="Q125" s="3"/>
      <x:c r="R125" s="19" t="str">
        <x:f>IF(A125="","",IF(COUNTIFS('预测登记'!$A$7:$A$306,A125)&lt;&gt;1,"编号重复",IF(COUNTIFS('问题总览'!$A$7:$A$306,B125)&lt;&gt;1,"问题引用无效",IF(COUNTIFS('方案版本'!$A$7:$A$306,C125,'方案版本'!$B$7:$B$306,B125,'方案版本'!$L$7:$L$306,"已冻结")&lt;&gt;1,"方案引用无效",IF(OR(NOT(ISNUMBER(D125)),NOT(ISNUMBER(E125)),F125="",I125="",M125="",Q125=""),"待补预测信息",IF(D125&gt;E125,"非事前到期登记",IF(OR(AND(G125&lt;&gt;"",OR(NOT(ISNUMBER(G125)),G125&lt;0,G125&gt;1)),AND(H125&lt;&gt;"",OR(NOT(ISNUMBER(H125)),H125&lt;0,H125&gt;1))),"概率无效",IF(AND(I125="已判定",OR(NOT(ISNUMBER(J125)),AND(J125&lt;&gt;0,J125&lt;&gt;1),NOT(ISNUMBER(K125)),L125="")),"待补判定证据",IF(AND(I125="已判定",D125&gt;K125),"事后补录不评分","有效输入")))))))))</x:f>
      </x:c>
    </x:row>
    <x:row r="126" ht="25" customHeight="1">
      <x:c r="A126" s="3"/>
      <x:c r="B126" s="3"/>
      <x:c r="C126" s="3"/>
      <x:c r="D126" s="25"/>
      <x:c r="E126" s="25"/>
      <x:c r="F126" s="3"/>
      <x:c r="G126" s="26"/>
      <x:c r="H126" s="26"/>
      <x:c r="I126" s="3"/>
      <x:c r="J126" s="22"/>
      <x:c r="K126" s="25"/>
      <x:c r="L126" s="3"/>
      <x:c r="M126" s="3"/>
      <x:c r="N126" s="24" t="str">
        <x:f>IF(AND(R126="有效输入",I126="已判定",M126="是",ISNUMBER(G126)),(G126-J126)^2,"")</x:f>
      </x:c>
      <x:c r="O126" s="24" t="str">
        <x:f>IF(AND(ISNUMBER(N126),ISNUMBER(H126)),(H126-J126)^2,"")</x:f>
      </x:c>
      <x:c r="P126" s="24" t="str">
        <x:f>IF(AND(ISNUMBER(N126),ISNUMBER(O126)),O126-N126,"")</x:f>
      </x:c>
      <x:c r="Q126" s="3"/>
      <x:c r="R126" s="19" t="str">
        <x:f>IF(A126="","",IF(COUNTIFS('预测登记'!$A$7:$A$306,A126)&lt;&gt;1,"编号重复",IF(COUNTIFS('问题总览'!$A$7:$A$306,B126)&lt;&gt;1,"问题引用无效",IF(COUNTIFS('方案版本'!$A$7:$A$306,C126,'方案版本'!$B$7:$B$306,B126,'方案版本'!$L$7:$L$306,"已冻结")&lt;&gt;1,"方案引用无效",IF(OR(NOT(ISNUMBER(D126)),NOT(ISNUMBER(E126)),F126="",I126="",M126="",Q126=""),"待补预测信息",IF(D126&gt;E126,"非事前到期登记",IF(OR(AND(G126&lt;&gt;"",OR(NOT(ISNUMBER(G126)),G126&lt;0,G126&gt;1)),AND(H126&lt;&gt;"",OR(NOT(ISNUMBER(H126)),H126&lt;0,H126&gt;1))),"概率无效",IF(AND(I126="已判定",OR(NOT(ISNUMBER(J126)),AND(J126&lt;&gt;0,J126&lt;&gt;1),NOT(ISNUMBER(K126)),L126="")),"待补判定证据",IF(AND(I126="已判定",D126&gt;K126),"事后补录不评分","有效输入")))))))))</x:f>
      </x:c>
    </x:row>
    <x:row r="127" ht="25" customHeight="1">
      <x:c r="A127" s="3"/>
      <x:c r="B127" s="3"/>
      <x:c r="C127" s="3"/>
      <x:c r="D127" s="25"/>
      <x:c r="E127" s="25"/>
      <x:c r="F127" s="3"/>
      <x:c r="G127" s="26"/>
      <x:c r="H127" s="26"/>
      <x:c r="I127" s="3"/>
      <x:c r="J127" s="22"/>
      <x:c r="K127" s="25"/>
      <x:c r="L127" s="3"/>
      <x:c r="M127" s="3"/>
      <x:c r="N127" s="24" t="str">
        <x:f>IF(AND(R127="有效输入",I127="已判定",M127="是",ISNUMBER(G127)),(G127-J127)^2,"")</x:f>
      </x:c>
      <x:c r="O127" s="24" t="str">
        <x:f>IF(AND(ISNUMBER(N127),ISNUMBER(H127)),(H127-J127)^2,"")</x:f>
      </x:c>
      <x:c r="P127" s="24" t="str">
        <x:f>IF(AND(ISNUMBER(N127),ISNUMBER(O127)),O127-N127,"")</x:f>
      </x:c>
      <x:c r="Q127" s="3"/>
      <x:c r="R127" s="19" t="str">
        <x:f>IF(A127="","",IF(COUNTIFS('预测登记'!$A$7:$A$306,A127)&lt;&gt;1,"编号重复",IF(COUNTIFS('问题总览'!$A$7:$A$306,B127)&lt;&gt;1,"问题引用无效",IF(COUNTIFS('方案版本'!$A$7:$A$306,C127,'方案版本'!$B$7:$B$306,B127,'方案版本'!$L$7:$L$306,"已冻结")&lt;&gt;1,"方案引用无效",IF(OR(NOT(ISNUMBER(D127)),NOT(ISNUMBER(E127)),F127="",I127="",M127="",Q127=""),"待补预测信息",IF(D127&gt;E127,"非事前到期登记",IF(OR(AND(G127&lt;&gt;"",OR(NOT(ISNUMBER(G127)),G127&lt;0,G127&gt;1)),AND(H127&lt;&gt;"",OR(NOT(ISNUMBER(H127)),H127&lt;0,H127&gt;1))),"概率无效",IF(AND(I127="已判定",OR(NOT(ISNUMBER(J127)),AND(J127&lt;&gt;0,J127&lt;&gt;1),NOT(ISNUMBER(K127)),L127="")),"待补判定证据",IF(AND(I127="已判定",D127&gt;K127),"事后补录不评分","有效输入")))))))))</x:f>
      </x:c>
    </x:row>
    <x:row r="128" ht="25" customHeight="1">
      <x:c r="A128" s="3"/>
      <x:c r="B128" s="3"/>
      <x:c r="C128" s="3"/>
      <x:c r="D128" s="25"/>
      <x:c r="E128" s="25"/>
      <x:c r="F128" s="3"/>
      <x:c r="G128" s="26"/>
      <x:c r="H128" s="26"/>
      <x:c r="I128" s="3"/>
      <x:c r="J128" s="22"/>
      <x:c r="K128" s="25"/>
      <x:c r="L128" s="3"/>
      <x:c r="M128" s="3"/>
      <x:c r="N128" s="24" t="str">
        <x:f>IF(AND(R128="有效输入",I128="已判定",M128="是",ISNUMBER(G128)),(G128-J128)^2,"")</x:f>
      </x:c>
      <x:c r="O128" s="24" t="str">
        <x:f>IF(AND(ISNUMBER(N128),ISNUMBER(H128)),(H128-J128)^2,"")</x:f>
      </x:c>
      <x:c r="P128" s="24" t="str">
        <x:f>IF(AND(ISNUMBER(N128),ISNUMBER(O128)),O128-N128,"")</x:f>
      </x:c>
      <x:c r="Q128" s="3"/>
      <x:c r="R128" s="19" t="str">
        <x:f>IF(A128="","",IF(COUNTIFS('预测登记'!$A$7:$A$306,A128)&lt;&gt;1,"编号重复",IF(COUNTIFS('问题总览'!$A$7:$A$306,B128)&lt;&gt;1,"问题引用无效",IF(COUNTIFS('方案版本'!$A$7:$A$306,C128,'方案版本'!$B$7:$B$306,B128,'方案版本'!$L$7:$L$306,"已冻结")&lt;&gt;1,"方案引用无效",IF(OR(NOT(ISNUMBER(D128)),NOT(ISNUMBER(E128)),F128="",I128="",M128="",Q128=""),"待补预测信息",IF(D128&gt;E128,"非事前到期登记",IF(OR(AND(G128&lt;&gt;"",OR(NOT(ISNUMBER(G128)),G128&lt;0,G128&gt;1)),AND(H128&lt;&gt;"",OR(NOT(ISNUMBER(H128)),H128&lt;0,H128&gt;1))),"概率无效",IF(AND(I128="已判定",OR(NOT(ISNUMBER(J128)),AND(J128&lt;&gt;0,J128&lt;&gt;1),NOT(ISNUMBER(K128)),L128="")),"待补判定证据",IF(AND(I128="已判定",D128&gt;K128),"事后补录不评分","有效输入")))))))))</x:f>
      </x:c>
    </x:row>
    <x:row r="129" ht="25" customHeight="1">
      <x:c r="A129" s="3"/>
      <x:c r="B129" s="3"/>
      <x:c r="C129" s="3"/>
      <x:c r="D129" s="25"/>
      <x:c r="E129" s="25"/>
      <x:c r="F129" s="3"/>
      <x:c r="G129" s="26"/>
      <x:c r="H129" s="26"/>
      <x:c r="I129" s="3"/>
      <x:c r="J129" s="22"/>
      <x:c r="K129" s="25"/>
      <x:c r="L129" s="3"/>
      <x:c r="M129" s="3"/>
      <x:c r="N129" s="24" t="str">
        <x:f>IF(AND(R129="有效输入",I129="已判定",M129="是",ISNUMBER(G129)),(G129-J129)^2,"")</x:f>
      </x:c>
      <x:c r="O129" s="24" t="str">
        <x:f>IF(AND(ISNUMBER(N129),ISNUMBER(H129)),(H129-J129)^2,"")</x:f>
      </x:c>
      <x:c r="P129" s="24" t="str">
        <x:f>IF(AND(ISNUMBER(N129),ISNUMBER(O129)),O129-N129,"")</x:f>
      </x:c>
      <x:c r="Q129" s="3"/>
      <x:c r="R129" s="19" t="str">
        <x:f>IF(A129="","",IF(COUNTIFS('预测登记'!$A$7:$A$306,A129)&lt;&gt;1,"编号重复",IF(COUNTIFS('问题总览'!$A$7:$A$306,B129)&lt;&gt;1,"问题引用无效",IF(COUNTIFS('方案版本'!$A$7:$A$306,C129,'方案版本'!$B$7:$B$306,B129,'方案版本'!$L$7:$L$306,"已冻结")&lt;&gt;1,"方案引用无效",IF(OR(NOT(ISNUMBER(D129)),NOT(ISNUMBER(E129)),F129="",I129="",M129="",Q129=""),"待补预测信息",IF(D129&gt;E129,"非事前到期登记",IF(OR(AND(G129&lt;&gt;"",OR(NOT(ISNUMBER(G129)),G129&lt;0,G129&gt;1)),AND(H129&lt;&gt;"",OR(NOT(ISNUMBER(H129)),H129&lt;0,H129&gt;1))),"概率无效",IF(AND(I129="已判定",OR(NOT(ISNUMBER(J129)),AND(J129&lt;&gt;0,J129&lt;&gt;1),NOT(ISNUMBER(K129)),L129="")),"待补判定证据",IF(AND(I129="已判定",D129&gt;K129),"事后补录不评分","有效输入")))))))))</x:f>
      </x:c>
    </x:row>
    <x:row r="130" ht="25" customHeight="1">
      <x:c r="A130" s="3"/>
      <x:c r="B130" s="3"/>
      <x:c r="C130" s="3"/>
      <x:c r="D130" s="25"/>
      <x:c r="E130" s="25"/>
      <x:c r="F130" s="3"/>
      <x:c r="G130" s="26"/>
      <x:c r="H130" s="26"/>
      <x:c r="I130" s="3"/>
      <x:c r="J130" s="22"/>
      <x:c r="K130" s="25"/>
      <x:c r="L130" s="3"/>
      <x:c r="M130" s="3"/>
      <x:c r="N130" s="24" t="str">
        <x:f>IF(AND(R130="有效输入",I130="已判定",M130="是",ISNUMBER(G130)),(G130-J130)^2,"")</x:f>
      </x:c>
      <x:c r="O130" s="24" t="str">
        <x:f>IF(AND(ISNUMBER(N130),ISNUMBER(H130)),(H130-J130)^2,"")</x:f>
      </x:c>
      <x:c r="P130" s="24" t="str">
        <x:f>IF(AND(ISNUMBER(N130),ISNUMBER(O130)),O130-N130,"")</x:f>
      </x:c>
      <x:c r="Q130" s="3"/>
      <x:c r="R130" s="19" t="str">
        <x:f>IF(A130="","",IF(COUNTIFS('预测登记'!$A$7:$A$306,A130)&lt;&gt;1,"编号重复",IF(COUNTIFS('问题总览'!$A$7:$A$306,B130)&lt;&gt;1,"问题引用无效",IF(COUNTIFS('方案版本'!$A$7:$A$306,C130,'方案版本'!$B$7:$B$306,B130,'方案版本'!$L$7:$L$306,"已冻结")&lt;&gt;1,"方案引用无效",IF(OR(NOT(ISNUMBER(D130)),NOT(ISNUMBER(E130)),F130="",I130="",M130="",Q130=""),"待补预测信息",IF(D130&gt;E130,"非事前到期登记",IF(OR(AND(G130&lt;&gt;"",OR(NOT(ISNUMBER(G130)),G130&lt;0,G130&gt;1)),AND(H130&lt;&gt;"",OR(NOT(ISNUMBER(H130)),H130&lt;0,H130&gt;1))),"概率无效",IF(AND(I130="已判定",OR(NOT(ISNUMBER(J130)),AND(J130&lt;&gt;0,J130&lt;&gt;1),NOT(ISNUMBER(K130)),L130="")),"待补判定证据",IF(AND(I130="已判定",D130&gt;K130),"事后补录不评分","有效输入")))))))))</x:f>
      </x:c>
    </x:row>
    <x:row r="131" ht="25" customHeight="1">
      <x:c r="A131" s="3"/>
      <x:c r="B131" s="3"/>
      <x:c r="C131" s="3"/>
      <x:c r="D131" s="25"/>
      <x:c r="E131" s="25"/>
      <x:c r="F131" s="3"/>
      <x:c r="G131" s="26"/>
      <x:c r="H131" s="26"/>
      <x:c r="I131" s="3"/>
      <x:c r="J131" s="22"/>
      <x:c r="K131" s="25"/>
      <x:c r="L131" s="3"/>
      <x:c r="M131" s="3"/>
      <x:c r="N131" s="24" t="str">
        <x:f>IF(AND(R131="有效输入",I131="已判定",M131="是",ISNUMBER(G131)),(G131-J131)^2,"")</x:f>
      </x:c>
      <x:c r="O131" s="24" t="str">
        <x:f>IF(AND(ISNUMBER(N131),ISNUMBER(H131)),(H131-J131)^2,"")</x:f>
      </x:c>
      <x:c r="P131" s="24" t="str">
        <x:f>IF(AND(ISNUMBER(N131),ISNUMBER(O131)),O131-N131,"")</x:f>
      </x:c>
      <x:c r="Q131" s="3"/>
      <x:c r="R131" s="19" t="str">
        <x:f>IF(A131="","",IF(COUNTIFS('预测登记'!$A$7:$A$306,A131)&lt;&gt;1,"编号重复",IF(COUNTIFS('问题总览'!$A$7:$A$306,B131)&lt;&gt;1,"问题引用无效",IF(COUNTIFS('方案版本'!$A$7:$A$306,C131,'方案版本'!$B$7:$B$306,B131,'方案版本'!$L$7:$L$306,"已冻结")&lt;&gt;1,"方案引用无效",IF(OR(NOT(ISNUMBER(D131)),NOT(ISNUMBER(E131)),F131="",I131="",M131="",Q131=""),"待补预测信息",IF(D131&gt;E131,"非事前到期登记",IF(OR(AND(G131&lt;&gt;"",OR(NOT(ISNUMBER(G131)),G131&lt;0,G131&gt;1)),AND(H131&lt;&gt;"",OR(NOT(ISNUMBER(H131)),H131&lt;0,H131&gt;1))),"概率无效",IF(AND(I131="已判定",OR(NOT(ISNUMBER(J131)),AND(J131&lt;&gt;0,J131&lt;&gt;1),NOT(ISNUMBER(K131)),L131="")),"待补判定证据",IF(AND(I131="已判定",D131&gt;K131),"事后补录不评分","有效输入")))))))))</x:f>
      </x:c>
    </x:row>
    <x:row r="132" ht="25" customHeight="1">
      <x:c r="A132" s="3"/>
      <x:c r="B132" s="3"/>
      <x:c r="C132" s="3"/>
      <x:c r="D132" s="25"/>
      <x:c r="E132" s="25"/>
      <x:c r="F132" s="3"/>
      <x:c r="G132" s="26"/>
      <x:c r="H132" s="26"/>
      <x:c r="I132" s="3"/>
      <x:c r="J132" s="22"/>
      <x:c r="K132" s="25"/>
      <x:c r="L132" s="3"/>
      <x:c r="M132" s="3"/>
      <x:c r="N132" s="24" t="str">
        <x:f>IF(AND(R132="有效输入",I132="已判定",M132="是",ISNUMBER(G132)),(G132-J132)^2,"")</x:f>
      </x:c>
      <x:c r="O132" s="24" t="str">
        <x:f>IF(AND(ISNUMBER(N132),ISNUMBER(H132)),(H132-J132)^2,"")</x:f>
      </x:c>
      <x:c r="P132" s="24" t="str">
        <x:f>IF(AND(ISNUMBER(N132),ISNUMBER(O132)),O132-N132,"")</x:f>
      </x:c>
      <x:c r="Q132" s="3"/>
      <x:c r="R132" s="19" t="str">
        <x:f>IF(A132="","",IF(COUNTIFS('预测登记'!$A$7:$A$306,A132)&lt;&gt;1,"编号重复",IF(COUNTIFS('问题总览'!$A$7:$A$306,B132)&lt;&gt;1,"问题引用无效",IF(COUNTIFS('方案版本'!$A$7:$A$306,C132,'方案版本'!$B$7:$B$306,B132,'方案版本'!$L$7:$L$306,"已冻结")&lt;&gt;1,"方案引用无效",IF(OR(NOT(ISNUMBER(D132)),NOT(ISNUMBER(E132)),F132="",I132="",M132="",Q132=""),"待补预测信息",IF(D132&gt;E132,"非事前到期登记",IF(OR(AND(G132&lt;&gt;"",OR(NOT(ISNUMBER(G132)),G132&lt;0,G132&gt;1)),AND(H132&lt;&gt;"",OR(NOT(ISNUMBER(H132)),H132&lt;0,H132&gt;1))),"概率无效",IF(AND(I132="已判定",OR(NOT(ISNUMBER(J132)),AND(J132&lt;&gt;0,J132&lt;&gt;1),NOT(ISNUMBER(K132)),L132="")),"待补判定证据",IF(AND(I132="已判定",D132&gt;K132),"事后补录不评分","有效输入")))))))))</x:f>
      </x:c>
    </x:row>
    <x:row r="133" ht="25" customHeight="1">
      <x:c r="A133" s="3"/>
      <x:c r="B133" s="3"/>
      <x:c r="C133" s="3"/>
      <x:c r="D133" s="25"/>
      <x:c r="E133" s="25"/>
      <x:c r="F133" s="3"/>
      <x:c r="G133" s="26"/>
      <x:c r="H133" s="26"/>
      <x:c r="I133" s="3"/>
      <x:c r="J133" s="22"/>
      <x:c r="K133" s="25"/>
      <x:c r="L133" s="3"/>
      <x:c r="M133" s="3"/>
      <x:c r="N133" s="24" t="str">
        <x:f>IF(AND(R133="有效输入",I133="已判定",M133="是",ISNUMBER(G133)),(G133-J133)^2,"")</x:f>
      </x:c>
      <x:c r="O133" s="24" t="str">
        <x:f>IF(AND(ISNUMBER(N133),ISNUMBER(H133)),(H133-J133)^2,"")</x:f>
      </x:c>
      <x:c r="P133" s="24" t="str">
        <x:f>IF(AND(ISNUMBER(N133),ISNUMBER(O133)),O133-N133,"")</x:f>
      </x:c>
      <x:c r="Q133" s="3"/>
      <x:c r="R133" s="19" t="str">
        <x:f>IF(A133="","",IF(COUNTIFS('预测登记'!$A$7:$A$306,A133)&lt;&gt;1,"编号重复",IF(COUNTIFS('问题总览'!$A$7:$A$306,B133)&lt;&gt;1,"问题引用无效",IF(COUNTIFS('方案版本'!$A$7:$A$306,C133,'方案版本'!$B$7:$B$306,B133,'方案版本'!$L$7:$L$306,"已冻结")&lt;&gt;1,"方案引用无效",IF(OR(NOT(ISNUMBER(D133)),NOT(ISNUMBER(E133)),F133="",I133="",M133="",Q133=""),"待补预测信息",IF(D133&gt;E133,"非事前到期登记",IF(OR(AND(G133&lt;&gt;"",OR(NOT(ISNUMBER(G133)),G133&lt;0,G133&gt;1)),AND(H133&lt;&gt;"",OR(NOT(ISNUMBER(H133)),H133&lt;0,H133&gt;1))),"概率无效",IF(AND(I133="已判定",OR(NOT(ISNUMBER(J133)),AND(J133&lt;&gt;0,J133&lt;&gt;1),NOT(ISNUMBER(K133)),L133="")),"待补判定证据",IF(AND(I133="已判定",D133&gt;K133),"事后补录不评分","有效输入")))))))))</x:f>
      </x:c>
    </x:row>
    <x:row r="134" ht="25" customHeight="1">
      <x:c r="A134" s="3"/>
      <x:c r="B134" s="3"/>
      <x:c r="C134" s="3"/>
      <x:c r="D134" s="25"/>
      <x:c r="E134" s="25"/>
      <x:c r="F134" s="3"/>
      <x:c r="G134" s="26"/>
      <x:c r="H134" s="26"/>
      <x:c r="I134" s="3"/>
      <x:c r="J134" s="22"/>
      <x:c r="K134" s="25"/>
      <x:c r="L134" s="3"/>
      <x:c r="M134" s="3"/>
      <x:c r="N134" s="24" t="str">
        <x:f>IF(AND(R134="有效输入",I134="已判定",M134="是",ISNUMBER(G134)),(G134-J134)^2,"")</x:f>
      </x:c>
      <x:c r="O134" s="24" t="str">
        <x:f>IF(AND(ISNUMBER(N134),ISNUMBER(H134)),(H134-J134)^2,"")</x:f>
      </x:c>
      <x:c r="P134" s="24" t="str">
        <x:f>IF(AND(ISNUMBER(N134),ISNUMBER(O134)),O134-N134,"")</x:f>
      </x:c>
      <x:c r="Q134" s="3"/>
      <x:c r="R134" s="19" t="str">
        <x:f>IF(A134="","",IF(COUNTIFS('预测登记'!$A$7:$A$306,A134)&lt;&gt;1,"编号重复",IF(COUNTIFS('问题总览'!$A$7:$A$306,B134)&lt;&gt;1,"问题引用无效",IF(COUNTIFS('方案版本'!$A$7:$A$306,C134,'方案版本'!$B$7:$B$306,B134,'方案版本'!$L$7:$L$306,"已冻结")&lt;&gt;1,"方案引用无效",IF(OR(NOT(ISNUMBER(D134)),NOT(ISNUMBER(E134)),F134="",I134="",M134="",Q134=""),"待补预测信息",IF(D134&gt;E134,"非事前到期登记",IF(OR(AND(G134&lt;&gt;"",OR(NOT(ISNUMBER(G134)),G134&lt;0,G134&gt;1)),AND(H134&lt;&gt;"",OR(NOT(ISNUMBER(H134)),H134&lt;0,H134&gt;1))),"概率无效",IF(AND(I134="已判定",OR(NOT(ISNUMBER(J134)),AND(J134&lt;&gt;0,J134&lt;&gt;1),NOT(ISNUMBER(K134)),L134="")),"待补判定证据",IF(AND(I134="已判定",D134&gt;K134),"事后补录不评分","有效输入")))))))))</x:f>
      </x:c>
    </x:row>
    <x:row r="135" ht="25" customHeight="1">
      <x:c r="A135" s="3"/>
      <x:c r="B135" s="3"/>
      <x:c r="C135" s="3"/>
      <x:c r="D135" s="25"/>
      <x:c r="E135" s="25"/>
      <x:c r="F135" s="3"/>
      <x:c r="G135" s="26"/>
      <x:c r="H135" s="26"/>
      <x:c r="I135" s="3"/>
      <x:c r="J135" s="22"/>
      <x:c r="K135" s="25"/>
      <x:c r="L135" s="3"/>
      <x:c r="M135" s="3"/>
      <x:c r="N135" s="24" t="str">
        <x:f>IF(AND(R135="有效输入",I135="已判定",M135="是",ISNUMBER(G135)),(G135-J135)^2,"")</x:f>
      </x:c>
      <x:c r="O135" s="24" t="str">
        <x:f>IF(AND(ISNUMBER(N135),ISNUMBER(H135)),(H135-J135)^2,"")</x:f>
      </x:c>
      <x:c r="P135" s="24" t="str">
        <x:f>IF(AND(ISNUMBER(N135),ISNUMBER(O135)),O135-N135,"")</x:f>
      </x:c>
      <x:c r="Q135" s="3"/>
      <x:c r="R135" s="19" t="str">
        <x:f>IF(A135="","",IF(COUNTIFS('预测登记'!$A$7:$A$306,A135)&lt;&gt;1,"编号重复",IF(COUNTIFS('问题总览'!$A$7:$A$306,B135)&lt;&gt;1,"问题引用无效",IF(COUNTIFS('方案版本'!$A$7:$A$306,C135,'方案版本'!$B$7:$B$306,B135,'方案版本'!$L$7:$L$306,"已冻结")&lt;&gt;1,"方案引用无效",IF(OR(NOT(ISNUMBER(D135)),NOT(ISNUMBER(E135)),F135="",I135="",M135="",Q135=""),"待补预测信息",IF(D135&gt;E135,"非事前到期登记",IF(OR(AND(G135&lt;&gt;"",OR(NOT(ISNUMBER(G135)),G135&lt;0,G135&gt;1)),AND(H135&lt;&gt;"",OR(NOT(ISNUMBER(H135)),H135&lt;0,H135&gt;1))),"概率无效",IF(AND(I135="已判定",OR(NOT(ISNUMBER(J135)),AND(J135&lt;&gt;0,J135&lt;&gt;1),NOT(ISNUMBER(K135)),L135="")),"待补判定证据",IF(AND(I135="已判定",D135&gt;K135),"事后补录不评分","有效输入")))))))))</x:f>
      </x:c>
    </x:row>
    <x:row r="136" ht="25" customHeight="1">
      <x:c r="A136" s="3"/>
      <x:c r="B136" s="3"/>
      <x:c r="C136" s="3"/>
      <x:c r="D136" s="25"/>
      <x:c r="E136" s="25"/>
      <x:c r="F136" s="3"/>
      <x:c r="G136" s="26"/>
      <x:c r="H136" s="26"/>
      <x:c r="I136" s="3"/>
      <x:c r="J136" s="22"/>
      <x:c r="K136" s="25"/>
      <x:c r="L136" s="3"/>
      <x:c r="M136" s="3"/>
      <x:c r="N136" s="24" t="str">
        <x:f>IF(AND(R136="有效输入",I136="已判定",M136="是",ISNUMBER(G136)),(G136-J136)^2,"")</x:f>
      </x:c>
      <x:c r="O136" s="24" t="str">
        <x:f>IF(AND(ISNUMBER(N136),ISNUMBER(H136)),(H136-J136)^2,"")</x:f>
      </x:c>
      <x:c r="P136" s="24" t="str">
        <x:f>IF(AND(ISNUMBER(N136),ISNUMBER(O136)),O136-N136,"")</x:f>
      </x:c>
      <x:c r="Q136" s="3"/>
      <x:c r="R136" s="19" t="str">
        <x:f>IF(A136="","",IF(COUNTIFS('预测登记'!$A$7:$A$306,A136)&lt;&gt;1,"编号重复",IF(COUNTIFS('问题总览'!$A$7:$A$306,B136)&lt;&gt;1,"问题引用无效",IF(COUNTIFS('方案版本'!$A$7:$A$306,C136,'方案版本'!$B$7:$B$306,B136,'方案版本'!$L$7:$L$306,"已冻结")&lt;&gt;1,"方案引用无效",IF(OR(NOT(ISNUMBER(D136)),NOT(ISNUMBER(E136)),F136="",I136="",M136="",Q136=""),"待补预测信息",IF(D136&gt;E136,"非事前到期登记",IF(OR(AND(G136&lt;&gt;"",OR(NOT(ISNUMBER(G136)),G136&lt;0,G136&gt;1)),AND(H136&lt;&gt;"",OR(NOT(ISNUMBER(H136)),H136&lt;0,H136&gt;1))),"概率无效",IF(AND(I136="已判定",OR(NOT(ISNUMBER(J136)),AND(J136&lt;&gt;0,J136&lt;&gt;1),NOT(ISNUMBER(K136)),L136="")),"待补判定证据",IF(AND(I136="已判定",D136&gt;K136),"事后补录不评分","有效输入")))))))))</x:f>
      </x:c>
    </x:row>
    <x:row r="137" ht="25" customHeight="1">
      <x:c r="A137" s="3"/>
      <x:c r="B137" s="3"/>
      <x:c r="C137" s="3"/>
      <x:c r="D137" s="25"/>
      <x:c r="E137" s="25"/>
      <x:c r="F137" s="3"/>
      <x:c r="G137" s="26"/>
      <x:c r="H137" s="26"/>
      <x:c r="I137" s="3"/>
      <x:c r="J137" s="22"/>
      <x:c r="K137" s="25"/>
      <x:c r="L137" s="3"/>
      <x:c r="M137" s="3"/>
      <x:c r="N137" s="24" t="str">
        <x:f>IF(AND(R137="有效输入",I137="已判定",M137="是",ISNUMBER(G137)),(G137-J137)^2,"")</x:f>
      </x:c>
      <x:c r="O137" s="24" t="str">
        <x:f>IF(AND(ISNUMBER(N137),ISNUMBER(H137)),(H137-J137)^2,"")</x:f>
      </x:c>
      <x:c r="P137" s="24" t="str">
        <x:f>IF(AND(ISNUMBER(N137),ISNUMBER(O137)),O137-N137,"")</x:f>
      </x:c>
      <x:c r="Q137" s="3"/>
      <x:c r="R137" s="19" t="str">
        <x:f>IF(A137="","",IF(COUNTIFS('预测登记'!$A$7:$A$306,A137)&lt;&gt;1,"编号重复",IF(COUNTIFS('问题总览'!$A$7:$A$306,B137)&lt;&gt;1,"问题引用无效",IF(COUNTIFS('方案版本'!$A$7:$A$306,C137,'方案版本'!$B$7:$B$306,B137,'方案版本'!$L$7:$L$306,"已冻结")&lt;&gt;1,"方案引用无效",IF(OR(NOT(ISNUMBER(D137)),NOT(ISNUMBER(E137)),F137="",I137="",M137="",Q137=""),"待补预测信息",IF(D137&gt;E137,"非事前到期登记",IF(OR(AND(G137&lt;&gt;"",OR(NOT(ISNUMBER(G137)),G137&lt;0,G137&gt;1)),AND(H137&lt;&gt;"",OR(NOT(ISNUMBER(H137)),H137&lt;0,H137&gt;1))),"概率无效",IF(AND(I137="已判定",OR(NOT(ISNUMBER(J137)),AND(J137&lt;&gt;0,J137&lt;&gt;1),NOT(ISNUMBER(K137)),L137="")),"待补判定证据",IF(AND(I137="已判定",D137&gt;K137),"事后补录不评分","有效输入")))))))))</x:f>
      </x:c>
    </x:row>
    <x:row r="138" ht="25" customHeight="1">
      <x:c r="A138" s="3"/>
      <x:c r="B138" s="3"/>
      <x:c r="C138" s="3"/>
      <x:c r="D138" s="25"/>
      <x:c r="E138" s="25"/>
      <x:c r="F138" s="3"/>
      <x:c r="G138" s="26"/>
      <x:c r="H138" s="26"/>
      <x:c r="I138" s="3"/>
      <x:c r="J138" s="22"/>
      <x:c r="K138" s="25"/>
      <x:c r="L138" s="3"/>
      <x:c r="M138" s="3"/>
      <x:c r="N138" s="24" t="str">
        <x:f>IF(AND(R138="有效输入",I138="已判定",M138="是",ISNUMBER(G138)),(G138-J138)^2,"")</x:f>
      </x:c>
      <x:c r="O138" s="24" t="str">
        <x:f>IF(AND(ISNUMBER(N138),ISNUMBER(H138)),(H138-J138)^2,"")</x:f>
      </x:c>
      <x:c r="P138" s="24" t="str">
        <x:f>IF(AND(ISNUMBER(N138),ISNUMBER(O138)),O138-N138,"")</x:f>
      </x:c>
      <x:c r="Q138" s="3"/>
      <x:c r="R138" s="19" t="str">
        <x:f>IF(A138="","",IF(COUNTIFS('预测登记'!$A$7:$A$306,A138)&lt;&gt;1,"编号重复",IF(COUNTIFS('问题总览'!$A$7:$A$306,B138)&lt;&gt;1,"问题引用无效",IF(COUNTIFS('方案版本'!$A$7:$A$306,C138,'方案版本'!$B$7:$B$306,B138,'方案版本'!$L$7:$L$306,"已冻结")&lt;&gt;1,"方案引用无效",IF(OR(NOT(ISNUMBER(D138)),NOT(ISNUMBER(E138)),F138="",I138="",M138="",Q138=""),"待补预测信息",IF(D138&gt;E138,"非事前到期登记",IF(OR(AND(G138&lt;&gt;"",OR(NOT(ISNUMBER(G138)),G138&lt;0,G138&gt;1)),AND(H138&lt;&gt;"",OR(NOT(ISNUMBER(H138)),H138&lt;0,H138&gt;1))),"概率无效",IF(AND(I138="已判定",OR(NOT(ISNUMBER(J138)),AND(J138&lt;&gt;0,J138&lt;&gt;1),NOT(ISNUMBER(K138)),L138="")),"待补判定证据",IF(AND(I138="已判定",D138&gt;K138),"事后补录不评分","有效输入")))))))))</x:f>
      </x:c>
    </x:row>
    <x:row r="139" ht="25" customHeight="1">
      <x:c r="A139" s="3"/>
      <x:c r="B139" s="3"/>
      <x:c r="C139" s="3"/>
      <x:c r="D139" s="25"/>
      <x:c r="E139" s="25"/>
      <x:c r="F139" s="3"/>
      <x:c r="G139" s="26"/>
      <x:c r="H139" s="26"/>
      <x:c r="I139" s="3"/>
      <x:c r="J139" s="22"/>
      <x:c r="K139" s="25"/>
      <x:c r="L139" s="3"/>
      <x:c r="M139" s="3"/>
      <x:c r="N139" s="24" t="str">
        <x:f>IF(AND(R139="有效输入",I139="已判定",M139="是",ISNUMBER(G139)),(G139-J139)^2,"")</x:f>
      </x:c>
      <x:c r="O139" s="24" t="str">
        <x:f>IF(AND(ISNUMBER(N139),ISNUMBER(H139)),(H139-J139)^2,"")</x:f>
      </x:c>
      <x:c r="P139" s="24" t="str">
        <x:f>IF(AND(ISNUMBER(N139),ISNUMBER(O139)),O139-N139,"")</x:f>
      </x:c>
      <x:c r="Q139" s="3"/>
      <x:c r="R139" s="19" t="str">
        <x:f>IF(A139="","",IF(COUNTIFS('预测登记'!$A$7:$A$306,A139)&lt;&gt;1,"编号重复",IF(COUNTIFS('问题总览'!$A$7:$A$306,B139)&lt;&gt;1,"问题引用无效",IF(COUNTIFS('方案版本'!$A$7:$A$306,C139,'方案版本'!$B$7:$B$306,B139,'方案版本'!$L$7:$L$306,"已冻结")&lt;&gt;1,"方案引用无效",IF(OR(NOT(ISNUMBER(D139)),NOT(ISNUMBER(E139)),F139="",I139="",M139="",Q139=""),"待补预测信息",IF(D139&gt;E139,"非事前到期登记",IF(OR(AND(G139&lt;&gt;"",OR(NOT(ISNUMBER(G139)),G139&lt;0,G139&gt;1)),AND(H139&lt;&gt;"",OR(NOT(ISNUMBER(H139)),H139&lt;0,H139&gt;1))),"概率无效",IF(AND(I139="已判定",OR(NOT(ISNUMBER(J139)),AND(J139&lt;&gt;0,J139&lt;&gt;1),NOT(ISNUMBER(K139)),L139="")),"待补判定证据",IF(AND(I139="已判定",D139&gt;K139),"事后补录不评分","有效输入")))))))))</x:f>
      </x:c>
    </x:row>
    <x:row r="140" ht="25" customHeight="1">
      <x:c r="A140" s="3"/>
      <x:c r="B140" s="3"/>
      <x:c r="C140" s="3"/>
      <x:c r="D140" s="25"/>
      <x:c r="E140" s="25"/>
      <x:c r="F140" s="3"/>
      <x:c r="G140" s="26"/>
      <x:c r="H140" s="26"/>
      <x:c r="I140" s="3"/>
      <x:c r="J140" s="22"/>
      <x:c r="K140" s="25"/>
      <x:c r="L140" s="3"/>
      <x:c r="M140" s="3"/>
      <x:c r="N140" s="24" t="str">
        <x:f>IF(AND(R140="有效输入",I140="已判定",M140="是",ISNUMBER(G140)),(G140-J140)^2,"")</x:f>
      </x:c>
      <x:c r="O140" s="24" t="str">
        <x:f>IF(AND(ISNUMBER(N140),ISNUMBER(H140)),(H140-J140)^2,"")</x:f>
      </x:c>
      <x:c r="P140" s="24" t="str">
        <x:f>IF(AND(ISNUMBER(N140),ISNUMBER(O140)),O140-N140,"")</x:f>
      </x:c>
      <x:c r="Q140" s="3"/>
      <x:c r="R140" s="19" t="str">
        <x:f>IF(A140="","",IF(COUNTIFS('预测登记'!$A$7:$A$306,A140)&lt;&gt;1,"编号重复",IF(COUNTIFS('问题总览'!$A$7:$A$306,B140)&lt;&gt;1,"问题引用无效",IF(COUNTIFS('方案版本'!$A$7:$A$306,C140,'方案版本'!$B$7:$B$306,B140,'方案版本'!$L$7:$L$306,"已冻结")&lt;&gt;1,"方案引用无效",IF(OR(NOT(ISNUMBER(D140)),NOT(ISNUMBER(E140)),F140="",I140="",M140="",Q140=""),"待补预测信息",IF(D140&gt;E140,"非事前到期登记",IF(OR(AND(G140&lt;&gt;"",OR(NOT(ISNUMBER(G140)),G140&lt;0,G140&gt;1)),AND(H140&lt;&gt;"",OR(NOT(ISNUMBER(H140)),H140&lt;0,H140&gt;1))),"概率无效",IF(AND(I140="已判定",OR(NOT(ISNUMBER(J140)),AND(J140&lt;&gt;0,J140&lt;&gt;1),NOT(ISNUMBER(K140)),L140="")),"待补判定证据",IF(AND(I140="已判定",D140&gt;K140),"事后补录不评分","有效输入")))))))))</x:f>
      </x:c>
    </x:row>
    <x:row r="141" ht="25" customHeight="1">
      <x:c r="A141" s="3"/>
      <x:c r="B141" s="3"/>
      <x:c r="C141" s="3"/>
      <x:c r="D141" s="25"/>
      <x:c r="E141" s="25"/>
      <x:c r="F141" s="3"/>
      <x:c r="G141" s="26"/>
      <x:c r="H141" s="26"/>
      <x:c r="I141" s="3"/>
      <x:c r="J141" s="22"/>
      <x:c r="K141" s="25"/>
      <x:c r="L141" s="3"/>
      <x:c r="M141" s="3"/>
      <x:c r="N141" s="24" t="str">
        <x:f>IF(AND(R141="有效输入",I141="已判定",M141="是",ISNUMBER(G141)),(G141-J141)^2,"")</x:f>
      </x:c>
      <x:c r="O141" s="24" t="str">
        <x:f>IF(AND(ISNUMBER(N141),ISNUMBER(H141)),(H141-J141)^2,"")</x:f>
      </x:c>
      <x:c r="P141" s="24" t="str">
        <x:f>IF(AND(ISNUMBER(N141),ISNUMBER(O141)),O141-N141,"")</x:f>
      </x:c>
      <x:c r="Q141" s="3"/>
      <x:c r="R141" s="19" t="str">
        <x:f>IF(A141="","",IF(COUNTIFS('预测登记'!$A$7:$A$306,A141)&lt;&gt;1,"编号重复",IF(COUNTIFS('问题总览'!$A$7:$A$306,B141)&lt;&gt;1,"问题引用无效",IF(COUNTIFS('方案版本'!$A$7:$A$306,C141,'方案版本'!$B$7:$B$306,B141,'方案版本'!$L$7:$L$306,"已冻结")&lt;&gt;1,"方案引用无效",IF(OR(NOT(ISNUMBER(D141)),NOT(ISNUMBER(E141)),F141="",I141="",M141="",Q141=""),"待补预测信息",IF(D141&gt;E141,"非事前到期登记",IF(OR(AND(G141&lt;&gt;"",OR(NOT(ISNUMBER(G141)),G141&lt;0,G141&gt;1)),AND(H141&lt;&gt;"",OR(NOT(ISNUMBER(H141)),H141&lt;0,H141&gt;1))),"概率无效",IF(AND(I141="已判定",OR(NOT(ISNUMBER(J141)),AND(J141&lt;&gt;0,J141&lt;&gt;1),NOT(ISNUMBER(K141)),L141="")),"待补判定证据",IF(AND(I141="已判定",D141&gt;K141),"事后补录不评分","有效输入")))))))))</x:f>
      </x:c>
    </x:row>
    <x:row r="142" ht="25" customHeight="1">
      <x:c r="A142" s="3"/>
      <x:c r="B142" s="3"/>
      <x:c r="C142" s="3"/>
      <x:c r="D142" s="25"/>
      <x:c r="E142" s="25"/>
      <x:c r="F142" s="3"/>
      <x:c r="G142" s="26"/>
      <x:c r="H142" s="26"/>
      <x:c r="I142" s="3"/>
      <x:c r="J142" s="22"/>
      <x:c r="K142" s="25"/>
      <x:c r="L142" s="3"/>
      <x:c r="M142" s="3"/>
      <x:c r="N142" s="24" t="str">
        <x:f>IF(AND(R142="有效输入",I142="已判定",M142="是",ISNUMBER(G142)),(G142-J142)^2,"")</x:f>
      </x:c>
      <x:c r="O142" s="24" t="str">
        <x:f>IF(AND(ISNUMBER(N142),ISNUMBER(H142)),(H142-J142)^2,"")</x:f>
      </x:c>
      <x:c r="P142" s="24" t="str">
        <x:f>IF(AND(ISNUMBER(N142),ISNUMBER(O142)),O142-N142,"")</x:f>
      </x:c>
      <x:c r="Q142" s="3"/>
      <x:c r="R142" s="19" t="str">
        <x:f>IF(A142="","",IF(COUNTIFS('预测登记'!$A$7:$A$306,A142)&lt;&gt;1,"编号重复",IF(COUNTIFS('问题总览'!$A$7:$A$306,B142)&lt;&gt;1,"问题引用无效",IF(COUNTIFS('方案版本'!$A$7:$A$306,C142,'方案版本'!$B$7:$B$306,B142,'方案版本'!$L$7:$L$306,"已冻结")&lt;&gt;1,"方案引用无效",IF(OR(NOT(ISNUMBER(D142)),NOT(ISNUMBER(E142)),F142="",I142="",M142="",Q142=""),"待补预测信息",IF(D142&gt;E142,"非事前到期登记",IF(OR(AND(G142&lt;&gt;"",OR(NOT(ISNUMBER(G142)),G142&lt;0,G142&gt;1)),AND(H142&lt;&gt;"",OR(NOT(ISNUMBER(H142)),H142&lt;0,H142&gt;1))),"概率无效",IF(AND(I142="已判定",OR(NOT(ISNUMBER(J142)),AND(J142&lt;&gt;0,J142&lt;&gt;1),NOT(ISNUMBER(K142)),L142="")),"待补判定证据",IF(AND(I142="已判定",D142&gt;K142),"事后补录不评分","有效输入")))))))))</x:f>
      </x:c>
    </x:row>
    <x:row r="143" ht="25" customHeight="1">
      <x:c r="A143" s="3"/>
      <x:c r="B143" s="3"/>
      <x:c r="C143" s="3"/>
      <x:c r="D143" s="25"/>
      <x:c r="E143" s="25"/>
      <x:c r="F143" s="3"/>
      <x:c r="G143" s="26"/>
      <x:c r="H143" s="26"/>
      <x:c r="I143" s="3"/>
      <x:c r="J143" s="22"/>
      <x:c r="K143" s="25"/>
      <x:c r="L143" s="3"/>
      <x:c r="M143" s="3"/>
      <x:c r="N143" s="24" t="str">
        <x:f>IF(AND(R143="有效输入",I143="已判定",M143="是",ISNUMBER(G143)),(G143-J143)^2,"")</x:f>
      </x:c>
      <x:c r="O143" s="24" t="str">
        <x:f>IF(AND(ISNUMBER(N143),ISNUMBER(H143)),(H143-J143)^2,"")</x:f>
      </x:c>
      <x:c r="P143" s="24" t="str">
        <x:f>IF(AND(ISNUMBER(N143),ISNUMBER(O143)),O143-N143,"")</x:f>
      </x:c>
      <x:c r="Q143" s="3"/>
      <x:c r="R143" s="19" t="str">
        <x:f>IF(A143="","",IF(COUNTIFS('预测登记'!$A$7:$A$306,A143)&lt;&gt;1,"编号重复",IF(COUNTIFS('问题总览'!$A$7:$A$306,B143)&lt;&gt;1,"问题引用无效",IF(COUNTIFS('方案版本'!$A$7:$A$306,C143,'方案版本'!$B$7:$B$306,B143,'方案版本'!$L$7:$L$306,"已冻结")&lt;&gt;1,"方案引用无效",IF(OR(NOT(ISNUMBER(D143)),NOT(ISNUMBER(E143)),F143="",I143="",M143="",Q143=""),"待补预测信息",IF(D143&gt;E143,"非事前到期登记",IF(OR(AND(G143&lt;&gt;"",OR(NOT(ISNUMBER(G143)),G143&lt;0,G143&gt;1)),AND(H143&lt;&gt;"",OR(NOT(ISNUMBER(H143)),H143&lt;0,H143&gt;1))),"概率无效",IF(AND(I143="已判定",OR(NOT(ISNUMBER(J143)),AND(J143&lt;&gt;0,J143&lt;&gt;1),NOT(ISNUMBER(K143)),L143="")),"待补判定证据",IF(AND(I143="已判定",D143&gt;K143),"事后补录不评分","有效输入")))))))))</x:f>
      </x:c>
    </x:row>
    <x:row r="144" ht="25" customHeight="1">
      <x:c r="A144" s="3"/>
      <x:c r="B144" s="3"/>
      <x:c r="C144" s="3"/>
      <x:c r="D144" s="25"/>
      <x:c r="E144" s="25"/>
      <x:c r="F144" s="3"/>
      <x:c r="G144" s="26"/>
      <x:c r="H144" s="26"/>
      <x:c r="I144" s="3"/>
      <x:c r="J144" s="22"/>
      <x:c r="K144" s="25"/>
      <x:c r="L144" s="3"/>
      <x:c r="M144" s="3"/>
      <x:c r="N144" s="24" t="str">
        <x:f>IF(AND(R144="有效输入",I144="已判定",M144="是",ISNUMBER(G144)),(G144-J144)^2,"")</x:f>
      </x:c>
      <x:c r="O144" s="24" t="str">
        <x:f>IF(AND(ISNUMBER(N144),ISNUMBER(H144)),(H144-J144)^2,"")</x:f>
      </x:c>
      <x:c r="P144" s="24" t="str">
        <x:f>IF(AND(ISNUMBER(N144),ISNUMBER(O144)),O144-N144,"")</x:f>
      </x:c>
      <x:c r="Q144" s="3"/>
      <x:c r="R144" s="19" t="str">
        <x:f>IF(A144="","",IF(COUNTIFS('预测登记'!$A$7:$A$306,A144)&lt;&gt;1,"编号重复",IF(COUNTIFS('问题总览'!$A$7:$A$306,B144)&lt;&gt;1,"问题引用无效",IF(COUNTIFS('方案版本'!$A$7:$A$306,C144,'方案版本'!$B$7:$B$306,B144,'方案版本'!$L$7:$L$306,"已冻结")&lt;&gt;1,"方案引用无效",IF(OR(NOT(ISNUMBER(D144)),NOT(ISNUMBER(E144)),F144="",I144="",M144="",Q144=""),"待补预测信息",IF(D144&gt;E144,"非事前到期登记",IF(OR(AND(G144&lt;&gt;"",OR(NOT(ISNUMBER(G144)),G144&lt;0,G144&gt;1)),AND(H144&lt;&gt;"",OR(NOT(ISNUMBER(H144)),H144&lt;0,H144&gt;1))),"概率无效",IF(AND(I144="已判定",OR(NOT(ISNUMBER(J144)),AND(J144&lt;&gt;0,J144&lt;&gt;1),NOT(ISNUMBER(K144)),L144="")),"待补判定证据",IF(AND(I144="已判定",D144&gt;K144),"事后补录不评分","有效输入")))))))))</x:f>
      </x:c>
    </x:row>
    <x:row r="145" ht="25" customHeight="1">
      <x:c r="A145" s="3"/>
      <x:c r="B145" s="3"/>
      <x:c r="C145" s="3"/>
      <x:c r="D145" s="25"/>
      <x:c r="E145" s="25"/>
      <x:c r="F145" s="3"/>
      <x:c r="G145" s="26"/>
      <x:c r="H145" s="26"/>
      <x:c r="I145" s="3"/>
      <x:c r="J145" s="22"/>
      <x:c r="K145" s="25"/>
      <x:c r="L145" s="3"/>
      <x:c r="M145" s="3"/>
      <x:c r="N145" s="24" t="str">
        <x:f>IF(AND(R145="有效输入",I145="已判定",M145="是",ISNUMBER(G145)),(G145-J145)^2,"")</x:f>
      </x:c>
      <x:c r="O145" s="24" t="str">
        <x:f>IF(AND(ISNUMBER(N145),ISNUMBER(H145)),(H145-J145)^2,"")</x:f>
      </x:c>
      <x:c r="P145" s="24" t="str">
        <x:f>IF(AND(ISNUMBER(N145),ISNUMBER(O145)),O145-N145,"")</x:f>
      </x:c>
      <x:c r="Q145" s="3"/>
      <x:c r="R145" s="19" t="str">
        <x:f>IF(A145="","",IF(COUNTIFS('预测登记'!$A$7:$A$306,A145)&lt;&gt;1,"编号重复",IF(COUNTIFS('问题总览'!$A$7:$A$306,B145)&lt;&gt;1,"问题引用无效",IF(COUNTIFS('方案版本'!$A$7:$A$306,C145,'方案版本'!$B$7:$B$306,B145,'方案版本'!$L$7:$L$306,"已冻结")&lt;&gt;1,"方案引用无效",IF(OR(NOT(ISNUMBER(D145)),NOT(ISNUMBER(E145)),F145="",I145="",M145="",Q145=""),"待补预测信息",IF(D145&gt;E145,"非事前到期登记",IF(OR(AND(G145&lt;&gt;"",OR(NOT(ISNUMBER(G145)),G145&lt;0,G145&gt;1)),AND(H145&lt;&gt;"",OR(NOT(ISNUMBER(H145)),H145&lt;0,H145&gt;1))),"概率无效",IF(AND(I145="已判定",OR(NOT(ISNUMBER(J145)),AND(J145&lt;&gt;0,J145&lt;&gt;1),NOT(ISNUMBER(K145)),L145="")),"待补判定证据",IF(AND(I145="已判定",D145&gt;K145),"事后补录不评分","有效输入")))))))))</x:f>
      </x:c>
    </x:row>
    <x:row r="146" ht="25" customHeight="1">
      <x:c r="A146" s="3"/>
      <x:c r="B146" s="3"/>
      <x:c r="C146" s="3"/>
      <x:c r="D146" s="25"/>
      <x:c r="E146" s="25"/>
      <x:c r="F146" s="3"/>
      <x:c r="G146" s="26"/>
      <x:c r="H146" s="26"/>
      <x:c r="I146" s="3"/>
      <x:c r="J146" s="22"/>
      <x:c r="K146" s="25"/>
      <x:c r="L146" s="3"/>
      <x:c r="M146" s="3"/>
      <x:c r="N146" s="24" t="str">
        <x:f>IF(AND(R146="有效输入",I146="已判定",M146="是",ISNUMBER(G146)),(G146-J146)^2,"")</x:f>
      </x:c>
      <x:c r="O146" s="24" t="str">
        <x:f>IF(AND(ISNUMBER(N146),ISNUMBER(H146)),(H146-J146)^2,"")</x:f>
      </x:c>
      <x:c r="P146" s="24" t="str">
        <x:f>IF(AND(ISNUMBER(N146),ISNUMBER(O146)),O146-N146,"")</x:f>
      </x:c>
      <x:c r="Q146" s="3"/>
      <x:c r="R146" s="19" t="str">
        <x:f>IF(A146="","",IF(COUNTIFS('预测登记'!$A$7:$A$306,A146)&lt;&gt;1,"编号重复",IF(COUNTIFS('问题总览'!$A$7:$A$306,B146)&lt;&gt;1,"问题引用无效",IF(COUNTIFS('方案版本'!$A$7:$A$306,C146,'方案版本'!$B$7:$B$306,B146,'方案版本'!$L$7:$L$306,"已冻结")&lt;&gt;1,"方案引用无效",IF(OR(NOT(ISNUMBER(D146)),NOT(ISNUMBER(E146)),F146="",I146="",M146="",Q146=""),"待补预测信息",IF(D146&gt;E146,"非事前到期登记",IF(OR(AND(G146&lt;&gt;"",OR(NOT(ISNUMBER(G146)),G146&lt;0,G146&gt;1)),AND(H146&lt;&gt;"",OR(NOT(ISNUMBER(H146)),H146&lt;0,H146&gt;1))),"概率无效",IF(AND(I146="已判定",OR(NOT(ISNUMBER(J146)),AND(J146&lt;&gt;0,J146&lt;&gt;1),NOT(ISNUMBER(K146)),L146="")),"待补判定证据",IF(AND(I146="已判定",D146&gt;K146),"事后补录不评分","有效输入")))))))))</x:f>
      </x:c>
    </x:row>
    <x:row r="147" ht="25" customHeight="1">
      <x:c r="A147" s="3"/>
      <x:c r="B147" s="3"/>
      <x:c r="C147" s="3"/>
      <x:c r="D147" s="25"/>
      <x:c r="E147" s="25"/>
      <x:c r="F147" s="3"/>
      <x:c r="G147" s="26"/>
      <x:c r="H147" s="26"/>
      <x:c r="I147" s="3"/>
      <x:c r="J147" s="22"/>
      <x:c r="K147" s="25"/>
      <x:c r="L147" s="3"/>
      <x:c r="M147" s="3"/>
      <x:c r="N147" s="24" t="str">
        <x:f>IF(AND(R147="有效输入",I147="已判定",M147="是",ISNUMBER(G147)),(G147-J147)^2,"")</x:f>
      </x:c>
      <x:c r="O147" s="24" t="str">
        <x:f>IF(AND(ISNUMBER(N147),ISNUMBER(H147)),(H147-J147)^2,"")</x:f>
      </x:c>
      <x:c r="P147" s="24" t="str">
        <x:f>IF(AND(ISNUMBER(N147),ISNUMBER(O147)),O147-N147,"")</x:f>
      </x:c>
      <x:c r="Q147" s="3"/>
      <x:c r="R147" s="19" t="str">
        <x:f>IF(A147="","",IF(COUNTIFS('预测登记'!$A$7:$A$306,A147)&lt;&gt;1,"编号重复",IF(COUNTIFS('问题总览'!$A$7:$A$306,B147)&lt;&gt;1,"问题引用无效",IF(COUNTIFS('方案版本'!$A$7:$A$306,C147,'方案版本'!$B$7:$B$306,B147,'方案版本'!$L$7:$L$306,"已冻结")&lt;&gt;1,"方案引用无效",IF(OR(NOT(ISNUMBER(D147)),NOT(ISNUMBER(E147)),F147="",I147="",M147="",Q147=""),"待补预测信息",IF(D147&gt;E147,"非事前到期登记",IF(OR(AND(G147&lt;&gt;"",OR(NOT(ISNUMBER(G147)),G147&lt;0,G147&gt;1)),AND(H147&lt;&gt;"",OR(NOT(ISNUMBER(H147)),H147&lt;0,H147&gt;1))),"概率无效",IF(AND(I147="已判定",OR(NOT(ISNUMBER(J147)),AND(J147&lt;&gt;0,J147&lt;&gt;1),NOT(ISNUMBER(K147)),L147="")),"待补判定证据",IF(AND(I147="已判定",D147&gt;K147),"事后补录不评分","有效输入")))))))))</x:f>
      </x:c>
    </x:row>
    <x:row r="148" ht="25" customHeight="1">
      <x:c r="A148" s="3"/>
      <x:c r="B148" s="3"/>
      <x:c r="C148" s="3"/>
      <x:c r="D148" s="25"/>
      <x:c r="E148" s="25"/>
      <x:c r="F148" s="3"/>
      <x:c r="G148" s="26"/>
      <x:c r="H148" s="26"/>
      <x:c r="I148" s="3"/>
      <x:c r="J148" s="22"/>
      <x:c r="K148" s="25"/>
      <x:c r="L148" s="3"/>
      <x:c r="M148" s="3"/>
      <x:c r="N148" s="24" t="str">
        <x:f>IF(AND(R148="有效输入",I148="已判定",M148="是",ISNUMBER(G148)),(G148-J148)^2,"")</x:f>
      </x:c>
      <x:c r="O148" s="24" t="str">
        <x:f>IF(AND(ISNUMBER(N148),ISNUMBER(H148)),(H148-J148)^2,"")</x:f>
      </x:c>
      <x:c r="P148" s="24" t="str">
        <x:f>IF(AND(ISNUMBER(N148),ISNUMBER(O148)),O148-N148,"")</x:f>
      </x:c>
      <x:c r="Q148" s="3"/>
      <x:c r="R148" s="19" t="str">
        <x:f>IF(A148="","",IF(COUNTIFS('预测登记'!$A$7:$A$306,A148)&lt;&gt;1,"编号重复",IF(COUNTIFS('问题总览'!$A$7:$A$306,B148)&lt;&gt;1,"问题引用无效",IF(COUNTIFS('方案版本'!$A$7:$A$306,C148,'方案版本'!$B$7:$B$306,B148,'方案版本'!$L$7:$L$306,"已冻结")&lt;&gt;1,"方案引用无效",IF(OR(NOT(ISNUMBER(D148)),NOT(ISNUMBER(E148)),F148="",I148="",M148="",Q148=""),"待补预测信息",IF(D148&gt;E148,"非事前到期登记",IF(OR(AND(G148&lt;&gt;"",OR(NOT(ISNUMBER(G148)),G148&lt;0,G148&gt;1)),AND(H148&lt;&gt;"",OR(NOT(ISNUMBER(H148)),H148&lt;0,H148&gt;1))),"概率无效",IF(AND(I148="已判定",OR(NOT(ISNUMBER(J148)),AND(J148&lt;&gt;0,J148&lt;&gt;1),NOT(ISNUMBER(K148)),L148="")),"待补判定证据",IF(AND(I148="已判定",D148&gt;K148),"事后补录不评分","有效输入")))))))))</x:f>
      </x:c>
    </x:row>
    <x:row r="149" ht="25" customHeight="1">
      <x:c r="A149" s="3"/>
      <x:c r="B149" s="3"/>
      <x:c r="C149" s="3"/>
      <x:c r="D149" s="25"/>
      <x:c r="E149" s="25"/>
      <x:c r="F149" s="3"/>
      <x:c r="G149" s="26"/>
      <x:c r="H149" s="26"/>
      <x:c r="I149" s="3"/>
      <x:c r="J149" s="22"/>
      <x:c r="K149" s="25"/>
      <x:c r="L149" s="3"/>
      <x:c r="M149" s="3"/>
      <x:c r="N149" s="24" t="str">
        <x:f>IF(AND(R149="有效输入",I149="已判定",M149="是",ISNUMBER(G149)),(G149-J149)^2,"")</x:f>
      </x:c>
      <x:c r="O149" s="24" t="str">
        <x:f>IF(AND(ISNUMBER(N149),ISNUMBER(H149)),(H149-J149)^2,"")</x:f>
      </x:c>
      <x:c r="P149" s="24" t="str">
        <x:f>IF(AND(ISNUMBER(N149),ISNUMBER(O149)),O149-N149,"")</x:f>
      </x:c>
      <x:c r="Q149" s="3"/>
      <x:c r="R149" s="19" t="str">
        <x:f>IF(A149="","",IF(COUNTIFS('预测登记'!$A$7:$A$306,A149)&lt;&gt;1,"编号重复",IF(COUNTIFS('问题总览'!$A$7:$A$306,B149)&lt;&gt;1,"问题引用无效",IF(COUNTIFS('方案版本'!$A$7:$A$306,C149,'方案版本'!$B$7:$B$306,B149,'方案版本'!$L$7:$L$306,"已冻结")&lt;&gt;1,"方案引用无效",IF(OR(NOT(ISNUMBER(D149)),NOT(ISNUMBER(E149)),F149="",I149="",M149="",Q149=""),"待补预测信息",IF(D149&gt;E149,"非事前到期登记",IF(OR(AND(G149&lt;&gt;"",OR(NOT(ISNUMBER(G149)),G149&lt;0,G149&gt;1)),AND(H149&lt;&gt;"",OR(NOT(ISNUMBER(H149)),H149&lt;0,H149&gt;1))),"概率无效",IF(AND(I149="已判定",OR(NOT(ISNUMBER(J149)),AND(J149&lt;&gt;0,J149&lt;&gt;1),NOT(ISNUMBER(K149)),L149="")),"待补判定证据",IF(AND(I149="已判定",D149&gt;K149),"事后补录不评分","有效输入")))))))))</x:f>
      </x:c>
    </x:row>
    <x:row r="150" ht="25" customHeight="1">
      <x:c r="A150" s="3"/>
      <x:c r="B150" s="3"/>
      <x:c r="C150" s="3"/>
      <x:c r="D150" s="25"/>
      <x:c r="E150" s="25"/>
      <x:c r="F150" s="3"/>
      <x:c r="G150" s="26"/>
      <x:c r="H150" s="26"/>
      <x:c r="I150" s="3"/>
      <x:c r="J150" s="22"/>
      <x:c r="K150" s="25"/>
      <x:c r="L150" s="3"/>
      <x:c r="M150" s="3"/>
      <x:c r="N150" s="24" t="str">
        <x:f>IF(AND(R150="有效输入",I150="已判定",M150="是",ISNUMBER(G150)),(G150-J150)^2,"")</x:f>
      </x:c>
      <x:c r="O150" s="24" t="str">
        <x:f>IF(AND(ISNUMBER(N150),ISNUMBER(H150)),(H150-J150)^2,"")</x:f>
      </x:c>
      <x:c r="P150" s="24" t="str">
        <x:f>IF(AND(ISNUMBER(N150),ISNUMBER(O150)),O150-N150,"")</x:f>
      </x:c>
      <x:c r="Q150" s="3"/>
      <x:c r="R150" s="19" t="str">
        <x:f>IF(A150="","",IF(COUNTIFS('预测登记'!$A$7:$A$306,A150)&lt;&gt;1,"编号重复",IF(COUNTIFS('问题总览'!$A$7:$A$306,B150)&lt;&gt;1,"问题引用无效",IF(COUNTIFS('方案版本'!$A$7:$A$306,C150,'方案版本'!$B$7:$B$306,B150,'方案版本'!$L$7:$L$306,"已冻结")&lt;&gt;1,"方案引用无效",IF(OR(NOT(ISNUMBER(D150)),NOT(ISNUMBER(E150)),F150="",I150="",M150="",Q150=""),"待补预测信息",IF(D150&gt;E150,"非事前到期登记",IF(OR(AND(G150&lt;&gt;"",OR(NOT(ISNUMBER(G150)),G150&lt;0,G150&gt;1)),AND(H150&lt;&gt;"",OR(NOT(ISNUMBER(H150)),H150&lt;0,H150&gt;1))),"概率无效",IF(AND(I150="已判定",OR(NOT(ISNUMBER(J150)),AND(J150&lt;&gt;0,J150&lt;&gt;1),NOT(ISNUMBER(K150)),L150="")),"待补判定证据",IF(AND(I150="已判定",D150&gt;K150),"事后补录不评分","有效输入")))))))))</x:f>
      </x:c>
    </x:row>
    <x:row r="151" ht="25" customHeight="1">
      <x:c r="A151" s="3"/>
      <x:c r="B151" s="3"/>
      <x:c r="C151" s="3"/>
      <x:c r="D151" s="25"/>
      <x:c r="E151" s="25"/>
      <x:c r="F151" s="3"/>
      <x:c r="G151" s="26"/>
      <x:c r="H151" s="26"/>
      <x:c r="I151" s="3"/>
      <x:c r="J151" s="22"/>
      <x:c r="K151" s="25"/>
      <x:c r="L151" s="3"/>
      <x:c r="M151" s="3"/>
      <x:c r="N151" s="24" t="str">
        <x:f>IF(AND(R151="有效输入",I151="已判定",M151="是",ISNUMBER(G151)),(G151-J151)^2,"")</x:f>
      </x:c>
      <x:c r="O151" s="24" t="str">
        <x:f>IF(AND(ISNUMBER(N151),ISNUMBER(H151)),(H151-J151)^2,"")</x:f>
      </x:c>
      <x:c r="P151" s="24" t="str">
        <x:f>IF(AND(ISNUMBER(N151),ISNUMBER(O151)),O151-N151,"")</x:f>
      </x:c>
      <x:c r="Q151" s="3"/>
      <x:c r="R151" s="19" t="str">
        <x:f>IF(A151="","",IF(COUNTIFS('预测登记'!$A$7:$A$306,A151)&lt;&gt;1,"编号重复",IF(COUNTIFS('问题总览'!$A$7:$A$306,B151)&lt;&gt;1,"问题引用无效",IF(COUNTIFS('方案版本'!$A$7:$A$306,C151,'方案版本'!$B$7:$B$306,B151,'方案版本'!$L$7:$L$306,"已冻结")&lt;&gt;1,"方案引用无效",IF(OR(NOT(ISNUMBER(D151)),NOT(ISNUMBER(E151)),F151="",I151="",M151="",Q151=""),"待补预测信息",IF(D151&gt;E151,"非事前到期登记",IF(OR(AND(G151&lt;&gt;"",OR(NOT(ISNUMBER(G151)),G151&lt;0,G151&gt;1)),AND(H151&lt;&gt;"",OR(NOT(ISNUMBER(H151)),H151&lt;0,H151&gt;1))),"概率无效",IF(AND(I151="已判定",OR(NOT(ISNUMBER(J151)),AND(J151&lt;&gt;0,J151&lt;&gt;1),NOT(ISNUMBER(K151)),L151="")),"待补判定证据",IF(AND(I151="已判定",D151&gt;K151),"事后补录不评分","有效输入")))))))))</x:f>
      </x:c>
    </x:row>
    <x:row r="152" ht="25" customHeight="1">
      <x:c r="A152" s="3"/>
      <x:c r="B152" s="3"/>
      <x:c r="C152" s="3"/>
      <x:c r="D152" s="25"/>
      <x:c r="E152" s="25"/>
      <x:c r="F152" s="3"/>
      <x:c r="G152" s="26"/>
      <x:c r="H152" s="26"/>
      <x:c r="I152" s="3"/>
      <x:c r="J152" s="22"/>
      <x:c r="K152" s="25"/>
      <x:c r="L152" s="3"/>
      <x:c r="M152" s="3"/>
      <x:c r="N152" s="24" t="str">
        <x:f>IF(AND(R152="有效输入",I152="已判定",M152="是",ISNUMBER(G152)),(G152-J152)^2,"")</x:f>
      </x:c>
      <x:c r="O152" s="24" t="str">
        <x:f>IF(AND(ISNUMBER(N152),ISNUMBER(H152)),(H152-J152)^2,"")</x:f>
      </x:c>
      <x:c r="P152" s="24" t="str">
        <x:f>IF(AND(ISNUMBER(N152),ISNUMBER(O152)),O152-N152,"")</x:f>
      </x:c>
      <x:c r="Q152" s="3"/>
      <x:c r="R152" s="19" t="str">
        <x:f>IF(A152="","",IF(COUNTIFS('预测登记'!$A$7:$A$306,A152)&lt;&gt;1,"编号重复",IF(COUNTIFS('问题总览'!$A$7:$A$306,B152)&lt;&gt;1,"问题引用无效",IF(COUNTIFS('方案版本'!$A$7:$A$306,C152,'方案版本'!$B$7:$B$306,B152,'方案版本'!$L$7:$L$306,"已冻结")&lt;&gt;1,"方案引用无效",IF(OR(NOT(ISNUMBER(D152)),NOT(ISNUMBER(E152)),F152="",I152="",M152="",Q152=""),"待补预测信息",IF(D152&gt;E152,"非事前到期登记",IF(OR(AND(G152&lt;&gt;"",OR(NOT(ISNUMBER(G152)),G152&lt;0,G152&gt;1)),AND(H152&lt;&gt;"",OR(NOT(ISNUMBER(H152)),H152&lt;0,H152&gt;1))),"概率无效",IF(AND(I152="已判定",OR(NOT(ISNUMBER(J152)),AND(J152&lt;&gt;0,J152&lt;&gt;1),NOT(ISNUMBER(K152)),L152="")),"待补判定证据",IF(AND(I152="已判定",D152&gt;K152),"事后补录不评分","有效输入")))))))))</x:f>
      </x:c>
    </x:row>
    <x:row r="153" ht="25" customHeight="1">
      <x:c r="A153" s="3"/>
      <x:c r="B153" s="3"/>
      <x:c r="C153" s="3"/>
      <x:c r="D153" s="25"/>
      <x:c r="E153" s="25"/>
      <x:c r="F153" s="3"/>
      <x:c r="G153" s="26"/>
      <x:c r="H153" s="26"/>
      <x:c r="I153" s="3"/>
      <x:c r="J153" s="22"/>
      <x:c r="K153" s="25"/>
      <x:c r="L153" s="3"/>
      <x:c r="M153" s="3"/>
      <x:c r="N153" s="24" t="str">
        <x:f>IF(AND(R153="有效输入",I153="已判定",M153="是",ISNUMBER(G153)),(G153-J153)^2,"")</x:f>
      </x:c>
      <x:c r="O153" s="24" t="str">
        <x:f>IF(AND(ISNUMBER(N153),ISNUMBER(H153)),(H153-J153)^2,"")</x:f>
      </x:c>
      <x:c r="P153" s="24" t="str">
        <x:f>IF(AND(ISNUMBER(N153),ISNUMBER(O153)),O153-N153,"")</x:f>
      </x:c>
      <x:c r="Q153" s="3"/>
      <x:c r="R153" s="19" t="str">
        <x:f>IF(A153="","",IF(COUNTIFS('预测登记'!$A$7:$A$306,A153)&lt;&gt;1,"编号重复",IF(COUNTIFS('问题总览'!$A$7:$A$306,B153)&lt;&gt;1,"问题引用无效",IF(COUNTIFS('方案版本'!$A$7:$A$306,C153,'方案版本'!$B$7:$B$306,B153,'方案版本'!$L$7:$L$306,"已冻结")&lt;&gt;1,"方案引用无效",IF(OR(NOT(ISNUMBER(D153)),NOT(ISNUMBER(E153)),F153="",I153="",M153="",Q153=""),"待补预测信息",IF(D153&gt;E153,"非事前到期登记",IF(OR(AND(G153&lt;&gt;"",OR(NOT(ISNUMBER(G153)),G153&lt;0,G153&gt;1)),AND(H153&lt;&gt;"",OR(NOT(ISNUMBER(H153)),H153&lt;0,H153&gt;1))),"概率无效",IF(AND(I153="已判定",OR(NOT(ISNUMBER(J153)),AND(J153&lt;&gt;0,J153&lt;&gt;1),NOT(ISNUMBER(K153)),L153="")),"待补判定证据",IF(AND(I153="已判定",D153&gt;K153),"事后补录不评分","有效输入")))))))))</x:f>
      </x:c>
    </x:row>
    <x:row r="154" ht="25" customHeight="1">
      <x:c r="A154" s="3"/>
      <x:c r="B154" s="3"/>
      <x:c r="C154" s="3"/>
      <x:c r="D154" s="25"/>
      <x:c r="E154" s="25"/>
      <x:c r="F154" s="3"/>
      <x:c r="G154" s="26"/>
      <x:c r="H154" s="26"/>
      <x:c r="I154" s="3"/>
      <x:c r="J154" s="22"/>
      <x:c r="K154" s="25"/>
      <x:c r="L154" s="3"/>
      <x:c r="M154" s="3"/>
      <x:c r="N154" s="24" t="str">
        <x:f>IF(AND(R154="有效输入",I154="已判定",M154="是",ISNUMBER(G154)),(G154-J154)^2,"")</x:f>
      </x:c>
      <x:c r="O154" s="24" t="str">
        <x:f>IF(AND(ISNUMBER(N154),ISNUMBER(H154)),(H154-J154)^2,"")</x:f>
      </x:c>
      <x:c r="P154" s="24" t="str">
        <x:f>IF(AND(ISNUMBER(N154),ISNUMBER(O154)),O154-N154,"")</x:f>
      </x:c>
      <x:c r="Q154" s="3"/>
      <x:c r="R154" s="19" t="str">
        <x:f>IF(A154="","",IF(COUNTIFS('预测登记'!$A$7:$A$306,A154)&lt;&gt;1,"编号重复",IF(COUNTIFS('问题总览'!$A$7:$A$306,B154)&lt;&gt;1,"问题引用无效",IF(COUNTIFS('方案版本'!$A$7:$A$306,C154,'方案版本'!$B$7:$B$306,B154,'方案版本'!$L$7:$L$306,"已冻结")&lt;&gt;1,"方案引用无效",IF(OR(NOT(ISNUMBER(D154)),NOT(ISNUMBER(E154)),F154="",I154="",M154="",Q154=""),"待补预测信息",IF(D154&gt;E154,"非事前到期登记",IF(OR(AND(G154&lt;&gt;"",OR(NOT(ISNUMBER(G154)),G154&lt;0,G154&gt;1)),AND(H154&lt;&gt;"",OR(NOT(ISNUMBER(H154)),H154&lt;0,H154&gt;1))),"概率无效",IF(AND(I154="已判定",OR(NOT(ISNUMBER(J154)),AND(J154&lt;&gt;0,J154&lt;&gt;1),NOT(ISNUMBER(K154)),L154="")),"待补判定证据",IF(AND(I154="已判定",D154&gt;K154),"事后补录不评分","有效输入")))))))))</x:f>
      </x:c>
    </x:row>
    <x:row r="155" ht="25" customHeight="1">
      <x:c r="A155" s="3"/>
      <x:c r="B155" s="3"/>
      <x:c r="C155" s="3"/>
      <x:c r="D155" s="25"/>
      <x:c r="E155" s="25"/>
      <x:c r="F155" s="3"/>
      <x:c r="G155" s="26"/>
      <x:c r="H155" s="26"/>
      <x:c r="I155" s="3"/>
      <x:c r="J155" s="22"/>
      <x:c r="K155" s="25"/>
      <x:c r="L155" s="3"/>
      <x:c r="M155" s="3"/>
      <x:c r="N155" s="24" t="str">
        <x:f>IF(AND(R155="有效输入",I155="已判定",M155="是",ISNUMBER(G155)),(G155-J155)^2,"")</x:f>
      </x:c>
      <x:c r="O155" s="24" t="str">
        <x:f>IF(AND(ISNUMBER(N155),ISNUMBER(H155)),(H155-J155)^2,"")</x:f>
      </x:c>
      <x:c r="P155" s="24" t="str">
        <x:f>IF(AND(ISNUMBER(N155),ISNUMBER(O155)),O155-N155,"")</x:f>
      </x:c>
      <x:c r="Q155" s="3"/>
      <x:c r="R155" s="19" t="str">
        <x:f>IF(A155="","",IF(COUNTIFS('预测登记'!$A$7:$A$306,A155)&lt;&gt;1,"编号重复",IF(COUNTIFS('问题总览'!$A$7:$A$306,B155)&lt;&gt;1,"问题引用无效",IF(COUNTIFS('方案版本'!$A$7:$A$306,C155,'方案版本'!$B$7:$B$306,B155,'方案版本'!$L$7:$L$306,"已冻结")&lt;&gt;1,"方案引用无效",IF(OR(NOT(ISNUMBER(D155)),NOT(ISNUMBER(E155)),F155="",I155="",M155="",Q155=""),"待补预测信息",IF(D155&gt;E155,"非事前到期登记",IF(OR(AND(G155&lt;&gt;"",OR(NOT(ISNUMBER(G155)),G155&lt;0,G155&gt;1)),AND(H155&lt;&gt;"",OR(NOT(ISNUMBER(H155)),H155&lt;0,H155&gt;1))),"概率无效",IF(AND(I155="已判定",OR(NOT(ISNUMBER(J155)),AND(J155&lt;&gt;0,J155&lt;&gt;1),NOT(ISNUMBER(K155)),L155="")),"待补判定证据",IF(AND(I155="已判定",D155&gt;K155),"事后补录不评分","有效输入")))))))))</x:f>
      </x:c>
    </x:row>
    <x:row r="156" ht="25" customHeight="1">
      <x:c r="A156" s="3"/>
      <x:c r="B156" s="3"/>
      <x:c r="C156" s="3"/>
      <x:c r="D156" s="25"/>
      <x:c r="E156" s="25"/>
      <x:c r="F156" s="3"/>
      <x:c r="G156" s="26"/>
      <x:c r="H156" s="26"/>
      <x:c r="I156" s="3"/>
      <x:c r="J156" s="22"/>
      <x:c r="K156" s="25"/>
      <x:c r="L156" s="3"/>
      <x:c r="M156" s="3"/>
      <x:c r="N156" s="24" t="str">
        <x:f>IF(AND(R156="有效输入",I156="已判定",M156="是",ISNUMBER(G156)),(G156-J156)^2,"")</x:f>
      </x:c>
      <x:c r="O156" s="24" t="str">
        <x:f>IF(AND(ISNUMBER(N156),ISNUMBER(H156)),(H156-J156)^2,"")</x:f>
      </x:c>
      <x:c r="P156" s="24" t="str">
        <x:f>IF(AND(ISNUMBER(N156),ISNUMBER(O156)),O156-N156,"")</x:f>
      </x:c>
      <x:c r="Q156" s="3"/>
      <x:c r="R156" s="19" t="str">
        <x:f>IF(A156="","",IF(COUNTIFS('预测登记'!$A$7:$A$306,A156)&lt;&gt;1,"编号重复",IF(COUNTIFS('问题总览'!$A$7:$A$306,B156)&lt;&gt;1,"问题引用无效",IF(COUNTIFS('方案版本'!$A$7:$A$306,C156,'方案版本'!$B$7:$B$306,B156,'方案版本'!$L$7:$L$306,"已冻结")&lt;&gt;1,"方案引用无效",IF(OR(NOT(ISNUMBER(D156)),NOT(ISNUMBER(E156)),F156="",I156="",M156="",Q156=""),"待补预测信息",IF(D156&gt;E156,"非事前到期登记",IF(OR(AND(G156&lt;&gt;"",OR(NOT(ISNUMBER(G156)),G156&lt;0,G156&gt;1)),AND(H156&lt;&gt;"",OR(NOT(ISNUMBER(H156)),H156&lt;0,H156&gt;1))),"概率无效",IF(AND(I156="已判定",OR(NOT(ISNUMBER(J156)),AND(J156&lt;&gt;0,J156&lt;&gt;1),NOT(ISNUMBER(K156)),L156="")),"待补判定证据",IF(AND(I156="已判定",D156&gt;K156),"事后补录不评分","有效输入")))))))))</x:f>
      </x:c>
    </x:row>
    <x:row r="157" ht="25" customHeight="1">
      <x:c r="A157" s="3"/>
      <x:c r="B157" s="3"/>
      <x:c r="C157" s="3"/>
      <x:c r="D157" s="25"/>
      <x:c r="E157" s="25"/>
      <x:c r="F157" s="3"/>
      <x:c r="G157" s="26"/>
      <x:c r="H157" s="26"/>
      <x:c r="I157" s="3"/>
      <x:c r="J157" s="22"/>
      <x:c r="K157" s="25"/>
      <x:c r="L157" s="3"/>
      <x:c r="M157" s="3"/>
      <x:c r="N157" s="24" t="str">
        <x:f>IF(AND(R157="有效输入",I157="已判定",M157="是",ISNUMBER(G157)),(G157-J157)^2,"")</x:f>
      </x:c>
      <x:c r="O157" s="24" t="str">
        <x:f>IF(AND(ISNUMBER(N157),ISNUMBER(H157)),(H157-J157)^2,"")</x:f>
      </x:c>
      <x:c r="P157" s="24" t="str">
        <x:f>IF(AND(ISNUMBER(N157),ISNUMBER(O157)),O157-N157,"")</x:f>
      </x:c>
      <x:c r="Q157" s="3"/>
      <x:c r="R157" s="19" t="str">
        <x:f>IF(A157="","",IF(COUNTIFS('预测登记'!$A$7:$A$306,A157)&lt;&gt;1,"编号重复",IF(COUNTIFS('问题总览'!$A$7:$A$306,B157)&lt;&gt;1,"问题引用无效",IF(COUNTIFS('方案版本'!$A$7:$A$306,C157,'方案版本'!$B$7:$B$306,B157,'方案版本'!$L$7:$L$306,"已冻结")&lt;&gt;1,"方案引用无效",IF(OR(NOT(ISNUMBER(D157)),NOT(ISNUMBER(E157)),F157="",I157="",M157="",Q157=""),"待补预测信息",IF(D157&gt;E157,"非事前到期登记",IF(OR(AND(G157&lt;&gt;"",OR(NOT(ISNUMBER(G157)),G157&lt;0,G157&gt;1)),AND(H157&lt;&gt;"",OR(NOT(ISNUMBER(H157)),H157&lt;0,H157&gt;1))),"概率无效",IF(AND(I157="已判定",OR(NOT(ISNUMBER(J157)),AND(J157&lt;&gt;0,J157&lt;&gt;1),NOT(ISNUMBER(K157)),L157="")),"待补判定证据",IF(AND(I157="已判定",D157&gt;K157),"事后补录不评分","有效输入")))))))))</x:f>
      </x:c>
    </x:row>
    <x:row r="158" ht="25" customHeight="1">
      <x:c r="A158" s="3"/>
      <x:c r="B158" s="3"/>
      <x:c r="C158" s="3"/>
      <x:c r="D158" s="25"/>
      <x:c r="E158" s="25"/>
      <x:c r="F158" s="3"/>
      <x:c r="G158" s="26"/>
      <x:c r="H158" s="26"/>
      <x:c r="I158" s="3"/>
      <x:c r="J158" s="22"/>
      <x:c r="K158" s="25"/>
      <x:c r="L158" s="3"/>
      <x:c r="M158" s="3"/>
      <x:c r="N158" s="24" t="str">
        <x:f>IF(AND(R158="有效输入",I158="已判定",M158="是",ISNUMBER(G158)),(G158-J158)^2,"")</x:f>
      </x:c>
      <x:c r="O158" s="24" t="str">
        <x:f>IF(AND(ISNUMBER(N158),ISNUMBER(H158)),(H158-J158)^2,"")</x:f>
      </x:c>
      <x:c r="P158" s="24" t="str">
        <x:f>IF(AND(ISNUMBER(N158),ISNUMBER(O158)),O158-N158,"")</x:f>
      </x:c>
      <x:c r="Q158" s="3"/>
      <x:c r="R158" s="19" t="str">
        <x:f>IF(A158="","",IF(COUNTIFS('预测登记'!$A$7:$A$306,A158)&lt;&gt;1,"编号重复",IF(COUNTIFS('问题总览'!$A$7:$A$306,B158)&lt;&gt;1,"问题引用无效",IF(COUNTIFS('方案版本'!$A$7:$A$306,C158,'方案版本'!$B$7:$B$306,B158,'方案版本'!$L$7:$L$306,"已冻结")&lt;&gt;1,"方案引用无效",IF(OR(NOT(ISNUMBER(D158)),NOT(ISNUMBER(E158)),F158="",I158="",M158="",Q158=""),"待补预测信息",IF(D158&gt;E158,"非事前到期登记",IF(OR(AND(G158&lt;&gt;"",OR(NOT(ISNUMBER(G158)),G158&lt;0,G158&gt;1)),AND(H158&lt;&gt;"",OR(NOT(ISNUMBER(H158)),H158&lt;0,H158&gt;1))),"概率无效",IF(AND(I158="已判定",OR(NOT(ISNUMBER(J158)),AND(J158&lt;&gt;0,J158&lt;&gt;1),NOT(ISNUMBER(K158)),L158="")),"待补判定证据",IF(AND(I158="已判定",D158&gt;K158),"事后补录不评分","有效输入")))))))))</x:f>
      </x:c>
    </x:row>
    <x:row r="159" ht="25" customHeight="1">
      <x:c r="A159" s="3"/>
      <x:c r="B159" s="3"/>
      <x:c r="C159" s="3"/>
      <x:c r="D159" s="25"/>
      <x:c r="E159" s="25"/>
      <x:c r="F159" s="3"/>
      <x:c r="G159" s="26"/>
      <x:c r="H159" s="26"/>
      <x:c r="I159" s="3"/>
      <x:c r="J159" s="22"/>
      <x:c r="K159" s="25"/>
      <x:c r="L159" s="3"/>
      <x:c r="M159" s="3"/>
      <x:c r="N159" s="24" t="str">
        <x:f>IF(AND(R159="有效输入",I159="已判定",M159="是",ISNUMBER(G159)),(G159-J159)^2,"")</x:f>
      </x:c>
      <x:c r="O159" s="24" t="str">
        <x:f>IF(AND(ISNUMBER(N159),ISNUMBER(H159)),(H159-J159)^2,"")</x:f>
      </x:c>
      <x:c r="P159" s="24" t="str">
        <x:f>IF(AND(ISNUMBER(N159),ISNUMBER(O159)),O159-N159,"")</x:f>
      </x:c>
      <x:c r="Q159" s="3"/>
      <x:c r="R159" s="19" t="str">
        <x:f>IF(A159="","",IF(COUNTIFS('预测登记'!$A$7:$A$306,A159)&lt;&gt;1,"编号重复",IF(COUNTIFS('问题总览'!$A$7:$A$306,B159)&lt;&gt;1,"问题引用无效",IF(COUNTIFS('方案版本'!$A$7:$A$306,C159,'方案版本'!$B$7:$B$306,B159,'方案版本'!$L$7:$L$306,"已冻结")&lt;&gt;1,"方案引用无效",IF(OR(NOT(ISNUMBER(D159)),NOT(ISNUMBER(E159)),F159="",I159="",M159="",Q159=""),"待补预测信息",IF(D159&gt;E159,"非事前到期登记",IF(OR(AND(G159&lt;&gt;"",OR(NOT(ISNUMBER(G159)),G159&lt;0,G159&gt;1)),AND(H159&lt;&gt;"",OR(NOT(ISNUMBER(H159)),H159&lt;0,H159&gt;1))),"概率无效",IF(AND(I159="已判定",OR(NOT(ISNUMBER(J159)),AND(J159&lt;&gt;0,J159&lt;&gt;1),NOT(ISNUMBER(K159)),L159="")),"待补判定证据",IF(AND(I159="已判定",D159&gt;K159),"事后补录不评分","有效输入")))))))))</x:f>
      </x:c>
    </x:row>
    <x:row r="160" ht="25" customHeight="1">
      <x:c r="A160" s="3"/>
      <x:c r="B160" s="3"/>
      <x:c r="C160" s="3"/>
      <x:c r="D160" s="25"/>
      <x:c r="E160" s="25"/>
      <x:c r="F160" s="3"/>
      <x:c r="G160" s="26"/>
      <x:c r="H160" s="26"/>
      <x:c r="I160" s="3"/>
      <x:c r="J160" s="22"/>
      <x:c r="K160" s="25"/>
      <x:c r="L160" s="3"/>
      <x:c r="M160" s="3"/>
      <x:c r="N160" s="24" t="str">
        <x:f>IF(AND(R160="有效输入",I160="已判定",M160="是",ISNUMBER(G160)),(G160-J160)^2,"")</x:f>
      </x:c>
      <x:c r="O160" s="24" t="str">
        <x:f>IF(AND(ISNUMBER(N160),ISNUMBER(H160)),(H160-J160)^2,"")</x:f>
      </x:c>
      <x:c r="P160" s="24" t="str">
        <x:f>IF(AND(ISNUMBER(N160),ISNUMBER(O160)),O160-N160,"")</x:f>
      </x:c>
      <x:c r="Q160" s="3"/>
      <x:c r="R160" s="19" t="str">
        <x:f>IF(A160="","",IF(COUNTIFS('预测登记'!$A$7:$A$306,A160)&lt;&gt;1,"编号重复",IF(COUNTIFS('问题总览'!$A$7:$A$306,B160)&lt;&gt;1,"问题引用无效",IF(COUNTIFS('方案版本'!$A$7:$A$306,C160,'方案版本'!$B$7:$B$306,B160,'方案版本'!$L$7:$L$306,"已冻结")&lt;&gt;1,"方案引用无效",IF(OR(NOT(ISNUMBER(D160)),NOT(ISNUMBER(E160)),F160="",I160="",M160="",Q160=""),"待补预测信息",IF(D160&gt;E160,"非事前到期登记",IF(OR(AND(G160&lt;&gt;"",OR(NOT(ISNUMBER(G160)),G160&lt;0,G160&gt;1)),AND(H160&lt;&gt;"",OR(NOT(ISNUMBER(H160)),H160&lt;0,H160&gt;1))),"概率无效",IF(AND(I160="已判定",OR(NOT(ISNUMBER(J160)),AND(J160&lt;&gt;0,J160&lt;&gt;1),NOT(ISNUMBER(K160)),L160="")),"待补判定证据",IF(AND(I160="已判定",D160&gt;K160),"事后补录不评分","有效输入")))))))))</x:f>
      </x:c>
    </x:row>
    <x:row r="161" ht="25" customHeight="1">
      <x:c r="A161" s="3"/>
      <x:c r="B161" s="3"/>
      <x:c r="C161" s="3"/>
      <x:c r="D161" s="25"/>
      <x:c r="E161" s="25"/>
      <x:c r="F161" s="3"/>
      <x:c r="G161" s="26"/>
      <x:c r="H161" s="26"/>
      <x:c r="I161" s="3"/>
      <x:c r="J161" s="22"/>
      <x:c r="K161" s="25"/>
      <x:c r="L161" s="3"/>
      <x:c r="M161" s="3"/>
      <x:c r="N161" s="24" t="str">
        <x:f>IF(AND(R161="有效输入",I161="已判定",M161="是",ISNUMBER(G161)),(G161-J161)^2,"")</x:f>
      </x:c>
      <x:c r="O161" s="24" t="str">
        <x:f>IF(AND(ISNUMBER(N161),ISNUMBER(H161)),(H161-J161)^2,"")</x:f>
      </x:c>
      <x:c r="P161" s="24" t="str">
        <x:f>IF(AND(ISNUMBER(N161),ISNUMBER(O161)),O161-N161,"")</x:f>
      </x:c>
      <x:c r="Q161" s="3"/>
      <x:c r="R161" s="19" t="str">
        <x:f>IF(A161="","",IF(COUNTIFS('预测登记'!$A$7:$A$306,A161)&lt;&gt;1,"编号重复",IF(COUNTIFS('问题总览'!$A$7:$A$306,B161)&lt;&gt;1,"问题引用无效",IF(COUNTIFS('方案版本'!$A$7:$A$306,C161,'方案版本'!$B$7:$B$306,B161,'方案版本'!$L$7:$L$306,"已冻结")&lt;&gt;1,"方案引用无效",IF(OR(NOT(ISNUMBER(D161)),NOT(ISNUMBER(E161)),F161="",I161="",M161="",Q161=""),"待补预测信息",IF(D161&gt;E161,"非事前到期登记",IF(OR(AND(G161&lt;&gt;"",OR(NOT(ISNUMBER(G161)),G161&lt;0,G161&gt;1)),AND(H161&lt;&gt;"",OR(NOT(ISNUMBER(H161)),H161&lt;0,H161&gt;1))),"概率无效",IF(AND(I161="已判定",OR(NOT(ISNUMBER(J161)),AND(J161&lt;&gt;0,J161&lt;&gt;1),NOT(ISNUMBER(K161)),L161="")),"待补判定证据",IF(AND(I161="已判定",D161&gt;K161),"事后补录不评分","有效输入")))))))))</x:f>
      </x:c>
    </x:row>
    <x:row r="162" ht="25" customHeight="1">
      <x:c r="A162" s="3"/>
      <x:c r="B162" s="3"/>
      <x:c r="C162" s="3"/>
      <x:c r="D162" s="25"/>
      <x:c r="E162" s="25"/>
      <x:c r="F162" s="3"/>
      <x:c r="G162" s="26"/>
      <x:c r="H162" s="26"/>
      <x:c r="I162" s="3"/>
      <x:c r="J162" s="22"/>
      <x:c r="K162" s="25"/>
      <x:c r="L162" s="3"/>
      <x:c r="M162" s="3"/>
      <x:c r="N162" s="24" t="str">
        <x:f>IF(AND(R162="有效输入",I162="已判定",M162="是",ISNUMBER(G162)),(G162-J162)^2,"")</x:f>
      </x:c>
      <x:c r="O162" s="24" t="str">
        <x:f>IF(AND(ISNUMBER(N162),ISNUMBER(H162)),(H162-J162)^2,"")</x:f>
      </x:c>
      <x:c r="P162" s="24" t="str">
        <x:f>IF(AND(ISNUMBER(N162),ISNUMBER(O162)),O162-N162,"")</x:f>
      </x:c>
      <x:c r="Q162" s="3"/>
      <x:c r="R162" s="19" t="str">
        <x:f>IF(A162="","",IF(COUNTIFS('预测登记'!$A$7:$A$306,A162)&lt;&gt;1,"编号重复",IF(COUNTIFS('问题总览'!$A$7:$A$306,B162)&lt;&gt;1,"问题引用无效",IF(COUNTIFS('方案版本'!$A$7:$A$306,C162,'方案版本'!$B$7:$B$306,B162,'方案版本'!$L$7:$L$306,"已冻结")&lt;&gt;1,"方案引用无效",IF(OR(NOT(ISNUMBER(D162)),NOT(ISNUMBER(E162)),F162="",I162="",M162="",Q162=""),"待补预测信息",IF(D162&gt;E162,"非事前到期登记",IF(OR(AND(G162&lt;&gt;"",OR(NOT(ISNUMBER(G162)),G162&lt;0,G162&gt;1)),AND(H162&lt;&gt;"",OR(NOT(ISNUMBER(H162)),H162&lt;0,H162&gt;1))),"概率无效",IF(AND(I162="已判定",OR(NOT(ISNUMBER(J162)),AND(J162&lt;&gt;0,J162&lt;&gt;1),NOT(ISNUMBER(K162)),L162="")),"待补判定证据",IF(AND(I162="已判定",D162&gt;K162),"事后补录不评分","有效输入")))))))))</x:f>
      </x:c>
    </x:row>
    <x:row r="163" ht="25" customHeight="1">
      <x:c r="A163" s="3"/>
      <x:c r="B163" s="3"/>
      <x:c r="C163" s="3"/>
      <x:c r="D163" s="25"/>
      <x:c r="E163" s="25"/>
      <x:c r="F163" s="3"/>
      <x:c r="G163" s="26"/>
      <x:c r="H163" s="26"/>
      <x:c r="I163" s="3"/>
      <x:c r="J163" s="22"/>
      <x:c r="K163" s="25"/>
      <x:c r="L163" s="3"/>
      <x:c r="M163" s="3"/>
      <x:c r="N163" s="24" t="str">
        <x:f>IF(AND(R163="有效输入",I163="已判定",M163="是",ISNUMBER(G163)),(G163-J163)^2,"")</x:f>
      </x:c>
      <x:c r="O163" s="24" t="str">
        <x:f>IF(AND(ISNUMBER(N163),ISNUMBER(H163)),(H163-J163)^2,"")</x:f>
      </x:c>
      <x:c r="P163" s="24" t="str">
        <x:f>IF(AND(ISNUMBER(N163),ISNUMBER(O163)),O163-N163,"")</x:f>
      </x:c>
      <x:c r="Q163" s="3"/>
      <x:c r="R163" s="19" t="str">
        <x:f>IF(A163="","",IF(COUNTIFS('预测登记'!$A$7:$A$306,A163)&lt;&gt;1,"编号重复",IF(COUNTIFS('问题总览'!$A$7:$A$306,B163)&lt;&gt;1,"问题引用无效",IF(COUNTIFS('方案版本'!$A$7:$A$306,C163,'方案版本'!$B$7:$B$306,B163,'方案版本'!$L$7:$L$306,"已冻结")&lt;&gt;1,"方案引用无效",IF(OR(NOT(ISNUMBER(D163)),NOT(ISNUMBER(E163)),F163="",I163="",M163="",Q163=""),"待补预测信息",IF(D163&gt;E163,"非事前到期登记",IF(OR(AND(G163&lt;&gt;"",OR(NOT(ISNUMBER(G163)),G163&lt;0,G163&gt;1)),AND(H163&lt;&gt;"",OR(NOT(ISNUMBER(H163)),H163&lt;0,H163&gt;1))),"概率无效",IF(AND(I163="已判定",OR(NOT(ISNUMBER(J163)),AND(J163&lt;&gt;0,J163&lt;&gt;1),NOT(ISNUMBER(K163)),L163="")),"待补判定证据",IF(AND(I163="已判定",D163&gt;K163),"事后补录不评分","有效输入")))))))))</x:f>
      </x:c>
    </x:row>
    <x:row r="164" ht="25" customHeight="1">
      <x:c r="A164" s="3"/>
      <x:c r="B164" s="3"/>
      <x:c r="C164" s="3"/>
      <x:c r="D164" s="25"/>
      <x:c r="E164" s="25"/>
      <x:c r="F164" s="3"/>
      <x:c r="G164" s="26"/>
      <x:c r="H164" s="26"/>
      <x:c r="I164" s="3"/>
      <x:c r="J164" s="22"/>
      <x:c r="K164" s="25"/>
      <x:c r="L164" s="3"/>
      <x:c r="M164" s="3"/>
      <x:c r="N164" s="24" t="str">
        <x:f>IF(AND(R164="有效输入",I164="已判定",M164="是",ISNUMBER(G164)),(G164-J164)^2,"")</x:f>
      </x:c>
      <x:c r="O164" s="24" t="str">
        <x:f>IF(AND(ISNUMBER(N164),ISNUMBER(H164)),(H164-J164)^2,"")</x:f>
      </x:c>
      <x:c r="P164" s="24" t="str">
        <x:f>IF(AND(ISNUMBER(N164),ISNUMBER(O164)),O164-N164,"")</x:f>
      </x:c>
      <x:c r="Q164" s="3"/>
      <x:c r="R164" s="19" t="str">
        <x:f>IF(A164="","",IF(COUNTIFS('预测登记'!$A$7:$A$306,A164)&lt;&gt;1,"编号重复",IF(COUNTIFS('问题总览'!$A$7:$A$306,B164)&lt;&gt;1,"问题引用无效",IF(COUNTIFS('方案版本'!$A$7:$A$306,C164,'方案版本'!$B$7:$B$306,B164,'方案版本'!$L$7:$L$306,"已冻结")&lt;&gt;1,"方案引用无效",IF(OR(NOT(ISNUMBER(D164)),NOT(ISNUMBER(E164)),F164="",I164="",M164="",Q164=""),"待补预测信息",IF(D164&gt;E164,"非事前到期登记",IF(OR(AND(G164&lt;&gt;"",OR(NOT(ISNUMBER(G164)),G164&lt;0,G164&gt;1)),AND(H164&lt;&gt;"",OR(NOT(ISNUMBER(H164)),H164&lt;0,H164&gt;1))),"概率无效",IF(AND(I164="已判定",OR(NOT(ISNUMBER(J164)),AND(J164&lt;&gt;0,J164&lt;&gt;1),NOT(ISNUMBER(K164)),L164="")),"待补判定证据",IF(AND(I164="已判定",D164&gt;K164),"事后补录不评分","有效输入")))))))))</x:f>
      </x:c>
    </x:row>
    <x:row r="165" ht="25" customHeight="1">
      <x:c r="A165" s="3"/>
      <x:c r="B165" s="3"/>
      <x:c r="C165" s="3"/>
      <x:c r="D165" s="25"/>
      <x:c r="E165" s="25"/>
      <x:c r="F165" s="3"/>
      <x:c r="G165" s="26"/>
      <x:c r="H165" s="26"/>
      <x:c r="I165" s="3"/>
      <x:c r="J165" s="22"/>
      <x:c r="K165" s="25"/>
      <x:c r="L165" s="3"/>
      <x:c r="M165" s="3"/>
      <x:c r="N165" s="24" t="str">
        <x:f>IF(AND(R165="有效输入",I165="已判定",M165="是",ISNUMBER(G165)),(G165-J165)^2,"")</x:f>
      </x:c>
      <x:c r="O165" s="24" t="str">
        <x:f>IF(AND(ISNUMBER(N165),ISNUMBER(H165)),(H165-J165)^2,"")</x:f>
      </x:c>
      <x:c r="P165" s="24" t="str">
        <x:f>IF(AND(ISNUMBER(N165),ISNUMBER(O165)),O165-N165,"")</x:f>
      </x:c>
      <x:c r="Q165" s="3"/>
      <x:c r="R165" s="19" t="str">
        <x:f>IF(A165="","",IF(COUNTIFS('预测登记'!$A$7:$A$306,A165)&lt;&gt;1,"编号重复",IF(COUNTIFS('问题总览'!$A$7:$A$306,B165)&lt;&gt;1,"问题引用无效",IF(COUNTIFS('方案版本'!$A$7:$A$306,C165,'方案版本'!$B$7:$B$306,B165,'方案版本'!$L$7:$L$306,"已冻结")&lt;&gt;1,"方案引用无效",IF(OR(NOT(ISNUMBER(D165)),NOT(ISNUMBER(E165)),F165="",I165="",M165="",Q165=""),"待补预测信息",IF(D165&gt;E165,"非事前到期登记",IF(OR(AND(G165&lt;&gt;"",OR(NOT(ISNUMBER(G165)),G165&lt;0,G165&gt;1)),AND(H165&lt;&gt;"",OR(NOT(ISNUMBER(H165)),H165&lt;0,H165&gt;1))),"概率无效",IF(AND(I165="已判定",OR(NOT(ISNUMBER(J165)),AND(J165&lt;&gt;0,J165&lt;&gt;1),NOT(ISNUMBER(K165)),L165="")),"待补判定证据",IF(AND(I165="已判定",D165&gt;K165),"事后补录不评分","有效输入")))))))))</x:f>
      </x:c>
    </x:row>
    <x:row r="166" ht="25" customHeight="1">
      <x:c r="A166" s="3"/>
      <x:c r="B166" s="3"/>
      <x:c r="C166" s="3"/>
      <x:c r="D166" s="25"/>
      <x:c r="E166" s="25"/>
      <x:c r="F166" s="3"/>
      <x:c r="G166" s="26"/>
      <x:c r="H166" s="26"/>
      <x:c r="I166" s="3"/>
      <x:c r="J166" s="22"/>
      <x:c r="K166" s="25"/>
      <x:c r="L166" s="3"/>
      <x:c r="M166" s="3"/>
      <x:c r="N166" s="24" t="str">
        <x:f>IF(AND(R166="有效输入",I166="已判定",M166="是",ISNUMBER(G166)),(G166-J166)^2,"")</x:f>
      </x:c>
      <x:c r="O166" s="24" t="str">
        <x:f>IF(AND(ISNUMBER(N166),ISNUMBER(H166)),(H166-J166)^2,"")</x:f>
      </x:c>
      <x:c r="P166" s="24" t="str">
        <x:f>IF(AND(ISNUMBER(N166),ISNUMBER(O166)),O166-N166,"")</x:f>
      </x:c>
      <x:c r="Q166" s="3"/>
      <x:c r="R166" s="19" t="str">
        <x:f>IF(A166="","",IF(COUNTIFS('预测登记'!$A$7:$A$306,A166)&lt;&gt;1,"编号重复",IF(COUNTIFS('问题总览'!$A$7:$A$306,B166)&lt;&gt;1,"问题引用无效",IF(COUNTIFS('方案版本'!$A$7:$A$306,C166,'方案版本'!$B$7:$B$306,B166,'方案版本'!$L$7:$L$306,"已冻结")&lt;&gt;1,"方案引用无效",IF(OR(NOT(ISNUMBER(D166)),NOT(ISNUMBER(E166)),F166="",I166="",M166="",Q166=""),"待补预测信息",IF(D166&gt;E166,"非事前到期登记",IF(OR(AND(G166&lt;&gt;"",OR(NOT(ISNUMBER(G166)),G166&lt;0,G166&gt;1)),AND(H166&lt;&gt;"",OR(NOT(ISNUMBER(H166)),H166&lt;0,H166&gt;1))),"概率无效",IF(AND(I166="已判定",OR(NOT(ISNUMBER(J166)),AND(J166&lt;&gt;0,J166&lt;&gt;1),NOT(ISNUMBER(K166)),L166="")),"待补判定证据",IF(AND(I166="已判定",D166&gt;K166),"事后补录不评分","有效输入")))))))))</x:f>
      </x:c>
    </x:row>
    <x:row r="167" ht="25" customHeight="1">
      <x:c r="A167" s="3"/>
      <x:c r="B167" s="3"/>
      <x:c r="C167" s="3"/>
      <x:c r="D167" s="25"/>
      <x:c r="E167" s="25"/>
      <x:c r="F167" s="3"/>
      <x:c r="G167" s="26"/>
      <x:c r="H167" s="26"/>
      <x:c r="I167" s="3"/>
      <x:c r="J167" s="22"/>
      <x:c r="K167" s="25"/>
      <x:c r="L167" s="3"/>
      <x:c r="M167" s="3"/>
      <x:c r="N167" s="24" t="str">
        <x:f>IF(AND(R167="有效输入",I167="已判定",M167="是",ISNUMBER(G167)),(G167-J167)^2,"")</x:f>
      </x:c>
      <x:c r="O167" s="24" t="str">
        <x:f>IF(AND(ISNUMBER(N167),ISNUMBER(H167)),(H167-J167)^2,"")</x:f>
      </x:c>
      <x:c r="P167" s="24" t="str">
        <x:f>IF(AND(ISNUMBER(N167),ISNUMBER(O167)),O167-N167,"")</x:f>
      </x:c>
      <x:c r="Q167" s="3"/>
      <x:c r="R167" s="19" t="str">
        <x:f>IF(A167="","",IF(COUNTIFS('预测登记'!$A$7:$A$306,A167)&lt;&gt;1,"编号重复",IF(COUNTIFS('问题总览'!$A$7:$A$306,B167)&lt;&gt;1,"问题引用无效",IF(COUNTIFS('方案版本'!$A$7:$A$306,C167,'方案版本'!$B$7:$B$306,B167,'方案版本'!$L$7:$L$306,"已冻结")&lt;&gt;1,"方案引用无效",IF(OR(NOT(ISNUMBER(D167)),NOT(ISNUMBER(E167)),F167="",I167="",M167="",Q167=""),"待补预测信息",IF(D167&gt;E167,"非事前到期登记",IF(OR(AND(G167&lt;&gt;"",OR(NOT(ISNUMBER(G167)),G167&lt;0,G167&gt;1)),AND(H167&lt;&gt;"",OR(NOT(ISNUMBER(H167)),H167&lt;0,H167&gt;1))),"概率无效",IF(AND(I167="已判定",OR(NOT(ISNUMBER(J167)),AND(J167&lt;&gt;0,J167&lt;&gt;1),NOT(ISNUMBER(K167)),L167="")),"待补判定证据",IF(AND(I167="已判定",D167&gt;K167),"事后补录不评分","有效输入")))))))))</x:f>
      </x:c>
    </x:row>
    <x:row r="168" ht="25" customHeight="1">
      <x:c r="A168" s="3"/>
      <x:c r="B168" s="3"/>
      <x:c r="C168" s="3"/>
      <x:c r="D168" s="25"/>
      <x:c r="E168" s="25"/>
      <x:c r="F168" s="3"/>
      <x:c r="G168" s="26"/>
      <x:c r="H168" s="26"/>
      <x:c r="I168" s="3"/>
      <x:c r="J168" s="22"/>
      <x:c r="K168" s="25"/>
      <x:c r="L168" s="3"/>
      <x:c r="M168" s="3"/>
      <x:c r="N168" s="24" t="str">
        <x:f>IF(AND(R168="有效输入",I168="已判定",M168="是",ISNUMBER(G168)),(G168-J168)^2,"")</x:f>
      </x:c>
      <x:c r="O168" s="24" t="str">
        <x:f>IF(AND(ISNUMBER(N168),ISNUMBER(H168)),(H168-J168)^2,"")</x:f>
      </x:c>
      <x:c r="P168" s="24" t="str">
        <x:f>IF(AND(ISNUMBER(N168),ISNUMBER(O168)),O168-N168,"")</x:f>
      </x:c>
      <x:c r="Q168" s="3"/>
      <x:c r="R168" s="19" t="str">
        <x:f>IF(A168="","",IF(COUNTIFS('预测登记'!$A$7:$A$306,A168)&lt;&gt;1,"编号重复",IF(COUNTIFS('问题总览'!$A$7:$A$306,B168)&lt;&gt;1,"问题引用无效",IF(COUNTIFS('方案版本'!$A$7:$A$306,C168,'方案版本'!$B$7:$B$306,B168,'方案版本'!$L$7:$L$306,"已冻结")&lt;&gt;1,"方案引用无效",IF(OR(NOT(ISNUMBER(D168)),NOT(ISNUMBER(E168)),F168="",I168="",M168="",Q168=""),"待补预测信息",IF(D168&gt;E168,"非事前到期登记",IF(OR(AND(G168&lt;&gt;"",OR(NOT(ISNUMBER(G168)),G168&lt;0,G168&gt;1)),AND(H168&lt;&gt;"",OR(NOT(ISNUMBER(H168)),H168&lt;0,H168&gt;1))),"概率无效",IF(AND(I168="已判定",OR(NOT(ISNUMBER(J168)),AND(J168&lt;&gt;0,J168&lt;&gt;1),NOT(ISNUMBER(K168)),L168="")),"待补判定证据",IF(AND(I168="已判定",D168&gt;K168),"事后补录不评分","有效输入")))))))))</x:f>
      </x:c>
    </x:row>
    <x:row r="169" ht="25" customHeight="1">
      <x:c r="A169" s="3"/>
      <x:c r="B169" s="3"/>
      <x:c r="C169" s="3"/>
      <x:c r="D169" s="25"/>
      <x:c r="E169" s="25"/>
      <x:c r="F169" s="3"/>
      <x:c r="G169" s="26"/>
      <x:c r="H169" s="26"/>
      <x:c r="I169" s="3"/>
      <x:c r="J169" s="22"/>
      <x:c r="K169" s="25"/>
      <x:c r="L169" s="3"/>
      <x:c r="M169" s="3"/>
      <x:c r="N169" s="24" t="str">
        <x:f>IF(AND(R169="有效输入",I169="已判定",M169="是",ISNUMBER(G169)),(G169-J169)^2,"")</x:f>
      </x:c>
      <x:c r="O169" s="24" t="str">
        <x:f>IF(AND(ISNUMBER(N169),ISNUMBER(H169)),(H169-J169)^2,"")</x:f>
      </x:c>
      <x:c r="P169" s="24" t="str">
        <x:f>IF(AND(ISNUMBER(N169),ISNUMBER(O169)),O169-N169,"")</x:f>
      </x:c>
      <x:c r="Q169" s="3"/>
      <x:c r="R169" s="19" t="str">
        <x:f>IF(A169="","",IF(COUNTIFS('预测登记'!$A$7:$A$306,A169)&lt;&gt;1,"编号重复",IF(COUNTIFS('问题总览'!$A$7:$A$306,B169)&lt;&gt;1,"问题引用无效",IF(COUNTIFS('方案版本'!$A$7:$A$306,C169,'方案版本'!$B$7:$B$306,B169,'方案版本'!$L$7:$L$306,"已冻结")&lt;&gt;1,"方案引用无效",IF(OR(NOT(ISNUMBER(D169)),NOT(ISNUMBER(E169)),F169="",I169="",M169="",Q169=""),"待补预测信息",IF(D169&gt;E169,"非事前到期登记",IF(OR(AND(G169&lt;&gt;"",OR(NOT(ISNUMBER(G169)),G169&lt;0,G169&gt;1)),AND(H169&lt;&gt;"",OR(NOT(ISNUMBER(H169)),H169&lt;0,H169&gt;1))),"概率无效",IF(AND(I169="已判定",OR(NOT(ISNUMBER(J169)),AND(J169&lt;&gt;0,J169&lt;&gt;1),NOT(ISNUMBER(K169)),L169="")),"待补判定证据",IF(AND(I169="已判定",D169&gt;K169),"事后补录不评分","有效输入")))))))))</x:f>
      </x:c>
    </x:row>
    <x:row r="170" ht="25" customHeight="1">
      <x:c r="A170" s="3"/>
      <x:c r="B170" s="3"/>
      <x:c r="C170" s="3"/>
      <x:c r="D170" s="25"/>
      <x:c r="E170" s="25"/>
      <x:c r="F170" s="3"/>
      <x:c r="G170" s="26"/>
      <x:c r="H170" s="26"/>
      <x:c r="I170" s="3"/>
      <x:c r="J170" s="22"/>
      <x:c r="K170" s="25"/>
      <x:c r="L170" s="3"/>
      <x:c r="M170" s="3"/>
      <x:c r="N170" s="24" t="str">
        <x:f>IF(AND(R170="有效输入",I170="已判定",M170="是",ISNUMBER(G170)),(G170-J170)^2,"")</x:f>
      </x:c>
      <x:c r="O170" s="24" t="str">
        <x:f>IF(AND(ISNUMBER(N170),ISNUMBER(H170)),(H170-J170)^2,"")</x:f>
      </x:c>
      <x:c r="P170" s="24" t="str">
        <x:f>IF(AND(ISNUMBER(N170),ISNUMBER(O170)),O170-N170,"")</x:f>
      </x:c>
      <x:c r="Q170" s="3"/>
      <x:c r="R170" s="19" t="str">
        <x:f>IF(A170="","",IF(COUNTIFS('预测登记'!$A$7:$A$306,A170)&lt;&gt;1,"编号重复",IF(COUNTIFS('问题总览'!$A$7:$A$306,B170)&lt;&gt;1,"问题引用无效",IF(COUNTIFS('方案版本'!$A$7:$A$306,C170,'方案版本'!$B$7:$B$306,B170,'方案版本'!$L$7:$L$306,"已冻结")&lt;&gt;1,"方案引用无效",IF(OR(NOT(ISNUMBER(D170)),NOT(ISNUMBER(E170)),F170="",I170="",M170="",Q170=""),"待补预测信息",IF(D170&gt;E170,"非事前到期登记",IF(OR(AND(G170&lt;&gt;"",OR(NOT(ISNUMBER(G170)),G170&lt;0,G170&gt;1)),AND(H170&lt;&gt;"",OR(NOT(ISNUMBER(H170)),H170&lt;0,H170&gt;1))),"概率无效",IF(AND(I170="已判定",OR(NOT(ISNUMBER(J170)),AND(J170&lt;&gt;0,J170&lt;&gt;1),NOT(ISNUMBER(K170)),L170="")),"待补判定证据",IF(AND(I170="已判定",D170&gt;K170),"事后补录不评分","有效输入")))))))))</x:f>
      </x:c>
    </x:row>
    <x:row r="171" ht="25" customHeight="1">
      <x:c r="A171" s="3"/>
      <x:c r="B171" s="3"/>
      <x:c r="C171" s="3"/>
      <x:c r="D171" s="25"/>
      <x:c r="E171" s="25"/>
      <x:c r="F171" s="3"/>
      <x:c r="G171" s="26"/>
      <x:c r="H171" s="26"/>
      <x:c r="I171" s="3"/>
      <x:c r="J171" s="22"/>
      <x:c r="K171" s="25"/>
      <x:c r="L171" s="3"/>
      <x:c r="M171" s="3"/>
      <x:c r="N171" s="24" t="str">
        <x:f>IF(AND(R171="有效输入",I171="已判定",M171="是",ISNUMBER(G171)),(G171-J171)^2,"")</x:f>
      </x:c>
      <x:c r="O171" s="24" t="str">
        <x:f>IF(AND(ISNUMBER(N171),ISNUMBER(H171)),(H171-J171)^2,"")</x:f>
      </x:c>
      <x:c r="P171" s="24" t="str">
        <x:f>IF(AND(ISNUMBER(N171),ISNUMBER(O171)),O171-N171,"")</x:f>
      </x:c>
      <x:c r="Q171" s="3"/>
      <x:c r="R171" s="19" t="str">
        <x:f>IF(A171="","",IF(COUNTIFS('预测登记'!$A$7:$A$306,A171)&lt;&gt;1,"编号重复",IF(COUNTIFS('问题总览'!$A$7:$A$306,B171)&lt;&gt;1,"问题引用无效",IF(COUNTIFS('方案版本'!$A$7:$A$306,C171,'方案版本'!$B$7:$B$306,B171,'方案版本'!$L$7:$L$306,"已冻结")&lt;&gt;1,"方案引用无效",IF(OR(NOT(ISNUMBER(D171)),NOT(ISNUMBER(E171)),F171="",I171="",M171="",Q171=""),"待补预测信息",IF(D171&gt;E171,"非事前到期登记",IF(OR(AND(G171&lt;&gt;"",OR(NOT(ISNUMBER(G171)),G171&lt;0,G171&gt;1)),AND(H171&lt;&gt;"",OR(NOT(ISNUMBER(H171)),H171&lt;0,H171&gt;1))),"概率无效",IF(AND(I171="已判定",OR(NOT(ISNUMBER(J171)),AND(J171&lt;&gt;0,J171&lt;&gt;1),NOT(ISNUMBER(K171)),L171="")),"待补判定证据",IF(AND(I171="已判定",D171&gt;K171),"事后补录不评分","有效输入")))))))))</x:f>
      </x:c>
    </x:row>
    <x:row r="172" ht="25" customHeight="1">
      <x:c r="A172" s="3"/>
      <x:c r="B172" s="3"/>
      <x:c r="C172" s="3"/>
      <x:c r="D172" s="25"/>
      <x:c r="E172" s="25"/>
      <x:c r="F172" s="3"/>
      <x:c r="G172" s="26"/>
      <x:c r="H172" s="26"/>
      <x:c r="I172" s="3"/>
      <x:c r="J172" s="22"/>
      <x:c r="K172" s="25"/>
      <x:c r="L172" s="3"/>
      <x:c r="M172" s="3"/>
      <x:c r="N172" s="24" t="str">
        <x:f>IF(AND(R172="有效输入",I172="已判定",M172="是",ISNUMBER(G172)),(G172-J172)^2,"")</x:f>
      </x:c>
      <x:c r="O172" s="24" t="str">
        <x:f>IF(AND(ISNUMBER(N172),ISNUMBER(H172)),(H172-J172)^2,"")</x:f>
      </x:c>
      <x:c r="P172" s="24" t="str">
        <x:f>IF(AND(ISNUMBER(N172),ISNUMBER(O172)),O172-N172,"")</x:f>
      </x:c>
      <x:c r="Q172" s="3"/>
      <x:c r="R172" s="19" t="str">
        <x:f>IF(A172="","",IF(COUNTIFS('预测登记'!$A$7:$A$306,A172)&lt;&gt;1,"编号重复",IF(COUNTIFS('问题总览'!$A$7:$A$306,B172)&lt;&gt;1,"问题引用无效",IF(COUNTIFS('方案版本'!$A$7:$A$306,C172,'方案版本'!$B$7:$B$306,B172,'方案版本'!$L$7:$L$306,"已冻结")&lt;&gt;1,"方案引用无效",IF(OR(NOT(ISNUMBER(D172)),NOT(ISNUMBER(E172)),F172="",I172="",M172="",Q172=""),"待补预测信息",IF(D172&gt;E172,"非事前到期登记",IF(OR(AND(G172&lt;&gt;"",OR(NOT(ISNUMBER(G172)),G172&lt;0,G172&gt;1)),AND(H172&lt;&gt;"",OR(NOT(ISNUMBER(H172)),H172&lt;0,H172&gt;1))),"概率无效",IF(AND(I172="已判定",OR(NOT(ISNUMBER(J172)),AND(J172&lt;&gt;0,J172&lt;&gt;1),NOT(ISNUMBER(K172)),L172="")),"待补判定证据",IF(AND(I172="已判定",D172&gt;K172),"事后补录不评分","有效输入")))))))))</x:f>
      </x:c>
    </x:row>
    <x:row r="173" ht="25" customHeight="1">
      <x:c r="A173" s="3"/>
      <x:c r="B173" s="3"/>
      <x:c r="C173" s="3"/>
      <x:c r="D173" s="25"/>
      <x:c r="E173" s="25"/>
      <x:c r="F173" s="3"/>
      <x:c r="G173" s="26"/>
      <x:c r="H173" s="26"/>
      <x:c r="I173" s="3"/>
      <x:c r="J173" s="22"/>
      <x:c r="K173" s="25"/>
      <x:c r="L173" s="3"/>
      <x:c r="M173" s="3"/>
      <x:c r="N173" s="24" t="str">
        <x:f>IF(AND(R173="有效输入",I173="已判定",M173="是",ISNUMBER(G173)),(G173-J173)^2,"")</x:f>
      </x:c>
      <x:c r="O173" s="24" t="str">
        <x:f>IF(AND(ISNUMBER(N173),ISNUMBER(H173)),(H173-J173)^2,"")</x:f>
      </x:c>
      <x:c r="P173" s="24" t="str">
        <x:f>IF(AND(ISNUMBER(N173),ISNUMBER(O173)),O173-N173,"")</x:f>
      </x:c>
      <x:c r="Q173" s="3"/>
      <x:c r="R173" s="19" t="str">
        <x:f>IF(A173="","",IF(COUNTIFS('预测登记'!$A$7:$A$306,A173)&lt;&gt;1,"编号重复",IF(COUNTIFS('问题总览'!$A$7:$A$306,B173)&lt;&gt;1,"问题引用无效",IF(COUNTIFS('方案版本'!$A$7:$A$306,C173,'方案版本'!$B$7:$B$306,B173,'方案版本'!$L$7:$L$306,"已冻结")&lt;&gt;1,"方案引用无效",IF(OR(NOT(ISNUMBER(D173)),NOT(ISNUMBER(E173)),F173="",I173="",M173="",Q173=""),"待补预测信息",IF(D173&gt;E173,"非事前到期登记",IF(OR(AND(G173&lt;&gt;"",OR(NOT(ISNUMBER(G173)),G173&lt;0,G173&gt;1)),AND(H173&lt;&gt;"",OR(NOT(ISNUMBER(H173)),H173&lt;0,H173&gt;1))),"概率无效",IF(AND(I173="已判定",OR(NOT(ISNUMBER(J173)),AND(J173&lt;&gt;0,J173&lt;&gt;1),NOT(ISNUMBER(K173)),L173="")),"待补判定证据",IF(AND(I173="已判定",D173&gt;K173),"事后补录不评分","有效输入")))))))))</x:f>
      </x:c>
    </x:row>
    <x:row r="174" ht="25" customHeight="1">
      <x:c r="A174" s="3"/>
      <x:c r="B174" s="3"/>
      <x:c r="C174" s="3"/>
      <x:c r="D174" s="25"/>
      <x:c r="E174" s="25"/>
      <x:c r="F174" s="3"/>
      <x:c r="G174" s="26"/>
      <x:c r="H174" s="26"/>
      <x:c r="I174" s="3"/>
      <x:c r="J174" s="22"/>
      <x:c r="K174" s="25"/>
      <x:c r="L174" s="3"/>
      <x:c r="M174" s="3"/>
      <x:c r="N174" s="24" t="str">
        <x:f>IF(AND(R174="有效输入",I174="已判定",M174="是",ISNUMBER(G174)),(G174-J174)^2,"")</x:f>
      </x:c>
      <x:c r="O174" s="24" t="str">
        <x:f>IF(AND(ISNUMBER(N174),ISNUMBER(H174)),(H174-J174)^2,"")</x:f>
      </x:c>
      <x:c r="P174" s="24" t="str">
        <x:f>IF(AND(ISNUMBER(N174),ISNUMBER(O174)),O174-N174,"")</x:f>
      </x:c>
      <x:c r="Q174" s="3"/>
      <x:c r="R174" s="19" t="str">
        <x:f>IF(A174="","",IF(COUNTIFS('预测登记'!$A$7:$A$306,A174)&lt;&gt;1,"编号重复",IF(COUNTIFS('问题总览'!$A$7:$A$306,B174)&lt;&gt;1,"问题引用无效",IF(COUNTIFS('方案版本'!$A$7:$A$306,C174,'方案版本'!$B$7:$B$306,B174,'方案版本'!$L$7:$L$306,"已冻结")&lt;&gt;1,"方案引用无效",IF(OR(NOT(ISNUMBER(D174)),NOT(ISNUMBER(E174)),F174="",I174="",M174="",Q174=""),"待补预测信息",IF(D174&gt;E174,"非事前到期登记",IF(OR(AND(G174&lt;&gt;"",OR(NOT(ISNUMBER(G174)),G174&lt;0,G174&gt;1)),AND(H174&lt;&gt;"",OR(NOT(ISNUMBER(H174)),H174&lt;0,H174&gt;1))),"概率无效",IF(AND(I174="已判定",OR(NOT(ISNUMBER(J174)),AND(J174&lt;&gt;0,J174&lt;&gt;1),NOT(ISNUMBER(K174)),L174="")),"待补判定证据",IF(AND(I174="已判定",D174&gt;K174),"事后补录不评分","有效输入")))))))))</x:f>
      </x:c>
    </x:row>
    <x:row r="175" ht="25" customHeight="1">
      <x:c r="A175" s="3"/>
      <x:c r="B175" s="3"/>
      <x:c r="C175" s="3"/>
      <x:c r="D175" s="25"/>
      <x:c r="E175" s="25"/>
      <x:c r="F175" s="3"/>
      <x:c r="G175" s="26"/>
      <x:c r="H175" s="26"/>
      <x:c r="I175" s="3"/>
      <x:c r="J175" s="22"/>
      <x:c r="K175" s="25"/>
      <x:c r="L175" s="3"/>
      <x:c r="M175" s="3"/>
      <x:c r="N175" s="24" t="str">
        <x:f>IF(AND(R175="有效输入",I175="已判定",M175="是",ISNUMBER(G175)),(G175-J175)^2,"")</x:f>
      </x:c>
      <x:c r="O175" s="24" t="str">
        <x:f>IF(AND(ISNUMBER(N175),ISNUMBER(H175)),(H175-J175)^2,"")</x:f>
      </x:c>
      <x:c r="P175" s="24" t="str">
        <x:f>IF(AND(ISNUMBER(N175),ISNUMBER(O175)),O175-N175,"")</x:f>
      </x:c>
      <x:c r="Q175" s="3"/>
      <x:c r="R175" s="19" t="str">
        <x:f>IF(A175="","",IF(COUNTIFS('预测登记'!$A$7:$A$306,A175)&lt;&gt;1,"编号重复",IF(COUNTIFS('问题总览'!$A$7:$A$306,B175)&lt;&gt;1,"问题引用无效",IF(COUNTIFS('方案版本'!$A$7:$A$306,C175,'方案版本'!$B$7:$B$306,B175,'方案版本'!$L$7:$L$306,"已冻结")&lt;&gt;1,"方案引用无效",IF(OR(NOT(ISNUMBER(D175)),NOT(ISNUMBER(E175)),F175="",I175="",M175="",Q175=""),"待补预测信息",IF(D175&gt;E175,"非事前到期登记",IF(OR(AND(G175&lt;&gt;"",OR(NOT(ISNUMBER(G175)),G175&lt;0,G175&gt;1)),AND(H175&lt;&gt;"",OR(NOT(ISNUMBER(H175)),H175&lt;0,H175&gt;1))),"概率无效",IF(AND(I175="已判定",OR(NOT(ISNUMBER(J175)),AND(J175&lt;&gt;0,J175&lt;&gt;1),NOT(ISNUMBER(K175)),L175="")),"待补判定证据",IF(AND(I175="已判定",D175&gt;K175),"事后补录不评分","有效输入")))))))))</x:f>
      </x:c>
    </x:row>
    <x:row r="176" ht="25" customHeight="1">
      <x:c r="A176" s="3"/>
      <x:c r="B176" s="3"/>
      <x:c r="C176" s="3"/>
      <x:c r="D176" s="25"/>
      <x:c r="E176" s="25"/>
      <x:c r="F176" s="3"/>
      <x:c r="G176" s="26"/>
      <x:c r="H176" s="26"/>
      <x:c r="I176" s="3"/>
      <x:c r="J176" s="22"/>
      <x:c r="K176" s="25"/>
      <x:c r="L176" s="3"/>
      <x:c r="M176" s="3"/>
      <x:c r="N176" s="24" t="str">
        <x:f>IF(AND(R176="有效输入",I176="已判定",M176="是",ISNUMBER(G176)),(G176-J176)^2,"")</x:f>
      </x:c>
      <x:c r="O176" s="24" t="str">
        <x:f>IF(AND(ISNUMBER(N176),ISNUMBER(H176)),(H176-J176)^2,"")</x:f>
      </x:c>
      <x:c r="P176" s="24" t="str">
        <x:f>IF(AND(ISNUMBER(N176),ISNUMBER(O176)),O176-N176,"")</x:f>
      </x:c>
      <x:c r="Q176" s="3"/>
      <x:c r="R176" s="19" t="str">
        <x:f>IF(A176="","",IF(COUNTIFS('预测登记'!$A$7:$A$306,A176)&lt;&gt;1,"编号重复",IF(COUNTIFS('问题总览'!$A$7:$A$306,B176)&lt;&gt;1,"问题引用无效",IF(COUNTIFS('方案版本'!$A$7:$A$306,C176,'方案版本'!$B$7:$B$306,B176,'方案版本'!$L$7:$L$306,"已冻结")&lt;&gt;1,"方案引用无效",IF(OR(NOT(ISNUMBER(D176)),NOT(ISNUMBER(E176)),F176="",I176="",M176="",Q176=""),"待补预测信息",IF(D176&gt;E176,"非事前到期登记",IF(OR(AND(G176&lt;&gt;"",OR(NOT(ISNUMBER(G176)),G176&lt;0,G176&gt;1)),AND(H176&lt;&gt;"",OR(NOT(ISNUMBER(H176)),H176&lt;0,H176&gt;1))),"概率无效",IF(AND(I176="已判定",OR(NOT(ISNUMBER(J176)),AND(J176&lt;&gt;0,J176&lt;&gt;1),NOT(ISNUMBER(K176)),L176="")),"待补判定证据",IF(AND(I176="已判定",D176&gt;K176),"事后补录不评分","有效输入")))))))))</x:f>
      </x:c>
    </x:row>
    <x:row r="177" ht="25" customHeight="1">
      <x:c r="A177" s="3"/>
      <x:c r="B177" s="3"/>
      <x:c r="C177" s="3"/>
      <x:c r="D177" s="25"/>
      <x:c r="E177" s="25"/>
      <x:c r="F177" s="3"/>
      <x:c r="G177" s="26"/>
      <x:c r="H177" s="26"/>
      <x:c r="I177" s="3"/>
      <x:c r="J177" s="22"/>
      <x:c r="K177" s="25"/>
      <x:c r="L177" s="3"/>
      <x:c r="M177" s="3"/>
      <x:c r="N177" s="24" t="str">
        <x:f>IF(AND(R177="有效输入",I177="已判定",M177="是",ISNUMBER(G177)),(G177-J177)^2,"")</x:f>
      </x:c>
      <x:c r="O177" s="24" t="str">
        <x:f>IF(AND(ISNUMBER(N177),ISNUMBER(H177)),(H177-J177)^2,"")</x:f>
      </x:c>
      <x:c r="P177" s="24" t="str">
        <x:f>IF(AND(ISNUMBER(N177),ISNUMBER(O177)),O177-N177,"")</x:f>
      </x:c>
      <x:c r="Q177" s="3"/>
      <x:c r="R177" s="19" t="str">
        <x:f>IF(A177="","",IF(COUNTIFS('预测登记'!$A$7:$A$306,A177)&lt;&gt;1,"编号重复",IF(COUNTIFS('问题总览'!$A$7:$A$306,B177)&lt;&gt;1,"问题引用无效",IF(COUNTIFS('方案版本'!$A$7:$A$306,C177,'方案版本'!$B$7:$B$306,B177,'方案版本'!$L$7:$L$306,"已冻结")&lt;&gt;1,"方案引用无效",IF(OR(NOT(ISNUMBER(D177)),NOT(ISNUMBER(E177)),F177="",I177="",M177="",Q177=""),"待补预测信息",IF(D177&gt;E177,"非事前到期登记",IF(OR(AND(G177&lt;&gt;"",OR(NOT(ISNUMBER(G177)),G177&lt;0,G177&gt;1)),AND(H177&lt;&gt;"",OR(NOT(ISNUMBER(H177)),H177&lt;0,H177&gt;1))),"概率无效",IF(AND(I177="已判定",OR(NOT(ISNUMBER(J177)),AND(J177&lt;&gt;0,J177&lt;&gt;1),NOT(ISNUMBER(K177)),L177="")),"待补判定证据",IF(AND(I177="已判定",D177&gt;K177),"事后补录不评分","有效输入")))))))))</x:f>
      </x:c>
    </x:row>
    <x:row r="178" ht="25" customHeight="1">
      <x:c r="A178" s="3"/>
      <x:c r="B178" s="3"/>
      <x:c r="C178" s="3"/>
      <x:c r="D178" s="25"/>
      <x:c r="E178" s="25"/>
      <x:c r="F178" s="3"/>
      <x:c r="G178" s="26"/>
      <x:c r="H178" s="26"/>
      <x:c r="I178" s="3"/>
      <x:c r="J178" s="22"/>
      <x:c r="K178" s="25"/>
      <x:c r="L178" s="3"/>
      <x:c r="M178" s="3"/>
      <x:c r="N178" s="24" t="str">
        <x:f>IF(AND(R178="有效输入",I178="已判定",M178="是",ISNUMBER(G178)),(G178-J178)^2,"")</x:f>
      </x:c>
      <x:c r="O178" s="24" t="str">
        <x:f>IF(AND(ISNUMBER(N178),ISNUMBER(H178)),(H178-J178)^2,"")</x:f>
      </x:c>
      <x:c r="P178" s="24" t="str">
        <x:f>IF(AND(ISNUMBER(N178),ISNUMBER(O178)),O178-N178,"")</x:f>
      </x:c>
      <x:c r="Q178" s="3"/>
      <x:c r="R178" s="19" t="str">
        <x:f>IF(A178="","",IF(COUNTIFS('预测登记'!$A$7:$A$306,A178)&lt;&gt;1,"编号重复",IF(COUNTIFS('问题总览'!$A$7:$A$306,B178)&lt;&gt;1,"问题引用无效",IF(COUNTIFS('方案版本'!$A$7:$A$306,C178,'方案版本'!$B$7:$B$306,B178,'方案版本'!$L$7:$L$306,"已冻结")&lt;&gt;1,"方案引用无效",IF(OR(NOT(ISNUMBER(D178)),NOT(ISNUMBER(E178)),F178="",I178="",M178="",Q178=""),"待补预测信息",IF(D178&gt;E178,"非事前到期登记",IF(OR(AND(G178&lt;&gt;"",OR(NOT(ISNUMBER(G178)),G178&lt;0,G178&gt;1)),AND(H178&lt;&gt;"",OR(NOT(ISNUMBER(H178)),H178&lt;0,H178&gt;1))),"概率无效",IF(AND(I178="已判定",OR(NOT(ISNUMBER(J178)),AND(J178&lt;&gt;0,J178&lt;&gt;1),NOT(ISNUMBER(K178)),L178="")),"待补判定证据",IF(AND(I178="已判定",D178&gt;K178),"事后补录不评分","有效输入")))))))))</x:f>
      </x:c>
    </x:row>
    <x:row r="179" ht="25" customHeight="1">
      <x:c r="A179" s="3"/>
      <x:c r="B179" s="3"/>
      <x:c r="C179" s="3"/>
      <x:c r="D179" s="25"/>
      <x:c r="E179" s="25"/>
      <x:c r="F179" s="3"/>
      <x:c r="G179" s="26"/>
      <x:c r="H179" s="26"/>
      <x:c r="I179" s="3"/>
      <x:c r="J179" s="22"/>
      <x:c r="K179" s="25"/>
      <x:c r="L179" s="3"/>
      <x:c r="M179" s="3"/>
      <x:c r="N179" s="24" t="str">
        <x:f>IF(AND(R179="有效输入",I179="已判定",M179="是",ISNUMBER(G179)),(G179-J179)^2,"")</x:f>
      </x:c>
      <x:c r="O179" s="24" t="str">
        <x:f>IF(AND(ISNUMBER(N179),ISNUMBER(H179)),(H179-J179)^2,"")</x:f>
      </x:c>
      <x:c r="P179" s="24" t="str">
        <x:f>IF(AND(ISNUMBER(N179),ISNUMBER(O179)),O179-N179,"")</x:f>
      </x:c>
      <x:c r="Q179" s="3"/>
      <x:c r="R179" s="19" t="str">
        <x:f>IF(A179="","",IF(COUNTIFS('预测登记'!$A$7:$A$306,A179)&lt;&gt;1,"编号重复",IF(COUNTIFS('问题总览'!$A$7:$A$306,B179)&lt;&gt;1,"问题引用无效",IF(COUNTIFS('方案版本'!$A$7:$A$306,C179,'方案版本'!$B$7:$B$306,B179,'方案版本'!$L$7:$L$306,"已冻结")&lt;&gt;1,"方案引用无效",IF(OR(NOT(ISNUMBER(D179)),NOT(ISNUMBER(E179)),F179="",I179="",M179="",Q179=""),"待补预测信息",IF(D179&gt;E179,"非事前到期登记",IF(OR(AND(G179&lt;&gt;"",OR(NOT(ISNUMBER(G179)),G179&lt;0,G179&gt;1)),AND(H179&lt;&gt;"",OR(NOT(ISNUMBER(H179)),H179&lt;0,H179&gt;1))),"概率无效",IF(AND(I179="已判定",OR(NOT(ISNUMBER(J179)),AND(J179&lt;&gt;0,J179&lt;&gt;1),NOT(ISNUMBER(K179)),L179="")),"待补判定证据",IF(AND(I179="已判定",D179&gt;K179),"事后补录不评分","有效输入")))))))))</x:f>
      </x:c>
    </x:row>
    <x:row r="180" ht="25" customHeight="1">
      <x:c r="A180" s="3"/>
      <x:c r="B180" s="3"/>
      <x:c r="C180" s="3"/>
      <x:c r="D180" s="25"/>
      <x:c r="E180" s="25"/>
      <x:c r="F180" s="3"/>
      <x:c r="G180" s="26"/>
      <x:c r="H180" s="26"/>
      <x:c r="I180" s="3"/>
      <x:c r="J180" s="22"/>
      <x:c r="K180" s="25"/>
      <x:c r="L180" s="3"/>
      <x:c r="M180" s="3"/>
      <x:c r="N180" s="24" t="str">
        <x:f>IF(AND(R180="有效输入",I180="已判定",M180="是",ISNUMBER(G180)),(G180-J180)^2,"")</x:f>
      </x:c>
      <x:c r="O180" s="24" t="str">
        <x:f>IF(AND(ISNUMBER(N180),ISNUMBER(H180)),(H180-J180)^2,"")</x:f>
      </x:c>
      <x:c r="P180" s="24" t="str">
        <x:f>IF(AND(ISNUMBER(N180),ISNUMBER(O180)),O180-N180,"")</x:f>
      </x:c>
      <x:c r="Q180" s="3"/>
      <x:c r="R180" s="19" t="str">
        <x:f>IF(A180="","",IF(COUNTIFS('预测登记'!$A$7:$A$306,A180)&lt;&gt;1,"编号重复",IF(COUNTIFS('问题总览'!$A$7:$A$306,B180)&lt;&gt;1,"问题引用无效",IF(COUNTIFS('方案版本'!$A$7:$A$306,C180,'方案版本'!$B$7:$B$306,B180,'方案版本'!$L$7:$L$306,"已冻结")&lt;&gt;1,"方案引用无效",IF(OR(NOT(ISNUMBER(D180)),NOT(ISNUMBER(E180)),F180="",I180="",M180="",Q180=""),"待补预测信息",IF(D180&gt;E180,"非事前到期登记",IF(OR(AND(G180&lt;&gt;"",OR(NOT(ISNUMBER(G180)),G180&lt;0,G180&gt;1)),AND(H180&lt;&gt;"",OR(NOT(ISNUMBER(H180)),H180&lt;0,H180&gt;1))),"概率无效",IF(AND(I180="已判定",OR(NOT(ISNUMBER(J180)),AND(J180&lt;&gt;0,J180&lt;&gt;1),NOT(ISNUMBER(K180)),L180="")),"待补判定证据",IF(AND(I180="已判定",D180&gt;K180),"事后补录不评分","有效输入")))))))))</x:f>
      </x:c>
    </x:row>
    <x:row r="181" ht="25" customHeight="1">
      <x:c r="A181" s="3"/>
      <x:c r="B181" s="3"/>
      <x:c r="C181" s="3"/>
      <x:c r="D181" s="25"/>
      <x:c r="E181" s="25"/>
      <x:c r="F181" s="3"/>
      <x:c r="G181" s="26"/>
      <x:c r="H181" s="26"/>
      <x:c r="I181" s="3"/>
      <x:c r="J181" s="22"/>
      <x:c r="K181" s="25"/>
      <x:c r="L181" s="3"/>
      <x:c r="M181" s="3"/>
      <x:c r="N181" s="24" t="str">
        <x:f>IF(AND(R181="有效输入",I181="已判定",M181="是",ISNUMBER(G181)),(G181-J181)^2,"")</x:f>
      </x:c>
      <x:c r="O181" s="24" t="str">
        <x:f>IF(AND(ISNUMBER(N181),ISNUMBER(H181)),(H181-J181)^2,"")</x:f>
      </x:c>
      <x:c r="P181" s="24" t="str">
        <x:f>IF(AND(ISNUMBER(N181),ISNUMBER(O181)),O181-N181,"")</x:f>
      </x:c>
      <x:c r="Q181" s="3"/>
      <x:c r="R181" s="19" t="str">
        <x:f>IF(A181="","",IF(COUNTIFS('预测登记'!$A$7:$A$306,A181)&lt;&gt;1,"编号重复",IF(COUNTIFS('问题总览'!$A$7:$A$306,B181)&lt;&gt;1,"问题引用无效",IF(COUNTIFS('方案版本'!$A$7:$A$306,C181,'方案版本'!$B$7:$B$306,B181,'方案版本'!$L$7:$L$306,"已冻结")&lt;&gt;1,"方案引用无效",IF(OR(NOT(ISNUMBER(D181)),NOT(ISNUMBER(E181)),F181="",I181="",M181="",Q181=""),"待补预测信息",IF(D181&gt;E181,"非事前到期登记",IF(OR(AND(G181&lt;&gt;"",OR(NOT(ISNUMBER(G181)),G181&lt;0,G181&gt;1)),AND(H181&lt;&gt;"",OR(NOT(ISNUMBER(H181)),H181&lt;0,H181&gt;1))),"概率无效",IF(AND(I181="已判定",OR(NOT(ISNUMBER(J181)),AND(J181&lt;&gt;0,J181&lt;&gt;1),NOT(ISNUMBER(K181)),L181="")),"待补判定证据",IF(AND(I181="已判定",D181&gt;K181),"事后补录不评分","有效输入")))))))))</x:f>
      </x:c>
    </x:row>
    <x:row r="182" ht="25" customHeight="1">
      <x:c r="A182" s="3"/>
      <x:c r="B182" s="3"/>
      <x:c r="C182" s="3"/>
      <x:c r="D182" s="25"/>
      <x:c r="E182" s="25"/>
      <x:c r="F182" s="3"/>
      <x:c r="G182" s="26"/>
      <x:c r="H182" s="26"/>
      <x:c r="I182" s="3"/>
      <x:c r="J182" s="22"/>
      <x:c r="K182" s="25"/>
      <x:c r="L182" s="3"/>
      <x:c r="M182" s="3"/>
      <x:c r="N182" s="24" t="str">
        <x:f>IF(AND(R182="有效输入",I182="已判定",M182="是",ISNUMBER(G182)),(G182-J182)^2,"")</x:f>
      </x:c>
      <x:c r="O182" s="24" t="str">
        <x:f>IF(AND(ISNUMBER(N182),ISNUMBER(H182)),(H182-J182)^2,"")</x:f>
      </x:c>
      <x:c r="P182" s="24" t="str">
        <x:f>IF(AND(ISNUMBER(N182),ISNUMBER(O182)),O182-N182,"")</x:f>
      </x:c>
      <x:c r="Q182" s="3"/>
      <x:c r="R182" s="19" t="str">
        <x:f>IF(A182="","",IF(COUNTIFS('预测登记'!$A$7:$A$306,A182)&lt;&gt;1,"编号重复",IF(COUNTIFS('问题总览'!$A$7:$A$306,B182)&lt;&gt;1,"问题引用无效",IF(COUNTIFS('方案版本'!$A$7:$A$306,C182,'方案版本'!$B$7:$B$306,B182,'方案版本'!$L$7:$L$306,"已冻结")&lt;&gt;1,"方案引用无效",IF(OR(NOT(ISNUMBER(D182)),NOT(ISNUMBER(E182)),F182="",I182="",M182="",Q182=""),"待补预测信息",IF(D182&gt;E182,"非事前到期登记",IF(OR(AND(G182&lt;&gt;"",OR(NOT(ISNUMBER(G182)),G182&lt;0,G182&gt;1)),AND(H182&lt;&gt;"",OR(NOT(ISNUMBER(H182)),H182&lt;0,H182&gt;1))),"概率无效",IF(AND(I182="已判定",OR(NOT(ISNUMBER(J182)),AND(J182&lt;&gt;0,J182&lt;&gt;1),NOT(ISNUMBER(K182)),L182="")),"待补判定证据",IF(AND(I182="已判定",D182&gt;K182),"事后补录不评分","有效输入")))))))))</x:f>
      </x:c>
    </x:row>
    <x:row r="183" ht="25" customHeight="1">
      <x:c r="A183" s="3"/>
      <x:c r="B183" s="3"/>
      <x:c r="C183" s="3"/>
      <x:c r="D183" s="25"/>
      <x:c r="E183" s="25"/>
      <x:c r="F183" s="3"/>
      <x:c r="G183" s="26"/>
      <x:c r="H183" s="26"/>
      <x:c r="I183" s="3"/>
      <x:c r="J183" s="22"/>
      <x:c r="K183" s="25"/>
      <x:c r="L183" s="3"/>
      <x:c r="M183" s="3"/>
      <x:c r="N183" s="24" t="str">
        <x:f>IF(AND(R183="有效输入",I183="已判定",M183="是",ISNUMBER(G183)),(G183-J183)^2,"")</x:f>
      </x:c>
      <x:c r="O183" s="24" t="str">
        <x:f>IF(AND(ISNUMBER(N183),ISNUMBER(H183)),(H183-J183)^2,"")</x:f>
      </x:c>
      <x:c r="P183" s="24" t="str">
        <x:f>IF(AND(ISNUMBER(N183),ISNUMBER(O183)),O183-N183,"")</x:f>
      </x:c>
      <x:c r="Q183" s="3"/>
      <x:c r="R183" s="19" t="str">
        <x:f>IF(A183="","",IF(COUNTIFS('预测登记'!$A$7:$A$306,A183)&lt;&gt;1,"编号重复",IF(COUNTIFS('问题总览'!$A$7:$A$306,B183)&lt;&gt;1,"问题引用无效",IF(COUNTIFS('方案版本'!$A$7:$A$306,C183,'方案版本'!$B$7:$B$306,B183,'方案版本'!$L$7:$L$306,"已冻结")&lt;&gt;1,"方案引用无效",IF(OR(NOT(ISNUMBER(D183)),NOT(ISNUMBER(E183)),F183="",I183="",M183="",Q183=""),"待补预测信息",IF(D183&gt;E183,"非事前到期登记",IF(OR(AND(G183&lt;&gt;"",OR(NOT(ISNUMBER(G183)),G183&lt;0,G183&gt;1)),AND(H183&lt;&gt;"",OR(NOT(ISNUMBER(H183)),H183&lt;0,H183&gt;1))),"概率无效",IF(AND(I183="已判定",OR(NOT(ISNUMBER(J183)),AND(J183&lt;&gt;0,J183&lt;&gt;1),NOT(ISNUMBER(K183)),L183="")),"待补判定证据",IF(AND(I183="已判定",D183&gt;K183),"事后补录不评分","有效输入")))))))))</x:f>
      </x:c>
    </x:row>
    <x:row r="184" ht="25" customHeight="1">
      <x:c r="A184" s="3"/>
      <x:c r="B184" s="3"/>
      <x:c r="C184" s="3"/>
      <x:c r="D184" s="25"/>
      <x:c r="E184" s="25"/>
      <x:c r="F184" s="3"/>
      <x:c r="G184" s="26"/>
      <x:c r="H184" s="26"/>
      <x:c r="I184" s="3"/>
      <x:c r="J184" s="22"/>
      <x:c r="K184" s="25"/>
      <x:c r="L184" s="3"/>
      <x:c r="M184" s="3"/>
      <x:c r="N184" s="24" t="str">
        <x:f>IF(AND(R184="有效输入",I184="已判定",M184="是",ISNUMBER(G184)),(G184-J184)^2,"")</x:f>
      </x:c>
      <x:c r="O184" s="24" t="str">
        <x:f>IF(AND(ISNUMBER(N184),ISNUMBER(H184)),(H184-J184)^2,"")</x:f>
      </x:c>
      <x:c r="P184" s="24" t="str">
        <x:f>IF(AND(ISNUMBER(N184),ISNUMBER(O184)),O184-N184,"")</x:f>
      </x:c>
      <x:c r="Q184" s="3"/>
      <x:c r="R184" s="19" t="str">
        <x:f>IF(A184="","",IF(COUNTIFS('预测登记'!$A$7:$A$306,A184)&lt;&gt;1,"编号重复",IF(COUNTIFS('问题总览'!$A$7:$A$306,B184)&lt;&gt;1,"问题引用无效",IF(COUNTIFS('方案版本'!$A$7:$A$306,C184,'方案版本'!$B$7:$B$306,B184,'方案版本'!$L$7:$L$306,"已冻结")&lt;&gt;1,"方案引用无效",IF(OR(NOT(ISNUMBER(D184)),NOT(ISNUMBER(E184)),F184="",I184="",M184="",Q184=""),"待补预测信息",IF(D184&gt;E184,"非事前到期登记",IF(OR(AND(G184&lt;&gt;"",OR(NOT(ISNUMBER(G184)),G184&lt;0,G184&gt;1)),AND(H184&lt;&gt;"",OR(NOT(ISNUMBER(H184)),H184&lt;0,H184&gt;1))),"概率无效",IF(AND(I184="已判定",OR(NOT(ISNUMBER(J184)),AND(J184&lt;&gt;0,J184&lt;&gt;1),NOT(ISNUMBER(K184)),L184="")),"待补判定证据",IF(AND(I184="已判定",D184&gt;K184),"事后补录不评分","有效输入")))))))))</x:f>
      </x:c>
    </x:row>
    <x:row r="185" ht="25" customHeight="1">
      <x:c r="A185" s="3"/>
      <x:c r="B185" s="3"/>
      <x:c r="C185" s="3"/>
      <x:c r="D185" s="25"/>
      <x:c r="E185" s="25"/>
      <x:c r="F185" s="3"/>
      <x:c r="G185" s="26"/>
      <x:c r="H185" s="26"/>
      <x:c r="I185" s="3"/>
      <x:c r="J185" s="22"/>
      <x:c r="K185" s="25"/>
      <x:c r="L185" s="3"/>
      <x:c r="M185" s="3"/>
      <x:c r="N185" s="24" t="str">
        <x:f>IF(AND(R185="有效输入",I185="已判定",M185="是",ISNUMBER(G185)),(G185-J185)^2,"")</x:f>
      </x:c>
      <x:c r="O185" s="24" t="str">
        <x:f>IF(AND(ISNUMBER(N185),ISNUMBER(H185)),(H185-J185)^2,"")</x:f>
      </x:c>
      <x:c r="P185" s="24" t="str">
        <x:f>IF(AND(ISNUMBER(N185),ISNUMBER(O185)),O185-N185,"")</x:f>
      </x:c>
      <x:c r="Q185" s="3"/>
      <x:c r="R185" s="19" t="str">
        <x:f>IF(A185="","",IF(COUNTIFS('预测登记'!$A$7:$A$306,A185)&lt;&gt;1,"编号重复",IF(COUNTIFS('问题总览'!$A$7:$A$306,B185)&lt;&gt;1,"问题引用无效",IF(COUNTIFS('方案版本'!$A$7:$A$306,C185,'方案版本'!$B$7:$B$306,B185,'方案版本'!$L$7:$L$306,"已冻结")&lt;&gt;1,"方案引用无效",IF(OR(NOT(ISNUMBER(D185)),NOT(ISNUMBER(E185)),F185="",I185="",M185="",Q185=""),"待补预测信息",IF(D185&gt;E185,"非事前到期登记",IF(OR(AND(G185&lt;&gt;"",OR(NOT(ISNUMBER(G185)),G185&lt;0,G185&gt;1)),AND(H185&lt;&gt;"",OR(NOT(ISNUMBER(H185)),H185&lt;0,H185&gt;1))),"概率无效",IF(AND(I185="已判定",OR(NOT(ISNUMBER(J185)),AND(J185&lt;&gt;0,J185&lt;&gt;1),NOT(ISNUMBER(K185)),L185="")),"待补判定证据",IF(AND(I185="已判定",D185&gt;K185),"事后补录不评分","有效输入")))))))))</x:f>
      </x:c>
    </x:row>
    <x:row r="186" ht="25" customHeight="1">
      <x:c r="A186" s="3"/>
      <x:c r="B186" s="3"/>
      <x:c r="C186" s="3"/>
      <x:c r="D186" s="25"/>
      <x:c r="E186" s="25"/>
      <x:c r="F186" s="3"/>
      <x:c r="G186" s="26"/>
      <x:c r="H186" s="26"/>
      <x:c r="I186" s="3"/>
      <x:c r="J186" s="22"/>
      <x:c r="K186" s="25"/>
      <x:c r="L186" s="3"/>
      <x:c r="M186" s="3"/>
      <x:c r="N186" s="24" t="str">
        <x:f>IF(AND(R186="有效输入",I186="已判定",M186="是",ISNUMBER(G186)),(G186-J186)^2,"")</x:f>
      </x:c>
      <x:c r="O186" s="24" t="str">
        <x:f>IF(AND(ISNUMBER(N186),ISNUMBER(H186)),(H186-J186)^2,"")</x:f>
      </x:c>
      <x:c r="P186" s="24" t="str">
        <x:f>IF(AND(ISNUMBER(N186),ISNUMBER(O186)),O186-N186,"")</x:f>
      </x:c>
      <x:c r="Q186" s="3"/>
      <x:c r="R186" s="19" t="str">
        <x:f>IF(A186="","",IF(COUNTIFS('预测登记'!$A$7:$A$306,A186)&lt;&gt;1,"编号重复",IF(COUNTIFS('问题总览'!$A$7:$A$306,B186)&lt;&gt;1,"问题引用无效",IF(COUNTIFS('方案版本'!$A$7:$A$306,C186,'方案版本'!$B$7:$B$306,B186,'方案版本'!$L$7:$L$306,"已冻结")&lt;&gt;1,"方案引用无效",IF(OR(NOT(ISNUMBER(D186)),NOT(ISNUMBER(E186)),F186="",I186="",M186="",Q186=""),"待补预测信息",IF(D186&gt;E186,"非事前到期登记",IF(OR(AND(G186&lt;&gt;"",OR(NOT(ISNUMBER(G186)),G186&lt;0,G186&gt;1)),AND(H186&lt;&gt;"",OR(NOT(ISNUMBER(H186)),H186&lt;0,H186&gt;1))),"概率无效",IF(AND(I186="已判定",OR(NOT(ISNUMBER(J186)),AND(J186&lt;&gt;0,J186&lt;&gt;1),NOT(ISNUMBER(K186)),L186="")),"待补判定证据",IF(AND(I186="已判定",D186&gt;K186),"事后补录不评分","有效输入")))))))))</x:f>
      </x:c>
    </x:row>
    <x:row r="187" ht="25" customHeight="1">
      <x:c r="A187" s="3"/>
      <x:c r="B187" s="3"/>
      <x:c r="C187" s="3"/>
      <x:c r="D187" s="25"/>
      <x:c r="E187" s="25"/>
      <x:c r="F187" s="3"/>
      <x:c r="G187" s="26"/>
      <x:c r="H187" s="26"/>
      <x:c r="I187" s="3"/>
      <x:c r="J187" s="22"/>
      <x:c r="K187" s="25"/>
      <x:c r="L187" s="3"/>
      <x:c r="M187" s="3"/>
      <x:c r="N187" s="24" t="str">
        <x:f>IF(AND(R187="有效输入",I187="已判定",M187="是",ISNUMBER(G187)),(G187-J187)^2,"")</x:f>
      </x:c>
      <x:c r="O187" s="24" t="str">
        <x:f>IF(AND(ISNUMBER(N187),ISNUMBER(H187)),(H187-J187)^2,"")</x:f>
      </x:c>
      <x:c r="P187" s="24" t="str">
        <x:f>IF(AND(ISNUMBER(N187),ISNUMBER(O187)),O187-N187,"")</x:f>
      </x:c>
      <x:c r="Q187" s="3"/>
      <x:c r="R187" s="19" t="str">
        <x:f>IF(A187="","",IF(COUNTIFS('预测登记'!$A$7:$A$306,A187)&lt;&gt;1,"编号重复",IF(COUNTIFS('问题总览'!$A$7:$A$306,B187)&lt;&gt;1,"问题引用无效",IF(COUNTIFS('方案版本'!$A$7:$A$306,C187,'方案版本'!$B$7:$B$306,B187,'方案版本'!$L$7:$L$306,"已冻结")&lt;&gt;1,"方案引用无效",IF(OR(NOT(ISNUMBER(D187)),NOT(ISNUMBER(E187)),F187="",I187="",M187="",Q187=""),"待补预测信息",IF(D187&gt;E187,"非事前到期登记",IF(OR(AND(G187&lt;&gt;"",OR(NOT(ISNUMBER(G187)),G187&lt;0,G187&gt;1)),AND(H187&lt;&gt;"",OR(NOT(ISNUMBER(H187)),H187&lt;0,H187&gt;1))),"概率无效",IF(AND(I187="已判定",OR(NOT(ISNUMBER(J187)),AND(J187&lt;&gt;0,J187&lt;&gt;1),NOT(ISNUMBER(K187)),L187="")),"待补判定证据",IF(AND(I187="已判定",D187&gt;K187),"事后补录不评分","有效输入")))))))))</x:f>
      </x:c>
    </x:row>
    <x:row r="188" ht="25" customHeight="1">
      <x:c r="A188" s="3"/>
      <x:c r="B188" s="3"/>
      <x:c r="C188" s="3"/>
      <x:c r="D188" s="25"/>
      <x:c r="E188" s="25"/>
      <x:c r="F188" s="3"/>
      <x:c r="G188" s="26"/>
      <x:c r="H188" s="26"/>
      <x:c r="I188" s="3"/>
      <x:c r="J188" s="22"/>
      <x:c r="K188" s="25"/>
      <x:c r="L188" s="3"/>
      <x:c r="M188" s="3"/>
      <x:c r="N188" s="24" t="str">
        <x:f>IF(AND(R188="有效输入",I188="已判定",M188="是",ISNUMBER(G188)),(G188-J188)^2,"")</x:f>
      </x:c>
      <x:c r="O188" s="24" t="str">
        <x:f>IF(AND(ISNUMBER(N188),ISNUMBER(H188)),(H188-J188)^2,"")</x:f>
      </x:c>
      <x:c r="P188" s="24" t="str">
        <x:f>IF(AND(ISNUMBER(N188),ISNUMBER(O188)),O188-N188,"")</x:f>
      </x:c>
      <x:c r="Q188" s="3"/>
      <x:c r="R188" s="19" t="str">
        <x:f>IF(A188="","",IF(COUNTIFS('预测登记'!$A$7:$A$306,A188)&lt;&gt;1,"编号重复",IF(COUNTIFS('问题总览'!$A$7:$A$306,B188)&lt;&gt;1,"问题引用无效",IF(COUNTIFS('方案版本'!$A$7:$A$306,C188,'方案版本'!$B$7:$B$306,B188,'方案版本'!$L$7:$L$306,"已冻结")&lt;&gt;1,"方案引用无效",IF(OR(NOT(ISNUMBER(D188)),NOT(ISNUMBER(E188)),F188="",I188="",M188="",Q188=""),"待补预测信息",IF(D188&gt;E188,"非事前到期登记",IF(OR(AND(G188&lt;&gt;"",OR(NOT(ISNUMBER(G188)),G188&lt;0,G188&gt;1)),AND(H188&lt;&gt;"",OR(NOT(ISNUMBER(H188)),H188&lt;0,H188&gt;1))),"概率无效",IF(AND(I188="已判定",OR(NOT(ISNUMBER(J188)),AND(J188&lt;&gt;0,J188&lt;&gt;1),NOT(ISNUMBER(K188)),L188="")),"待补判定证据",IF(AND(I188="已判定",D188&gt;K188),"事后补录不评分","有效输入")))))))))</x:f>
      </x:c>
    </x:row>
    <x:row r="189" ht="25" customHeight="1">
      <x:c r="A189" s="3"/>
      <x:c r="B189" s="3"/>
      <x:c r="C189" s="3"/>
      <x:c r="D189" s="25"/>
      <x:c r="E189" s="25"/>
      <x:c r="F189" s="3"/>
      <x:c r="G189" s="26"/>
      <x:c r="H189" s="26"/>
      <x:c r="I189" s="3"/>
      <x:c r="J189" s="22"/>
      <x:c r="K189" s="25"/>
      <x:c r="L189" s="3"/>
      <x:c r="M189" s="3"/>
      <x:c r="N189" s="24" t="str">
        <x:f>IF(AND(R189="有效输入",I189="已判定",M189="是",ISNUMBER(G189)),(G189-J189)^2,"")</x:f>
      </x:c>
      <x:c r="O189" s="24" t="str">
        <x:f>IF(AND(ISNUMBER(N189),ISNUMBER(H189)),(H189-J189)^2,"")</x:f>
      </x:c>
      <x:c r="P189" s="24" t="str">
        <x:f>IF(AND(ISNUMBER(N189),ISNUMBER(O189)),O189-N189,"")</x:f>
      </x:c>
      <x:c r="Q189" s="3"/>
      <x:c r="R189" s="19" t="str">
        <x:f>IF(A189="","",IF(COUNTIFS('预测登记'!$A$7:$A$306,A189)&lt;&gt;1,"编号重复",IF(COUNTIFS('问题总览'!$A$7:$A$306,B189)&lt;&gt;1,"问题引用无效",IF(COUNTIFS('方案版本'!$A$7:$A$306,C189,'方案版本'!$B$7:$B$306,B189,'方案版本'!$L$7:$L$306,"已冻结")&lt;&gt;1,"方案引用无效",IF(OR(NOT(ISNUMBER(D189)),NOT(ISNUMBER(E189)),F189="",I189="",M189="",Q189=""),"待补预测信息",IF(D189&gt;E189,"非事前到期登记",IF(OR(AND(G189&lt;&gt;"",OR(NOT(ISNUMBER(G189)),G189&lt;0,G189&gt;1)),AND(H189&lt;&gt;"",OR(NOT(ISNUMBER(H189)),H189&lt;0,H189&gt;1))),"概率无效",IF(AND(I189="已判定",OR(NOT(ISNUMBER(J189)),AND(J189&lt;&gt;0,J189&lt;&gt;1),NOT(ISNUMBER(K189)),L189="")),"待补判定证据",IF(AND(I189="已判定",D189&gt;K189),"事后补录不评分","有效输入")))))))))</x:f>
      </x:c>
    </x:row>
    <x:row r="190" ht="25" customHeight="1">
      <x:c r="A190" s="3"/>
      <x:c r="B190" s="3"/>
      <x:c r="C190" s="3"/>
      <x:c r="D190" s="25"/>
      <x:c r="E190" s="25"/>
      <x:c r="F190" s="3"/>
      <x:c r="G190" s="26"/>
      <x:c r="H190" s="26"/>
      <x:c r="I190" s="3"/>
      <x:c r="J190" s="22"/>
      <x:c r="K190" s="25"/>
      <x:c r="L190" s="3"/>
      <x:c r="M190" s="3"/>
      <x:c r="N190" s="24" t="str">
        <x:f>IF(AND(R190="有效输入",I190="已判定",M190="是",ISNUMBER(G190)),(G190-J190)^2,"")</x:f>
      </x:c>
      <x:c r="O190" s="24" t="str">
        <x:f>IF(AND(ISNUMBER(N190),ISNUMBER(H190)),(H190-J190)^2,"")</x:f>
      </x:c>
      <x:c r="P190" s="24" t="str">
        <x:f>IF(AND(ISNUMBER(N190),ISNUMBER(O190)),O190-N190,"")</x:f>
      </x:c>
      <x:c r="Q190" s="3"/>
      <x:c r="R190" s="19" t="str">
        <x:f>IF(A190="","",IF(COUNTIFS('预测登记'!$A$7:$A$306,A190)&lt;&gt;1,"编号重复",IF(COUNTIFS('问题总览'!$A$7:$A$306,B190)&lt;&gt;1,"问题引用无效",IF(COUNTIFS('方案版本'!$A$7:$A$306,C190,'方案版本'!$B$7:$B$306,B190,'方案版本'!$L$7:$L$306,"已冻结")&lt;&gt;1,"方案引用无效",IF(OR(NOT(ISNUMBER(D190)),NOT(ISNUMBER(E190)),F190="",I190="",M190="",Q190=""),"待补预测信息",IF(D190&gt;E190,"非事前到期登记",IF(OR(AND(G190&lt;&gt;"",OR(NOT(ISNUMBER(G190)),G190&lt;0,G190&gt;1)),AND(H190&lt;&gt;"",OR(NOT(ISNUMBER(H190)),H190&lt;0,H190&gt;1))),"概率无效",IF(AND(I190="已判定",OR(NOT(ISNUMBER(J190)),AND(J190&lt;&gt;0,J190&lt;&gt;1),NOT(ISNUMBER(K190)),L190="")),"待补判定证据",IF(AND(I190="已判定",D190&gt;K190),"事后补录不评分","有效输入")))))))))</x:f>
      </x:c>
    </x:row>
    <x:row r="191" ht="25" customHeight="1">
      <x:c r="A191" s="3"/>
      <x:c r="B191" s="3"/>
      <x:c r="C191" s="3"/>
      <x:c r="D191" s="25"/>
      <x:c r="E191" s="25"/>
      <x:c r="F191" s="3"/>
      <x:c r="G191" s="26"/>
      <x:c r="H191" s="26"/>
      <x:c r="I191" s="3"/>
      <x:c r="J191" s="22"/>
      <x:c r="K191" s="25"/>
      <x:c r="L191" s="3"/>
      <x:c r="M191" s="3"/>
      <x:c r="N191" s="24" t="str">
        <x:f>IF(AND(R191="有效输入",I191="已判定",M191="是",ISNUMBER(G191)),(G191-J191)^2,"")</x:f>
      </x:c>
      <x:c r="O191" s="24" t="str">
        <x:f>IF(AND(ISNUMBER(N191),ISNUMBER(H191)),(H191-J191)^2,"")</x:f>
      </x:c>
      <x:c r="P191" s="24" t="str">
        <x:f>IF(AND(ISNUMBER(N191),ISNUMBER(O191)),O191-N191,"")</x:f>
      </x:c>
      <x:c r="Q191" s="3"/>
      <x:c r="R191" s="19" t="str">
        <x:f>IF(A191="","",IF(COUNTIFS('预测登记'!$A$7:$A$306,A191)&lt;&gt;1,"编号重复",IF(COUNTIFS('问题总览'!$A$7:$A$306,B191)&lt;&gt;1,"问题引用无效",IF(COUNTIFS('方案版本'!$A$7:$A$306,C191,'方案版本'!$B$7:$B$306,B191,'方案版本'!$L$7:$L$306,"已冻结")&lt;&gt;1,"方案引用无效",IF(OR(NOT(ISNUMBER(D191)),NOT(ISNUMBER(E191)),F191="",I191="",M191="",Q191=""),"待补预测信息",IF(D191&gt;E191,"非事前到期登记",IF(OR(AND(G191&lt;&gt;"",OR(NOT(ISNUMBER(G191)),G191&lt;0,G191&gt;1)),AND(H191&lt;&gt;"",OR(NOT(ISNUMBER(H191)),H191&lt;0,H191&gt;1))),"概率无效",IF(AND(I191="已判定",OR(NOT(ISNUMBER(J191)),AND(J191&lt;&gt;0,J191&lt;&gt;1),NOT(ISNUMBER(K191)),L191="")),"待补判定证据",IF(AND(I191="已判定",D191&gt;K191),"事后补录不评分","有效输入")))))))))</x:f>
      </x:c>
    </x:row>
    <x:row r="192" ht="25" customHeight="1">
      <x:c r="A192" s="3"/>
      <x:c r="B192" s="3"/>
      <x:c r="C192" s="3"/>
      <x:c r="D192" s="25"/>
      <x:c r="E192" s="25"/>
      <x:c r="F192" s="3"/>
      <x:c r="G192" s="26"/>
      <x:c r="H192" s="26"/>
      <x:c r="I192" s="3"/>
      <x:c r="J192" s="22"/>
      <x:c r="K192" s="25"/>
      <x:c r="L192" s="3"/>
      <x:c r="M192" s="3"/>
      <x:c r="N192" s="24" t="str">
        <x:f>IF(AND(R192="有效输入",I192="已判定",M192="是",ISNUMBER(G192)),(G192-J192)^2,"")</x:f>
      </x:c>
      <x:c r="O192" s="24" t="str">
        <x:f>IF(AND(ISNUMBER(N192),ISNUMBER(H192)),(H192-J192)^2,"")</x:f>
      </x:c>
      <x:c r="P192" s="24" t="str">
        <x:f>IF(AND(ISNUMBER(N192),ISNUMBER(O192)),O192-N192,"")</x:f>
      </x:c>
      <x:c r="Q192" s="3"/>
      <x:c r="R192" s="19" t="str">
        <x:f>IF(A192="","",IF(COUNTIFS('预测登记'!$A$7:$A$306,A192)&lt;&gt;1,"编号重复",IF(COUNTIFS('问题总览'!$A$7:$A$306,B192)&lt;&gt;1,"问题引用无效",IF(COUNTIFS('方案版本'!$A$7:$A$306,C192,'方案版本'!$B$7:$B$306,B192,'方案版本'!$L$7:$L$306,"已冻结")&lt;&gt;1,"方案引用无效",IF(OR(NOT(ISNUMBER(D192)),NOT(ISNUMBER(E192)),F192="",I192="",M192="",Q192=""),"待补预测信息",IF(D192&gt;E192,"非事前到期登记",IF(OR(AND(G192&lt;&gt;"",OR(NOT(ISNUMBER(G192)),G192&lt;0,G192&gt;1)),AND(H192&lt;&gt;"",OR(NOT(ISNUMBER(H192)),H192&lt;0,H192&gt;1))),"概率无效",IF(AND(I192="已判定",OR(NOT(ISNUMBER(J192)),AND(J192&lt;&gt;0,J192&lt;&gt;1),NOT(ISNUMBER(K192)),L192="")),"待补判定证据",IF(AND(I192="已判定",D192&gt;K192),"事后补录不评分","有效输入")))))))))</x:f>
      </x:c>
    </x:row>
    <x:row r="193" ht="25" customHeight="1">
      <x:c r="A193" s="3"/>
      <x:c r="B193" s="3"/>
      <x:c r="C193" s="3"/>
      <x:c r="D193" s="25"/>
      <x:c r="E193" s="25"/>
      <x:c r="F193" s="3"/>
      <x:c r="G193" s="26"/>
      <x:c r="H193" s="26"/>
      <x:c r="I193" s="3"/>
      <x:c r="J193" s="22"/>
      <x:c r="K193" s="25"/>
      <x:c r="L193" s="3"/>
      <x:c r="M193" s="3"/>
      <x:c r="N193" s="24" t="str">
        <x:f>IF(AND(R193="有效输入",I193="已判定",M193="是",ISNUMBER(G193)),(G193-J193)^2,"")</x:f>
      </x:c>
      <x:c r="O193" s="24" t="str">
        <x:f>IF(AND(ISNUMBER(N193),ISNUMBER(H193)),(H193-J193)^2,"")</x:f>
      </x:c>
      <x:c r="P193" s="24" t="str">
        <x:f>IF(AND(ISNUMBER(N193),ISNUMBER(O193)),O193-N193,"")</x:f>
      </x:c>
      <x:c r="Q193" s="3"/>
      <x:c r="R193" s="19" t="str">
        <x:f>IF(A193="","",IF(COUNTIFS('预测登记'!$A$7:$A$306,A193)&lt;&gt;1,"编号重复",IF(COUNTIFS('问题总览'!$A$7:$A$306,B193)&lt;&gt;1,"问题引用无效",IF(COUNTIFS('方案版本'!$A$7:$A$306,C193,'方案版本'!$B$7:$B$306,B193,'方案版本'!$L$7:$L$306,"已冻结")&lt;&gt;1,"方案引用无效",IF(OR(NOT(ISNUMBER(D193)),NOT(ISNUMBER(E193)),F193="",I193="",M193="",Q193=""),"待补预测信息",IF(D193&gt;E193,"非事前到期登记",IF(OR(AND(G193&lt;&gt;"",OR(NOT(ISNUMBER(G193)),G193&lt;0,G193&gt;1)),AND(H193&lt;&gt;"",OR(NOT(ISNUMBER(H193)),H193&lt;0,H193&gt;1))),"概率无效",IF(AND(I193="已判定",OR(NOT(ISNUMBER(J193)),AND(J193&lt;&gt;0,J193&lt;&gt;1),NOT(ISNUMBER(K193)),L193="")),"待补判定证据",IF(AND(I193="已判定",D193&gt;K193),"事后补录不评分","有效输入")))))))))</x:f>
      </x:c>
    </x:row>
    <x:row r="194" ht="25" customHeight="1">
      <x:c r="A194" s="3"/>
      <x:c r="B194" s="3"/>
      <x:c r="C194" s="3"/>
      <x:c r="D194" s="25"/>
      <x:c r="E194" s="25"/>
      <x:c r="F194" s="3"/>
      <x:c r="G194" s="26"/>
      <x:c r="H194" s="26"/>
      <x:c r="I194" s="3"/>
      <x:c r="J194" s="22"/>
      <x:c r="K194" s="25"/>
      <x:c r="L194" s="3"/>
      <x:c r="M194" s="3"/>
      <x:c r="N194" s="24" t="str">
        <x:f>IF(AND(R194="有效输入",I194="已判定",M194="是",ISNUMBER(G194)),(G194-J194)^2,"")</x:f>
      </x:c>
      <x:c r="O194" s="24" t="str">
        <x:f>IF(AND(ISNUMBER(N194),ISNUMBER(H194)),(H194-J194)^2,"")</x:f>
      </x:c>
      <x:c r="P194" s="24" t="str">
        <x:f>IF(AND(ISNUMBER(N194),ISNUMBER(O194)),O194-N194,"")</x:f>
      </x:c>
      <x:c r="Q194" s="3"/>
      <x:c r="R194" s="19" t="str">
        <x:f>IF(A194="","",IF(COUNTIFS('预测登记'!$A$7:$A$306,A194)&lt;&gt;1,"编号重复",IF(COUNTIFS('问题总览'!$A$7:$A$306,B194)&lt;&gt;1,"问题引用无效",IF(COUNTIFS('方案版本'!$A$7:$A$306,C194,'方案版本'!$B$7:$B$306,B194,'方案版本'!$L$7:$L$306,"已冻结")&lt;&gt;1,"方案引用无效",IF(OR(NOT(ISNUMBER(D194)),NOT(ISNUMBER(E194)),F194="",I194="",M194="",Q194=""),"待补预测信息",IF(D194&gt;E194,"非事前到期登记",IF(OR(AND(G194&lt;&gt;"",OR(NOT(ISNUMBER(G194)),G194&lt;0,G194&gt;1)),AND(H194&lt;&gt;"",OR(NOT(ISNUMBER(H194)),H194&lt;0,H194&gt;1))),"概率无效",IF(AND(I194="已判定",OR(NOT(ISNUMBER(J194)),AND(J194&lt;&gt;0,J194&lt;&gt;1),NOT(ISNUMBER(K194)),L194="")),"待补判定证据",IF(AND(I194="已判定",D194&gt;K194),"事后补录不评分","有效输入")))))))))</x:f>
      </x:c>
    </x:row>
    <x:row r="195" ht="25" customHeight="1">
      <x:c r="A195" s="3"/>
      <x:c r="B195" s="3"/>
      <x:c r="C195" s="3"/>
      <x:c r="D195" s="25"/>
      <x:c r="E195" s="25"/>
      <x:c r="F195" s="3"/>
      <x:c r="G195" s="26"/>
      <x:c r="H195" s="26"/>
      <x:c r="I195" s="3"/>
      <x:c r="J195" s="22"/>
      <x:c r="K195" s="25"/>
      <x:c r="L195" s="3"/>
      <x:c r="M195" s="3"/>
      <x:c r="N195" s="24" t="str">
        <x:f>IF(AND(R195="有效输入",I195="已判定",M195="是",ISNUMBER(G195)),(G195-J195)^2,"")</x:f>
      </x:c>
      <x:c r="O195" s="24" t="str">
        <x:f>IF(AND(ISNUMBER(N195),ISNUMBER(H195)),(H195-J195)^2,"")</x:f>
      </x:c>
      <x:c r="P195" s="24" t="str">
        <x:f>IF(AND(ISNUMBER(N195),ISNUMBER(O195)),O195-N195,"")</x:f>
      </x:c>
      <x:c r="Q195" s="3"/>
      <x:c r="R195" s="19" t="str">
        <x:f>IF(A195="","",IF(COUNTIFS('预测登记'!$A$7:$A$306,A195)&lt;&gt;1,"编号重复",IF(COUNTIFS('问题总览'!$A$7:$A$306,B195)&lt;&gt;1,"问题引用无效",IF(COUNTIFS('方案版本'!$A$7:$A$306,C195,'方案版本'!$B$7:$B$306,B195,'方案版本'!$L$7:$L$306,"已冻结")&lt;&gt;1,"方案引用无效",IF(OR(NOT(ISNUMBER(D195)),NOT(ISNUMBER(E195)),F195="",I195="",M195="",Q195=""),"待补预测信息",IF(D195&gt;E195,"非事前到期登记",IF(OR(AND(G195&lt;&gt;"",OR(NOT(ISNUMBER(G195)),G195&lt;0,G195&gt;1)),AND(H195&lt;&gt;"",OR(NOT(ISNUMBER(H195)),H195&lt;0,H195&gt;1))),"概率无效",IF(AND(I195="已判定",OR(NOT(ISNUMBER(J195)),AND(J195&lt;&gt;0,J195&lt;&gt;1),NOT(ISNUMBER(K195)),L195="")),"待补判定证据",IF(AND(I195="已判定",D195&gt;K195),"事后补录不评分","有效输入")))))))))</x:f>
      </x:c>
    </x:row>
    <x:row r="196" ht="25" customHeight="1">
      <x:c r="A196" s="3"/>
      <x:c r="B196" s="3"/>
      <x:c r="C196" s="3"/>
      <x:c r="D196" s="25"/>
      <x:c r="E196" s="25"/>
      <x:c r="F196" s="3"/>
      <x:c r="G196" s="26"/>
      <x:c r="H196" s="26"/>
      <x:c r="I196" s="3"/>
      <x:c r="J196" s="22"/>
      <x:c r="K196" s="25"/>
      <x:c r="L196" s="3"/>
      <x:c r="M196" s="3"/>
      <x:c r="N196" s="24" t="str">
        <x:f>IF(AND(R196="有效输入",I196="已判定",M196="是",ISNUMBER(G196)),(G196-J196)^2,"")</x:f>
      </x:c>
      <x:c r="O196" s="24" t="str">
        <x:f>IF(AND(ISNUMBER(N196),ISNUMBER(H196)),(H196-J196)^2,"")</x:f>
      </x:c>
      <x:c r="P196" s="24" t="str">
        <x:f>IF(AND(ISNUMBER(N196),ISNUMBER(O196)),O196-N196,"")</x:f>
      </x:c>
      <x:c r="Q196" s="3"/>
      <x:c r="R196" s="19" t="str">
        <x:f>IF(A196="","",IF(COUNTIFS('预测登记'!$A$7:$A$306,A196)&lt;&gt;1,"编号重复",IF(COUNTIFS('问题总览'!$A$7:$A$306,B196)&lt;&gt;1,"问题引用无效",IF(COUNTIFS('方案版本'!$A$7:$A$306,C196,'方案版本'!$B$7:$B$306,B196,'方案版本'!$L$7:$L$306,"已冻结")&lt;&gt;1,"方案引用无效",IF(OR(NOT(ISNUMBER(D196)),NOT(ISNUMBER(E196)),F196="",I196="",M196="",Q196=""),"待补预测信息",IF(D196&gt;E196,"非事前到期登记",IF(OR(AND(G196&lt;&gt;"",OR(NOT(ISNUMBER(G196)),G196&lt;0,G196&gt;1)),AND(H196&lt;&gt;"",OR(NOT(ISNUMBER(H196)),H196&lt;0,H196&gt;1))),"概率无效",IF(AND(I196="已判定",OR(NOT(ISNUMBER(J196)),AND(J196&lt;&gt;0,J196&lt;&gt;1),NOT(ISNUMBER(K196)),L196="")),"待补判定证据",IF(AND(I196="已判定",D196&gt;K196),"事后补录不评分","有效输入")))))))))</x:f>
      </x:c>
    </x:row>
    <x:row r="197" ht="25" customHeight="1">
      <x:c r="A197" s="3"/>
      <x:c r="B197" s="3"/>
      <x:c r="C197" s="3"/>
      <x:c r="D197" s="25"/>
      <x:c r="E197" s="25"/>
      <x:c r="F197" s="3"/>
      <x:c r="G197" s="26"/>
      <x:c r="H197" s="26"/>
      <x:c r="I197" s="3"/>
      <x:c r="J197" s="22"/>
      <x:c r="K197" s="25"/>
      <x:c r="L197" s="3"/>
      <x:c r="M197" s="3"/>
      <x:c r="N197" s="24" t="str">
        <x:f>IF(AND(R197="有效输入",I197="已判定",M197="是",ISNUMBER(G197)),(G197-J197)^2,"")</x:f>
      </x:c>
      <x:c r="O197" s="24" t="str">
        <x:f>IF(AND(ISNUMBER(N197),ISNUMBER(H197)),(H197-J197)^2,"")</x:f>
      </x:c>
      <x:c r="P197" s="24" t="str">
        <x:f>IF(AND(ISNUMBER(N197),ISNUMBER(O197)),O197-N197,"")</x:f>
      </x:c>
      <x:c r="Q197" s="3"/>
      <x:c r="R197" s="19" t="str">
        <x:f>IF(A197="","",IF(COUNTIFS('预测登记'!$A$7:$A$306,A197)&lt;&gt;1,"编号重复",IF(COUNTIFS('问题总览'!$A$7:$A$306,B197)&lt;&gt;1,"问题引用无效",IF(COUNTIFS('方案版本'!$A$7:$A$306,C197,'方案版本'!$B$7:$B$306,B197,'方案版本'!$L$7:$L$306,"已冻结")&lt;&gt;1,"方案引用无效",IF(OR(NOT(ISNUMBER(D197)),NOT(ISNUMBER(E197)),F197="",I197="",M197="",Q197=""),"待补预测信息",IF(D197&gt;E197,"非事前到期登记",IF(OR(AND(G197&lt;&gt;"",OR(NOT(ISNUMBER(G197)),G197&lt;0,G197&gt;1)),AND(H197&lt;&gt;"",OR(NOT(ISNUMBER(H197)),H197&lt;0,H197&gt;1))),"概率无效",IF(AND(I197="已判定",OR(NOT(ISNUMBER(J197)),AND(J197&lt;&gt;0,J197&lt;&gt;1),NOT(ISNUMBER(K197)),L197="")),"待补判定证据",IF(AND(I197="已判定",D197&gt;K197),"事后补录不评分","有效输入")))))))))</x:f>
      </x:c>
    </x:row>
    <x:row r="198" ht="25" customHeight="1">
      <x:c r="A198" s="3"/>
      <x:c r="B198" s="3"/>
      <x:c r="C198" s="3"/>
      <x:c r="D198" s="25"/>
      <x:c r="E198" s="25"/>
      <x:c r="F198" s="3"/>
      <x:c r="G198" s="26"/>
      <x:c r="H198" s="26"/>
      <x:c r="I198" s="3"/>
      <x:c r="J198" s="22"/>
      <x:c r="K198" s="25"/>
      <x:c r="L198" s="3"/>
      <x:c r="M198" s="3"/>
      <x:c r="N198" s="24" t="str">
        <x:f>IF(AND(R198="有效输入",I198="已判定",M198="是",ISNUMBER(G198)),(G198-J198)^2,"")</x:f>
      </x:c>
      <x:c r="O198" s="24" t="str">
        <x:f>IF(AND(ISNUMBER(N198),ISNUMBER(H198)),(H198-J198)^2,"")</x:f>
      </x:c>
      <x:c r="P198" s="24" t="str">
        <x:f>IF(AND(ISNUMBER(N198),ISNUMBER(O198)),O198-N198,"")</x:f>
      </x:c>
      <x:c r="Q198" s="3"/>
      <x:c r="R198" s="19" t="str">
        <x:f>IF(A198="","",IF(COUNTIFS('预测登记'!$A$7:$A$306,A198)&lt;&gt;1,"编号重复",IF(COUNTIFS('问题总览'!$A$7:$A$306,B198)&lt;&gt;1,"问题引用无效",IF(COUNTIFS('方案版本'!$A$7:$A$306,C198,'方案版本'!$B$7:$B$306,B198,'方案版本'!$L$7:$L$306,"已冻结")&lt;&gt;1,"方案引用无效",IF(OR(NOT(ISNUMBER(D198)),NOT(ISNUMBER(E198)),F198="",I198="",M198="",Q198=""),"待补预测信息",IF(D198&gt;E198,"非事前到期登记",IF(OR(AND(G198&lt;&gt;"",OR(NOT(ISNUMBER(G198)),G198&lt;0,G198&gt;1)),AND(H198&lt;&gt;"",OR(NOT(ISNUMBER(H198)),H198&lt;0,H198&gt;1))),"概率无效",IF(AND(I198="已判定",OR(NOT(ISNUMBER(J198)),AND(J198&lt;&gt;0,J198&lt;&gt;1),NOT(ISNUMBER(K198)),L198="")),"待补判定证据",IF(AND(I198="已判定",D198&gt;K198),"事后补录不评分","有效输入")))))))))</x:f>
      </x:c>
    </x:row>
    <x:row r="199" ht="25" customHeight="1">
      <x:c r="A199" s="3"/>
      <x:c r="B199" s="3"/>
      <x:c r="C199" s="3"/>
      <x:c r="D199" s="25"/>
      <x:c r="E199" s="25"/>
      <x:c r="F199" s="3"/>
      <x:c r="G199" s="26"/>
      <x:c r="H199" s="26"/>
      <x:c r="I199" s="3"/>
      <x:c r="J199" s="22"/>
      <x:c r="K199" s="25"/>
      <x:c r="L199" s="3"/>
      <x:c r="M199" s="3"/>
      <x:c r="N199" s="24" t="str">
        <x:f>IF(AND(R199="有效输入",I199="已判定",M199="是",ISNUMBER(G199)),(G199-J199)^2,"")</x:f>
      </x:c>
      <x:c r="O199" s="24" t="str">
        <x:f>IF(AND(ISNUMBER(N199),ISNUMBER(H199)),(H199-J199)^2,"")</x:f>
      </x:c>
      <x:c r="P199" s="24" t="str">
        <x:f>IF(AND(ISNUMBER(N199),ISNUMBER(O199)),O199-N199,"")</x:f>
      </x:c>
      <x:c r="Q199" s="3"/>
      <x:c r="R199" s="19" t="str">
        <x:f>IF(A199="","",IF(COUNTIFS('预测登记'!$A$7:$A$306,A199)&lt;&gt;1,"编号重复",IF(COUNTIFS('问题总览'!$A$7:$A$306,B199)&lt;&gt;1,"问题引用无效",IF(COUNTIFS('方案版本'!$A$7:$A$306,C199,'方案版本'!$B$7:$B$306,B199,'方案版本'!$L$7:$L$306,"已冻结")&lt;&gt;1,"方案引用无效",IF(OR(NOT(ISNUMBER(D199)),NOT(ISNUMBER(E199)),F199="",I199="",M199="",Q199=""),"待补预测信息",IF(D199&gt;E199,"非事前到期登记",IF(OR(AND(G199&lt;&gt;"",OR(NOT(ISNUMBER(G199)),G199&lt;0,G199&gt;1)),AND(H199&lt;&gt;"",OR(NOT(ISNUMBER(H199)),H199&lt;0,H199&gt;1))),"概率无效",IF(AND(I199="已判定",OR(NOT(ISNUMBER(J199)),AND(J199&lt;&gt;0,J199&lt;&gt;1),NOT(ISNUMBER(K199)),L199="")),"待补判定证据",IF(AND(I199="已判定",D199&gt;K199),"事后补录不评分","有效输入")))))))))</x:f>
      </x:c>
    </x:row>
    <x:row r="200" ht="25" customHeight="1">
      <x:c r="A200" s="3"/>
      <x:c r="B200" s="3"/>
      <x:c r="C200" s="3"/>
      <x:c r="D200" s="25"/>
      <x:c r="E200" s="25"/>
      <x:c r="F200" s="3"/>
      <x:c r="G200" s="26"/>
      <x:c r="H200" s="26"/>
      <x:c r="I200" s="3"/>
      <x:c r="J200" s="22"/>
      <x:c r="K200" s="25"/>
      <x:c r="L200" s="3"/>
      <x:c r="M200" s="3"/>
      <x:c r="N200" s="24" t="str">
        <x:f>IF(AND(R200="有效输入",I200="已判定",M200="是",ISNUMBER(G200)),(G200-J200)^2,"")</x:f>
      </x:c>
      <x:c r="O200" s="24" t="str">
        <x:f>IF(AND(ISNUMBER(N200),ISNUMBER(H200)),(H200-J200)^2,"")</x:f>
      </x:c>
      <x:c r="P200" s="24" t="str">
        <x:f>IF(AND(ISNUMBER(N200),ISNUMBER(O200)),O200-N200,"")</x:f>
      </x:c>
      <x:c r="Q200" s="3"/>
      <x:c r="R200" s="19" t="str">
        <x:f>IF(A200="","",IF(COUNTIFS('预测登记'!$A$7:$A$306,A200)&lt;&gt;1,"编号重复",IF(COUNTIFS('问题总览'!$A$7:$A$306,B200)&lt;&gt;1,"问题引用无效",IF(COUNTIFS('方案版本'!$A$7:$A$306,C200,'方案版本'!$B$7:$B$306,B200,'方案版本'!$L$7:$L$306,"已冻结")&lt;&gt;1,"方案引用无效",IF(OR(NOT(ISNUMBER(D200)),NOT(ISNUMBER(E200)),F200="",I200="",M200="",Q200=""),"待补预测信息",IF(D200&gt;E200,"非事前到期登记",IF(OR(AND(G200&lt;&gt;"",OR(NOT(ISNUMBER(G200)),G200&lt;0,G200&gt;1)),AND(H200&lt;&gt;"",OR(NOT(ISNUMBER(H200)),H200&lt;0,H200&gt;1))),"概率无效",IF(AND(I200="已判定",OR(NOT(ISNUMBER(J200)),AND(J200&lt;&gt;0,J200&lt;&gt;1),NOT(ISNUMBER(K200)),L200="")),"待补判定证据",IF(AND(I200="已判定",D200&gt;K200),"事后补录不评分","有效输入")))))))))</x:f>
      </x:c>
    </x:row>
    <x:row r="201" ht="25" customHeight="1">
      <x:c r="A201" s="3"/>
      <x:c r="B201" s="3"/>
      <x:c r="C201" s="3"/>
      <x:c r="D201" s="25"/>
      <x:c r="E201" s="25"/>
      <x:c r="F201" s="3"/>
      <x:c r="G201" s="26"/>
      <x:c r="H201" s="26"/>
      <x:c r="I201" s="3"/>
      <x:c r="J201" s="22"/>
      <x:c r="K201" s="25"/>
      <x:c r="L201" s="3"/>
      <x:c r="M201" s="3"/>
      <x:c r="N201" s="24" t="str">
        <x:f>IF(AND(R201="有效输入",I201="已判定",M201="是",ISNUMBER(G201)),(G201-J201)^2,"")</x:f>
      </x:c>
      <x:c r="O201" s="24" t="str">
        <x:f>IF(AND(ISNUMBER(N201),ISNUMBER(H201)),(H201-J201)^2,"")</x:f>
      </x:c>
      <x:c r="P201" s="24" t="str">
        <x:f>IF(AND(ISNUMBER(N201),ISNUMBER(O201)),O201-N201,"")</x:f>
      </x:c>
      <x:c r="Q201" s="3"/>
      <x:c r="R201" s="19" t="str">
        <x:f>IF(A201="","",IF(COUNTIFS('预测登记'!$A$7:$A$306,A201)&lt;&gt;1,"编号重复",IF(COUNTIFS('问题总览'!$A$7:$A$306,B201)&lt;&gt;1,"问题引用无效",IF(COUNTIFS('方案版本'!$A$7:$A$306,C201,'方案版本'!$B$7:$B$306,B201,'方案版本'!$L$7:$L$306,"已冻结")&lt;&gt;1,"方案引用无效",IF(OR(NOT(ISNUMBER(D201)),NOT(ISNUMBER(E201)),F201="",I201="",M201="",Q201=""),"待补预测信息",IF(D201&gt;E201,"非事前到期登记",IF(OR(AND(G201&lt;&gt;"",OR(NOT(ISNUMBER(G201)),G201&lt;0,G201&gt;1)),AND(H201&lt;&gt;"",OR(NOT(ISNUMBER(H201)),H201&lt;0,H201&gt;1))),"概率无效",IF(AND(I201="已判定",OR(NOT(ISNUMBER(J201)),AND(J201&lt;&gt;0,J201&lt;&gt;1),NOT(ISNUMBER(K201)),L201="")),"待补判定证据",IF(AND(I201="已判定",D201&gt;K201),"事后补录不评分","有效输入")))))))))</x:f>
      </x:c>
    </x:row>
    <x:row r="202" ht="25" customHeight="1">
      <x:c r="A202" s="3"/>
      <x:c r="B202" s="3"/>
      <x:c r="C202" s="3"/>
      <x:c r="D202" s="25"/>
      <x:c r="E202" s="25"/>
      <x:c r="F202" s="3"/>
      <x:c r="G202" s="26"/>
      <x:c r="H202" s="26"/>
      <x:c r="I202" s="3"/>
      <x:c r="J202" s="22"/>
      <x:c r="K202" s="25"/>
      <x:c r="L202" s="3"/>
      <x:c r="M202" s="3"/>
      <x:c r="N202" s="24" t="str">
        <x:f>IF(AND(R202="有效输入",I202="已判定",M202="是",ISNUMBER(G202)),(G202-J202)^2,"")</x:f>
      </x:c>
      <x:c r="O202" s="24" t="str">
        <x:f>IF(AND(ISNUMBER(N202),ISNUMBER(H202)),(H202-J202)^2,"")</x:f>
      </x:c>
      <x:c r="P202" s="24" t="str">
        <x:f>IF(AND(ISNUMBER(N202),ISNUMBER(O202)),O202-N202,"")</x:f>
      </x:c>
      <x:c r="Q202" s="3"/>
      <x:c r="R202" s="19" t="str">
        <x:f>IF(A202="","",IF(COUNTIFS('预测登记'!$A$7:$A$306,A202)&lt;&gt;1,"编号重复",IF(COUNTIFS('问题总览'!$A$7:$A$306,B202)&lt;&gt;1,"问题引用无效",IF(COUNTIFS('方案版本'!$A$7:$A$306,C202,'方案版本'!$B$7:$B$306,B202,'方案版本'!$L$7:$L$306,"已冻结")&lt;&gt;1,"方案引用无效",IF(OR(NOT(ISNUMBER(D202)),NOT(ISNUMBER(E202)),F202="",I202="",M202="",Q202=""),"待补预测信息",IF(D202&gt;E202,"非事前到期登记",IF(OR(AND(G202&lt;&gt;"",OR(NOT(ISNUMBER(G202)),G202&lt;0,G202&gt;1)),AND(H202&lt;&gt;"",OR(NOT(ISNUMBER(H202)),H202&lt;0,H202&gt;1))),"概率无效",IF(AND(I202="已判定",OR(NOT(ISNUMBER(J202)),AND(J202&lt;&gt;0,J202&lt;&gt;1),NOT(ISNUMBER(K202)),L202="")),"待补判定证据",IF(AND(I202="已判定",D202&gt;K202),"事后补录不评分","有效输入")))))))))</x:f>
      </x:c>
    </x:row>
    <x:row r="203" ht="25" customHeight="1">
      <x:c r="A203" s="3"/>
      <x:c r="B203" s="3"/>
      <x:c r="C203" s="3"/>
      <x:c r="D203" s="25"/>
      <x:c r="E203" s="25"/>
      <x:c r="F203" s="3"/>
      <x:c r="G203" s="26"/>
      <x:c r="H203" s="26"/>
      <x:c r="I203" s="3"/>
      <x:c r="J203" s="22"/>
      <x:c r="K203" s="25"/>
      <x:c r="L203" s="3"/>
      <x:c r="M203" s="3"/>
      <x:c r="N203" s="24" t="str">
        <x:f>IF(AND(R203="有效输入",I203="已判定",M203="是",ISNUMBER(G203)),(G203-J203)^2,"")</x:f>
      </x:c>
      <x:c r="O203" s="24" t="str">
        <x:f>IF(AND(ISNUMBER(N203),ISNUMBER(H203)),(H203-J203)^2,"")</x:f>
      </x:c>
      <x:c r="P203" s="24" t="str">
        <x:f>IF(AND(ISNUMBER(N203),ISNUMBER(O203)),O203-N203,"")</x:f>
      </x:c>
      <x:c r="Q203" s="3"/>
      <x:c r="R203" s="19" t="str">
        <x:f>IF(A203="","",IF(COUNTIFS('预测登记'!$A$7:$A$306,A203)&lt;&gt;1,"编号重复",IF(COUNTIFS('问题总览'!$A$7:$A$306,B203)&lt;&gt;1,"问题引用无效",IF(COUNTIFS('方案版本'!$A$7:$A$306,C203,'方案版本'!$B$7:$B$306,B203,'方案版本'!$L$7:$L$306,"已冻结")&lt;&gt;1,"方案引用无效",IF(OR(NOT(ISNUMBER(D203)),NOT(ISNUMBER(E203)),F203="",I203="",M203="",Q203=""),"待补预测信息",IF(D203&gt;E203,"非事前到期登记",IF(OR(AND(G203&lt;&gt;"",OR(NOT(ISNUMBER(G203)),G203&lt;0,G203&gt;1)),AND(H203&lt;&gt;"",OR(NOT(ISNUMBER(H203)),H203&lt;0,H203&gt;1))),"概率无效",IF(AND(I203="已判定",OR(NOT(ISNUMBER(J203)),AND(J203&lt;&gt;0,J203&lt;&gt;1),NOT(ISNUMBER(K203)),L203="")),"待补判定证据",IF(AND(I203="已判定",D203&gt;K203),"事后补录不评分","有效输入")))))))))</x:f>
      </x:c>
    </x:row>
    <x:row r="204" ht="25" customHeight="1">
      <x:c r="A204" s="3"/>
      <x:c r="B204" s="3"/>
      <x:c r="C204" s="3"/>
      <x:c r="D204" s="25"/>
      <x:c r="E204" s="25"/>
      <x:c r="F204" s="3"/>
      <x:c r="G204" s="26"/>
      <x:c r="H204" s="26"/>
      <x:c r="I204" s="3"/>
      <x:c r="J204" s="22"/>
      <x:c r="K204" s="25"/>
      <x:c r="L204" s="3"/>
      <x:c r="M204" s="3"/>
      <x:c r="N204" s="24" t="str">
        <x:f>IF(AND(R204="有效输入",I204="已判定",M204="是",ISNUMBER(G204)),(G204-J204)^2,"")</x:f>
      </x:c>
      <x:c r="O204" s="24" t="str">
        <x:f>IF(AND(ISNUMBER(N204),ISNUMBER(H204)),(H204-J204)^2,"")</x:f>
      </x:c>
      <x:c r="P204" s="24" t="str">
        <x:f>IF(AND(ISNUMBER(N204),ISNUMBER(O204)),O204-N204,"")</x:f>
      </x:c>
      <x:c r="Q204" s="3"/>
      <x:c r="R204" s="19" t="str">
        <x:f>IF(A204="","",IF(COUNTIFS('预测登记'!$A$7:$A$306,A204)&lt;&gt;1,"编号重复",IF(COUNTIFS('问题总览'!$A$7:$A$306,B204)&lt;&gt;1,"问题引用无效",IF(COUNTIFS('方案版本'!$A$7:$A$306,C204,'方案版本'!$B$7:$B$306,B204,'方案版本'!$L$7:$L$306,"已冻结")&lt;&gt;1,"方案引用无效",IF(OR(NOT(ISNUMBER(D204)),NOT(ISNUMBER(E204)),F204="",I204="",M204="",Q204=""),"待补预测信息",IF(D204&gt;E204,"非事前到期登记",IF(OR(AND(G204&lt;&gt;"",OR(NOT(ISNUMBER(G204)),G204&lt;0,G204&gt;1)),AND(H204&lt;&gt;"",OR(NOT(ISNUMBER(H204)),H204&lt;0,H204&gt;1))),"概率无效",IF(AND(I204="已判定",OR(NOT(ISNUMBER(J204)),AND(J204&lt;&gt;0,J204&lt;&gt;1),NOT(ISNUMBER(K204)),L204="")),"待补判定证据",IF(AND(I204="已判定",D204&gt;K204),"事后补录不评分","有效输入")))))))))</x:f>
      </x:c>
    </x:row>
    <x:row r="205" ht="25" customHeight="1">
      <x:c r="A205" s="3"/>
      <x:c r="B205" s="3"/>
      <x:c r="C205" s="3"/>
      <x:c r="D205" s="25"/>
      <x:c r="E205" s="25"/>
      <x:c r="F205" s="3"/>
      <x:c r="G205" s="26"/>
      <x:c r="H205" s="26"/>
      <x:c r="I205" s="3"/>
      <x:c r="J205" s="22"/>
      <x:c r="K205" s="25"/>
      <x:c r="L205" s="3"/>
      <x:c r="M205" s="3"/>
      <x:c r="N205" s="24" t="str">
        <x:f>IF(AND(R205="有效输入",I205="已判定",M205="是",ISNUMBER(G205)),(G205-J205)^2,"")</x:f>
      </x:c>
      <x:c r="O205" s="24" t="str">
        <x:f>IF(AND(ISNUMBER(N205),ISNUMBER(H205)),(H205-J205)^2,"")</x:f>
      </x:c>
      <x:c r="P205" s="24" t="str">
        <x:f>IF(AND(ISNUMBER(N205),ISNUMBER(O205)),O205-N205,"")</x:f>
      </x:c>
      <x:c r="Q205" s="3"/>
      <x:c r="R205" s="19" t="str">
        <x:f>IF(A205="","",IF(COUNTIFS('预测登记'!$A$7:$A$306,A205)&lt;&gt;1,"编号重复",IF(COUNTIFS('问题总览'!$A$7:$A$306,B205)&lt;&gt;1,"问题引用无效",IF(COUNTIFS('方案版本'!$A$7:$A$306,C205,'方案版本'!$B$7:$B$306,B205,'方案版本'!$L$7:$L$306,"已冻结")&lt;&gt;1,"方案引用无效",IF(OR(NOT(ISNUMBER(D205)),NOT(ISNUMBER(E205)),F205="",I205="",M205="",Q205=""),"待补预测信息",IF(D205&gt;E205,"非事前到期登记",IF(OR(AND(G205&lt;&gt;"",OR(NOT(ISNUMBER(G205)),G205&lt;0,G205&gt;1)),AND(H205&lt;&gt;"",OR(NOT(ISNUMBER(H205)),H205&lt;0,H205&gt;1))),"概率无效",IF(AND(I205="已判定",OR(NOT(ISNUMBER(J205)),AND(J205&lt;&gt;0,J205&lt;&gt;1),NOT(ISNUMBER(K205)),L205="")),"待补判定证据",IF(AND(I205="已判定",D205&gt;K205),"事后补录不评分","有效输入")))))))))</x:f>
      </x:c>
    </x:row>
    <x:row r="206" ht="25" customHeight="1">
      <x:c r="A206" s="3"/>
      <x:c r="B206" s="3"/>
      <x:c r="C206" s="3"/>
      <x:c r="D206" s="25"/>
      <x:c r="E206" s="25"/>
      <x:c r="F206" s="3"/>
      <x:c r="G206" s="26"/>
      <x:c r="H206" s="26"/>
      <x:c r="I206" s="3"/>
      <x:c r="J206" s="22"/>
      <x:c r="K206" s="25"/>
      <x:c r="L206" s="3"/>
      <x:c r="M206" s="3"/>
      <x:c r="N206" s="24" t="str">
        <x:f>IF(AND(R206="有效输入",I206="已判定",M206="是",ISNUMBER(G206)),(G206-J206)^2,"")</x:f>
      </x:c>
      <x:c r="O206" s="24" t="str">
        <x:f>IF(AND(ISNUMBER(N206),ISNUMBER(H206)),(H206-J206)^2,"")</x:f>
      </x:c>
      <x:c r="P206" s="24" t="str">
        <x:f>IF(AND(ISNUMBER(N206),ISNUMBER(O206)),O206-N206,"")</x:f>
      </x:c>
      <x:c r="Q206" s="3"/>
      <x:c r="R206" s="19" t="str">
        <x:f>IF(A206="","",IF(COUNTIFS('预测登记'!$A$7:$A$306,A206)&lt;&gt;1,"编号重复",IF(COUNTIFS('问题总览'!$A$7:$A$306,B206)&lt;&gt;1,"问题引用无效",IF(COUNTIFS('方案版本'!$A$7:$A$306,C206,'方案版本'!$B$7:$B$306,B206,'方案版本'!$L$7:$L$306,"已冻结")&lt;&gt;1,"方案引用无效",IF(OR(NOT(ISNUMBER(D206)),NOT(ISNUMBER(E206)),F206="",I206="",M206="",Q206=""),"待补预测信息",IF(D206&gt;E206,"非事前到期登记",IF(OR(AND(G206&lt;&gt;"",OR(NOT(ISNUMBER(G206)),G206&lt;0,G206&gt;1)),AND(H206&lt;&gt;"",OR(NOT(ISNUMBER(H206)),H206&lt;0,H206&gt;1))),"概率无效",IF(AND(I206="已判定",OR(NOT(ISNUMBER(J206)),AND(J206&lt;&gt;0,J206&lt;&gt;1),NOT(ISNUMBER(K206)),L206="")),"待补判定证据",IF(AND(I206="已判定",D206&gt;K206),"事后补录不评分","有效输入")))))))))</x:f>
      </x:c>
    </x:row>
    <x:row r="207" ht="25" customHeight="1">
      <x:c r="A207" s="3"/>
      <x:c r="B207" s="3"/>
      <x:c r="C207" s="3"/>
      <x:c r="D207" s="25"/>
      <x:c r="E207" s="25"/>
      <x:c r="F207" s="3"/>
      <x:c r="G207" s="26"/>
      <x:c r="H207" s="26"/>
      <x:c r="I207" s="3"/>
      <x:c r="J207" s="22"/>
      <x:c r="K207" s="25"/>
      <x:c r="L207" s="3"/>
      <x:c r="M207" s="3"/>
      <x:c r="N207" s="24" t="str">
        <x:f>IF(AND(R207="有效输入",I207="已判定",M207="是",ISNUMBER(G207)),(G207-J207)^2,"")</x:f>
      </x:c>
      <x:c r="O207" s="24" t="str">
        <x:f>IF(AND(ISNUMBER(N207),ISNUMBER(H207)),(H207-J207)^2,"")</x:f>
      </x:c>
      <x:c r="P207" s="24" t="str">
        <x:f>IF(AND(ISNUMBER(N207),ISNUMBER(O207)),O207-N207,"")</x:f>
      </x:c>
      <x:c r="Q207" s="3"/>
      <x:c r="R207" s="19" t="str">
        <x:f>IF(A207="","",IF(COUNTIFS('预测登记'!$A$7:$A$306,A207)&lt;&gt;1,"编号重复",IF(COUNTIFS('问题总览'!$A$7:$A$306,B207)&lt;&gt;1,"问题引用无效",IF(COUNTIFS('方案版本'!$A$7:$A$306,C207,'方案版本'!$B$7:$B$306,B207,'方案版本'!$L$7:$L$306,"已冻结")&lt;&gt;1,"方案引用无效",IF(OR(NOT(ISNUMBER(D207)),NOT(ISNUMBER(E207)),F207="",I207="",M207="",Q207=""),"待补预测信息",IF(D207&gt;E207,"非事前到期登记",IF(OR(AND(G207&lt;&gt;"",OR(NOT(ISNUMBER(G207)),G207&lt;0,G207&gt;1)),AND(H207&lt;&gt;"",OR(NOT(ISNUMBER(H207)),H207&lt;0,H207&gt;1))),"概率无效",IF(AND(I207="已判定",OR(NOT(ISNUMBER(J207)),AND(J207&lt;&gt;0,J207&lt;&gt;1),NOT(ISNUMBER(K207)),L207="")),"待补判定证据",IF(AND(I207="已判定",D207&gt;K207),"事后补录不评分","有效输入")))))))))</x:f>
      </x:c>
    </x:row>
    <x:row r="208" ht="25" customHeight="1">
      <x:c r="A208" s="3"/>
      <x:c r="B208" s="3"/>
      <x:c r="C208" s="3"/>
      <x:c r="D208" s="25"/>
      <x:c r="E208" s="25"/>
      <x:c r="F208" s="3"/>
      <x:c r="G208" s="26"/>
      <x:c r="H208" s="26"/>
      <x:c r="I208" s="3"/>
      <x:c r="J208" s="22"/>
      <x:c r="K208" s="25"/>
      <x:c r="L208" s="3"/>
      <x:c r="M208" s="3"/>
      <x:c r="N208" s="24" t="str">
        <x:f>IF(AND(R208="有效输入",I208="已判定",M208="是",ISNUMBER(G208)),(G208-J208)^2,"")</x:f>
      </x:c>
      <x:c r="O208" s="24" t="str">
        <x:f>IF(AND(ISNUMBER(N208),ISNUMBER(H208)),(H208-J208)^2,"")</x:f>
      </x:c>
      <x:c r="P208" s="24" t="str">
        <x:f>IF(AND(ISNUMBER(N208),ISNUMBER(O208)),O208-N208,"")</x:f>
      </x:c>
      <x:c r="Q208" s="3"/>
      <x:c r="R208" s="19" t="str">
        <x:f>IF(A208="","",IF(COUNTIFS('预测登记'!$A$7:$A$306,A208)&lt;&gt;1,"编号重复",IF(COUNTIFS('问题总览'!$A$7:$A$306,B208)&lt;&gt;1,"问题引用无效",IF(COUNTIFS('方案版本'!$A$7:$A$306,C208,'方案版本'!$B$7:$B$306,B208,'方案版本'!$L$7:$L$306,"已冻结")&lt;&gt;1,"方案引用无效",IF(OR(NOT(ISNUMBER(D208)),NOT(ISNUMBER(E208)),F208="",I208="",M208="",Q208=""),"待补预测信息",IF(D208&gt;E208,"非事前到期登记",IF(OR(AND(G208&lt;&gt;"",OR(NOT(ISNUMBER(G208)),G208&lt;0,G208&gt;1)),AND(H208&lt;&gt;"",OR(NOT(ISNUMBER(H208)),H208&lt;0,H208&gt;1))),"概率无效",IF(AND(I208="已判定",OR(NOT(ISNUMBER(J208)),AND(J208&lt;&gt;0,J208&lt;&gt;1),NOT(ISNUMBER(K208)),L208="")),"待补判定证据",IF(AND(I208="已判定",D208&gt;K208),"事后补录不评分","有效输入")))))))))</x:f>
      </x:c>
    </x:row>
    <x:row r="209" ht="25" customHeight="1">
      <x:c r="A209" s="3"/>
      <x:c r="B209" s="3"/>
      <x:c r="C209" s="3"/>
      <x:c r="D209" s="25"/>
      <x:c r="E209" s="25"/>
      <x:c r="F209" s="3"/>
      <x:c r="G209" s="26"/>
      <x:c r="H209" s="26"/>
      <x:c r="I209" s="3"/>
      <x:c r="J209" s="22"/>
      <x:c r="K209" s="25"/>
      <x:c r="L209" s="3"/>
      <x:c r="M209" s="3"/>
      <x:c r="N209" s="24" t="str">
        <x:f>IF(AND(R209="有效输入",I209="已判定",M209="是",ISNUMBER(G209)),(G209-J209)^2,"")</x:f>
      </x:c>
      <x:c r="O209" s="24" t="str">
        <x:f>IF(AND(ISNUMBER(N209),ISNUMBER(H209)),(H209-J209)^2,"")</x:f>
      </x:c>
      <x:c r="P209" s="24" t="str">
        <x:f>IF(AND(ISNUMBER(N209),ISNUMBER(O209)),O209-N209,"")</x:f>
      </x:c>
      <x:c r="Q209" s="3"/>
      <x:c r="R209" s="19" t="str">
        <x:f>IF(A209="","",IF(COUNTIFS('预测登记'!$A$7:$A$306,A209)&lt;&gt;1,"编号重复",IF(COUNTIFS('问题总览'!$A$7:$A$306,B209)&lt;&gt;1,"问题引用无效",IF(COUNTIFS('方案版本'!$A$7:$A$306,C209,'方案版本'!$B$7:$B$306,B209,'方案版本'!$L$7:$L$306,"已冻结")&lt;&gt;1,"方案引用无效",IF(OR(NOT(ISNUMBER(D209)),NOT(ISNUMBER(E209)),F209="",I209="",M209="",Q209=""),"待补预测信息",IF(D209&gt;E209,"非事前到期登记",IF(OR(AND(G209&lt;&gt;"",OR(NOT(ISNUMBER(G209)),G209&lt;0,G209&gt;1)),AND(H209&lt;&gt;"",OR(NOT(ISNUMBER(H209)),H209&lt;0,H209&gt;1))),"概率无效",IF(AND(I209="已判定",OR(NOT(ISNUMBER(J209)),AND(J209&lt;&gt;0,J209&lt;&gt;1),NOT(ISNUMBER(K209)),L209="")),"待补判定证据",IF(AND(I209="已判定",D209&gt;K209),"事后补录不评分","有效输入")))))))))</x:f>
      </x:c>
    </x:row>
    <x:row r="210" ht="25" customHeight="1">
      <x:c r="A210" s="3"/>
      <x:c r="B210" s="3"/>
      <x:c r="C210" s="3"/>
      <x:c r="D210" s="25"/>
      <x:c r="E210" s="25"/>
      <x:c r="F210" s="3"/>
      <x:c r="G210" s="26"/>
      <x:c r="H210" s="26"/>
      <x:c r="I210" s="3"/>
      <x:c r="J210" s="22"/>
      <x:c r="K210" s="25"/>
      <x:c r="L210" s="3"/>
      <x:c r="M210" s="3"/>
      <x:c r="N210" s="24" t="str">
        <x:f>IF(AND(R210="有效输入",I210="已判定",M210="是",ISNUMBER(G210)),(G210-J210)^2,"")</x:f>
      </x:c>
      <x:c r="O210" s="24" t="str">
        <x:f>IF(AND(ISNUMBER(N210),ISNUMBER(H210)),(H210-J210)^2,"")</x:f>
      </x:c>
      <x:c r="P210" s="24" t="str">
        <x:f>IF(AND(ISNUMBER(N210),ISNUMBER(O210)),O210-N210,"")</x:f>
      </x:c>
      <x:c r="Q210" s="3"/>
      <x:c r="R210" s="19" t="str">
        <x:f>IF(A210="","",IF(COUNTIFS('预测登记'!$A$7:$A$306,A210)&lt;&gt;1,"编号重复",IF(COUNTIFS('问题总览'!$A$7:$A$306,B210)&lt;&gt;1,"问题引用无效",IF(COUNTIFS('方案版本'!$A$7:$A$306,C210,'方案版本'!$B$7:$B$306,B210,'方案版本'!$L$7:$L$306,"已冻结")&lt;&gt;1,"方案引用无效",IF(OR(NOT(ISNUMBER(D210)),NOT(ISNUMBER(E210)),F210="",I210="",M210="",Q210=""),"待补预测信息",IF(D210&gt;E210,"非事前到期登记",IF(OR(AND(G210&lt;&gt;"",OR(NOT(ISNUMBER(G210)),G210&lt;0,G210&gt;1)),AND(H210&lt;&gt;"",OR(NOT(ISNUMBER(H210)),H210&lt;0,H210&gt;1))),"概率无效",IF(AND(I210="已判定",OR(NOT(ISNUMBER(J210)),AND(J210&lt;&gt;0,J210&lt;&gt;1),NOT(ISNUMBER(K210)),L210="")),"待补判定证据",IF(AND(I210="已判定",D210&gt;K210),"事后补录不评分","有效输入")))))))))</x:f>
      </x:c>
    </x:row>
    <x:row r="211" ht="25" customHeight="1">
      <x:c r="A211" s="3"/>
      <x:c r="B211" s="3"/>
      <x:c r="C211" s="3"/>
      <x:c r="D211" s="25"/>
      <x:c r="E211" s="25"/>
      <x:c r="F211" s="3"/>
      <x:c r="G211" s="26"/>
      <x:c r="H211" s="26"/>
      <x:c r="I211" s="3"/>
      <x:c r="J211" s="22"/>
      <x:c r="K211" s="25"/>
      <x:c r="L211" s="3"/>
      <x:c r="M211" s="3"/>
      <x:c r="N211" s="24" t="str">
        <x:f>IF(AND(R211="有效输入",I211="已判定",M211="是",ISNUMBER(G211)),(G211-J211)^2,"")</x:f>
      </x:c>
      <x:c r="O211" s="24" t="str">
        <x:f>IF(AND(ISNUMBER(N211),ISNUMBER(H211)),(H211-J211)^2,"")</x:f>
      </x:c>
      <x:c r="P211" s="24" t="str">
        <x:f>IF(AND(ISNUMBER(N211),ISNUMBER(O211)),O211-N211,"")</x:f>
      </x:c>
      <x:c r="Q211" s="3"/>
      <x:c r="R211" s="19" t="str">
        <x:f>IF(A211="","",IF(COUNTIFS('预测登记'!$A$7:$A$306,A211)&lt;&gt;1,"编号重复",IF(COUNTIFS('问题总览'!$A$7:$A$306,B211)&lt;&gt;1,"问题引用无效",IF(COUNTIFS('方案版本'!$A$7:$A$306,C211,'方案版本'!$B$7:$B$306,B211,'方案版本'!$L$7:$L$306,"已冻结")&lt;&gt;1,"方案引用无效",IF(OR(NOT(ISNUMBER(D211)),NOT(ISNUMBER(E211)),F211="",I211="",M211="",Q211=""),"待补预测信息",IF(D211&gt;E211,"非事前到期登记",IF(OR(AND(G211&lt;&gt;"",OR(NOT(ISNUMBER(G211)),G211&lt;0,G211&gt;1)),AND(H211&lt;&gt;"",OR(NOT(ISNUMBER(H211)),H211&lt;0,H211&gt;1))),"概率无效",IF(AND(I211="已判定",OR(NOT(ISNUMBER(J211)),AND(J211&lt;&gt;0,J211&lt;&gt;1),NOT(ISNUMBER(K211)),L211="")),"待补判定证据",IF(AND(I211="已判定",D211&gt;K211),"事后补录不评分","有效输入")))))))))</x:f>
      </x:c>
    </x:row>
    <x:row r="212" ht="25" customHeight="1">
      <x:c r="A212" s="3"/>
      <x:c r="B212" s="3"/>
      <x:c r="C212" s="3"/>
      <x:c r="D212" s="25"/>
      <x:c r="E212" s="25"/>
      <x:c r="F212" s="3"/>
      <x:c r="G212" s="26"/>
      <x:c r="H212" s="26"/>
      <x:c r="I212" s="3"/>
      <x:c r="J212" s="22"/>
      <x:c r="K212" s="25"/>
      <x:c r="L212" s="3"/>
      <x:c r="M212" s="3"/>
      <x:c r="N212" s="24" t="str">
        <x:f>IF(AND(R212="有效输入",I212="已判定",M212="是",ISNUMBER(G212)),(G212-J212)^2,"")</x:f>
      </x:c>
      <x:c r="O212" s="24" t="str">
        <x:f>IF(AND(ISNUMBER(N212),ISNUMBER(H212)),(H212-J212)^2,"")</x:f>
      </x:c>
      <x:c r="P212" s="24" t="str">
        <x:f>IF(AND(ISNUMBER(N212),ISNUMBER(O212)),O212-N212,"")</x:f>
      </x:c>
      <x:c r="Q212" s="3"/>
      <x:c r="R212" s="19" t="str">
        <x:f>IF(A212="","",IF(COUNTIFS('预测登记'!$A$7:$A$306,A212)&lt;&gt;1,"编号重复",IF(COUNTIFS('问题总览'!$A$7:$A$306,B212)&lt;&gt;1,"问题引用无效",IF(COUNTIFS('方案版本'!$A$7:$A$306,C212,'方案版本'!$B$7:$B$306,B212,'方案版本'!$L$7:$L$306,"已冻结")&lt;&gt;1,"方案引用无效",IF(OR(NOT(ISNUMBER(D212)),NOT(ISNUMBER(E212)),F212="",I212="",M212="",Q212=""),"待补预测信息",IF(D212&gt;E212,"非事前到期登记",IF(OR(AND(G212&lt;&gt;"",OR(NOT(ISNUMBER(G212)),G212&lt;0,G212&gt;1)),AND(H212&lt;&gt;"",OR(NOT(ISNUMBER(H212)),H212&lt;0,H212&gt;1))),"概率无效",IF(AND(I212="已判定",OR(NOT(ISNUMBER(J212)),AND(J212&lt;&gt;0,J212&lt;&gt;1),NOT(ISNUMBER(K212)),L212="")),"待补判定证据",IF(AND(I212="已判定",D212&gt;K212),"事后补录不评分","有效输入")))))))))</x:f>
      </x:c>
    </x:row>
    <x:row r="213" ht="25" customHeight="1">
      <x:c r="A213" s="3"/>
      <x:c r="B213" s="3"/>
      <x:c r="C213" s="3"/>
      <x:c r="D213" s="25"/>
      <x:c r="E213" s="25"/>
      <x:c r="F213" s="3"/>
      <x:c r="G213" s="26"/>
      <x:c r="H213" s="26"/>
      <x:c r="I213" s="3"/>
      <x:c r="J213" s="22"/>
      <x:c r="K213" s="25"/>
      <x:c r="L213" s="3"/>
      <x:c r="M213" s="3"/>
      <x:c r="N213" s="24" t="str">
        <x:f>IF(AND(R213="有效输入",I213="已判定",M213="是",ISNUMBER(G213)),(G213-J213)^2,"")</x:f>
      </x:c>
      <x:c r="O213" s="24" t="str">
        <x:f>IF(AND(ISNUMBER(N213),ISNUMBER(H213)),(H213-J213)^2,"")</x:f>
      </x:c>
      <x:c r="P213" s="24" t="str">
        <x:f>IF(AND(ISNUMBER(N213),ISNUMBER(O213)),O213-N213,"")</x:f>
      </x:c>
      <x:c r="Q213" s="3"/>
      <x:c r="R213" s="19" t="str">
        <x:f>IF(A213="","",IF(COUNTIFS('预测登记'!$A$7:$A$306,A213)&lt;&gt;1,"编号重复",IF(COUNTIFS('问题总览'!$A$7:$A$306,B213)&lt;&gt;1,"问题引用无效",IF(COUNTIFS('方案版本'!$A$7:$A$306,C213,'方案版本'!$B$7:$B$306,B213,'方案版本'!$L$7:$L$306,"已冻结")&lt;&gt;1,"方案引用无效",IF(OR(NOT(ISNUMBER(D213)),NOT(ISNUMBER(E213)),F213="",I213="",M213="",Q213=""),"待补预测信息",IF(D213&gt;E213,"非事前到期登记",IF(OR(AND(G213&lt;&gt;"",OR(NOT(ISNUMBER(G213)),G213&lt;0,G213&gt;1)),AND(H213&lt;&gt;"",OR(NOT(ISNUMBER(H213)),H213&lt;0,H213&gt;1))),"概率无效",IF(AND(I213="已判定",OR(NOT(ISNUMBER(J213)),AND(J213&lt;&gt;0,J213&lt;&gt;1),NOT(ISNUMBER(K213)),L213="")),"待补判定证据",IF(AND(I213="已判定",D213&gt;K213),"事后补录不评分","有效输入")))))))))</x:f>
      </x:c>
    </x:row>
    <x:row r="214" ht="25" customHeight="1">
      <x:c r="A214" s="3"/>
      <x:c r="B214" s="3"/>
      <x:c r="C214" s="3"/>
      <x:c r="D214" s="25"/>
      <x:c r="E214" s="25"/>
      <x:c r="F214" s="3"/>
      <x:c r="G214" s="26"/>
      <x:c r="H214" s="26"/>
      <x:c r="I214" s="3"/>
      <x:c r="J214" s="22"/>
      <x:c r="K214" s="25"/>
      <x:c r="L214" s="3"/>
      <x:c r="M214" s="3"/>
      <x:c r="N214" s="24" t="str">
        <x:f>IF(AND(R214="有效输入",I214="已判定",M214="是",ISNUMBER(G214)),(G214-J214)^2,"")</x:f>
      </x:c>
      <x:c r="O214" s="24" t="str">
        <x:f>IF(AND(ISNUMBER(N214),ISNUMBER(H214)),(H214-J214)^2,"")</x:f>
      </x:c>
      <x:c r="P214" s="24" t="str">
        <x:f>IF(AND(ISNUMBER(N214),ISNUMBER(O214)),O214-N214,"")</x:f>
      </x:c>
      <x:c r="Q214" s="3"/>
      <x:c r="R214" s="19" t="str">
        <x:f>IF(A214="","",IF(COUNTIFS('预测登记'!$A$7:$A$306,A214)&lt;&gt;1,"编号重复",IF(COUNTIFS('问题总览'!$A$7:$A$306,B214)&lt;&gt;1,"问题引用无效",IF(COUNTIFS('方案版本'!$A$7:$A$306,C214,'方案版本'!$B$7:$B$306,B214,'方案版本'!$L$7:$L$306,"已冻结")&lt;&gt;1,"方案引用无效",IF(OR(NOT(ISNUMBER(D214)),NOT(ISNUMBER(E214)),F214="",I214="",M214="",Q214=""),"待补预测信息",IF(D214&gt;E214,"非事前到期登记",IF(OR(AND(G214&lt;&gt;"",OR(NOT(ISNUMBER(G214)),G214&lt;0,G214&gt;1)),AND(H214&lt;&gt;"",OR(NOT(ISNUMBER(H214)),H214&lt;0,H214&gt;1))),"概率无效",IF(AND(I214="已判定",OR(NOT(ISNUMBER(J214)),AND(J214&lt;&gt;0,J214&lt;&gt;1),NOT(ISNUMBER(K214)),L214="")),"待补判定证据",IF(AND(I214="已判定",D214&gt;K214),"事后补录不评分","有效输入")))))))))</x:f>
      </x:c>
    </x:row>
    <x:row r="215" ht="25" customHeight="1">
      <x:c r="A215" s="3"/>
      <x:c r="B215" s="3"/>
      <x:c r="C215" s="3"/>
      <x:c r="D215" s="25"/>
      <x:c r="E215" s="25"/>
      <x:c r="F215" s="3"/>
      <x:c r="G215" s="26"/>
      <x:c r="H215" s="26"/>
      <x:c r="I215" s="3"/>
      <x:c r="J215" s="22"/>
      <x:c r="K215" s="25"/>
      <x:c r="L215" s="3"/>
      <x:c r="M215" s="3"/>
      <x:c r="N215" s="24" t="str">
        <x:f>IF(AND(R215="有效输入",I215="已判定",M215="是",ISNUMBER(G215)),(G215-J215)^2,"")</x:f>
      </x:c>
      <x:c r="O215" s="24" t="str">
        <x:f>IF(AND(ISNUMBER(N215),ISNUMBER(H215)),(H215-J215)^2,"")</x:f>
      </x:c>
      <x:c r="P215" s="24" t="str">
        <x:f>IF(AND(ISNUMBER(N215),ISNUMBER(O215)),O215-N215,"")</x:f>
      </x:c>
      <x:c r="Q215" s="3"/>
      <x:c r="R215" s="19" t="str">
        <x:f>IF(A215="","",IF(COUNTIFS('预测登记'!$A$7:$A$306,A215)&lt;&gt;1,"编号重复",IF(COUNTIFS('问题总览'!$A$7:$A$306,B215)&lt;&gt;1,"问题引用无效",IF(COUNTIFS('方案版本'!$A$7:$A$306,C215,'方案版本'!$B$7:$B$306,B215,'方案版本'!$L$7:$L$306,"已冻结")&lt;&gt;1,"方案引用无效",IF(OR(NOT(ISNUMBER(D215)),NOT(ISNUMBER(E215)),F215="",I215="",M215="",Q215=""),"待补预测信息",IF(D215&gt;E215,"非事前到期登记",IF(OR(AND(G215&lt;&gt;"",OR(NOT(ISNUMBER(G215)),G215&lt;0,G215&gt;1)),AND(H215&lt;&gt;"",OR(NOT(ISNUMBER(H215)),H215&lt;0,H215&gt;1))),"概率无效",IF(AND(I215="已判定",OR(NOT(ISNUMBER(J215)),AND(J215&lt;&gt;0,J215&lt;&gt;1),NOT(ISNUMBER(K215)),L215="")),"待补判定证据",IF(AND(I215="已判定",D215&gt;K215),"事后补录不评分","有效输入")))))))))</x:f>
      </x:c>
    </x:row>
    <x:row r="216" ht="25" customHeight="1">
      <x:c r="A216" s="3"/>
      <x:c r="B216" s="3"/>
      <x:c r="C216" s="3"/>
      <x:c r="D216" s="25"/>
      <x:c r="E216" s="25"/>
      <x:c r="F216" s="3"/>
      <x:c r="G216" s="26"/>
      <x:c r="H216" s="26"/>
      <x:c r="I216" s="3"/>
      <x:c r="J216" s="22"/>
      <x:c r="K216" s="25"/>
      <x:c r="L216" s="3"/>
      <x:c r="M216" s="3"/>
      <x:c r="N216" s="24" t="str">
        <x:f>IF(AND(R216="有效输入",I216="已判定",M216="是",ISNUMBER(G216)),(G216-J216)^2,"")</x:f>
      </x:c>
      <x:c r="O216" s="24" t="str">
        <x:f>IF(AND(ISNUMBER(N216),ISNUMBER(H216)),(H216-J216)^2,"")</x:f>
      </x:c>
      <x:c r="P216" s="24" t="str">
        <x:f>IF(AND(ISNUMBER(N216),ISNUMBER(O216)),O216-N216,"")</x:f>
      </x:c>
      <x:c r="Q216" s="3"/>
      <x:c r="R216" s="19" t="str">
        <x:f>IF(A216="","",IF(COUNTIFS('预测登记'!$A$7:$A$306,A216)&lt;&gt;1,"编号重复",IF(COUNTIFS('问题总览'!$A$7:$A$306,B216)&lt;&gt;1,"问题引用无效",IF(COUNTIFS('方案版本'!$A$7:$A$306,C216,'方案版本'!$B$7:$B$306,B216,'方案版本'!$L$7:$L$306,"已冻结")&lt;&gt;1,"方案引用无效",IF(OR(NOT(ISNUMBER(D216)),NOT(ISNUMBER(E216)),F216="",I216="",M216="",Q216=""),"待补预测信息",IF(D216&gt;E216,"非事前到期登记",IF(OR(AND(G216&lt;&gt;"",OR(NOT(ISNUMBER(G216)),G216&lt;0,G216&gt;1)),AND(H216&lt;&gt;"",OR(NOT(ISNUMBER(H216)),H216&lt;0,H216&gt;1))),"概率无效",IF(AND(I216="已判定",OR(NOT(ISNUMBER(J216)),AND(J216&lt;&gt;0,J216&lt;&gt;1),NOT(ISNUMBER(K216)),L216="")),"待补判定证据",IF(AND(I216="已判定",D216&gt;K216),"事后补录不评分","有效输入")))))))))</x:f>
      </x:c>
    </x:row>
    <x:row r="217" ht="25" customHeight="1">
      <x:c r="A217" s="3"/>
      <x:c r="B217" s="3"/>
      <x:c r="C217" s="3"/>
      <x:c r="D217" s="25"/>
      <x:c r="E217" s="25"/>
      <x:c r="F217" s="3"/>
      <x:c r="G217" s="26"/>
      <x:c r="H217" s="26"/>
      <x:c r="I217" s="3"/>
      <x:c r="J217" s="22"/>
      <x:c r="K217" s="25"/>
      <x:c r="L217" s="3"/>
      <x:c r="M217" s="3"/>
      <x:c r="N217" s="24" t="str">
        <x:f>IF(AND(R217="有效输入",I217="已判定",M217="是",ISNUMBER(G217)),(G217-J217)^2,"")</x:f>
      </x:c>
      <x:c r="O217" s="24" t="str">
        <x:f>IF(AND(ISNUMBER(N217),ISNUMBER(H217)),(H217-J217)^2,"")</x:f>
      </x:c>
      <x:c r="P217" s="24" t="str">
        <x:f>IF(AND(ISNUMBER(N217),ISNUMBER(O217)),O217-N217,"")</x:f>
      </x:c>
      <x:c r="Q217" s="3"/>
      <x:c r="R217" s="19" t="str">
        <x:f>IF(A217="","",IF(COUNTIFS('预测登记'!$A$7:$A$306,A217)&lt;&gt;1,"编号重复",IF(COUNTIFS('问题总览'!$A$7:$A$306,B217)&lt;&gt;1,"问题引用无效",IF(COUNTIFS('方案版本'!$A$7:$A$306,C217,'方案版本'!$B$7:$B$306,B217,'方案版本'!$L$7:$L$306,"已冻结")&lt;&gt;1,"方案引用无效",IF(OR(NOT(ISNUMBER(D217)),NOT(ISNUMBER(E217)),F217="",I217="",M217="",Q217=""),"待补预测信息",IF(D217&gt;E217,"非事前到期登记",IF(OR(AND(G217&lt;&gt;"",OR(NOT(ISNUMBER(G217)),G217&lt;0,G217&gt;1)),AND(H217&lt;&gt;"",OR(NOT(ISNUMBER(H217)),H217&lt;0,H217&gt;1))),"概率无效",IF(AND(I217="已判定",OR(NOT(ISNUMBER(J217)),AND(J217&lt;&gt;0,J217&lt;&gt;1),NOT(ISNUMBER(K217)),L217="")),"待补判定证据",IF(AND(I217="已判定",D217&gt;K217),"事后补录不评分","有效输入")))))))))</x:f>
      </x:c>
    </x:row>
    <x:row r="218" ht="25" customHeight="1">
      <x:c r="A218" s="3"/>
      <x:c r="B218" s="3"/>
      <x:c r="C218" s="3"/>
      <x:c r="D218" s="25"/>
      <x:c r="E218" s="25"/>
      <x:c r="F218" s="3"/>
      <x:c r="G218" s="26"/>
      <x:c r="H218" s="26"/>
      <x:c r="I218" s="3"/>
      <x:c r="J218" s="22"/>
      <x:c r="K218" s="25"/>
      <x:c r="L218" s="3"/>
      <x:c r="M218" s="3"/>
      <x:c r="N218" s="24" t="str">
        <x:f>IF(AND(R218="有效输入",I218="已判定",M218="是",ISNUMBER(G218)),(G218-J218)^2,"")</x:f>
      </x:c>
      <x:c r="O218" s="24" t="str">
        <x:f>IF(AND(ISNUMBER(N218),ISNUMBER(H218)),(H218-J218)^2,"")</x:f>
      </x:c>
      <x:c r="P218" s="24" t="str">
        <x:f>IF(AND(ISNUMBER(N218),ISNUMBER(O218)),O218-N218,"")</x:f>
      </x:c>
      <x:c r="Q218" s="3"/>
      <x:c r="R218" s="19" t="str">
        <x:f>IF(A218="","",IF(COUNTIFS('预测登记'!$A$7:$A$306,A218)&lt;&gt;1,"编号重复",IF(COUNTIFS('问题总览'!$A$7:$A$306,B218)&lt;&gt;1,"问题引用无效",IF(COUNTIFS('方案版本'!$A$7:$A$306,C218,'方案版本'!$B$7:$B$306,B218,'方案版本'!$L$7:$L$306,"已冻结")&lt;&gt;1,"方案引用无效",IF(OR(NOT(ISNUMBER(D218)),NOT(ISNUMBER(E218)),F218="",I218="",M218="",Q218=""),"待补预测信息",IF(D218&gt;E218,"非事前到期登记",IF(OR(AND(G218&lt;&gt;"",OR(NOT(ISNUMBER(G218)),G218&lt;0,G218&gt;1)),AND(H218&lt;&gt;"",OR(NOT(ISNUMBER(H218)),H218&lt;0,H218&gt;1))),"概率无效",IF(AND(I218="已判定",OR(NOT(ISNUMBER(J218)),AND(J218&lt;&gt;0,J218&lt;&gt;1),NOT(ISNUMBER(K218)),L218="")),"待补判定证据",IF(AND(I218="已判定",D218&gt;K218),"事后补录不评分","有效输入")))))))))</x:f>
      </x:c>
    </x:row>
    <x:row r="219" ht="25" customHeight="1">
      <x:c r="A219" s="3"/>
      <x:c r="B219" s="3"/>
      <x:c r="C219" s="3"/>
      <x:c r="D219" s="25"/>
      <x:c r="E219" s="25"/>
      <x:c r="F219" s="3"/>
      <x:c r="G219" s="26"/>
      <x:c r="H219" s="26"/>
      <x:c r="I219" s="3"/>
      <x:c r="J219" s="22"/>
      <x:c r="K219" s="25"/>
      <x:c r="L219" s="3"/>
      <x:c r="M219" s="3"/>
      <x:c r="N219" s="24" t="str">
        <x:f>IF(AND(R219="有效输入",I219="已判定",M219="是",ISNUMBER(G219)),(G219-J219)^2,"")</x:f>
      </x:c>
      <x:c r="O219" s="24" t="str">
        <x:f>IF(AND(ISNUMBER(N219),ISNUMBER(H219)),(H219-J219)^2,"")</x:f>
      </x:c>
      <x:c r="P219" s="24" t="str">
        <x:f>IF(AND(ISNUMBER(N219),ISNUMBER(O219)),O219-N219,"")</x:f>
      </x:c>
      <x:c r="Q219" s="3"/>
      <x:c r="R219" s="19" t="str">
        <x:f>IF(A219="","",IF(COUNTIFS('预测登记'!$A$7:$A$306,A219)&lt;&gt;1,"编号重复",IF(COUNTIFS('问题总览'!$A$7:$A$306,B219)&lt;&gt;1,"问题引用无效",IF(COUNTIFS('方案版本'!$A$7:$A$306,C219,'方案版本'!$B$7:$B$306,B219,'方案版本'!$L$7:$L$306,"已冻结")&lt;&gt;1,"方案引用无效",IF(OR(NOT(ISNUMBER(D219)),NOT(ISNUMBER(E219)),F219="",I219="",M219="",Q219=""),"待补预测信息",IF(D219&gt;E219,"非事前到期登记",IF(OR(AND(G219&lt;&gt;"",OR(NOT(ISNUMBER(G219)),G219&lt;0,G219&gt;1)),AND(H219&lt;&gt;"",OR(NOT(ISNUMBER(H219)),H219&lt;0,H219&gt;1))),"概率无效",IF(AND(I219="已判定",OR(NOT(ISNUMBER(J219)),AND(J219&lt;&gt;0,J219&lt;&gt;1),NOT(ISNUMBER(K219)),L219="")),"待补判定证据",IF(AND(I219="已判定",D219&gt;K219),"事后补录不评分","有效输入")))))))))</x:f>
      </x:c>
    </x:row>
    <x:row r="220" ht="25" customHeight="1">
      <x:c r="A220" s="3"/>
      <x:c r="B220" s="3"/>
      <x:c r="C220" s="3"/>
      <x:c r="D220" s="25"/>
      <x:c r="E220" s="25"/>
      <x:c r="F220" s="3"/>
      <x:c r="G220" s="26"/>
      <x:c r="H220" s="26"/>
      <x:c r="I220" s="3"/>
      <x:c r="J220" s="22"/>
      <x:c r="K220" s="25"/>
      <x:c r="L220" s="3"/>
      <x:c r="M220" s="3"/>
      <x:c r="N220" s="24" t="str">
        <x:f>IF(AND(R220="有效输入",I220="已判定",M220="是",ISNUMBER(G220)),(G220-J220)^2,"")</x:f>
      </x:c>
      <x:c r="O220" s="24" t="str">
        <x:f>IF(AND(ISNUMBER(N220),ISNUMBER(H220)),(H220-J220)^2,"")</x:f>
      </x:c>
      <x:c r="P220" s="24" t="str">
        <x:f>IF(AND(ISNUMBER(N220),ISNUMBER(O220)),O220-N220,"")</x:f>
      </x:c>
      <x:c r="Q220" s="3"/>
      <x:c r="R220" s="19" t="str">
        <x:f>IF(A220="","",IF(COUNTIFS('预测登记'!$A$7:$A$306,A220)&lt;&gt;1,"编号重复",IF(COUNTIFS('问题总览'!$A$7:$A$306,B220)&lt;&gt;1,"问题引用无效",IF(COUNTIFS('方案版本'!$A$7:$A$306,C220,'方案版本'!$B$7:$B$306,B220,'方案版本'!$L$7:$L$306,"已冻结")&lt;&gt;1,"方案引用无效",IF(OR(NOT(ISNUMBER(D220)),NOT(ISNUMBER(E220)),F220="",I220="",M220="",Q220=""),"待补预测信息",IF(D220&gt;E220,"非事前到期登记",IF(OR(AND(G220&lt;&gt;"",OR(NOT(ISNUMBER(G220)),G220&lt;0,G220&gt;1)),AND(H220&lt;&gt;"",OR(NOT(ISNUMBER(H220)),H220&lt;0,H220&gt;1))),"概率无效",IF(AND(I220="已判定",OR(NOT(ISNUMBER(J220)),AND(J220&lt;&gt;0,J220&lt;&gt;1),NOT(ISNUMBER(K220)),L220="")),"待补判定证据",IF(AND(I220="已判定",D220&gt;K220),"事后补录不评分","有效输入")))))))))</x:f>
      </x:c>
    </x:row>
    <x:row r="221" ht="25" customHeight="1">
      <x:c r="A221" s="3"/>
      <x:c r="B221" s="3"/>
      <x:c r="C221" s="3"/>
      <x:c r="D221" s="25"/>
      <x:c r="E221" s="25"/>
      <x:c r="F221" s="3"/>
      <x:c r="G221" s="26"/>
      <x:c r="H221" s="26"/>
      <x:c r="I221" s="3"/>
      <x:c r="J221" s="22"/>
      <x:c r="K221" s="25"/>
      <x:c r="L221" s="3"/>
      <x:c r="M221" s="3"/>
      <x:c r="N221" s="24" t="str">
        <x:f>IF(AND(R221="有效输入",I221="已判定",M221="是",ISNUMBER(G221)),(G221-J221)^2,"")</x:f>
      </x:c>
      <x:c r="O221" s="24" t="str">
        <x:f>IF(AND(ISNUMBER(N221),ISNUMBER(H221)),(H221-J221)^2,"")</x:f>
      </x:c>
      <x:c r="P221" s="24" t="str">
        <x:f>IF(AND(ISNUMBER(N221),ISNUMBER(O221)),O221-N221,"")</x:f>
      </x:c>
      <x:c r="Q221" s="3"/>
      <x:c r="R221" s="19" t="str">
        <x:f>IF(A221="","",IF(COUNTIFS('预测登记'!$A$7:$A$306,A221)&lt;&gt;1,"编号重复",IF(COUNTIFS('问题总览'!$A$7:$A$306,B221)&lt;&gt;1,"问题引用无效",IF(COUNTIFS('方案版本'!$A$7:$A$306,C221,'方案版本'!$B$7:$B$306,B221,'方案版本'!$L$7:$L$306,"已冻结")&lt;&gt;1,"方案引用无效",IF(OR(NOT(ISNUMBER(D221)),NOT(ISNUMBER(E221)),F221="",I221="",M221="",Q221=""),"待补预测信息",IF(D221&gt;E221,"非事前到期登记",IF(OR(AND(G221&lt;&gt;"",OR(NOT(ISNUMBER(G221)),G221&lt;0,G221&gt;1)),AND(H221&lt;&gt;"",OR(NOT(ISNUMBER(H221)),H221&lt;0,H221&gt;1))),"概率无效",IF(AND(I221="已判定",OR(NOT(ISNUMBER(J221)),AND(J221&lt;&gt;0,J221&lt;&gt;1),NOT(ISNUMBER(K221)),L221="")),"待补判定证据",IF(AND(I221="已判定",D221&gt;K221),"事后补录不评分","有效输入")))))))))</x:f>
      </x:c>
    </x:row>
    <x:row r="222" ht="25" customHeight="1">
      <x:c r="A222" s="3"/>
      <x:c r="B222" s="3"/>
      <x:c r="C222" s="3"/>
      <x:c r="D222" s="25"/>
      <x:c r="E222" s="25"/>
      <x:c r="F222" s="3"/>
      <x:c r="G222" s="26"/>
      <x:c r="H222" s="26"/>
      <x:c r="I222" s="3"/>
      <x:c r="J222" s="22"/>
      <x:c r="K222" s="25"/>
      <x:c r="L222" s="3"/>
      <x:c r="M222" s="3"/>
      <x:c r="N222" s="24" t="str">
        <x:f>IF(AND(R222="有效输入",I222="已判定",M222="是",ISNUMBER(G222)),(G222-J222)^2,"")</x:f>
      </x:c>
      <x:c r="O222" s="24" t="str">
        <x:f>IF(AND(ISNUMBER(N222),ISNUMBER(H222)),(H222-J222)^2,"")</x:f>
      </x:c>
      <x:c r="P222" s="24" t="str">
        <x:f>IF(AND(ISNUMBER(N222),ISNUMBER(O222)),O222-N222,"")</x:f>
      </x:c>
      <x:c r="Q222" s="3"/>
      <x:c r="R222" s="19" t="str">
        <x:f>IF(A222="","",IF(COUNTIFS('预测登记'!$A$7:$A$306,A222)&lt;&gt;1,"编号重复",IF(COUNTIFS('问题总览'!$A$7:$A$306,B222)&lt;&gt;1,"问题引用无效",IF(COUNTIFS('方案版本'!$A$7:$A$306,C222,'方案版本'!$B$7:$B$306,B222,'方案版本'!$L$7:$L$306,"已冻结")&lt;&gt;1,"方案引用无效",IF(OR(NOT(ISNUMBER(D222)),NOT(ISNUMBER(E222)),F222="",I222="",M222="",Q222=""),"待补预测信息",IF(D222&gt;E222,"非事前到期登记",IF(OR(AND(G222&lt;&gt;"",OR(NOT(ISNUMBER(G222)),G222&lt;0,G222&gt;1)),AND(H222&lt;&gt;"",OR(NOT(ISNUMBER(H222)),H222&lt;0,H222&gt;1))),"概率无效",IF(AND(I222="已判定",OR(NOT(ISNUMBER(J222)),AND(J222&lt;&gt;0,J222&lt;&gt;1),NOT(ISNUMBER(K222)),L222="")),"待补判定证据",IF(AND(I222="已判定",D222&gt;K222),"事后补录不评分","有效输入")))))))))</x:f>
      </x:c>
    </x:row>
    <x:row r="223" ht="25" customHeight="1">
      <x:c r="A223" s="3"/>
      <x:c r="B223" s="3"/>
      <x:c r="C223" s="3"/>
      <x:c r="D223" s="25"/>
      <x:c r="E223" s="25"/>
      <x:c r="F223" s="3"/>
      <x:c r="G223" s="26"/>
      <x:c r="H223" s="26"/>
      <x:c r="I223" s="3"/>
      <x:c r="J223" s="22"/>
      <x:c r="K223" s="25"/>
      <x:c r="L223" s="3"/>
      <x:c r="M223" s="3"/>
      <x:c r="N223" s="24" t="str">
        <x:f>IF(AND(R223="有效输入",I223="已判定",M223="是",ISNUMBER(G223)),(G223-J223)^2,"")</x:f>
      </x:c>
      <x:c r="O223" s="24" t="str">
        <x:f>IF(AND(ISNUMBER(N223),ISNUMBER(H223)),(H223-J223)^2,"")</x:f>
      </x:c>
      <x:c r="P223" s="24" t="str">
        <x:f>IF(AND(ISNUMBER(N223),ISNUMBER(O223)),O223-N223,"")</x:f>
      </x:c>
      <x:c r="Q223" s="3"/>
      <x:c r="R223" s="19" t="str">
        <x:f>IF(A223="","",IF(COUNTIFS('预测登记'!$A$7:$A$306,A223)&lt;&gt;1,"编号重复",IF(COUNTIFS('问题总览'!$A$7:$A$306,B223)&lt;&gt;1,"问题引用无效",IF(COUNTIFS('方案版本'!$A$7:$A$306,C223,'方案版本'!$B$7:$B$306,B223,'方案版本'!$L$7:$L$306,"已冻结")&lt;&gt;1,"方案引用无效",IF(OR(NOT(ISNUMBER(D223)),NOT(ISNUMBER(E223)),F223="",I223="",M223="",Q223=""),"待补预测信息",IF(D223&gt;E223,"非事前到期登记",IF(OR(AND(G223&lt;&gt;"",OR(NOT(ISNUMBER(G223)),G223&lt;0,G223&gt;1)),AND(H223&lt;&gt;"",OR(NOT(ISNUMBER(H223)),H223&lt;0,H223&gt;1))),"概率无效",IF(AND(I223="已判定",OR(NOT(ISNUMBER(J223)),AND(J223&lt;&gt;0,J223&lt;&gt;1),NOT(ISNUMBER(K223)),L223="")),"待补判定证据",IF(AND(I223="已判定",D223&gt;K223),"事后补录不评分","有效输入")))))))))</x:f>
      </x:c>
    </x:row>
    <x:row r="224" ht="25" customHeight="1">
      <x:c r="A224" s="3"/>
      <x:c r="B224" s="3"/>
      <x:c r="C224" s="3"/>
      <x:c r="D224" s="25"/>
      <x:c r="E224" s="25"/>
      <x:c r="F224" s="3"/>
      <x:c r="G224" s="26"/>
      <x:c r="H224" s="26"/>
      <x:c r="I224" s="3"/>
      <x:c r="J224" s="22"/>
      <x:c r="K224" s="25"/>
      <x:c r="L224" s="3"/>
      <x:c r="M224" s="3"/>
      <x:c r="N224" s="24" t="str">
        <x:f>IF(AND(R224="有效输入",I224="已判定",M224="是",ISNUMBER(G224)),(G224-J224)^2,"")</x:f>
      </x:c>
      <x:c r="O224" s="24" t="str">
        <x:f>IF(AND(ISNUMBER(N224),ISNUMBER(H224)),(H224-J224)^2,"")</x:f>
      </x:c>
      <x:c r="P224" s="24" t="str">
        <x:f>IF(AND(ISNUMBER(N224),ISNUMBER(O224)),O224-N224,"")</x:f>
      </x:c>
      <x:c r="Q224" s="3"/>
      <x:c r="R224" s="19" t="str">
        <x:f>IF(A224="","",IF(COUNTIFS('预测登记'!$A$7:$A$306,A224)&lt;&gt;1,"编号重复",IF(COUNTIFS('问题总览'!$A$7:$A$306,B224)&lt;&gt;1,"问题引用无效",IF(COUNTIFS('方案版本'!$A$7:$A$306,C224,'方案版本'!$B$7:$B$306,B224,'方案版本'!$L$7:$L$306,"已冻结")&lt;&gt;1,"方案引用无效",IF(OR(NOT(ISNUMBER(D224)),NOT(ISNUMBER(E224)),F224="",I224="",M224="",Q224=""),"待补预测信息",IF(D224&gt;E224,"非事前到期登记",IF(OR(AND(G224&lt;&gt;"",OR(NOT(ISNUMBER(G224)),G224&lt;0,G224&gt;1)),AND(H224&lt;&gt;"",OR(NOT(ISNUMBER(H224)),H224&lt;0,H224&gt;1))),"概率无效",IF(AND(I224="已判定",OR(NOT(ISNUMBER(J224)),AND(J224&lt;&gt;0,J224&lt;&gt;1),NOT(ISNUMBER(K224)),L224="")),"待补判定证据",IF(AND(I224="已判定",D224&gt;K224),"事后补录不评分","有效输入")))))))))</x:f>
      </x:c>
    </x:row>
    <x:row r="225" ht="25" customHeight="1">
      <x:c r="A225" s="3"/>
      <x:c r="B225" s="3"/>
      <x:c r="C225" s="3"/>
      <x:c r="D225" s="25"/>
      <x:c r="E225" s="25"/>
      <x:c r="F225" s="3"/>
      <x:c r="G225" s="26"/>
      <x:c r="H225" s="26"/>
      <x:c r="I225" s="3"/>
      <x:c r="J225" s="22"/>
      <x:c r="K225" s="25"/>
      <x:c r="L225" s="3"/>
      <x:c r="M225" s="3"/>
      <x:c r="N225" s="24" t="str">
        <x:f>IF(AND(R225="有效输入",I225="已判定",M225="是",ISNUMBER(G225)),(G225-J225)^2,"")</x:f>
      </x:c>
      <x:c r="O225" s="24" t="str">
        <x:f>IF(AND(ISNUMBER(N225),ISNUMBER(H225)),(H225-J225)^2,"")</x:f>
      </x:c>
      <x:c r="P225" s="24" t="str">
        <x:f>IF(AND(ISNUMBER(N225),ISNUMBER(O225)),O225-N225,"")</x:f>
      </x:c>
      <x:c r="Q225" s="3"/>
      <x:c r="R225" s="19" t="str">
        <x:f>IF(A225="","",IF(COUNTIFS('预测登记'!$A$7:$A$306,A225)&lt;&gt;1,"编号重复",IF(COUNTIFS('问题总览'!$A$7:$A$306,B225)&lt;&gt;1,"问题引用无效",IF(COUNTIFS('方案版本'!$A$7:$A$306,C225,'方案版本'!$B$7:$B$306,B225,'方案版本'!$L$7:$L$306,"已冻结")&lt;&gt;1,"方案引用无效",IF(OR(NOT(ISNUMBER(D225)),NOT(ISNUMBER(E225)),F225="",I225="",M225="",Q225=""),"待补预测信息",IF(D225&gt;E225,"非事前到期登记",IF(OR(AND(G225&lt;&gt;"",OR(NOT(ISNUMBER(G225)),G225&lt;0,G225&gt;1)),AND(H225&lt;&gt;"",OR(NOT(ISNUMBER(H225)),H225&lt;0,H225&gt;1))),"概率无效",IF(AND(I225="已判定",OR(NOT(ISNUMBER(J225)),AND(J225&lt;&gt;0,J225&lt;&gt;1),NOT(ISNUMBER(K225)),L225="")),"待补判定证据",IF(AND(I225="已判定",D225&gt;K225),"事后补录不评分","有效输入")))))))))</x:f>
      </x:c>
    </x:row>
    <x:row r="226" ht="25" customHeight="1">
      <x:c r="A226" s="3"/>
      <x:c r="B226" s="3"/>
      <x:c r="C226" s="3"/>
      <x:c r="D226" s="25"/>
      <x:c r="E226" s="25"/>
      <x:c r="F226" s="3"/>
      <x:c r="G226" s="26"/>
      <x:c r="H226" s="26"/>
      <x:c r="I226" s="3"/>
      <x:c r="J226" s="22"/>
      <x:c r="K226" s="25"/>
      <x:c r="L226" s="3"/>
      <x:c r="M226" s="3"/>
      <x:c r="N226" s="24" t="str">
        <x:f>IF(AND(R226="有效输入",I226="已判定",M226="是",ISNUMBER(G226)),(G226-J226)^2,"")</x:f>
      </x:c>
      <x:c r="O226" s="24" t="str">
        <x:f>IF(AND(ISNUMBER(N226),ISNUMBER(H226)),(H226-J226)^2,"")</x:f>
      </x:c>
      <x:c r="P226" s="24" t="str">
        <x:f>IF(AND(ISNUMBER(N226),ISNUMBER(O226)),O226-N226,"")</x:f>
      </x:c>
      <x:c r="Q226" s="3"/>
      <x:c r="R226" s="19" t="str">
        <x:f>IF(A226="","",IF(COUNTIFS('预测登记'!$A$7:$A$306,A226)&lt;&gt;1,"编号重复",IF(COUNTIFS('问题总览'!$A$7:$A$306,B226)&lt;&gt;1,"问题引用无效",IF(COUNTIFS('方案版本'!$A$7:$A$306,C226,'方案版本'!$B$7:$B$306,B226,'方案版本'!$L$7:$L$306,"已冻结")&lt;&gt;1,"方案引用无效",IF(OR(NOT(ISNUMBER(D226)),NOT(ISNUMBER(E226)),F226="",I226="",M226="",Q226=""),"待补预测信息",IF(D226&gt;E226,"非事前到期登记",IF(OR(AND(G226&lt;&gt;"",OR(NOT(ISNUMBER(G226)),G226&lt;0,G226&gt;1)),AND(H226&lt;&gt;"",OR(NOT(ISNUMBER(H226)),H226&lt;0,H226&gt;1))),"概率无效",IF(AND(I226="已判定",OR(NOT(ISNUMBER(J226)),AND(J226&lt;&gt;0,J226&lt;&gt;1),NOT(ISNUMBER(K226)),L226="")),"待补判定证据",IF(AND(I226="已判定",D226&gt;K226),"事后补录不评分","有效输入")))))))))</x:f>
      </x:c>
    </x:row>
    <x:row r="227" ht="25" customHeight="1">
      <x:c r="A227" s="3"/>
      <x:c r="B227" s="3"/>
      <x:c r="C227" s="3"/>
      <x:c r="D227" s="25"/>
      <x:c r="E227" s="25"/>
      <x:c r="F227" s="3"/>
      <x:c r="G227" s="26"/>
      <x:c r="H227" s="26"/>
      <x:c r="I227" s="3"/>
      <x:c r="J227" s="22"/>
      <x:c r="K227" s="25"/>
      <x:c r="L227" s="3"/>
      <x:c r="M227" s="3"/>
      <x:c r="N227" s="24" t="str">
        <x:f>IF(AND(R227="有效输入",I227="已判定",M227="是",ISNUMBER(G227)),(G227-J227)^2,"")</x:f>
      </x:c>
      <x:c r="O227" s="24" t="str">
        <x:f>IF(AND(ISNUMBER(N227),ISNUMBER(H227)),(H227-J227)^2,"")</x:f>
      </x:c>
      <x:c r="P227" s="24" t="str">
        <x:f>IF(AND(ISNUMBER(N227),ISNUMBER(O227)),O227-N227,"")</x:f>
      </x:c>
      <x:c r="Q227" s="3"/>
      <x:c r="R227" s="19" t="str">
        <x:f>IF(A227="","",IF(COUNTIFS('预测登记'!$A$7:$A$306,A227)&lt;&gt;1,"编号重复",IF(COUNTIFS('问题总览'!$A$7:$A$306,B227)&lt;&gt;1,"问题引用无效",IF(COUNTIFS('方案版本'!$A$7:$A$306,C227,'方案版本'!$B$7:$B$306,B227,'方案版本'!$L$7:$L$306,"已冻结")&lt;&gt;1,"方案引用无效",IF(OR(NOT(ISNUMBER(D227)),NOT(ISNUMBER(E227)),F227="",I227="",M227="",Q227=""),"待补预测信息",IF(D227&gt;E227,"非事前到期登记",IF(OR(AND(G227&lt;&gt;"",OR(NOT(ISNUMBER(G227)),G227&lt;0,G227&gt;1)),AND(H227&lt;&gt;"",OR(NOT(ISNUMBER(H227)),H227&lt;0,H227&gt;1))),"概率无效",IF(AND(I227="已判定",OR(NOT(ISNUMBER(J227)),AND(J227&lt;&gt;0,J227&lt;&gt;1),NOT(ISNUMBER(K227)),L227="")),"待补判定证据",IF(AND(I227="已判定",D227&gt;K227),"事后补录不评分","有效输入")))))))))</x:f>
      </x:c>
    </x:row>
    <x:row r="228" ht="25" customHeight="1">
      <x:c r="A228" s="3"/>
      <x:c r="B228" s="3"/>
      <x:c r="C228" s="3"/>
      <x:c r="D228" s="25"/>
      <x:c r="E228" s="25"/>
      <x:c r="F228" s="3"/>
      <x:c r="G228" s="26"/>
      <x:c r="H228" s="26"/>
      <x:c r="I228" s="3"/>
      <x:c r="J228" s="22"/>
      <x:c r="K228" s="25"/>
      <x:c r="L228" s="3"/>
      <x:c r="M228" s="3"/>
      <x:c r="N228" s="24" t="str">
        <x:f>IF(AND(R228="有效输入",I228="已判定",M228="是",ISNUMBER(G228)),(G228-J228)^2,"")</x:f>
      </x:c>
      <x:c r="O228" s="24" t="str">
        <x:f>IF(AND(ISNUMBER(N228),ISNUMBER(H228)),(H228-J228)^2,"")</x:f>
      </x:c>
      <x:c r="P228" s="24" t="str">
        <x:f>IF(AND(ISNUMBER(N228),ISNUMBER(O228)),O228-N228,"")</x:f>
      </x:c>
      <x:c r="Q228" s="3"/>
      <x:c r="R228" s="19" t="str">
        <x:f>IF(A228="","",IF(COUNTIFS('预测登记'!$A$7:$A$306,A228)&lt;&gt;1,"编号重复",IF(COUNTIFS('问题总览'!$A$7:$A$306,B228)&lt;&gt;1,"问题引用无效",IF(COUNTIFS('方案版本'!$A$7:$A$306,C228,'方案版本'!$B$7:$B$306,B228,'方案版本'!$L$7:$L$306,"已冻结")&lt;&gt;1,"方案引用无效",IF(OR(NOT(ISNUMBER(D228)),NOT(ISNUMBER(E228)),F228="",I228="",M228="",Q228=""),"待补预测信息",IF(D228&gt;E228,"非事前到期登记",IF(OR(AND(G228&lt;&gt;"",OR(NOT(ISNUMBER(G228)),G228&lt;0,G228&gt;1)),AND(H228&lt;&gt;"",OR(NOT(ISNUMBER(H228)),H228&lt;0,H228&gt;1))),"概率无效",IF(AND(I228="已判定",OR(NOT(ISNUMBER(J228)),AND(J228&lt;&gt;0,J228&lt;&gt;1),NOT(ISNUMBER(K228)),L228="")),"待补判定证据",IF(AND(I228="已判定",D228&gt;K228),"事后补录不评分","有效输入")))))))))</x:f>
      </x:c>
    </x:row>
    <x:row r="229" ht="25" customHeight="1">
      <x:c r="A229" s="3"/>
      <x:c r="B229" s="3"/>
      <x:c r="C229" s="3"/>
      <x:c r="D229" s="25"/>
      <x:c r="E229" s="25"/>
      <x:c r="F229" s="3"/>
      <x:c r="G229" s="26"/>
      <x:c r="H229" s="26"/>
      <x:c r="I229" s="3"/>
      <x:c r="J229" s="22"/>
      <x:c r="K229" s="25"/>
      <x:c r="L229" s="3"/>
      <x:c r="M229" s="3"/>
      <x:c r="N229" s="24" t="str">
        <x:f>IF(AND(R229="有效输入",I229="已判定",M229="是",ISNUMBER(G229)),(G229-J229)^2,"")</x:f>
      </x:c>
      <x:c r="O229" s="24" t="str">
        <x:f>IF(AND(ISNUMBER(N229),ISNUMBER(H229)),(H229-J229)^2,"")</x:f>
      </x:c>
      <x:c r="P229" s="24" t="str">
        <x:f>IF(AND(ISNUMBER(N229),ISNUMBER(O229)),O229-N229,"")</x:f>
      </x:c>
      <x:c r="Q229" s="3"/>
      <x:c r="R229" s="19" t="str">
        <x:f>IF(A229="","",IF(COUNTIFS('预测登记'!$A$7:$A$306,A229)&lt;&gt;1,"编号重复",IF(COUNTIFS('问题总览'!$A$7:$A$306,B229)&lt;&gt;1,"问题引用无效",IF(COUNTIFS('方案版本'!$A$7:$A$306,C229,'方案版本'!$B$7:$B$306,B229,'方案版本'!$L$7:$L$306,"已冻结")&lt;&gt;1,"方案引用无效",IF(OR(NOT(ISNUMBER(D229)),NOT(ISNUMBER(E229)),F229="",I229="",M229="",Q229=""),"待补预测信息",IF(D229&gt;E229,"非事前到期登记",IF(OR(AND(G229&lt;&gt;"",OR(NOT(ISNUMBER(G229)),G229&lt;0,G229&gt;1)),AND(H229&lt;&gt;"",OR(NOT(ISNUMBER(H229)),H229&lt;0,H229&gt;1))),"概率无效",IF(AND(I229="已判定",OR(NOT(ISNUMBER(J229)),AND(J229&lt;&gt;0,J229&lt;&gt;1),NOT(ISNUMBER(K229)),L229="")),"待补判定证据",IF(AND(I229="已判定",D229&gt;K229),"事后补录不评分","有效输入")))))))))</x:f>
      </x:c>
    </x:row>
    <x:row r="230" ht="25" customHeight="1">
      <x:c r="A230" s="3"/>
      <x:c r="B230" s="3"/>
      <x:c r="C230" s="3"/>
      <x:c r="D230" s="25"/>
      <x:c r="E230" s="25"/>
      <x:c r="F230" s="3"/>
      <x:c r="G230" s="26"/>
      <x:c r="H230" s="26"/>
      <x:c r="I230" s="3"/>
      <x:c r="J230" s="22"/>
      <x:c r="K230" s="25"/>
      <x:c r="L230" s="3"/>
      <x:c r="M230" s="3"/>
      <x:c r="N230" s="24" t="str">
        <x:f>IF(AND(R230="有效输入",I230="已判定",M230="是",ISNUMBER(G230)),(G230-J230)^2,"")</x:f>
      </x:c>
      <x:c r="O230" s="24" t="str">
        <x:f>IF(AND(ISNUMBER(N230),ISNUMBER(H230)),(H230-J230)^2,"")</x:f>
      </x:c>
      <x:c r="P230" s="24" t="str">
        <x:f>IF(AND(ISNUMBER(N230),ISNUMBER(O230)),O230-N230,"")</x:f>
      </x:c>
      <x:c r="Q230" s="3"/>
      <x:c r="R230" s="19" t="str">
        <x:f>IF(A230="","",IF(COUNTIFS('预测登记'!$A$7:$A$306,A230)&lt;&gt;1,"编号重复",IF(COUNTIFS('问题总览'!$A$7:$A$306,B230)&lt;&gt;1,"问题引用无效",IF(COUNTIFS('方案版本'!$A$7:$A$306,C230,'方案版本'!$B$7:$B$306,B230,'方案版本'!$L$7:$L$306,"已冻结")&lt;&gt;1,"方案引用无效",IF(OR(NOT(ISNUMBER(D230)),NOT(ISNUMBER(E230)),F230="",I230="",M230="",Q230=""),"待补预测信息",IF(D230&gt;E230,"非事前到期登记",IF(OR(AND(G230&lt;&gt;"",OR(NOT(ISNUMBER(G230)),G230&lt;0,G230&gt;1)),AND(H230&lt;&gt;"",OR(NOT(ISNUMBER(H230)),H230&lt;0,H230&gt;1))),"概率无效",IF(AND(I230="已判定",OR(NOT(ISNUMBER(J230)),AND(J230&lt;&gt;0,J230&lt;&gt;1),NOT(ISNUMBER(K230)),L230="")),"待补判定证据",IF(AND(I230="已判定",D230&gt;K230),"事后补录不评分","有效输入")))))))))</x:f>
      </x:c>
    </x:row>
    <x:row r="231" ht="25" customHeight="1">
      <x:c r="A231" s="3"/>
      <x:c r="B231" s="3"/>
      <x:c r="C231" s="3"/>
      <x:c r="D231" s="25"/>
      <x:c r="E231" s="25"/>
      <x:c r="F231" s="3"/>
      <x:c r="G231" s="26"/>
      <x:c r="H231" s="26"/>
      <x:c r="I231" s="3"/>
      <x:c r="J231" s="22"/>
      <x:c r="K231" s="25"/>
      <x:c r="L231" s="3"/>
      <x:c r="M231" s="3"/>
      <x:c r="N231" s="24" t="str">
        <x:f>IF(AND(R231="有效输入",I231="已判定",M231="是",ISNUMBER(G231)),(G231-J231)^2,"")</x:f>
      </x:c>
      <x:c r="O231" s="24" t="str">
        <x:f>IF(AND(ISNUMBER(N231),ISNUMBER(H231)),(H231-J231)^2,"")</x:f>
      </x:c>
      <x:c r="P231" s="24" t="str">
        <x:f>IF(AND(ISNUMBER(N231),ISNUMBER(O231)),O231-N231,"")</x:f>
      </x:c>
      <x:c r="Q231" s="3"/>
      <x:c r="R231" s="19" t="str">
        <x:f>IF(A231="","",IF(COUNTIFS('预测登记'!$A$7:$A$306,A231)&lt;&gt;1,"编号重复",IF(COUNTIFS('问题总览'!$A$7:$A$306,B231)&lt;&gt;1,"问题引用无效",IF(COUNTIFS('方案版本'!$A$7:$A$306,C231,'方案版本'!$B$7:$B$306,B231,'方案版本'!$L$7:$L$306,"已冻结")&lt;&gt;1,"方案引用无效",IF(OR(NOT(ISNUMBER(D231)),NOT(ISNUMBER(E231)),F231="",I231="",M231="",Q231=""),"待补预测信息",IF(D231&gt;E231,"非事前到期登记",IF(OR(AND(G231&lt;&gt;"",OR(NOT(ISNUMBER(G231)),G231&lt;0,G231&gt;1)),AND(H231&lt;&gt;"",OR(NOT(ISNUMBER(H231)),H231&lt;0,H231&gt;1))),"概率无效",IF(AND(I231="已判定",OR(NOT(ISNUMBER(J231)),AND(J231&lt;&gt;0,J231&lt;&gt;1),NOT(ISNUMBER(K231)),L231="")),"待补判定证据",IF(AND(I231="已判定",D231&gt;K231),"事后补录不评分","有效输入")))))))))</x:f>
      </x:c>
    </x:row>
    <x:row r="232" ht="25" customHeight="1">
      <x:c r="A232" s="3"/>
      <x:c r="B232" s="3"/>
      <x:c r="C232" s="3"/>
      <x:c r="D232" s="25"/>
      <x:c r="E232" s="25"/>
      <x:c r="F232" s="3"/>
      <x:c r="G232" s="26"/>
      <x:c r="H232" s="26"/>
      <x:c r="I232" s="3"/>
      <x:c r="J232" s="22"/>
      <x:c r="K232" s="25"/>
      <x:c r="L232" s="3"/>
      <x:c r="M232" s="3"/>
      <x:c r="N232" s="24" t="str">
        <x:f>IF(AND(R232="有效输入",I232="已判定",M232="是",ISNUMBER(G232)),(G232-J232)^2,"")</x:f>
      </x:c>
      <x:c r="O232" s="24" t="str">
        <x:f>IF(AND(ISNUMBER(N232),ISNUMBER(H232)),(H232-J232)^2,"")</x:f>
      </x:c>
      <x:c r="P232" s="24" t="str">
        <x:f>IF(AND(ISNUMBER(N232),ISNUMBER(O232)),O232-N232,"")</x:f>
      </x:c>
      <x:c r="Q232" s="3"/>
      <x:c r="R232" s="19" t="str">
        <x:f>IF(A232="","",IF(COUNTIFS('预测登记'!$A$7:$A$306,A232)&lt;&gt;1,"编号重复",IF(COUNTIFS('问题总览'!$A$7:$A$306,B232)&lt;&gt;1,"问题引用无效",IF(COUNTIFS('方案版本'!$A$7:$A$306,C232,'方案版本'!$B$7:$B$306,B232,'方案版本'!$L$7:$L$306,"已冻结")&lt;&gt;1,"方案引用无效",IF(OR(NOT(ISNUMBER(D232)),NOT(ISNUMBER(E232)),F232="",I232="",M232="",Q232=""),"待补预测信息",IF(D232&gt;E232,"非事前到期登记",IF(OR(AND(G232&lt;&gt;"",OR(NOT(ISNUMBER(G232)),G232&lt;0,G232&gt;1)),AND(H232&lt;&gt;"",OR(NOT(ISNUMBER(H232)),H232&lt;0,H232&gt;1))),"概率无效",IF(AND(I232="已判定",OR(NOT(ISNUMBER(J232)),AND(J232&lt;&gt;0,J232&lt;&gt;1),NOT(ISNUMBER(K232)),L232="")),"待补判定证据",IF(AND(I232="已判定",D232&gt;K232),"事后补录不评分","有效输入")))))))))</x:f>
      </x:c>
    </x:row>
    <x:row r="233" ht="25" customHeight="1">
      <x:c r="A233" s="3"/>
      <x:c r="B233" s="3"/>
      <x:c r="C233" s="3"/>
      <x:c r="D233" s="25"/>
      <x:c r="E233" s="25"/>
      <x:c r="F233" s="3"/>
      <x:c r="G233" s="26"/>
      <x:c r="H233" s="26"/>
      <x:c r="I233" s="3"/>
      <x:c r="J233" s="22"/>
      <x:c r="K233" s="25"/>
      <x:c r="L233" s="3"/>
      <x:c r="M233" s="3"/>
      <x:c r="N233" s="24" t="str">
        <x:f>IF(AND(R233="有效输入",I233="已判定",M233="是",ISNUMBER(G233)),(G233-J233)^2,"")</x:f>
      </x:c>
      <x:c r="O233" s="24" t="str">
        <x:f>IF(AND(ISNUMBER(N233),ISNUMBER(H233)),(H233-J233)^2,"")</x:f>
      </x:c>
      <x:c r="P233" s="24" t="str">
        <x:f>IF(AND(ISNUMBER(N233),ISNUMBER(O233)),O233-N233,"")</x:f>
      </x:c>
      <x:c r="Q233" s="3"/>
      <x:c r="R233" s="19" t="str">
        <x:f>IF(A233="","",IF(COUNTIFS('预测登记'!$A$7:$A$306,A233)&lt;&gt;1,"编号重复",IF(COUNTIFS('问题总览'!$A$7:$A$306,B233)&lt;&gt;1,"问题引用无效",IF(COUNTIFS('方案版本'!$A$7:$A$306,C233,'方案版本'!$B$7:$B$306,B233,'方案版本'!$L$7:$L$306,"已冻结")&lt;&gt;1,"方案引用无效",IF(OR(NOT(ISNUMBER(D233)),NOT(ISNUMBER(E233)),F233="",I233="",M233="",Q233=""),"待补预测信息",IF(D233&gt;E233,"非事前到期登记",IF(OR(AND(G233&lt;&gt;"",OR(NOT(ISNUMBER(G233)),G233&lt;0,G233&gt;1)),AND(H233&lt;&gt;"",OR(NOT(ISNUMBER(H233)),H233&lt;0,H233&gt;1))),"概率无效",IF(AND(I233="已判定",OR(NOT(ISNUMBER(J233)),AND(J233&lt;&gt;0,J233&lt;&gt;1),NOT(ISNUMBER(K233)),L233="")),"待补判定证据",IF(AND(I233="已判定",D233&gt;K233),"事后补录不评分","有效输入")))))))))</x:f>
      </x:c>
    </x:row>
    <x:row r="234" ht="25" customHeight="1">
      <x:c r="A234" s="3"/>
      <x:c r="B234" s="3"/>
      <x:c r="C234" s="3"/>
      <x:c r="D234" s="25"/>
      <x:c r="E234" s="25"/>
      <x:c r="F234" s="3"/>
      <x:c r="G234" s="26"/>
      <x:c r="H234" s="26"/>
      <x:c r="I234" s="3"/>
      <x:c r="J234" s="22"/>
      <x:c r="K234" s="25"/>
      <x:c r="L234" s="3"/>
      <x:c r="M234" s="3"/>
      <x:c r="N234" s="24" t="str">
        <x:f>IF(AND(R234="有效输入",I234="已判定",M234="是",ISNUMBER(G234)),(G234-J234)^2,"")</x:f>
      </x:c>
      <x:c r="O234" s="24" t="str">
        <x:f>IF(AND(ISNUMBER(N234),ISNUMBER(H234)),(H234-J234)^2,"")</x:f>
      </x:c>
      <x:c r="P234" s="24" t="str">
        <x:f>IF(AND(ISNUMBER(N234),ISNUMBER(O234)),O234-N234,"")</x:f>
      </x:c>
      <x:c r="Q234" s="3"/>
      <x:c r="R234" s="19" t="str">
        <x:f>IF(A234="","",IF(COUNTIFS('预测登记'!$A$7:$A$306,A234)&lt;&gt;1,"编号重复",IF(COUNTIFS('问题总览'!$A$7:$A$306,B234)&lt;&gt;1,"问题引用无效",IF(COUNTIFS('方案版本'!$A$7:$A$306,C234,'方案版本'!$B$7:$B$306,B234,'方案版本'!$L$7:$L$306,"已冻结")&lt;&gt;1,"方案引用无效",IF(OR(NOT(ISNUMBER(D234)),NOT(ISNUMBER(E234)),F234="",I234="",M234="",Q234=""),"待补预测信息",IF(D234&gt;E234,"非事前到期登记",IF(OR(AND(G234&lt;&gt;"",OR(NOT(ISNUMBER(G234)),G234&lt;0,G234&gt;1)),AND(H234&lt;&gt;"",OR(NOT(ISNUMBER(H234)),H234&lt;0,H234&gt;1))),"概率无效",IF(AND(I234="已判定",OR(NOT(ISNUMBER(J234)),AND(J234&lt;&gt;0,J234&lt;&gt;1),NOT(ISNUMBER(K234)),L234="")),"待补判定证据",IF(AND(I234="已判定",D234&gt;K234),"事后补录不评分","有效输入")))))))))</x:f>
      </x:c>
    </x:row>
    <x:row r="235" ht="25" customHeight="1">
      <x:c r="A235" s="3"/>
      <x:c r="B235" s="3"/>
      <x:c r="C235" s="3"/>
      <x:c r="D235" s="25"/>
      <x:c r="E235" s="25"/>
      <x:c r="F235" s="3"/>
      <x:c r="G235" s="26"/>
      <x:c r="H235" s="26"/>
      <x:c r="I235" s="3"/>
      <x:c r="J235" s="22"/>
      <x:c r="K235" s="25"/>
      <x:c r="L235" s="3"/>
      <x:c r="M235" s="3"/>
      <x:c r="N235" s="24" t="str">
        <x:f>IF(AND(R235="有效输入",I235="已判定",M235="是",ISNUMBER(G235)),(G235-J235)^2,"")</x:f>
      </x:c>
      <x:c r="O235" s="24" t="str">
        <x:f>IF(AND(ISNUMBER(N235),ISNUMBER(H235)),(H235-J235)^2,"")</x:f>
      </x:c>
      <x:c r="P235" s="24" t="str">
        <x:f>IF(AND(ISNUMBER(N235),ISNUMBER(O235)),O235-N235,"")</x:f>
      </x:c>
      <x:c r="Q235" s="3"/>
      <x:c r="R235" s="19" t="str">
        <x:f>IF(A235="","",IF(COUNTIFS('预测登记'!$A$7:$A$306,A235)&lt;&gt;1,"编号重复",IF(COUNTIFS('问题总览'!$A$7:$A$306,B235)&lt;&gt;1,"问题引用无效",IF(COUNTIFS('方案版本'!$A$7:$A$306,C235,'方案版本'!$B$7:$B$306,B235,'方案版本'!$L$7:$L$306,"已冻结")&lt;&gt;1,"方案引用无效",IF(OR(NOT(ISNUMBER(D235)),NOT(ISNUMBER(E235)),F235="",I235="",M235="",Q235=""),"待补预测信息",IF(D235&gt;E235,"非事前到期登记",IF(OR(AND(G235&lt;&gt;"",OR(NOT(ISNUMBER(G235)),G235&lt;0,G235&gt;1)),AND(H235&lt;&gt;"",OR(NOT(ISNUMBER(H235)),H235&lt;0,H235&gt;1))),"概率无效",IF(AND(I235="已判定",OR(NOT(ISNUMBER(J235)),AND(J235&lt;&gt;0,J235&lt;&gt;1),NOT(ISNUMBER(K235)),L235="")),"待补判定证据",IF(AND(I235="已判定",D235&gt;K235),"事后补录不评分","有效输入")))))))))</x:f>
      </x:c>
    </x:row>
    <x:row r="236" ht="25" customHeight="1">
      <x:c r="A236" s="3"/>
      <x:c r="B236" s="3"/>
      <x:c r="C236" s="3"/>
      <x:c r="D236" s="25"/>
      <x:c r="E236" s="25"/>
      <x:c r="F236" s="3"/>
      <x:c r="G236" s="26"/>
      <x:c r="H236" s="26"/>
      <x:c r="I236" s="3"/>
      <x:c r="J236" s="22"/>
      <x:c r="K236" s="25"/>
      <x:c r="L236" s="3"/>
      <x:c r="M236" s="3"/>
      <x:c r="N236" s="24" t="str">
        <x:f>IF(AND(R236="有效输入",I236="已判定",M236="是",ISNUMBER(G236)),(G236-J236)^2,"")</x:f>
      </x:c>
      <x:c r="O236" s="24" t="str">
        <x:f>IF(AND(ISNUMBER(N236),ISNUMBER(H236)),(H236-J236)^2,"")</x:f>
      </x:c>
      <x:c r="P236" s="24" t="str">
        <x:f>IF(AND(ISNUMBER(N236),ISNUMBER(O236)),O236-N236,"")</x:f>
      </x:c>
      <x:c r="Q236" s="3"/>
      <x:c r="R236" s="19" t="str">
        <x:f>IF(A236="","",IF(COUNTIFS('预测登记'!$A$7:$A$306,A236)&lt;&gt;1,"编号重复",IF(COUNTIFS('问题总览'!$A$7:$A$306,B236)&lt;&gt;1,"问题引用无效",IF(COUNTIFS('方案版本'!$A$7:$A$306,C236,'方案版本'!$B$7:$B$306,B236,'方案版本'!$L$7:$L$306,"已冻结")&lt;&gt;1,"方案引用无效",IF(OR(NOT(ISNUMBER(D236)),NOT(ISNUMBER(E236)),F236="",I236="",M236="",Q236=""),"待补预测信息",IF(D236&gt;E236,"非事前到期登记",IF(OR(AND(G236&lt;&gt;"",OR(NOT(ISNUMBER(G236)),G236&lt;0,G236&gt;1)),AND(H236&lt;&gt;"",OR(NOT(ISNUMBER(H236)),H236&lt;0,H236&gt;1))),"概率无效",IF(AND(I236="已判定",OR(NOT(ISNUMBER(J236)),AND(J236&lt;&gt;0,J236&lt;&gt;1),NOT(ISNUMBER(K236)),L236="")),"待补判定证据",IF(AND(I236="已判定",D236&gt;K236),"事后补录不评分","有效输入")))))))))</x:f>
      </x:c>
    </x:row>
    <x:row r="237" ht="25" customHeight="1">
      <x:c r="A237" s="3"/>
      <x:c r="B237" s="3"/>
      <x:c r="C237" s="3"/>
      <x:c r="D237" s="25"/>
      <x:c r="E237" s="25"/>
      <x:c r="F237" s="3"/>
      <x:c r="G237" s="26"/>
      <x:c r="H237" s="26"/>
      <x:c r="I237" s="3"/>
      <x:c r="J237" s="22"/>
      <x:c r="K237" s="25"/>
      <x:c r="L237" s="3"/>
      <x:c r="M237" s="3"/>
      <x:c r="N237" s="24" t="str">
        <x:f>IF(AND(R237="有效输入",I237="已判定",M237="是",ISNUMBER(G237)),(G237-J237)^2,"")</x:f>
      </x:c>
      <x:c r="O237" s="24" t="str">
        <x:f>IF(AND(ISNUMBER(N237),ISNUMBER(H237)),(H237-J237)^2,"")</x:f>
      </x:c>
      <x:c r="P237" s="24" t="str">
        <x:f>IF(AND(ISNUMBER(N237),ISNUMBER(O237)),O237-N237,"")</x:f>
      </x:c>
      <x:c r="Q237" s="3"/>
      <x:c r="R237" s="19" t="str">
        <x:f>IF(A237="","",IF(COUNTIFS('预测登记'!$A$7:$A$306,A237)&lt;&gt;1,"编号重复",IF(COUNTIFS('问题总览'!$A$7:$A$306,B237)&lt;&gt;1,"问题引用无效",IF(COUNTIFS('方案版本'!$A$7:$A$306,C237,'方案版本'!$B$7:$B$306,B237,'方案版本'!$L$7:$L$306,"已冻结")&lt;&gt;1,"方案引用无效",IF(OR(NOT(ISNUMBER(D237)),NOT(ISNUMBER(E237)),F237="",I237="",M237="",Q237=""),"待补预测信息",IF(D237&gt;E237,"非事前到期登记",IF(OR(AND(G237&lt;&gt;"",OR(NOT(ISNUMBER(G237)),G237&lt;0,G237&gt;1)),AND(H237&lt;&gt;"",OR(NOT(ISNUMBER(H237)),H237&lt;0,H237&gt;1))),"概率无效",IF(AND(I237="已判定",OR(NOT(ISNUMBER(J237)),AND(J237&lt;&gt;0,J237&lt;&gt;1),NOT(ISNUMBER(K237)),L237="")),"待补判定证据",IF(AND(I237="已判定",D237&gt;K237),"事后补录不评分","有效输入")))))))))</x:f>
      </x:c>
    </x:row>
    <x:row r="238" ht="25" customHeight="1">
      <x:c r="A238" s="3"/>
      <x:c r="B238" s="3"/>
      <x:c r="C238" s="3"/>
      <x:c r="D238" s="25"/>
      <x:c r="E238" s="25"/>
      <x:c r="F238" s="3"/>
      <x:c r="G238" s="26"/>
      <x:c r="H238" s="26"/>
      <x:c r="I238" s="3"/>
      <x:c r="J238" s="22"/>
      <x:c r="K238" s="25"/>
      <x:c r="L238" s="3"/>
      <x:c r="M238" s="3"/>
      <x:c r="N238" s="24" t="str">
        <x:f>IF(AND(R238="有效输入",I238="已判定",M238="是",ISNUMBER(G238)),(G238-J238)^2,"")</x:f>
      </x:c>
      <x:c r="O238" s="24" t="str">
        <x:f>IF(AND(ISNUMBER(N238),ISNUMBER(H238)),(H238-J238)^2,"")</x:f>
      </x:c>
      <x:c r="P238" s="24" t="str">
        <x:f>IF(AND(ISNUMBER(N238),ISNUMBER(O238)),O238-N238,"")</x:f>
      </x:c>
      <x:c r="Q238" s="3"/>
      <x:c r="R238" s="19" t="str">
        <x:f>IF(A238="","",IF(COUNTIFS('预测登记'!$A$7:$A$306,A238)&lt;&gt;1,"编号重复",IF(COUNTIFS('问题总览'!$A$7:$A$306,B238)&lt;&gt;1,"问题引用无效",IF(COUNTIFS('方案版本'!$A$7:$A$306,C238,'方案版本'!$B$7:$B$306,B238,'方案版本'!$L$7:$L$306,"已冻结")&lt;&gt;1,"方案引用无效",IF(OR(NOT(ISNUMBER(D238)),NOT(ISNUMBER(E238)),F238="",I238="",M238="",Q238=""),"待补预测信息",IF(D238&gt;E238,"非事前到期登记",IF(OR(AND(G238&lt;&gt;"",OR(NOT(ISNUMBER(G238)),G238&lt;0,G238&gt;1)),AND(H238&lt;&gt;"",OR(NOT(ISNUMBER(H238)),H238&lt;0,H238&gt;1))),"概率无效",IF(AND(I238="已判定",OR(NOT(ISNUMBER(J238)),AND(J238&lt;&gt;0,J238&lt;&gt;1),NOT(ISNUMBER(K238)),L238="")),"待补判定证据",IF(AND(I238="已判定",D238&gt;K238),"事后补录不评分","有效输入")))))))))</x:f>
      </x:c>
    </x:row>
    <x:row r="239" ht="25" customHeight="1">
      <x:c r="A239" s="3"/>
      <x:c r="B239" s="3"/>
      <x:c r="C239" s="3"/>
      <x:c r="D239" s="25"/>
      <x:c r="E239" s="25"/>
      <x:c r="F239" s="3"/>
      <x:c r="G239" s="26"/>
      <x:c r="H239" s="26"/>
      <x:c r="I239" s="3"/>
      <x:c r="J239" s="22"/>
      <x:c r="K239" s="25"/>
      <x:c r="L239" s="3"/>
      <x:c r="M239" s="3"/>
      <x:c r="N239" s="24" t="str">
        <x:f>IF(AND(R239="有效输入",I239="已判定",M239="是",ISNUMBER(G239)),(G239-J239)^2,"")</x:f>
      </x:c>
      <x:c r="O239" s="24" t="str">
        <x:f>IF(AND(ISNUMBER(N239),ISNUMBER(H239)),(H239-J239)^2,"")</x:f>
      </x:c>
      <x:c r="P239" s="24" t="str">
        <x:f>IF(AND(ISNUMBER(N239),ISNUMBER(O239)),O239-N239,"")</x:f>
      </x:c>
      <x:c r="Q239" s="3"/>
      <x:c r="R239" s="19" t="str">
        <x:f>IF(A239="","",IF(COUNTIFS('预测登记'!$A$7:$A$306,A239)&lt;&gt;1,"编号重复",IF(COUNTIFS('问题总览'!$A$7:$A$306,B239)&lt;&gt;1,"问题引用无效",IF(COUNTIFS('方案版本'!$A$7:$A$306,C239,'方案版本'!$B$7:$B$306,B239,'方案版本'!$L$7:$L$306,"已冻结")&lt;&gt;1,"方案引用无效",IF(OR(NOT(ISNUMBER(D239)),NOT(ISNUMBER(E239)),F239="",I239="",M239="",Q239=""),"待补预测信息",IF(D239&gt;E239,"非事前到期登记",IF(OR(AND(G239&lt;&gt;"",OR(NOT(ISNUMBER(G239)),G239&lt;0,G239&gt;1)),AND(H239&lt;&gt;"",OR(NOT(ISNUMBER(H239)),H239&lt;0,H239&gt;1))),"概率无效",IF(AND(I239="已判定",OR(NOT(ISNUMBER(J239)),AND(J239&lt;&gt;0,J239&lt;&gt;1),NOT(ISNUMBER(K239)),L239="")),"待补判定证据",IF(AND(I239="已判定",D239&gt;K239),"事后补录不评分","有效输入")))))))))</x:f>
      </x:c>
    </x:row>
    <x:row r="240" ht="25" customHeight="1">
      <x:c r="A240" s="3"/>
      <x:c r="B240" s="3"/>
      <x:c r="C240" s="3"/>
      <x:c r="D240" s="25"/>
      <x:c r="E240" s="25"/>
      <x:c r="F240" s="3"/>
      <x:c r="G240" s="26"/>
      <x:c r="H240" s="26"/>
      <x:c r="I240" s="3"/>
      <x:c r="J240" s="22"/>
      <x:c r="K240" s="25"/>
      <x:c r="L240" s="3"/>
      <x:c r="M240" s="3"/>
      <x:c r="N240" s="24" t="str">
        <x:f>IF(AND(R240="有效输入",I240="已判定",M240="是",ISNUMBER(G240)),(G240-J240)^2,"")</x:f>
      </x:c>
      <x:c r="O240" s="24" t="str">
        <x:f>IF(AND(ISNUMBER(N240),ISNUMBER(H240)),(H240-J240)^2,"")</x:f>
      </x:c>
      <x:c r="P240" s="24" t="str">
        <x:f>IF(AND(ISNUMBER(N240),ISNUMBER(O240)),O240-N240,"")</x:f>
      </x:c>
      <x:c r="Q240" s="3"/>
      <x:c r="R240" s="19" t="str">
        <x:f>IF(A240="","",IF(COUNTIFS('预测登记'!$A$7:$A$306,A240)&lt;&gt;1,"编号重复",IF(COUNTIFS('问题总览'!$A$7:$A$306,B240)&lt;&gt;1,"问题引用无效",IF(COUNTIFS('方案版本'!$A$7:$A$306,C240,'方案版本'!$B$7:$B$306,B240,'方案版本'!$L$7:$L$306,"已冻结")&lt;&gt;1,"方案引用无效",IF(OR(NOT(ISNUMBER(D240)),NOT(ISNUMBER(E240)),F240="",I240="",M240="",Q240=""),"待补预测信息",IF(D240&gt;E240,"非事前到期登记",IF(OR(AND(G240&lt;&gt;"",OR(NOT(ISNUMBER(G240)),G240&lt;0,G240&gt;1)),AND(H240&lt;&gt;"",OR(NOT(ISNUMBER(H240)),H240&lt;0,H240&gt;1))),"概率无效",IF(AND(I240="已判定",OR(NOT(ISNUMBER(J240)),AND(J240&lt;&gt;0,J240&lt;&gt;1),NOT(ISNUMBER(K240)),L240="")),"待补判定证据",IF(AND(I240="已判定",D240&gt;K240),"事后补录不评分","有效输入")))))))))</x:f>
      </x:c>
    </x:row>
    <x:row r="241" ht="25" customHeight="1">
      <x:c r="A241" s="3"/>
      <x:c r="B241" s="3"/>
      <x:c r="C241" s="3"/>
      <x:c r="D241" s="25"/>
      <x:c r="E241" s="25"/>
      <x:c r="F241" s="3"/>
      <x:c r="G241" s="26"/>
      <x:c r="H241" s="26"/>
      <x:c r="I241" s="3"/>
      <x:c r="J241" s="22"/>
      <x:c r="K241" s="25"/>
      <x:c r="L241" s="3"/>
      <x:c r="M241" s="3"/>
      <x:c r="N241" s="24" t="str">
        <x:f>IF(AND(R241="有效输入",I241="已判定",M241="是",ISNUMBER(G241)),(G241-J241)^2,"")</x:f>
      </x:c>
      <x:c r="O241" s="24" t="str">
        <x:f>IF(AND(ISNUMBER(N241),ISNUMBER(H241)),(H241-J241)^2,"")</x:f>
      </x:c>
      <x:c r="P241" s="24" t="str">
        <x:f>IF(AND(ISNUMBER(N241),ISNUMBER(O241)),O241-N241,"")</x:f>
      </x:c>
      <x:c r="Q241" s="3"/>
      <x:c r="R241" s="19" t="str">
        <x:f>IF(A241="","",IF(COUNTIFS('预测登记'!$A$7:$A$306,A241)&lt;&gt;1,"编号重复",IF(COUNTIFS('问题总览'!$A$7:$A$306,B241)&lt;&gt;1,"问题引用无效",IF(COUNTIFS('方案版本'!$A$7:$A$306,C241,'方案版本'!$B$7:$B$306,B241,'方案版本'!$L$7:$L$306,"已冻结")&lt;&gt;1,"方案引用无效",IF(OR(NOT(ISNUMBER(D241)),NOT(ISNUMBER(E241)),F241="",I241="",M241="",Q241=""),"待补预测信息",IF(D241&gt;E241,"非事前到期登记",IF(OR(AND(G241&lt;&gt;"",OR(NOT(ISNUMBER(G241)),G241&lt;0,G241&gt;1)),AND(H241&lt;&gt;"",OR(NOT(ISNUMBER(H241)),H241&lt;0,H241&gt;1))),"概率无效",IF(AND(I241="已判定",OR(NOT(ISNUMBER(J241)),AND(J241&lt;&gt;0,J241&lt;&gt;1),NOT(ISNUMBER(K241)),L241="")),"待补判定证据",IF(AND(I241="已判定",D241&gt;K241),"事后补录不评分","有效输入")))))))))</x:f>
      </x:c>
    </x:row>
    <x:row r="242" ht="25" customHeight="1">
      <x:c r="A242" s="3"/>
      <x:c r="B242" s="3"/>
      <x:c r="C242" s="3"/>
      <x:c r="D242" s="25"/>
      <x:c r="E242" s="25"/>
      <x:c r="F242" s="3"/>
      <x:c r="G242" s="26"/>
      <x:c r="H242" s="26"/>
      <x:c r="I242" s="3"/>
      <x:c r="J242" s="22"/>
      <x:c r="K242" s="25"/>
      <x:c r="L242" s="3"/>
      <x:c r="M242" s="3"/>
      <x:c r="N242" s="24" t="str">
        <x:f>IF(AND(R242="有效输入",I242="已判定",M242="是",ISNUMBER(G242)),(G242-J242)^2,"")</x:f>
      </x:c>
      <x:c r="O242" s="24" t="str">
        <x:f>IF(AND(ISNUMBER(N242),ISNUMBER(H242)),(H242-J242)^2,"")</x:f>
      </x:c>
      <x:c r="P242" s="24" t="str">
        <x:f>IF(AND(ISNUMBER(N242),ISNUMBER(O242)),O242-N242,"")</x:f>
      </x:c>
      <x:c r="Q242" s="3"/>
      <x:c r="R242" s="19" t="str">
        <x:f>IF(A242="","",IF(COUNTIFS('预测登记'!$A$7:$A$306,A242)&lt;&gt;1,"编号重复",IF(COUNTIFS('问题总览'!$A$7:$A$306,B242)&lt;&gt;1,"问题引用无效",IF(COUNTIFS('方案版本'!$A$7:$A$306,C242,'方案版本'!$B$7:$B$306,B242,'方案版本'!$L$7:$L$306,"已冻结")&lt;&gt;1,"方案引用无效",IF(OR(NOT(ISNUMBER(D242)),NOT(ISNUMBER(E242)),F242="",I242="",M242="",Q242=""),"待补预测信息",IF(D242&gt;E242,"非事前到期登记",IF(OR(AND(G242&lt;&gt;"",OR(NOT(ISNUMBER(G242)),G242&lt;0,G242&gt;1)),AND(H242&lt;&gt;"",OR(NOT(ISNUMBER(H242)),H242&lt;0,H242&gt;1))),"概率无效",IF(AND(I242="已判定",OR(NOT(ISNUMBER(J242)),AND(J242&lt;&gt;0,J242&lt;&gt;1),NOT(ISNUMBER(K242)),L242="")),"待补判定证据",IF(AND(I242="已判定",D242&gt;K242),"事后补录不评分","有效输入")))))))))</x:f>
      </x:c>
    </x:row>
    <x:row r="243" ht="25" customHeight="1">
      <x:c r="A243" s="3"/>
      <x:c r="B243" s="3"/>
      <x:c r="C243" s="3"/>
      <x:c r="D243" s="25"/>
      <x:c r="E243" s="25"/>
      <x:c r="F243" s="3"/>
      <x:c r="G243" s="26"/>
      <x:c r="H243" s="26"/>
      <x:c r="I243" s="3"/>
      <x:c r="J243" s="22"/>
      <x:c r="K243" s="25"/>
      <x:c r="L243" s="3"/>
      <x:c r="M243" s="3"/>
      <x:c r="N243" s="24" t="str">
        <x:f>IF(AND(R243="有效输入",I243="已判定",M243="是",ISNUMBER(G243)),(G243-J243)^2,"")</x:f>
      </x:c>
      <x:c r="O243" s="24" t="str">
        <x:f>IF(AND(ISNUMBER(N243),ISNUMBER(H243)),(H243-J243)^2,"")</x:f>
      </x:c>
      <x:c r="P243" s="24" t="str">
        <x:f>IF(AND(ISNUMBER(N243),ISNUMBER(O243)),O243-N243,"")</x:f>
      </x:c>
      <x:c r="Q243" s="3"/>
      <x:c r="R243" s="19" t="str">
        <x:f>IF(A243="","",IF(COUNTIFS('预测登记'!$A$7:$A$306,A243)&lt;&gt;1,"编号重复",IF(COUNTIFS('问题总览'!$A$7:$A$306,B243)&lt;&gt;1,"问题引用无效",IF(COUNTIFS('方案版本'!$A$7:$A$306,C243,'方案版本'!$B$7:$B$306,B243,'方案版本'!$L$7:$L$306,"已冻结")&lt;&gt;1,"方案引用无效",IF(OR(NOT(ISNUMBER(D243)),NOT(ISNUMBER(E243)),F243="",I243="",M243="",Q243=""),"待补预测信息",IF(D243&gt;E243,"非事前到期登记",IF(OR(AND(G243&lt;&gt;"",OR(NOT(ISNUMBER(G243)),G243&lt;0,G243&gt;1)),AND(H243&lt;&gt;"",OR(NOT(ISNUMBER(H243)),H243&lt;0,H243&gt;1))),"概率无效",IF(AND(I243="已判定",OR(NOT(ISNUMBER(J243)),AND(J243&lt;&gt;0,J243&lt;&gt;1),NOT(ISNUMBER(K243)),L243="")),"待补判定证据",IF(AND(I243="已判定",D243&gt;K243),"事后补录不评分","有效输入")))))))))</x:f>
      </x:c>
    </x:row>
    <x:row r="244" ht="25" customHeight="1">
      <x:c r="A244" s="3"/>
      <x:c r="B244" s="3"/>
      <x:c r="C244" s="3"/>
      <x:c r="D244" s="25"/>
      <x:c r="E244" s="25"/>
      <x:c r="F244" s="3"/>
      <x:c r="G244" s="26"/>
      <x:c r="H244" s="26"/>
      <x:c r="I244" s="3"/>
      <x:c r="J244" s="22"/>
      <x:c r="K244" s="25"/>
      <x:c r="L244" s="3"/>
      <x:c r="M244" s="3"/>
      <x:c r="N244" s="24" t="str">
        <x:f>IF(AND(R244="有效输入",I244="已判定",M244="是",ISNUMBER(G244)),(G244-J244)^2,"")</x:f>
      </x:c>
      <x:c r="O244" s="24" t="str">
        <x:f>IF(AND(ISNUMBER(N244),ISNUMBER(H244)),(H244-J244)^2,"")</x:f>
      </x:c>
      <x:c r="P244" s="24" t="str">
        <x:f>IF(AND(ISNUMBER(N244),ISNUMBER(O244)),O244-N244,"")</x:f>
      </x:c>
      <x:c r="Q244" s="3"/>
      <x:c r="R244" s="19" t="str">
        <x:f>IF(A244="","",IF(COUNTIFS('预测登记'!$A$7:$A$306,A244)&lt;&gt;1,"编号重复",IF(COUNTIFS('问题总览'!$A$7:$A$306,B244)&lt;&gt;1,"问题引用无效",IF(COUNTIFS('方案版本'!$A$7:$A$306,C244,'方案版本'!$B$7:$B$306,B244,'方案版本'!$L$7:$L$306,"已冻结")&lt;&gt;1,"方案引用无效",IF(OR(NOT(ISNUMBER(D244)),NOT(ISNUMBER(E244)),F244="",I244="",M244="",Q244=""),"待补预测信息",IF(D244&gt;E244,"非事前到期登记",IF(OR(AND(G244&lt;&gt;"",OR(NOT(ISNUMBER(G244)),G244&lt;0,G244&gt;1)),AND(H244&lt;&gt;"",OR(NOT(ISNUMBER(H244)),H244&lt;0,H244&gt;1))),"概率无效",IF(AND(I244="已判定",OR(NOT(ISNUMBER(J244)),AND(J244&lt;&gt;0,J244&lt;&gt;1),NOT(ISNUMBER(K244)),L244="")),"待补判定证据",IF(AND(I244="已判定",D244&gt;K244),"事后补录不评分","有效输入")))))))))</x:f>
      </x:c>
    </x:row>
    <x:row r="245" ht="25" customHeight="1">
      <x:c r="A245" s="3"/>
      <x:c r="B245" s="3"/>
      <x:c r="C245" s="3"/>
      <x:c r="D245" s="25"/>
      <x:c r="E245" s="25"/>
      <x:c r="F245" s="3"/>
      <x:c r="G245" s="26"/>
      <x:c r="H245" s="26"/>
      <x:c r="I245" s="3"/>
      <x:c r="J245" s="22"/>
      <x:c r="K245" s="25"/>
      <x:c r="L245" s="3"/>
      <x:c r="M245" s="3"/>
      <x:c r="N245" s="24" t="str">
        <x:f>IF(AND(R245="有效输入",I245="已判定",M245="是",ISNUMBER(G245)),(G245-J245)^2,"")</x:f>
      </x:c>
      <x:c r="O245" s="24" t="str">
        <x:f>IF(AND(ISNUMBER(N245),ISNUMBER(H245)),(H245-J245)^2,"")</x:f>
      </x:c>
      <x:c r="P245" s="24" t="str">
        <x:f>IF(AND(ISNUMBER(N245),ISNUMBER(O245)),O245-N245,"")</x:f>
      </x:c>
      <x:c r="Q245" s="3"/>
      <x:c r="R245" s="19" t="str">
        <x:f>IF(A245="","",IF(COUNTIFS('预测登记'!$A$7:$A$306,A245)&lt;&gt;1,"编号重复",IF(COUNTIFS('问题总览'!$A$7:$A$306,B245)&lt;&gt;1,"问题引用无效",IF(COUNTIFS('方案版本'!$A$7:$A$306,C245,'方案版本'!$B$7:$B$306,B245,'方案版本'!$L$7:$L$306,"已冻结")&lt;&gt;1,"方案引用无效",IF(OR(NOT(ISNUMBER(D245)),NOT(ISNUMBER(E245)),F245="",I245="",M245="",Q245=""),"待补预测信息",IF(D245&gt;E245,"非事前到期登记",IF(OR(AND(G245&lt;&gt;"",OR(NOT(ISNUMBER(G245)),G245&lt;0,G245&gt;1)),AND(H245&lt;&gt;"",OR(NOT(ISNUMBER(H245)),H245&lt;0,H245&gt;1))),"概率无效",IF(AND(I245="已判定",OR(NOT(ISNUMBER(J245)),AND(J245&lt;&gt;0,J245&lt;&gt;1),NOT(ISNUMBER(K245)),L245="")),"待补判定证据",IF(AND(I245="已判定",D245&gt;K245),"事后补录不评分","有效输入")))))))))</x:f>
      </x:c>
    </x:row>
    <x:row r="246" ht="25" customHeight="1">
      <x:c r="A246" s="3"/>
      <x:c r="B246" s="3"/>
      <x:c r="C246" s="3"/>
      <x:c r="D246" s="25"/>
      <x:c r="E246" s="25"/>
      <x:c r="F246" s="3"/>
      <x:c r="G246" s="26"/>
      <x:c r="H246" s="26"/>
      <x:c r="I246" s="3"/>
      <x:c r="J246" s="22"/>
      <x:c r="K246" s="25"/>
      <x:c r="L246" s="3"/>
      <x:c r="M246" s="3"/>
      <x:c r="N246" s="24" t="str">
        <x:f>IF(AND(R246="有效输入",I246="已判定",M246="是",ISNUMBER(G246)),(G246-J246)^2,"")</x:f>
      </x:c>
      <x:c r="O246" s="24" t="str">
        <x:f>IF(AND(ISNUMBER(N246),ISNUMBER(H246)),(H246-J246)^2,"")</x:f>
      </x:c>
      <x:c r="P246" s="24" t="str">
        <x:f>IF(AND(ISNUMBER(N246),ISNUMBER(O246)),O246-N246,"")</x:f>
      </x:c>
      <x:c r="Q246" s="3"/>
      <x:c r="R246" s="19" t="str">
        <x:f>IF(A246="","",IF(COUNTIFS('预测登记'!$A$7:$A$306,A246)&lt;&gt;1,"编号重复",IF(COUNTIFS('问题总览'!$A$7:$A$306,B246)&lt;&gt;1,"问题引用无效",IF(COUNTIFS('方案版本'!$A$7:$A$306,C246,'方案版本'!$B$7:$B$306,B246,'方案版本'!$L$7:$L$306,"已冻结")&lt;&gt;1,"方案引用无效",IF(OR(NOT(ISNUMBER(D246)),NOT(ISNUMBER(E246)),F246="",I246="",M246="",Q246=""),"待补预测信息",IF(D246&gt;E246,"非事前到期登记",IF(OR(AND(G246&lt;&gt;"",OR(NOT(ISNUMBER(G246)),G246&lt;0,G246&gt;1)),AND(H246&lt;&gt;"",OR(NOT(ISNUMBER(H246)),H246&lt;0,H246&gt;1))),"概率无效",IF(AND(I246="已判定",OR(NOT(ISNUMBER(J246)),AND(J246&lt;&gt;0,J246&lt;&gt;1),NOT(ISNUMBER(K246)),L246="")),"待补判定证据",IF(AND(I246="已判定",D246&gt;K246),"事后补录不评分","有效输入")))))))))</x:f>
      </x:c>
    </x:row>
    <x:row r="247" ht="25" customHeight="1">
      <x:c r="A247" s="3"/>
      <x:c r="B247" s="3"/>
      <x:c r="C247" s="3"/>
      <x:c r="D247" s="25"/>
      <x:c r="E247" s="25"/>
      <x:c r="F247" s="3"/>
      <x:c r="G247" s="26"/>
      <x:c r="H247" s="26"/>
      <x:c r="I247" s="3"/>
      <x:c r="J247" s="22"/>
      <x:c r="K247" s="25"/>
      <x:c r="L247" s="3"/>
      <x:c r="M247" s="3"/>
      <x:c r="N247" s="24" t="str">
        <x:f>IF(AND(R247="有效输入",I247="已判定",M247="是",ISNUMBER(G247)),(G247-J247)^2,"")</x:f>
      </x:c>
      <x:c r="O247" s="24" t="str">
        <x:f>IF(AND(ISNUMBER(N247),ISNUMBER(H247)),(H247-J247)^2,"")</x:f>
      </x:c>
      <x:c r="P247" s="24" t="str">
        <x:f>IF(AND(ISNUMBER(N247),ISNUMBER(O247)),O247-N247,"")</x:f>
      </x:c>
      <x:c r="Q247" s="3"/>
      <x:c r="R247" s="19" t="str">
        <x:f>IF(A247="","",IF(COUNTIFS('预测登记'!$A$7:$A$306,A247)&lt;&gt;1,"编号重复",IF(COUNTIFS('问题总览'!$A$7:$A$306,B247)&lt;&gt;1,"问题引用无效",IF(COUNTIFS('方案版本'!$A$7:$A$306,C247,'方案版本'!$B$7:$B$306,B247,'方案版本'!$L$7:$L$306,"已冻结")&lt;&gt;1,"方案引用无效",IF(OR(NOT(ISNUMBER(D247)),NOT(ISNUMBER(E247)),F247="",I247="",M247="",Q247=""),"待补预测信息",IF(D247&gt;E247,"非事前到期登记",IF(OR(AND(G247&lt;&gt;"",OR(NOT(ISNUMBER(G247)),G247&lt;0,G247&gt;1)),AND(H247&lt;&gt;"",OR(NOT(ISNUMBER(H247)),H247&lt;0,H247&gt;1))),"概率无效",IF(AND(I247="已判定",OR(NOT(ISNUMBER(J247)),AND(J247&lt;&gt;0,J247&lt;&gt;1),NOT(ISNUMBER(K247)),L247="")),"待补判定证据",IF(AND(I247="已判定",D247&gt;K247),"事后补录不评分","有效输入")))))))))</x:f>
      </x:c>
    </x:row>
    <x:row r="248" ht="25" customHeight="1">
      <x:c r="A248" s="3"/>
      <x:c r="B248" s="3"/>
      <x:c r="C248" s="3"/>
      <x:c r="D248" s="25"/>
      <x:c r="E248" s="25"/>
      <x:c r="F248" s="3"/>
      <x:c r="G248" s="26"/>
      <x:c r="H248" s="26"/>
      <x:c r="I248" s="3"/>
      <x:c r="J248" s="22"/>
      <x:c r="K248" s="25"/>
      <x:c r="L248" s="3"/>
      <x:c r="M248" s="3"/>
      <x:c r="N248" s="24" t="str">
        <x:f>IF(AND(R248="有效输入",I248="已判定",M248="是",ISNUMBER(G248)),(G248-J248)^2,"")</x:f>
      </x:c>
      <x:c r="O248" s="24" t="str">
        <x:f>IF(AND(ISNUMBER(N248),ISNUMBER(H248)),(H248-J248)^2,"")</x:f>
      </x:c>
      <x:c r="P248" s="24" t="str">
        <x:f>IF(AND(ISNUMBER(N248),ISNUMBER(O248)),O248-N248,"")</x:f>
      </x:c>
      <x:c r="Q248" s="3"/>
      <x:c r="R248" s="19" t="str">
        <x:f>IF(A248="","",IF(COUNTIFS('预测登记'!$A$7:$A$306,A248)&lt;&gt;1,"编号重复",IF(COUNTIFS('问题总览'!$A$7:$A$306,B248)&lt;&gt;1,"问题引用无效",IF(COUNTIFS('方案版本'!$A$7:$A$306,C248,'方案版本'!$B$7:$B$306,B248,'方案版本'!$L$7:$L$306,"已冻结")&lt;&gt;1,"方案引用无效",IF(OR(NOT(ISNUMBER(D248)),NOT(ISNUMBER(E248)),F248="",I248="",M248="",Q248=""),"待补预测信息",IF(D248&gt;E248,"非事前到期登记",IF(OR(AND(G248&lt;&gt;"",OR(NOT(ISNUMBER(G248)),G248&lt;0,G248&gt;1)),AND(H248&lt;&gt;"",OR(NOT(ISNUMBER(H248)),H248&lt;0,H248&gt;1))),"概率无效",IF(AND(I248="已判定",OR(NOT(ISNUMBER(J248)),AND(J248&lt;&gt;0,J248&lt;&gt;1),NOT(ISNUMBER(K248)),L248="")),"待补判定证据",IF(AND(I248="已判定",D248&gt;K248),"事后补录不评分","有效输入")))))))))</x:f>
      </x:c>
    </x:row>
    <x:row r="249" ht="25" customHeight="1">
      <x:c r="A249" s="3"/>
      <x:c r="B249" s="3"/>
      <x:c r="C249" s="3"/>
      <x:c r="D249" s="25"/>
      <x:c r="E249" s="25"/>
      <x:c r="F249" s="3"/>
      <x:c r="G249" s="26"/>
      <x:c r="H249" s="26"/>
      <x:c r="I249" s="3"/>
      <x:c r="J249" s="22"/>
      <x:c r="K249" s="25"/>
      <x:c r="L249" s="3"/>
      <x:c r="M249" s="3"/>
      <x:c r="N249" s="24" t="str">
        <x:f>IF(AND(R249="有效输入",I249="已判定",M249="是",ISNUMBER(G249)),(G249-J249)^2,"")</x:f>
      </x:c>
      <x:c r="O249" s="24" t="str">
        <x:f>IF(AND(ISNUMBER(N249),ISNUMBER(H249)),(H249-J249)^2,"")</x:f>
      </x:c>
      <x:c r="P249" s="24" t="str">
        <x:f>IF(AND(ISNUMBER(N249),ISNUMBER(O249)),O249-N249,"")</x:f>
      </x:c>
      <x:c r="Q249" s="3"/>
      <x:c r="R249" s="19" t="str">
        <x:f>IF(A249="","",IF(COUNTIFS('预测登记'!$A$7:$A$306,A249)&lt;&gt;1,"编号重复",IF(COUNTIFS('问题总览'!$A$7:$A$306,B249)&lt;&gt;1,"问题引用无效",IF(COUNTIFS('方案版本'!$A$7:$A$306,C249,'方案版本'!$B$7:$B$306,B249,'方案版本'!$L$7:$L$306,"已冻结")&lt;&gt;1,"方案引用无效",IF(OR(NOT(ISNUMBER(D249)),NOT(ISNUMBER(E249)),F249="",I249="",M249="",Q249=""),"待补预测信息",IF(D249&gt;E249,"非事前到期登记",IF(OR(AND(G249&lt;&gt;"",OR(NOT(ISNUMBER(G249)),G249&lt;0,G249&gt;1)),AND(H249&lt;&gt;"",OR(NOT(ISNUMBER(H249)),H249&lt;0,H249&gt;1))),"概率无效",IF(AND(I249="已判定",OR(NOT(ISNUMBER(J249)),AND(J249&lt;&gt;0,J249&lt;&gt;1),NOT(ISNUMBER(K249)),L249="")),"待补判定证据",IF(AND(I249="已判定",D249&gt;K249),"事后补录不评分","有效输入")))))))))</x:f>
      </x:c>
    </x:row>
    <x:row r="250" ht="25" customHeight="1">
      <x:c r="A250" s="3"/>
      <x:c r="B250" s="3"/>
      <x:c r="C250" s="3"/>
      <x:c r="D250" s="25"/>
      <x:c r="E250" s="25"/>
      <x:c r="F250" s="3"/>
      <x:c r="G250" s="26"/>
      <x:c r="H250" s="26"/>
      <x:c r="I250" s="3"/>
      <x:c r="J250" s="22"/>
      <x:c r="K250" s="25"/>
      <x:c r="L250" s="3"/>
      <x:c r="M250" s="3"/>
      <x:c r="N250" s="24" t="str">
        <x:f>IF(AND(R250="有效输入",I250="已判定",M250="是",ISNUMBER(G250)),(G250-J250)^2,"")</x:f>
      </x:c>
      <x:c r="O250" s="24" t="str">
        <x:f>IF(AND(ISNUMBER(N250),ISNUMBER(H250)),(H250-J250)^2,"")</x:f>
      </x:c>
      <x:c r="P250" s="24" t="str">
        <x:f>IF(AND(ISNUMBER(N250),ISNUMBER(O250)),O250-N250,"")</x:f>
      </x:c>
      <x:c r="Q250" s="3"/>
      <x:c r="R250" s="19" t="str">
        <x:f>IF(A250="","",IF(COUNTIFS('预测登记'!$A$7:$A$306,A250)&lt;&gt;1,"编号重复",IF(COUNTIFS('问题总览'!$A$7:$A$306,B250)&lt;&gt;1,"问题引用无效",IF(COUNTIFS('方案版本'!$A$7:$A$306,C250,'方案版本'!$B$7:$B$306,B250,'方案版本'!$L$7:$L$306,"已冻结")&lt;&gt;1,"方案引用无效",IF(OR(NOT(ISNUMBER(D250)),NOT(ISNUMBER(E250)),F250="",I250="",M250="",Q250=""),"待补预测信息",IF(D250&gt;E250,"非事前到期登记",IF(OR(AND(G250&lt;&gt;"",OR(NOT(ISNUMBER(G250)),G250&lt;0,G250&gt;1)),AND(H250&lt;&gt;"",OR(NOT(ISNUMBER(H250)),H250&lt;0,H250&gt;1))),"概率无效",IF(AND(I250="已判定",OR(NOT(ISNUMBER(J250)),AND(J250&lt;&gt;0,J250&lt;&gt;1),NOT(ISNUMBER(K250)),L250="")),"待补判定证据",IF(AND(I250="已判定",D250&gt;K250),"事后补录不评分","有效输入")))))))))</x:f>
      </x:c>
    </x:row>
    <x:row r="251" ht="25" customHeight="1">
      <x:c r="A251" s="3"/>
      <x:c r="B251" s="3"/>
      <x:c r="C251" s="3"/>
      <x:c r="D251" s="25"/>
      <x:c r="E251" s="25"/>
      <x:c r="F251" s="3"/>
      <x:c r="G251" s="26"/>
      <x:c r="H251" s="26"/>
      <x:c r="I251" s="3"/>
      <x:c r="J251" s="22"/>
      <x:c r="K251" s="25"/>
      <x:c r="L251" s="3"/>
      <x:c r="M251" s="3"/>
      <x:c r="N251" s="24" t="str">
        <x:f>IF(AND(R251="有效输入",I251="已判定",M251="是",ISNUMBER(G251)),(G251-J251)^2,"")</x:f>
      </x:c>
      <x:c r="O251" s="24" t="str">
        <x:f>IF(AND(ISNUMBER(N251),ISNUMBER(H251)),(H251-J251)^2,"")</x:f>
      </x:c>
      <x:c r="P251" s="24" t="str">
        <x:f>IF(AND(ISNUMBER(N251),ISNUMBER(O251)),O251-N251,"")</x:f>
      </x:c>
      <x:c r="Q251" s="3"/>
      <x:c r="R251" s="19" t="str">
        <x:f>IF(A251="","",IF(COUNTIFS('预测登记'!$A$7:$A$306,A251)&lt;&gt;1,"编号重复",IF(COUNTIFS('问题总览'!$A$7:$A$306,B251)&lt;&gt;1,"问题引用无效",IF(COUNTIFS('方案版本'!$A$7:$A$306,C251,'方案版本'!$B$7:$B$306,B251,'方案版本'!$L$7:$L$306,"已冻结")&lt;&gt;1,"方案引用无效",IF(OR(NOT(ISNUMBER(D251)),NOT(ISNUMBER(E251)),F251="",I251="",M251="",Q251=""),"待补预测信息",IF(D251&gt;E251,"非事前到期登记",IF(OR(AND(G251&lt;&gt;"",OR(NOT(ISNUMBER(G251)),G251&lt;0,G251&gt;1)),AND(H251&lt;&gt;"",OR(NOT(ISNUMBER(H251)),H251&lt;0,H251&gt;1))),"概率无效",IF(AND(I251="已判定",OR(NOT(ISNUMBER(J251)),AND(J251&lt;&gt;0,J251&lt;&gt;1),NOT(ISNUMBER(K251)),L251="")),"待补判定证据",IF(AND(I251="已判定",D251&gt;K251),"事后补录不评分","有效输入")))))))))</x:f>
      </x:c>
    </x:row>
    <x:row r="252" ht="25" customHeight="1">
      <x:c r="A252" s="3"/>
      <x:c r="B252" s="3"/>
      <x:c r="C252" s="3"/>
      <x:c r="D252" s="25"/>
      <x:c r="E252" s="25"/>
      <x:c r="F252" s="3"/>
      <x:c r="G252" s="26"/>
      <x:c r="H252" s="26"/>
      <x:c r="I252" s="3"/>
      <x:c r="J252" s="22"/>
      <x:c r="K252" s="25"/>
      <x:c r="L252" s="3"/>
      <x:c r="M252" s="3"/>
      <x:c r="N252" s="24" t="str">
        <x:f>IF(AND(R252="有效输入",I252="已判定",M252="是",ISNUMBER(G252)),(G252-J252)^2,"")</x:f>
      </x:c>
      <x:c r="O252" s="24" t="str">
        <x:f>IF(AND(ISNUMBER(N252),ISNUMBER(H252)),(H252-J252)^2,"")</x:f>
      </x:c>
      <x:c r="P252" s="24" t="str">
        <x:f>IF(AND(ISNUMBER(N252),ISNUMBER(O252)),O252-N252,"")</x:f>
      </x:c>
      <x:c r="Q252" s="3"/>
      <x:c r="R252" s="19" t="str">
        <x:f>IF(A252="","",IF(COUNTIFS('预测登记'!$A$7:$A$306,A252)&lt;&gt;1,"编号重复",IF(COUNTIFS('问题总览'!$A$7:$A$306,B252)&lt;&gt;1,"问题引用无效",IF(COUNTIFS('方案版本'!$A$7:$A$306,C252,'方案版本'!$B$7:$B$306,B252,'方案版本'!$L$7:$L$306,"已冻结")&lt;&gt;1,"方案引用无效",IF(OR(NOT(ISNUMBER(D252)),NOT(ISNUMBER(E252)),F252="",I252="",M252="",Q252=""),"待补预测信息",IF(D252&gt;E252,"非事前到期登记",IF(OR(AND(G252&lt;&gt;"",OR(NOT(ISNUMBER(G252)),G252&lt;0,G252&gt;1)),AND(H252&lt;&gt;"",OR(NOT(ISNUMBER(H252)),H252&lt;0,H252&gt;1))),"概率无效",IF(AND(I252="已判定",OR(NOT(ISNUMBER(J252)),AND(J252&lt;&gt;0,J252&lt;&gt;1),NOT(ISNUMBER(K252)),L252="")),"待补判定证据",IF(AND(I252="已判定",D252&gt;K252),"事后补录不评分","有效输入")))))))))</x:f>
      </x:c>
    </x:row>
    <x:row r="253" ht="25" customHeight="1">
      <x:c r="A253" s="3"/>
      <x:c r="B253" s="3"/>
      <x:c r="C253" s="3"/>
      <x:c r="D253" s="25"/>
      <x:c r="E253" s="25"/>
      <x:c r="F253" s="3"/>
      <x:c r="G253" s="26"/>
      <x:c r="H253" s="26"/>
      <x:c r="I253" s="3"/>
      <x:c r="J253" s="22"/>
      <x:c r="K253" s="25"/>
      <x:c r="L253" s="3"/>
      <x:c r="M253" s="3"/>
      <x:c r="N253" s="24" t="str">
        <x:f>IF(AND(R253="有效输入",I253="已判定",M253="是",ISNUMBER(G253)),(G253-J253)^2,"")</x:f>
      </x:c>
      <x:c r="O253" s="24" t="str">
        <x:f>IF(AND(ISNUMBER(N253),ISNUMBER(H253)),(H253-J253)^2,"")</x:f>
      </x:c>
      <x:c r="P253" s="24" t="str">
        <x:f>IF(AND(ISNUMBER(N253),ISNUMBER(O253)),O253-N253,"")</x:f>
      </x:c>
      <x:c r="Q253" s="3"/>
      <x:c r="R253" s="19" t="str">
        <x:f>IF(A253="","",IF(COUNTIFS('预测登记'!$A$7:$A$306,A253)&lt;&gt;1,"编号重复",IF(COUNTIFS('问题总览'!$A$7:$A$306,B253)&lt;&gt;1,"问题引用无效",IF(COUNTIFS('方案版本'!$A$7:$A$306,C253,'方案版本'!$B$7:$B$306,B253,'方案版本'!$L$7:$L$306,"已冻结")&lt;&gt;1,"方案引用无效",IF(OR(NOT(ISNUMBER(D253)),NOT(ISNUMBER(E253)),F253="",I253="",M253="",Q253=""),"待补预测信息",IF(D253&gt;E253,"非事前到期登记",IF(OR(AND(G253&lt;&gt;"",OR(NOT(ISNUMBER(G253)),G253&lt;0,G253&gt;1)),AND(H253&lt;&gt;"",OR(NOT(ISNUMBER(H253)),H253&lt;0,H253&gt;1))),"概率无效",IF(AND(I253="已判定",OR(NOT(ISNUMBER(J253)),AND(J253&lt;&gt;0,J253&lt;&gt;1),NOT(ISNUMBER(K253)),L253="")),"待补判定证据",IF(AND(I253="已判定",D253&gt;K253),"事后补录不评分","有效输入")))))))))</x:f>
      </x:c>
    </x:row>
    <x:row r="254" ht="25" customHeight="1">
      <x:c r="A254" s="3"/>
      <x:c r="B254" s="3"/>
      <x:c r="C254" s="3"/>
      <x:c r="D254" s="25"/>
      <x:c r="E254" s="25"/>
      <x:c r="F254" s="3"/>
      <x:c r="G254" s="26"/>
      <x:c r="H254" s="26"/>
      <x:c r="I254" s="3"/>
      <x:c r="J254" s="22"/>
      <x:c r="K254" s="25"/>
      <x:c r="L254" s="3"/>
      <x:c r="M254" s="3"/>
      <x:c r="N254" s="24" t="str">
        <x:f>IF(AND(R254="有效输入",I254="已判定",M254="是",ISNUMBER(G254)),(G254-J254)^2,"")</x:f>
      </x:c>
      <x:c r="O254" s="24" t="str">
        <x:f>IF(AND(ISNUMBER(N254),ISNUMBER(H254)),(H254-J254)^2,"")</x:f>
      </x:c>
      <x:c r="P254" s="24" t="str">
        <x:f>IF(AND(ISNUMBER(N254),ISNUMBER(O254)),O254-N254,"")</x:f>
      </x:c>
      <x:c r="Q254" s="3"/>
      <x:c r="R254" s="19" t="str">
        <x:f>IF(A254="","",IF(COUNTIFS('预测登记'!$A$7:$A$306,A254)&lt;&gt;1,"编号重复",IF(COUNTIFS('问题总览'!$A$7:$A$306,B254)&lt;&gt;1,"问题引用无效",IF(COUNTIFS('方案版本'!$A$7:$A$306,C254,'方案版本'!$B$7:$B$306,B254,'方案版本'!$L$7:$L$306,"已冻结")&lt;&gt;1,"方案引用无效",IF(OR(NOT(ISNUMBER(D254)),NOT(ISNUMBER(E254)),F254="",I254="",M254="",Q254=""),"待补预测信息",IF(D254&gt;E254,"非事前到期登记",IF(OR(AND(G254&lt;&gt;"",OR(NOT(ISNUMBER(G254)),G254&lt;0,G254&gt;1)),AND(H254&lt;&gt;"",OR(NOT(ISNUMBER(H254)),H254&lt;0,H254&gt;1))),"概率无效",IF(AND(I254="已判定",OR(NOT(ISNUMBER(J254)),AND(J254&lt;&gt;0,J254&lt;&gt;1),NOT(ISNUMBER(K254)),L254="")),"待补判定证据",IF(AND(I254="已判定",D254&gt;K254),"事后补录不评分","有效输入")))))))))</x:f>
      </x:c>
    </x:row>
    <x:row r="255" ht="25" customHeight="1">
      <x:c r="A255" s="3"/>
      <x:c r="B255" s="3"/>
      <x:c r="C255" s="3"/>
      <x:c r="D255" s="25"/>
      <x:c r="E255" s="25"/>
      <x:c r="F255" s="3"/>
      <x:c r="G255" s="26"/>
      <x:c r="H255" s="26"/>
      <x:c r="I255" s="3"/>
      <x:c r="J255" s="22"/>
      <x:c r="K255" s="25"/>
      <x:c r="L255" s="3"/>
      <x:c r="M255" s="3"/>
      <x:c r="N255" s="24" t="str">
        <x:f>IF(AND(R255="有效输入",I255="已判定",M255="是",ISNUMBER(G255)),(G255-J255)^2,"")</x:f>
      </x:c>
      <x:c r="O255" s="24" t="str">
        <x:f>IF(AND(ISNUMBER(N255),ISNUMBER(H255)),(H255-J255)^2,"")</x:f>
      </x:c>
      <x:c r="P255" s="24" t="str">
        <x:f>IF(AND(ISNUMBER(N255),ISNUMBER(O255)),O255-N255,"")</x:f>
      </x:c>
      <x:c r="Q255" s="3"/>
      <x:c r="R255" s="19" t="str">
        <x:f>IF(A255="","",IF(COUNTIFS('预测登记'!$A$7:$A$306,A255)&lt;&gt;1,"编号重复",IF(COUNTIFS('问题总览'!$A$7:$A$306,B255)&lt;&gt;1,"问题引用无效",IF(COUNTIFS('方案版本'!$A$7:$A$306,C255,'方案版本'!$B$7:$B$306,B255,'方案版本'!$L$7:$L$306,"已冻结")&lt;&gt;1,"方案引用无效",IF(OR(NOT(ISNUMBER(D255)),NOT(ISNUMBER(E255)),F255="",I255="",M255="",Q255=""),"待补预测信息",IF(D255&gt;E255,"非事前到期登记",IF(OR(AND(G255&lt;&gt;"",OR(NOT(ISNUMBER(G255)),G255&lt;0,G255&gt;1)),AND(H255&lt;&gt;"",OR(NOT(ISNUMBER(H255)),H255&lt;0,H255&gt;1))),"概率无效",IF(AND(I255="已判定",OR(NOT(ISNUMBER(J255)),AND(J255&lt;&gt;0,J255&lt;&gt;1),NOT(ISNUMBER(K255)),L255="")),"待补判定证据",IF(AND(I255="已判定",D255&gt;K255),"事后补录不评分","有效输入")))))))))</x:f>
      </x:c>
    </x:row>
    <x:row r="256" ht="25" customHeight="1">
      <x:c r="A256" s="3"/>
      <x:c r="B256" s="3"/>
      <x:c r="C256" s="3"/>
      <x:c r="D256" s="25"/>
      <x:c r="E256" s="25"/>
      <x:c r="F256" s="3"/>
      <x:c r="G256" s="26"/>
      <x:c r="H256" s="26"/>
      <x:c r="I256" s="3"/>
      <x:c r="J256" s="22"/>
      <x:c r="K256" s="25"/>
      <x:c r="L256" s="3"/>
      <x:c r="M256" s="3"/>
      <x:c r="N256" s="24" t="str">
        <x:f>IF(AND(R256="有效输入",I256="已判定",M256="是",ISNUMBER(G256)),(G256-J256)^2,"")</x:f>
      </x:c>
      <x:c r="O256" s="24" t="str">
        <x:f>IF(AND(ISNUMBER(N256),ISNUMBER(H256)),(H256-J256)^2,"")</x:f>
      </x:c>
      <x:c r="P256" s="24" t="str">
        <x:f>IF(AND(ISNUMBER(N256),ISNUMBER(O256)),O256-N256,"")</x:f>
      </x:c>
      <x:c r="Q256" s="3"/>
      <x:c r="R256" s="19" t="str">
        <x:f>IF(A256="","",IF(COUNTIFS('预测登记'!$A$7:$A$306,A256)&lt;&gt;1,"编号重复",IF(COUNTIFS('问题总览'!$A$7:$A$306,B256)&lt;&gt;1,"问题引用无效",IF(COUNTIFS('方案版本'!$A$7:$A$306,C256,'方案版本'!$B$7:$B$306,B256,'方案版本'!$L$7:$L$306,"已冻结")&lt;&gt;1,"方案引用无效",IF(OR(NOT(ISNUMBER(D256)),NOT(ISNUMBER(E256)),F256="",I256="",M256="",Q256=""),"待补预测信息",IF(D256&gt;E256,"非事前到期登记",IF(OR(AND(G256&lt;&gt;"",OR(NOT(ISNUMBER(G256)),G256&lt;0,G256&gt;1)),AND(H256&lt;&gt;"",OR(NOT(ISNUMBER(H256)),H256&lt;0,H256&gt;1))),"概率无效",IF(AND(I256="已判定",OR(NOT(ISNUMBER(J256)),AND(J256&lt;&gt;0,J256&lt;&gt;1),NOT(ISNUMBER(K256)),L256="")),"待补判定证据",IF(AND(I256="已判定",D256&gt;K256),"事后补录不评分","有效输入")))))))))</x:f>
      </x:c>
    </x:row>
    <x:row r="257" ht="25" customHeight="1">
      <x:c r="A257" s="3"/>
      <x:c r="B257" s="3"/>
      <x:c r="C257" s="3"/>
      <x:c r="D257" s="25"/>
      <x:c r="E257" s="25"/>
      <x:c r="F257" s="3"/>
      <x:c r="G257" s="26"/>
      <x:c r="H257" s="26"/>
      <x:c r="I257" s="3"/>
      <x:c r="J257" s="22"/>
      <x:c r="K257" s="25"/>
      <x:c r="L257" s="3"/>
      <x:c r="M257" s="3"/>
      <x:c r="N257" s="24" t="str">
        <x:f>IF(AND(R257="有效输入",I257="已判定",M257="是",ISNUMBER(G257)),(G257-J257)^2,"")</x:f>
      </x:c>
      <x:c r="O257" s="24" t="str">
        <x:f>IF(AND(ISNUMBER(N257),ISNUMBER(H257)),(H257-J257)^2,"")</x:f>
      </x:c>
      <x:c r="P257" s="24" t="str">
        <x:f>IF(AND(ISNUMBER(N257),ISNUMBER(O257)),O257-N257,"")</x:f>
      </x:c>
      <x:c r="Q257" s="3"/>
      <x:c r="R257" s="19" t="str">
        <x:f>IF(A257="","",IF(COUNTIFS('预测登记'!$A$7:$A$306,A257)&lt;&gt;1,"编号重复",IF(COUNTIFS('问题总览'!$A$7:$A$306,B257)&lt;&gt;1,"问题引用无效",IF(COUNTIFS('方案版本'!$A$7:$A$306,C257,'方案版本'!$B$7:$B$306,B257,'方案版本'!$L$7:$L$306,"已冻结")&lt;&gt;1,"方案引用无效",IF(OR(NOT(ISNUMBER(D257)),NOT(ISNUMBER(E257)),F257="",I257="",M257="",Q257=""),"待补预测信息",IF(D257&gt;E257,"非事前到期登记",IF(OR(AND(G257&lt;&gt;"",OR(NOT(ISNUMBER(G257)),G257&lt;0,G257&gt;1)),AND(H257&lt;&gt;"",OR(NOT(ISNUMBER(H257)),H257&lt;0,H257&gt;1))),"概率无效",IF(AND(I257="已判定",OR(NOT(ISNUMBER(J257)),AND(J257&lt;&gt;0,J257&lt;&gt;1),NOT(ISNUMBER(K257)),L257="")),"待补判定证据",IF(AND(I257="已判定",D257&gt;K257),"事后补录不评分","有效输入")))))))))</x:f>
      </x:c>
    </x:row>
    <x:row r="258" ht="25" customHeight="1">
      <x:c r="A258" s="3"/>
      <x:c r="B258" s="3"/>
      <x:c r="C258" s="3"/>
      <x:c r="D258" s="25"/>
      <x:c r="E258" s="25"/>
      <x:c r="F258" s="3"/>
      <x:c r="G258" s="26"/>
      <x:c r="H258" s="26"/>
      <x:c r="I258" s="3"/>
      <x:c r="J258" s="22"/>
      <x:c r="K258" s="25"/>
      <x:c r="L258" s="3"/>
      <x:c r="M258" s="3"/>
      <x:c r="N258" s="24" t="str">
        <x:f>IF(AND(R258="有效输入",I258="已判定",M258="是",ISNUMBER(G258)),(G258-J258)^2,"")</x:f>
      </x:c>
      <x:c r="O258" s="24" t="str">
        <x:f>IF(AND(ISNUMBER(N258),ISNUMBER(H258)),(H258-J258)^2,"")</x:f>
      </x:c>
      <x:c r="P258" s="24" t="str">
        <x:f>IF(AND(ISNUMBER(N258),ISNUMBER(O258)),O258-N258,"")</x:f>
      </x:c>
      <x:c r="Q258" s="3"/>
      <x:c r="R258" s="19" t="str">
        <x:f>IF(A258="","",IF(COUNTIFS('预测登记'!$A$7:$A$306,A258)&lt;&gt;1,"编号重复",IF(COUNTIFS('问题总览'!$A$7:$A$306,B258)&lt;&gt;1,"问题引用无效",IF(COUNTIFS('方案版本'!$A$7:$A$306,C258,'方案版本'!$B$7:$B$306,B258,'方案版本'!$L$7:$L$306,"已冻结")&lt;&gt;1,"方案引用无效",IF(OR(NOT(ISNUMBER(D258)),NOT(ISNUMBER(E258)),F258="",I258="",M258="",Q258=""),"待补预测信息",IF(D258&gt;E258,"非事前到期登记",IF(OR(AND(G258&lt;&gt;"",OR(NOT(ISNUMBER(G258)),G258&lt;0,G258&gt;1)),AND(H258&lt;&gt;"",OR(NOT(ISNUMBER(H258)),H258&lt;0,H258&gt;1))),"概率无效",IF(AND(I258="已判定",OR(NOT(ISNUMBER(J258)),AND(J258&lt;&gt;0,J258&lt;&gt;1),NOT(ISNUMBER(K258)),L258="")),"待补判定证据",IF(AND(I258="已判定",D258&gt;K258),"事后补录不评分","有效输入")))))))))</x:f>
      </x:c>
    </x:row>
    <x:row r="259" ht="25" customHeight="1">
      <x:c r="A259" s="3"/>
      <x:c r="B259" s="3"/>
      <x:c r="C259" s="3"/>
      <x:c r="D259" s="25"/>
      <x:c r="E259" s="25"/>
      <x:c r="F259" s="3"/>
      <x:c r="G259" s="26"/>
      <x:c r="H259" s="26"/>
      <x:c r="I259" s="3"/>
      <x:c r="J259" s="22"/>
      <x:c r="K259" s="25"/>
      <x:c r="L259" s="3"/>
      <x:c r="M259" s="3"/>
      <x:c r="N259" s="24" t="str">
        <x:f>IF(AND(R259="有效输入",I259="已判定",M259="是",ISNUMBER(G259)),(G259-J259)^2,"")</x:f>
      </x:c>
      <x:c r="O259" s="24" t="str">
        <x:f>IF(AND(ISNUMBER(N259),ISNUMBER(H259)),(H259-J259)^2,"")</x:f>
      </x:c>
      <x:c r="P259" s="24" t="str">
        <x:f>IF(AND(ISNUMBER(N259),ISNUMBER(O259)),O259-N259,"")</x:f>
      </x:c>
      <x:c r="Q259" s="3"/>
      <x:c r="R259" s="19" t="str">
        <x:f>IF(A259="","",IF(COUNTIFS('预测登记'!$A$7:$A$306,A259)&lt;&gt;1,"编号重复",IF(COUNTIFS('问题总览'!$A$7:$A$306,B259)&lt;&gt;1,"问题引用无效",IF(COUNTIFS('方案版本'!$A$7:$A$306,C259,'方案版本'!$B$7:$B$306,B259,'方案版本'!$L$7:$L$306,"已冻结")&lt;&gt;1,"方案引用无效",IF(OR(NOT(ISNUMBER(D259)),NOT(ISNUMBER(E259)),F259="",I259="",M259="",Q259=""),"待补预测信息",IF(D259&gt;E259,"非事前到期登记",IF(OR(AND(G259&lt;&gt;"",OR(NOT(ISNUMBER(G259)),G259&lt;0,G259&gt;1)),AND(H259&lt;&gt;"",OR(NOT(ISNUMBER(H259)),H259&lt;0,H259&gt;1))),"概率无效",IF(AND(I259="已判定",OR(NOT(ISNUMBER(J259)),AND(J259&lt;&gt;0,J259&lt;&gt;1),NOT(ISNUMBER(K259)),L259="")),"待补判定证据",IF(AND(I259="已判定",D259&gt;K259),"事后补录不评分","有效输入")))))))))</x:f>
      </x:c>
    </x:row>
    <x:row r="260" ht="25" customHeight="1">
      <x:c r="A260" s="3"/>
      <x:c r="B260" s="3"/>
      <x:c r="C260" s="3"/>
      <x:c r="D260" s="25"/>
      <x:c r="E260" s="25"/>
      <x:c r="F260" s="3"/>
      <x:c r="G260" s="26"/>
      <x:c r="H260" s="26"/>
      <x:c r="I260" s="3"/>
      <x:c r="J260" s="22"/>
      <x:c r="K260" s="25"/>
      <x:c r="L260" s="3"/>
      <x:c r="M260" s="3"/>
      <x:c r="N260" s="24" t="str">
        <x:f>IF(AND(R260="有效输入",I260="已判定",M260="是",ISNUMBER(G260)),(G260-J260)^2,"")</x:f>
      </x:c>
      <x:c r="O260" s="24" t="str">
        <x:f>IF(AND(ISNUMBER(N260),ISNUMBER(H260)),(H260-J260)^2,"")</x:f>
      </x:c>
      <x:c r="P260" s="24" t="str">
        <x:f>IF(AND(ISNUMBER(N260),ISNUMBER(O260)),O260-N260,"")</x:f>
      </x:c>
      <x:c r="Q260" s="3"/>
      <x:c r="R260" s="19" t="str">
        <x:f>IF(A260="","",IF(COUNTIFS('预测登记'!$A$7:$A$306,A260)&lt;&gt;1,"编号重复",IF(COUNTIFS('问题总览'!$A$7:$A$306,B260)&lt;&gt;1,"问题引用无效",IF(COUNTIFS('方案版本'!$A$7:$A$306,C260,'方案版本'!$B$7:$B$306,B260,'方案版本'!$L$7:$L$306,"已冻结")&lt;&gt;1,"方案引用无效",IF(OR(NOT(ISNUMBER(D260)),NOT(ISNUMBER(E260)),F260="",I260="",M260="",Q260=""),"待补预测信息",IF(D260&gt;E260,"非事前到期登记",IF(OR(AND(G260&lt;&gt;"",OR(NOT(ISNUMBER(G260)),G260&lt;0,G260&gt;1)),AND(H260&lt;&gt;"",OR(NOT(ISNUMBER(H260)),H260&lt;0,H260&gt;1))),"概率无效",IF(AND(I260="已判定",OR(NOT(ISNUMBER(J260)),AND(J260&lt;&gt;0,J260&lt;&gt;1),NOT(ISNUMBER(K260)),L260="")),"待补判定证据",IF(AND(I260="已判定",D260&gt;K260),"事后补录不评分","有效输入")))))))))</x:f>
      </x:c>
    </x:row>
    <x:row r="261" ht="25" customHeight="1">
      <x:c r="A261" s="3"/>
      <x:c r="B261" s="3"/>
      <x:c r="C261" s="3"/>
      <x:c r="D261" s="25"/>
      <x:c r="E261" s="25"/>
      <x:c r="F261" s="3"/>
      <x:c r="G261" s="26"/>
      <x:c r="H261" s="26"/>
      <x:c r="I261" s="3"/>
      <x:c r="J261" s="22"/>
      <x:c r="K261" s="25"/>
      <x:c r="L261" s="3"/>
      <x:c r="M261" s="3"/>
      <x:c r="N261" s="24" t="str">
        <x:f>IF(AND(R261="有效输入",I261="已判定",M261="是",ISNUMBER(G261)),(G261-J261)^2,"")</x:f>
      </x:c>
      <x:c r="O261" s="24" t="str">
        <x:f>IF(AND(ISNUMBER(N261),ISNUMBER(H261)),(H261-J261)^2,"")</x:f>
      </x:c>
      <x:c r="P261" s="24" t="str">
        <x:f>IF(AND(ISNUMBER(N261),ISNUMBER(O261)),O261-N261,"")</x:f>
      </x:c>
      <x:c r="Q261" s="3"/>
      <x:c r="R261" s="19" t="str">
        <x:f>IF(A261="","",IF(COUNTIFS('预测登记'!$A$7:$A$306,A261)&lt;&gt;1,"编号重复",IF(COUNTIFS('问题总览'!$A$7:$A$306,B261)&lt;&gt;1,"问题引用无效",IF(COUNTIFS('方案版本'!$A$7:$A$306,C261,'方案版本'!$B$7:$B$306,B261,'方案版本'!$L$7:$L$306,"已冻结")&lt;&gt;1,"方案引用无效",IF(OR(NOT(ISNUMBER(D261)),NOT(ISNUMBER(E261)),F261="",I261="",M261="",Q261=""),"待补预测信息",IF(D261&gt;E261,"非事前到期登记",IF(OR(AND(G261&lt;&gt;"",OR(NOT(ISNUMBER(G261)),G261&lt;0,G261&gt;1)),AND(H261&lt;&gt;"",OR(NOT(ISNUMBER(H261)),H261&lt;0,H261&gt;1))),"概率无效",IF(AND(I261="已判定",OR(NOT(ISNUMBER(J261)),AND(J261&lt;&gt;0,J261&lt;&gt;1),NOT(ISNUMBER(K261)),L261="")),"待补判定证据",IF(AND(I261="已判定",D261&gt;K261),"事后补录不评分","有效输入")))))))))</x:f>
      </x:c>
    </x:row>
    <x:row r="262" ht="25" customHeight="1">
      <x:c r="A262" s="3"/>
      <x:c r="B262" s="3"/>
      <x:c r="C262" s="3"/>
      <x:c r="D262" s="25"/>
      <x:c r="E262" s="25"/>
      <x:c r="F262" s="3"/>
      <x:c r="G262" s="26"/>
      <x:c r="H262" s="26"/>
      <x:c r="I262" s="3"/>
      <x:c r="J262" s="22"/>
      <x:c r="K262" s="25"/>
      <x:c r="L262" s="3"/>
      <x:c r="M262" s="3"/>
      <x:c r="N262" s="24" t="str">
        <x:f>IF(AND(R262="有效输入",I262="已判定",M262="是",ISNUMBER(G262)),(G262-J262)^2,"")</x:f>
      </x:c>
      <x:c r="O262" s="24" t="str">
        <x:f>IF(AND(ISNUMBER(N262),ISNUMBER(H262)),(H262-J262)^2,"")</x:f>
      </x:c>
      <x:c r="P262" s="24" t="str">
        <x:f>IF(AND(ISNUMBER(N262),ISNUMBER(O262)),O262-N262,"")</x:f>
      </x:c>
      <x:c r="Q262" s="3"/>
      <x:c r="R262" s="19" t="str">
        <x:f>IF(A262="","",IF(COUNTIFS('预测登记'!$A$7:$A$306,A262)&lt;&gt;1,"编号重复",IF(COUNTIFS('问题总览'!$A$7:$A$306,B262)&lt;&gt;1,"问题引用无效",IF(COUNTIFS('方案版本'!$A$7:$A$306,C262,'方案版本'!$B$7:$B$306,B262,'方案版本'!$L$7:$L$306,"已冻结")&lt;&gt;1,"方案引用无效",IF(OR(NOT(ISNUMBER(D262)),NOT(ISNUMBER(E262)),F262="",I262="",M262="",Q262=""),"待补预测信息",IF(D262&gt;E262,"非事前到期登记",IF(OR(AND(G262&lt;&gt;"",OR(NOT(ISNUMBER(G262)),G262&lt;0,G262&gt;1)),AND(H262&lt;&gt;"",OR(NOT(ISNUMBER(H262)),H262&lt;0,H262&gt;1))),"概率无效",IF(AND(I262="已判定",OR(NOT(ISNUMBER(J262)),AND(J262&lt;&gt;0,J262&lt;&gt;1),NOT(ISNUMBER(K262)),L262="")),"待补判定证据",IF(AND(I262="已判定",D262&gt;K262),"事后补录不评分","有效输入")))))))))</x:f>
      </x:c>
    </x:row>
    <x:row r="263" ht="25" customHeight="1">
      <x:c r="A263" s="3"/>
      <x:c r="B263" s="3"/>
      <x:c r="C263" s="3"/>
      <x:c r="D263" s="25"/>
      <x:c r="E263" s="25"/>
      <x:c r="F263" s="3"/>
      <x:c r="G263" s="26"/>
      <x:c r="H263" s="26"/>
      <x:c r="I263" s="3"/>
      <x:c r="J263" s="22"/>
      <x:c r="K263" s="25"/>
      <x:c r="L263" s="3"/>
      <x:c r="M263" s="3"/>
      <x:c r="N263" s="24" t="str">
        <x:f>IF(AND(R263="有效输入",I263="已判定",M263="是",ISNUMBER(G263)),(G263-J263)^2,"")</x:f>
      </x:c>
      <x:c r="O263" s="24" t="str">
        <x:f>IF(AND(ISNUMBER(N263),ISNUMBER(H263)),(H263-J263)^2,"")</x:f>
      </x:c>
      <x:c r="P263" s="24" t="str">
        <x:f>IF(AND(ISNUMBER(N263),ISNUMBER(O263)),O263-N263,"")</x:f>
      </x:c>
      <x:c r="Q263" s="3"/>
      <x:c r="R263" s="19" t="str">
        <x:f>IF(A263="","",IF(COUNTIFS('预测登记'!$A$7:$A$306,A263)&lt;&gt;1,"编号重复",IF(COUNTIFS('问题总览'!$A$7:$A$306,B263)&lt;&gt;1,"问题引用无效",IF(COUNTIFS('方案版本'!$A$7:$A$306,C263,'方案版本'!$B$7:$B$306,B263,'方案版本'!$L$7:$L$306,"已冻结")&lt;&gt;1,"方案引用无效",IF(OR(NOT(ISNUMBER(D263)),NOT(ISNUMBER(E263)),F263="",I263="",M263="",Q263=""),"待补预测信息",IF(D263&gt;E263,"非事前到期登记",IF(OR(AND(G263&lt;&gt;"",OR(NOT(ISNUMBER(G263)),G263&lt;0,G263&gt;1)),AND(H263&lt;&gt;"",OR(NOT(ISNUMBER(H263)),H263&lt;0,H263&gt;1))),"概率无效",IF(AND(I263="已判定",OR(NOT(ISNUMBER(J263)),AND(J263&lt;&gt;0,J263&lt;&gt;1),NOT(ISNUMBER(K263)),L263="")),"待补判定证据",IF(AND(I263="已判定",D263&gt;K263),"事后补录不评分","有效输入")))))))))</x:f>
      </x:c>
    </x:row>
    <x:row r="264" ht="25" customHeight="1">
      <x:c r="A264" s="3"/>
      <x:c r="B264" s="3"/>
      <x:c r="C264" s="3"/>
      <x:c r="D264" s="25"/>
      <x:c r="E264" s="25"/>
      <x:c r="F264" s="3"/>
      <x:c r="G264" s="26"/>
      <x:c r="H264" s="26"/>
      <x:c r="I264" s="3"/>
      <x:c r="J264" s="22"/>
      <x:c r="K264" s="25"/>
      <x:c r="L264" s="3"/>
      <x:c r="M264" s="3"/>
      <x:c r="N264" s="24" t="str">
        <x:f>IF(AND(R264="有效输入",I264="已判定",M264="是",ISNUMBER(G264)),(G264-J264)^2,"")</x:f>
      </x:c>
      <x:c r="O264" s="24" t="str">
        <x:f>IF(AND(ISNUMBER(N264),ISNUMBER(H264)),(H264-J264)^2,"")</x:f>
      </x:c>
      <x:c r="P264" s="24" t="str">
        <x:f>IF(AND(ISNUMBER(N264),ISNUMBER(O264)),O264-N264,"")</x:f>
      </x:c>
      <x:c r="Q264" s="3"/>
      <x:c r="R264" s="19" t="str">
        <x:f>IF(A264="","",IF(COUNTIFS('预测登记'!$A$7:$A$306,A264)&lt;&gt;1,"编号重复",IF(COUNTIFS('问题总览'!$A$7:$A$306,B264)&lt;&gt;1,"问题引用无效",IF(COUNTIFS('方案版本'!$A$7:$A$306,C264,'方案版本'!$B$7:$B$306,B264,'方案版本'!$L$7:$L$306,"已冻结")&lt;&gt;1,"方案引用无效",IF(OR(NOT(ISNUMBER(D264)),NOT(ISNUMBER(E264)),F264="",I264="",M264="",Q264=""),"待补预测信息",IF(D264&gt;E264,"非事前到期登记",IF(OR(AND(G264&lt;&gt;"",OR(NOT(ISNUMBER(G264)),G264&lt;0,G264&gt;1)),AND(H264&lt;&gt;"",OR(NOT(ISNUMBER(H264)),H264&lt;0,H264&gt;1))),"概率无效",IF(AND(I264="已判定",OR(NOT(ISNUMBER(J264)),AND(J264&lt;&gt;0,J264&lt;&gt;1),NOT(ISNUMBER(K264)),L264="")),"待补判定证据",IF(AND(I264="已判定",D264&gt;K264),"事后补录不评分","有效输入")))))))))</x:f>
      </x:c>
    </x:row>
    <x:row r="265" ht="25" customHeight="1">
      <x:c r="A265" s="3"/>
      <x:c r="B265" s="3"/>
      <x:c r="C265" s="3"/>
      <x:c r="D265" s="25"/>
      <x:c r="E265" s="25"/>
      <x:c r="F265" s="3"/>
      <x:c r="G265" s="26"/>
      <x:c r="H265" s="26"/>
      <x:c r="I265" s="3"/>
      <x:c r="J265" s="22"/>
      <x:c r="K265" s="25"/>
      <x:c r="L265" s="3"/>
      <x:c r="M265" s="3"/>
      <x:c r="N265" s="24" t="str">
        <x:f>IF(AND(R265="有效输入",I265="已判定",M265="是",ISNUMBER(G265)),(G265-J265)^2,"")</x:f>
      </x:c>
      <x:c r="O265" s="24" t="str">
        <x:f>IF(AND(ISNUMBER(N265),ISNUMBER(H265)),(H265-J265)^2,"")</x:f>
      </x:c>
      <x:c r="P265" s="24" t="str">
        <x:f>IF(AND(ISNUMBER(N265),ISNUMBER(O265)),O265-N265,"")</x:f>
      </x:c>
      <x:c r="Q265" s="3"/>
      <x:c r="R265" s="19" t="str">
        <x:f>IF(A265="","",IF(COUNTIFS('预测登记'!$A$7:$A$306,A265)&lt;&gt;1,"编号重复",IF(COUNTIFS('问题总览'!$A$7:$A$306,B265)&lt;&gt;1,"问题引用无效",IF(COUNTIFS('方案版本'!$A$7:$A$306,C265,'方案版本'!$B$7:$B$306,B265,'方案版本'!$L$7:$L$306,"已冻结")&lt;&gt;1,"方案引用无效",IF(OR(NOT(ISNUMBER(D265)),NOT(ISNUMBER(E265)),F265="",I265="",M265="",Q265=""),"待补预测信息",IF(D265&gt;E265,"非事前到期登记",IF(OR(AND(G265&lt;&gt;"",OR(NOT(ISNUMBER(G265)),G265&lt;0,G265&gt;1)),AND(H265&lt;&gt;"",OR(NOT(ISNUMBER(H265)),H265&lt;0,H265&gt;1))),"概率无效",IF(AND(I265="已判定",OR(NOT(ISNUMBER(J265)),AND(J265&lt;&gt;0,J265&lt;&gt;1),NOT(ISNUMBER(K265)),L265="")),"待补判定证据",IF(AND(I265="已判定",D265&gt;K265),"事后补录不评分","有效输入")))))))))</x:f>
      </x:c>
    </x:row>
    <x:row r="266" ht="25" customHeight="1">
      <x:c r="A266" s="3"/>
      <x:c r="B266" s="3"/>
      <x:c r="C266" s="3"/>
      <x:c r="D266" s="25"/>
      <x:c r="E266" s="25"/>
      <x:c r="F266" s="3"/>
      <x:c r="G266" s="26"/>
      <x:c r="H266" s="26"/>
      <x:c r="I266" s="3"/>
      <x:c r="J266" s="22"/>
      <x:c r="K266" s="25"/>
      <x:c r="L266" s="3"/>
      <x:c r="M266" s="3"/>
      <x:c r="N266" s="24" t="str">
        <x:f>IF(AND(R266="有效输入",I266="已判定",M266="是",ISNUMBER(G266)),(G266-J266)^2,"")</x:f>
      </x:c>
      <x:c r="O266" s="24" t="str">
        <x:f>IF(AND(ISNUMBER(N266),ISNUMBER(H266)),(H266-J266)^2,"")</x:f>
      </x:c>
      <x:c r="P266" s="24" t="str">
        <x:f>IF(AND(ISNUMBER(N266),ISNUMBER(O266)),O266-N266,"")</x:f>
      </x:c>
      <x:c r="Q266" s="3"/>
      <x:c r="R266" s="19" t="str">
        <x:f>IF(A266="","",IF(COUNTIFS('预测登记'!$A$7:$A$306,A266)&lt;&gt;1,"编号重复",IF(COUNTIFS('问题总览'!$A$7:$A$306,B266)&lt;&gt;1,"问题引用无效",IF(COUNTIFS('方案版本'!$A$7:$A$306,C266,'方案版本'!$B$7:$B$306,B266,'方案版本'!$L$7:$L$306,"已冻结")&lt;&gt;1,"方案引用无效",IF(OR(NOT(ISNUMBER(D266)),NOT(ISNUMBER(E266)),F266="",I266="",M266="",Q266=""),"待补预测信息",IF(D266&gt;E266,"非事前到期登记",IF(OR(AND(G266&lt;&gt;"",OR(NOT(ISNUMBER(G266)),G266&lt;0,G266&gt;1)),AND(H266&lt;&gt;"",OR(NOT(ISNUMBER(H266)),H266&lt;0,H266&gt;1))),"概率无效",IF(AND(I266="已判定",OR(NOT(ISNUMBER(J266)),AND(J266&lt;&gt;0,J266&lt;&gt;1),NOT(ISNUMBER(K266)),L266="")),"待补判定证据",IF(AND(I266="已判定",D266&gt;K266),"事后补录不评分","有效输入")))))))))</x:f>
      </x:c>
    </x:row>
    <x:row r="267" ht="25" customHeight="1">
      <x:c r="A267" s="3"/>
      <x:c r="B267" s="3"/>
      <x:c r="C267" s="3"/>
      <x:c r="D267" s="25"/>
      <x:c r="E267" s="25"/>
      <x:c r="F267" s="3"/>
      <x:c r="G267" s="26"/>
      <x:c r="H267" s="26"/>
      <x:c r="I267" s="3"/>
      <x:c r="J267" s="22"/>
      <x:c r="K267" s="25"/>
      <x:c r="L267" s="3"/>
      <x:c r="M267" s="3"/>
      <x:c r="N267" s="24" t="str">
        <x:f>IF(AND(R267="有效输入",I267="已判定",M267="是",ISNUMBER(G267)),(G267-J267)^2,"")</x:f>
      </x:c>
      <x:c r="O267" s="24" t="str">
        <x:f>IF(AND(ISNUMBER(N267),ISNUMBER(H267)),(H267-J267)^2,"")</x:f>
      </x:c>
      <x:c r="P267" s="24" t="str">
        <x:f>IF(AND(ISNUMBER(N267),ISNUMBER(O267)),O267-N267,"")</x:f>
      </x:c>
      <x:c r="Q267" s="3"/>
      <x:c r="R267" s="19" t="str">
        <x:f>IF(A267="","",IF(COUNTIFS('预测登记'!$A$7:$A$306,A267)&lt;&gt;1,"编号重复",IF(COUNTIFS('问题总览'!$A$7:$A$306,B267)&lt;&gt;1,"问题引用无效",IF(COUNTIFS('方案版本'!$A$7:$A$306,C267,'方案版本'!$B$7:$B$306,B267,'方案版本'!$L$7:$L$306,"已冻结")&lt;&gt;1,"方案引用无效",IF(OR(NOT(ISNUMBER(D267)),NOT(ISNUMBER(E267)),F267="",I267="",M267="",Q267=""),"待补预测信息",IF(D267&gt;E267,"非事前到期登记",IF(OR(AND(G267&lt;&gt;"",OR(NOT(ISNUMBER(G267)),G267&lt;0,G267&gt;1)),AND(H267&lt;&gt;"",OR(NOT(ISNUMBER(H267)),H267&lt;0,H267&gt;1))),"概率无效",IF(AND(I267="已判定",OR(NOT(ISNUMBER(J267)),AND(J267&lt;&gt;0,J267&lt;&gt;1),NOT(ISNUMBER(K267)),L267="")),"待补判定证据",IF(AND(I267="已判定",D267&gt;K267),"事后补录不评分","有效输入")))))))))</x:f>
      </x:c>
    </x:row>
    <x:row r="268" ht="25" customHeight="1">
      <x:c r="A268" s="3"/>
      <x:c r="B268" s="3"/>
      <x:c r="C268" s="3"/>
      <x:c r="D268" s="25"/>
      <x:c r="E268" s="25"/>
      <x:c r="F268" s="3"/>
      <x:c r="G268" s="26"/>
      <x:c r="H268" s="26"/>
      <x:c r="I268" s="3"/>
      <x:c r="J268" s="22"/>
      <x:c r="K268" s="25"/>
      <x:c r="L268" s="3"/>
      <x:c r="M268" s="3"/>
      <x:c r="N268" s="24" t="str">
        <x:f>IF(AND(R268="有效输入",I268="已判定",M268="是",ISNUMBER(G268)),(G268-J268)^2,"")</x:f>
      </x:c>
      <x:c r="O268" s="24" t="str">
        <x:f>IF(AND(ISNUMBER(N268),ISNUMBER(H268)),(H268-J268)^2,"")</x:f>
      </x:c>
      <x:c r="P268" s="24" t="str">
        <x:f>IF(AND(ISNUMBER(N268),ISNUMBER(O268)),O268-N268,"")</x:f>
      </x:c>
      <x:c r="Q268" s="3"/>
      <x:c r="R268" s="19" t="str">
        <x:f>IF(A268="","",IF(COUNTIFS('预测登记'!$A$7:$A$306,A268)&lt;&gt;1,"编号重复",IF(COUNTIFS('问题总览'!$A$7:$A$306,B268)&lt;&gt;1,"问题引用无效",IF(COUNTIFS('方案版本'!$A$7:$A$306,C268,'方案版本'!$B$7:$B$306,B268,'方案版本'!$L$7:$L$306,"已冻结")&lt;&gt;1,"方案引用无效",IF(OR(NOT(ISNUMBER(D268)),NOT(ISNUMBER(E268)),F268="",I268="",M268="",Q268=""),"待补预测信息",IF(D268&gt;E268,"非事前到期登记",IF(OR(AND(G268&lt;&gt;"",OR(NOT(ISNUMBER(G268)),G268&lt;0,G268&gt;1)),AND(H268&lt;&gt;"",OR(NOT(ISNUMBER(H268)),H268&lt;0,H268&gt;1))),"概率无效",IF(AND(I268="已判定",OR(NOT(ISNUMBER(J268)),AND(J268&lt;&gt;0,J268&lt;&gt;1),NOT(ISNUMBER(K268)),L268="")),"待补判定证据",IF(AND(I268="已判定",D268&gt;K268),"事后补录不评分","有效输入")))))))))</x:f>
      </x:c>
    </x:row>
    <x:row r="269" ht="25" customHeight="1">
      <x:c r="A269" s="3"/>
      <x:c r="B269" s="3"/>
      <x:c r="C269" s="3"/>
      <x:c r="D269" s="25"/>
      <x:c r="E269" s="25"/>
      <x:c r="F269" s="3"/>
      <x:c r="G269" s="26"/>
      <x:c r="H269" s="26"/>
      <x:c r="I269" s="3"/>
      <x:c r="J269" s="22"/>
      <x:c r="K269" s="25"/>
      <x:c r="L269" s="3"/>
      <x:c r="M269" s="3"/>
      <x:c r="N269" s="24" t="str">
        <x:f>IF(AND(R269="有效输入",I269="已判定",M269="是",ISNUMBER(G269)),(G269-J269)^2,"")</x:f>
      </x:c>
      <x:c r="O269" s="24" t="str">
        <x:f>IF(AND(ISNUMBER(N269),ISNUMBER(H269)),(H269-J269)^2,"")</x:f>
      </x:c>
      <x:c r="P269" s="24" t="str">
        <x:f>IF(AND(ISNUMBER(N269),ISNUMBER(O269)),O269-N269,"")</x:f>
      </x:c>
      <x:c r="Q269" s="3"/>
      <x:c r="R269" s="19" t="str">
        <x:f>IF(A269="","",IF(COUNTIFS('预测登记'!$A$7:$A$306,A269)&lt;&gt;1,"编号重复",IF(COUNTIFS('问题总览'!$A$7:$A$306,B269)&lt;&gt;1,"问题引用无效",IF(COUNTIFS('方案版本'!$A$7:$A$306,C269,'方案版本'!$B$7:$B$306,B269,'方案版本'!$L$7:$L$306,"已冻结")&lt;&gt;1,"方案引用无效",IF(OR(NOT(ISNUMBER(D269)),NOT(ISNUMBER(E269)),F269="",I269="",M269="",Q269=""),"待补预测信息",IF(D269&gt;E269,"非事前到期登记",IF(OR(AND(G269&lt;&gt;"",OR(NOT(ISNUMBER(G269)),G269&lt;0,G269&gt;1)),AND(H269&lt;&gt;"",OR(NOT(ISNUMBER(H269)),H269&lt;0,H269&gt;1))),"概率无效",IF(AND(I269="已判定",OR(NOT(ISNUMBER(J269)),AND(J269&lt;&gt;0,J269&lt;&gt;1),NOT(ISNUMBER(K269)),L269="")),"待补判定证据",IF(AND(I269="已判定",D269&gt;K269),"事后补录不评分","有效输入")))))))))</x:f>
      </x:c>
    </x:row>
    <x:row r="270" ht="25" customHeight="1">
      <x:c r="A270" s="3"/>
      <x:c r="B270" s="3"/>
      <x:c r="C270" s="3"/>
      <x:c r="D270" s="25"/>
      <x:c r="E270" s="25"/>
      <x:c r="F270" s="3"/>
      <x:c r="G270" s="26"/>
      <x:c r="H270" s="26"/>
      <x:c r="I270" s="3"/>
      <x:c r="J270" s="22"/>
      <x:c r="K270" s="25"/>
      <x:c r="L270" s="3"/>
      <x:c r="M270" s="3"/>
      <x:c r="N270" s="24" t="str">
        <x:f>IF(AND(R270="有效输入",I270="已判定",M270="是",ISNUMBER(G270)),(G270-J270)^2,"")</x:f>
      </x:c>
      <x:c r="O270" s="24" t="str">
        <x:f>IF(AND(ISNUMBER(N270),ISNUMBER(H270)),(H270-J270)^2,"")</x:f>
      </x:c>
      <x:c r="P270" s="24" t="str">
        <x:f>IF(AND(ISNUMBER(N270),ISNUMBER(O270)),O270-N270,"")</x:f>
      </x:c>
      <x:c r="Q270" s="3"/>
      <x:c r="R270" s="19" t="str">
        <x:f>IF(A270="","",IF(COUNTIFS('预测登记'!$A$7:$A$306,A270)&lt;&gt;1,"编号重复",IF(COUNTIFS('问题总览'!$A$7:$A$306,B270)&lt;&gt;1,"问题引用无效",IF(COUNTIFS('方案版本'!$A$7:$A$306,C270,'方案版本'!$B$7:$B$306,B270,'方案版本'!$L$7:$L$306,"已冻结")&lt;&gt;1,"方案引用无效",IF(OR(NOT(ISNUMBER(D270)),NOT(ISNUMBER(E270)),F270="",I270="",M270="",Q270=""),"待补预测信息",IF(D270&gt;E270,"非事前到期登记",IF(OR(AND(G270&lt;&gt;"",OR(NOT(ISNUMBER(G270)),G270&lt;0,G270&gt;1)),AND(H270&lt;&gt;"",OR(NOT(ISNUMBER(H270)),H270&lt;0,H270&gt;1))),"概率无效",IF(AND(I270="已判定",OR(NOT(ISNUMBER(J270)),AND(J270&lt;&gt;0,J270&lt;&gt;1),NOT(ISNUMBER(K270)),L270="")),"待补判定证据",IF(AND(I270="已判定",D270&gt;K270),"事后补录不评分","有效输入")))))))))</x:f>
      </x:c>
    </x:row>
    <x:row r="271" ht="25" customHeight="1">
      <x:c r="A271" s="3"/>
      <x:c r="B271" s="3"/>
      <x:c r="C271" s="3"/>
      <x:c r="D271" s="25"/>
      <x:c r="E271" s="25"/>
      <x:c r="F271" s="3"/>
      <x:c r="G271" s="26"/>
      <x:c r="H271" s="26"/>
      <x:c r="I271" s="3"/>
      <x:c r="J271" s="22"/>
      <x:c r="K271" s="25"/>
      <x:c r="L271" s="3"/>
      <x:c r="M271" s="3"/>
      <x:c r="N271" s="24" t="str">
        <x:f>IF(AND(R271="有效输入",I271="已判定",M271="是",ISNUMBER(G271)),(G271-J271)^2,"")</x:f>
      </x:c>
      <x:c r="O271" s="24" t="str">
        <x:f>IF(AND(ISNUMBER(N271),ISNUMBER(H271)),(H271-J271)^2,"")</x:f>
      </x:c>
      <x:c r="P271" s="24" t="str">
        <x:f>IF(AND(ISNUMBER(N271),ISNUMBER(O271)),O271-N271,"")</x:f>
      </x:c>
      <x:c r="Q271" s="3"/>
      <x:c r="R271" s="19" t="str">
        <x:f>IF(A271="","",IF(COUNTIFS('预测登记'!$A$7:$A$306,A271)&lt;&gt;1,"编号重复",IF(COUNTIFS('问题总览'!$A$7:$A$306,B271)&lt;&gt;1,"问题引用无效",IF(COUNTIFS('方案版本'!$A$7:$A$306,C271,'方案版本'!$B$7:$B$306,B271,'方案版本'!$L$7:$L$306,"已冻结")&lt;&gt;1,"方案引用无效",IF(OR(NOT(ISNUMBER(D271)),NOT(ISNUMBER(E271)),F271="",I271="",M271="",Q271=""),"待补预测信息",IF(D271&gt;E271,"非事前到期登记",IF(OR(AND(G271&lt;&gt;"",OR(NOT(ISNUMBER(G271)),G271&lt;0,G271&gt;1)),AND(H271&lt;&gt;"",OR(NOT(ISNUMBER(H271)),H271&lt;0,H271&gt;1))),"概率无效",IF(AND(I271="已判定",OR(NOT(ISNUMBER(J271)),AND(J271&lt;&gt;0,J271&lt;&gt;1),NOT(ISNUMBER(K271)),L271="")),"待补判定证据",IF(AND(I271="已判定",D271&gt;K271),"事后补录不评分","有效输入")))))))))</x:f>
      </x:c>
    </x:row>
    <x:row r="272" ht="25" customHeight="1">
      <x:c r="A272" s="3"/>
      <x:c r="B272" s="3"/>
      <x:c r="C272" s="3"/>
      <x:c r="D272" s="25"/>
      <x:c r="E272" s="25"/>
      <x:c r="F272" s="3"/>
      <x:c r="G272" s="26"/>
      <x:c r="H272" s="26"/>
      <x:c r="I272" s="3"/>
      <x:c r="J272" s="22"/>
      <x:c r="K272" s="25"/>
      <x:c r="L272" s="3"/>
      <x:c r="M272" s="3"/>
      <x:c r="N272" s="24" t="str">
        <x:f>IF(AND(R272="有效输入",I272="已判定",M272="是",ISNUMBER(G272)),(G272-J272)^2,"")</x:f>
      </x:c>
      <x:c r="O272" s="24" t="str">
        <x:f>IF(AND(ISNUMBER(N272),ISNUMBER(H272)),(H272-J272)^2,"")</x:f>
      </x:c>
      <x:c r="P272" s="24" t="str">
        <x:f>IF(AND(ISNUMBER(N272),ISNUMBER(O272)),O272-N272,"")</x:f>
      </x:c>
      <x:c r="Q272" s="3"/>
      <x:c r="R272" s="19" t="str">
        <x:f>IF(A272="","",IF(COUNTIFS('预测登记'!$A$7:$A$306,A272)&lt;&gt;1,"编号重复",IF(COUNTIFS('问题总览'!$A$7:$A$306,B272)&lt;&gt;1,"问题引用无效",IF(COUNTIFS('方案版本'!$A$7:$A$306,C272,'方案版本'!$B$7:$B$306,B272,'方案版本'!$L$7:$L$306,"已冻结")&lt;&gt;1,"方案引用无效",IF(OR(NOT(ISNUMBER(D272)),NOT(ISNUMBER(E272)),F272="",I272="",M272="",Q272=""),"待补预测信息",IF(D272&gt;E272,"非事前到期登记",IF(OR(AND(G272&lt;&gt;"",OR(NOT(ISNUMBER(G272)),G272&lt;0,G272&gt;1)),AND(H272&lt;&gt;"",OR(NOT(ISNUMBER(H272)),H272&lt;0,H272&gt;1))),"概率无效",IF(AND(I272="已判定",OR(NOT(ISNUMBER(J272)),AND(J272&lt;&gt;0,J272&lt;&gt;1),NOT(ISNUMBER(K272)),L272="")),"待补判定证据",IF(AND(I272="已判定",D272&gt;K272),"事后补录不评分","有效输入")))))))))</x:f>
      </x:c>
    </x:row>
    <x:row r="273" ht="25" customHeight="1">
      <x:c r="A273" s="3"/>
      <x:c r="B273" s="3"/>
      <x:c r="C273" s="3"/>
      <x:c r="D273" s="25"/>
      <x:c r="E273" s="25"/>
      <x:c r="F273" s="3"/>
      <x:c r="G273" s="26"/>
      <x:c r="H273" s="26"/>
      <x:c r="I273" s="3"/>
      <x:c r="J273" s="22"/>
      <x:c r="K273" s="25"/>
      <x:c r="L273" s="3"/>
      <x:c r="M273" s="3"/>
      <x:c r="N273" s="24" t="str">
        <x:f>IF(AND(R273="有效输入",I273="已判定",M273="是",ISNUMBER(G273)),(G273-J273)^2,"")</x:f>
      </x:c>
      <x:c r="O273" s="24" t="str">
        <x:f>IF(AND(ISNUMBER(N273),ISNUMBER(H273)),(H273-J273)^2,"")</x:f>
      </x:c>
      <x:c r="P273" s="24" t="str">
        <x:f>IF(AND(ISNUMBER(N273),ISNUMBER(O273)),O273-N273,"")</x:f>
      </x:c>
      <x:c r="Q273" s="3"/>
      <x:c r="R273" s="19" t="str">
        <x:f>IF(A273="","",IF(COUNTIFS('预测登记'!$A$7:$A$306,A273)&lt;&gt;1,"编号重复",IF(COUNTIFS('问题总览'!$A$7:$A$306,B273)&lt;&gt;1,"问题引用无效",IF(COUNTIFS('方案版本'!$A$7:$A$306,C273,'方案版本'!$B$7:$B$306,B273,'方案版本'!$L$7:$L$306,"已冻结")&lt;&gt;1,"方案引用无效",IF(OR(NOT(ISNUMBER(D273)),NOT(ISNUMBER(E273)),F273="",I273="",M273="",Q273=""),"待补预测信息",IF(D273&gt;E273,"非事前到期登记",IF(OR(AND(G273&lt;&gt;"",OR(NOT(ISNUMBER(G273)),G273&lt;0,G273&gt;1)),AND(H273&lt;&gt;"",OR(NOT(ISNUMBER(H273)),H273&lt;0,H273&gt;1))),"概率无效",IF(AND(I273="已判定",OR(NOT(ISNUMBER(J273)),AND(J273&lt;&gt;0,J273&lt;&gt;1),NOT(ISNUMBER(K273)),L273="")),"待补判定证据",IF(AND(I273="已判定",D273&gt;K273),"事后补录不评分","有效输入")))))))))</x:f>
      </x:c>
    </x:row>
    <x:row r="274" ht="25" customHeight="1">
      <x:c r="A274" s="3"/>
      <x:c r="B274" s="3"/>
      <x:c r="C274" s="3"/>
      <x:c r="D274" s="25"/>
      <x:c r="E274" s="25"/>
      <x:c r="F274" s="3"/>
      <x:c r="G274" s="26"/>
      <x:c r="H274" s="26"/>
      <x:c r="I274" s="3"/>
      <x:c r="J274" s="22"/>
      <x:c r="K274" s="25"/>
      <x:c r="L274" s="3"/>
      <x:c r="M274" s="3"/>
      <x:c r="N274" s="24" t="str">
        <x:f>IF(AND(R274="有效输入",I274="已判定",M274="是",ISNUMBER(G274)),(G274-J274)^2,"")</x:f>
      </x:c>
      <x:c r="O274" s="24" t="str">
        <x:f>IF(AND(ISNUMBER(N274),ISNUMBER(H274)),(H274-J274)^2,"")</x:f>
      </x:c>
      <x:c r="P274" s="24" t="str">
        <x:f>IF(AND(ISNUMBER(N274),ISNUMBER(O274)),O274-N274,"")</x:f>
      </x:c>
      <x:c r="Q274" s="3"/>
      <x:c r="R274" s="19" t="str">
        <x:f>IF(A274="","",IF(COUNTIFS('预测登记'!$A$7:$A$306,A274)&lt;&gt;1,"编号重复",IF(COUNTIFS('问题总览'!$A$7:$A$306,B274)&lt;&gt;1,"问题引用无效",IF(COUNTIFS('方案版本'!$A$7:$A$306,C274,'方案版本'!$B$7:$B$306,B274,'方案版本'!$L$7:$L$306,"已冻结")&lt;&gt;1,"方案引用无效",IF(OR(NOT(ISNUMBER(D274)),NOT(ISNUMBER(E274)),F274="",I274="",M274="",Q274=""),"待补预测信息",IF(D274&gt;E274,"非事前到期登记",IF(OR(AND(G274&lt;&gt;"",OR(NOT(ISNUMBER(G274)),G274&lt;0,G274&gt;1)),AND(H274&lt;&gt;"",OR(NOT(ISNUMBER(H274)),H274&lt;0,H274&gt;1))),"概率无效",IF(AND(I274="已判定",OR(NOT(ISNUMBER(J274)),AND(J274&lt;&gt;0,J274&lt;&gt;1),NOT(ISNUMBER(K274)),L274="")),"待补判定证据",IF(AND(I274="已判定",D274&gt;K274),"事后补录不评分","有效输入")))))))))</x:f>
      </x:c>
    </x:row>
    <x:row r="275" ht="25" customHeight="1">
      <x:c r="A275" s="3"/>
      <x:c r="B275" s="3"/>
      <x:c r="C275" s="3"/>
      <x:c r="D275" s="25"/>
      <x:c r="E275" s="25"/>
      <x:c r="F275" s="3"/>
      <x:c r="G275" s="26"/>
      <x:c r="H275" s="26"/>
      <x:c r="I275" s="3"/>
      <x:c r="J275" s="22"/>
      <x:c r="K275" s="25"/>
      <x:c r="L275" s="3"/>
      <x:c r="M275" s="3"/>
      <x:c r="N275" s="24" t="str">
        <x:f>IF(AND(R275="有效输入",I275="已判定",M275="是",ISNUMBER(G275)),(G275-J275)^2,"")</x:f>
      </x:c>
      <x:c r="O275" s="24" t="str">
        <x:f>IF(AND(ISNUMBER(N275),ISNUMBER(H275)),(H275-J275)^2,"")</x:f>
      </x:c>
      <x:c r="P275" s="24" t="str">
        <x:f>IF(AND(ISNUMBER(N275),ISNUMBER(O275)),O275-N275,"")</x:f>
      </x:c>
      <x:c r="Q275" s="3"/>
      <x:c r="R275" s="19" t="str">
        <x:f>IF(A275="","",IF(COUNTIFS('预测登记'!$A$7:$A$306,A275)&lt;&gt;1,"编号重复",IF(COUNTIFS('问题总览'!$A$7:$A$306,B275)&lt;&gt;1,"问题引用无效",IF(COUNTIFS('方案版本'!$A$7:$A$306,C275,'方案版本'!$B$7:$B$306,B275,'方案版本'!$L$7:$L$306,"已冻结")&lt;&gt;1,"方案引用无效",IF(OR(NOT(ISNUMBER(D275)),NOT(ISNUMBER(E275)),F275="",I275="",M275="",Q275=""),"待补预测信息",IF(D275&gt;E275,"非事前到期登记",IF(OR(AND(G275&lt;&gt;"",OR(NOT(ISNUMBER(G275)),G275&lt;0,G275&gt;1)),AND(H275&lt;&gt;"",OR(NOT(ISNUMBER(H275)),H275&lt;0,H275&gt;1))),"概率无效",IF(AND(I275="已判定",OR(NOT(ISNUMBER(J275)),AND(J275&lt;&gt;0,J275&lt;&gt;1),NOT(ISNUMBER(K275)),L275="")),"待补判定证据",IF(AND(I275="已判定",D275&gt;K275),"事后补录不评分","有效输入")))))))))</x:f>
      </x:c>
    </x:row>
    <x:row r="276" ht="25" customHeight="1">
      <x:c r="A276" s="3"/>
      <x:c r="B276" s="3"/>
      <x:c r="C276" s="3"/>
      <x:c r="D276" s="25"/>
      <x:c r="E276" s="25"/>
      <x:c r="F276" s="3"/>
      <x:c r="G276" s="26"/>
      <x:c r="H276" s="26"/>
      <x:c r="I276" s="3"/>
      <x:c r="J276" s="22"/>
      <x:c r="K276" s="25"/>
      <x:c r="L276" s="3"/>
      <x:c r="M276" s="3"/>
      <x:c r="N276" s="24" t="str">
        <x:f>IF(AND(R276="有效输入",I276="已判定",M276="是",ISNUMBER(G276)),(G276-J276)^2,"")</x:f>
      </x:c>
      <x:c r="O276" s="24" t="str">
        <x:f>IF(AND(ISNUMBER(N276),ISNUMBER(H276)),(H276-J276)^2,"")</x:f>
      </x:c>
      <x:c r="P276" s="24" t="str">
        <x:f>IF(AND(ISNUMBER(N276),ISNUMBER(O276)),O276-N276,"")</x:f>
      </x:c>
      <x:c r="Q276" s="3"/>
      <x:c r="R276" s="19" t="str">
        <x:f>IF(A276="","",IF(COUNTIFS('预测登记'!$A$7:$A$306,A276)&lt;&gt;1,"编号重复",IF(COUNTIFS('问题总览'!$A$7:$A$306,B276)&lt;&gt;1,"问题引用无效",IF(COUNTIFS('方案版本'!$A$7:$A$306,C276,'方案版本'!$B$7:$B$306,B276,'方案版本'!$L$7:$L$306,"已冻结")&lt;&gt;1,"方案引用无效",IF(OR(NOT(ISNUMBER(D276)),NOT(ISNUMBER(E276)),F276="",I276="",M276="",Q276=""),"待补预测信息",IF(D276&gt;E276,"非事前到期登记",IF(OR(AND(G276&lt;&gt;"",OR(NOT(ISNUMBER(G276)),G276&lt;0,G276&gt;1)),AND(H276&lt;&gt;"",OR(NOT(ISNUMBER(H276)),H276&lt;0,H276&gt;1))),"概率无效",IF(AND(I276="已判定",OR(NOT(ISNUMBER(J276)),AND(J276&lt;&gt;0,J276&lt;&gt;1),NOT(ISNUMBER(K276)),L276="")),"待补判定证据",IF(AND(I276="已判定",D276&gt;K276),"事后补录不评分","有效输入")))))))))</x:f>
      </x:c>
    </x:row>
    <x:row r="277" ht="25" customHeight="1">
      <x:c r="A277" s="3"/>
      <x:c r="B277" s="3"/>
      <x:c r="C277" s="3"/>
      <x:c r="D277" s="25"/>
      <x:c r="E277" s="25"/>
      <x:c r="F277" s="3"/>
      <x:c r="G277" s="26"/>
      <x:c r="H277" s="26"/>
      <x:c r="I277" s="3"/>
      <x:c r="J277" s="22"/>
      <x:c r="K277" s="25"/>
      <x:c r="L277" s="3"/>
      <x:c r="M277" s="3"/>
      <x:c r="N277" s="24" t="str">
        <x:f>IF(AND(R277="有效输入",I277="已判定",M277="是",ISNUMBER(G277)),(G277-J277)^2,"")</x:f>
      </x:c>
      <x:c r="O277" s="24" t="str">
        <x:f>IF(AND(ISNUMBER(N277),ISNUMBER(H277)),(H277-J277)^2,"")</x:f>
      </x:c>
      <x:c r="P277" s="24" t="str">
        <x:f>IF(AND(ISNUMBER(N277),ISNUMBER(O277)),O277-N277,"")</x:f>
      </x:c>
      <x:c r="Q277" s="3"/>
      <x:c r="R277" s="19" t="str">
        <x:f>IF(A277="","",IF(COUNTIFS('预测登记'!$A$7:$A$306,A277)&lt;&gt;1,"编号重复",IF(COUNTIFS('问题总览'!$A$7:$A$306,B277)&lt;&gt;1,"问题引用无效",IF(COUNTIFS('方案版本'!$A$7:$A$306,C277,'方案版本'!$B$7:$B$306,B277,'方案版本'!$L$7:$L$306,"已冻结")&lt;&gt;1,"方案引用无效",IF(OR(NOT(ISNUMBER(D277)),NOT(ISNUMBER(E277)),F277="",I277="",M277="",Q277=""),"待补预测信息",IF(D277&gt;E277,"非事前到期登记",IF(OR(AND(G277&lt;&gt;"",OR(NOT(ISNUMBER(G277)),G277&lt;0,G277&gt;1)),AND(H277&lt;&gt;"",OR(NOT(ISNUMBER(H277)),H277&lt;0,H277&gt;1))),"概率无效",IF(AND(I277="已判定",OR(NOT(ISNUMBER(J277)),AND(J277&lt;&gt;0,J277&lt;&gt;1),NOT(ISNUMBER(K277)),L277="")),"待补判定证据",IF(AND(I277="已判定",D277&gt;K277),"事后补录不评分","有效输入")))))))))</x:f>
      </x:c>
    </x:row>
    <x:row r="278" ht="25" customHeight="1">
      <x:c r="A278" s="3"/>
      <x:c r="B278" s="3"/>
      <x:c r="C278" s="3"/>
      <x:c r="D278" s="25"/>
      <x:c r="E278" s="25"/>
      <x:c r="F278" s="3"/>
      <x:c r="G278" s="26"/>
      <x:c r="H278" s="26"/>
      <x:c r="I278" s="3"/>
      <x:c r="J278" s="22"/>
      <x:c r="K278" s="25"/>
      <x:c r="L278" s="3"/>
      <x:c r="M278" s="3"/>
      <x:c r="N278" s="24" t="str">
        <x:f>IF(AND(R278="有效输入",I278="已判定",M278="是",ISNUMBER(G278)),(G278-J278)^2,"")</x:f>
      </x:c>
      <x:c r="O278" s="24" t="str">
        <x:f>IF(AND(ISNUMBER(N278),ISNUMBER(H278)),(H278-J278)^2,"")</x:f>
      </x:c>
      <x:c r="P278" s="24" t="str">
        <x:f>IF(AND(ISNUMBER(N278),ISNUMBER(O278)),O278-N278,"")</x:f>
      </x:c>
      <x:c r="Q278" s="3"/>
      <x:c r="R278" s="19" t="str">
        <x:f>IF(A278="","",IF(COUNTIFS('预测登记'!$A$7:$A$306,A278)&lt;&gt;1,"编号重复",IF(COUNTIFS('问题总览'!$A$7:$A$306,B278)&lt;&gt;1,"问题引用无效",IF(COUNTIFS('方案版本'!$A$7:$A$306,C278,'方案版本'!$B$7:$B$306,B278,'方案版本'!$L$7:$L$306,"已冻结")&lt;&gt;1,"方案引用无效",IF(OR(NOT(ISNUMBER(D278)),NOT(ISNUMBER(E278)),F278="",I278="",M278="",Q278=""),"待补预测信息",IF(D278&gt;E278,"非事前到期登记",IF(OR(AND(G278&lt;&gt;"",OR(NOT(ISNUMBER(G278)),G278&lt;0,G278&gt;1)),AND(H278&lt;&gt;"",OR(NOT(ISNUMBER(H278)),H278&lt;0,H278&gt;1))),"概率无效",IF(AND(I278="已判定",OR(NOT(ISNUMBER(J278)),AND(J278&lt;&gt;0,J278&lt;&gt;1),NOT(ISNUMBER(K278)),L278="")),"待补判定证据",IF(AND(I278="已判定",D278&gt;K278),"事后补录不评分","有效输入")))))))))</x:f>
      </x:c>
    </x:row>
    <x:row r="279" ht="25" customHeight="1">
      <x:c r="A279" s="3"/>
      <x:c r="B279" s="3"/>
      <x:c r="C279" s="3"/>
      <x:c r="D279" s="25"/>
      <x:c r="E279" s="25"/>
      <x:c r="F279" s="3"/>
      <x:c r="G279" s="26"/>
      <x:c r="H279" s="26"/>
      <x:c r="I279" s="3"/>
      <x:c r="J279" s="22"/>
      <x:c r="K279" s="25"/>
      <x:c r="L279" s="3"/>
      <x:c r="M279" s="3"/>
      <x:c r="N279" s="24" t="str">
        <x:f>IF(AND(R279="有效输入",I279="已判定",M279="是",ISNUMBER(G279)),(G279-J279)^2,"")</x:f>
      </x:c>
      <x:c r="O279" s="24" t="str">
        <x:f>IF(AND(ISNUMBER(N279),ISNUMBER(H279)),(H279-J279)^2,"")</x:f>
      </x:c>
      <x:c r="P279" s="24" t="str">
        <x:f>IF(AND(ISNUMBER(N279),ISNUMBER(O279)),O279-N279,"")</x:f>
      </x:c>
      <x:c r="Q279" s="3"/>
      <x:c r="R279" s="19" t="str">
        <x:f>IF(A279="","",IF(COUNTIFS('预测登记'!$A$7:$A$306,A279)&lt;&gt;1,"编号重复",IF(COUNTIFS('问题总览'!$A$7:$A$306,B279)&lt;&gt;1,"问题引用无效",IF(COUNTIFS('方案版本'!$A$7:$A$306,C279,'方案版本'!$B$7:$B$306,B279,'方案版本'!$L$7:$L$306,"已冻结")&lt;&gt;1,"方案引用无效",IF(OR(NOT(ISNUMBER(D279)),NOT(ISNUMBER(E279)),F279="",I279="",M279="",Q279=""),"待补预测信息",IF(D279&gt;E279,"非事前到期登记",IF(OR(AND(G279&lt;&gt;"",OR(NOT(ISNUMBER(G279)),G279&lt;0,G279&gt;1)),AND(H279&lt;&gt;"",OR(NOT(ISNUMBER(H279)),H279&lt;0,H279&gt;1))),"概率无效",IF(AND(I279="已判定",OR(NOT(ISNUMBER(J279)),AND(J279&lt;&gt;0,J279&lt;&gt;1),NOT(ISNUMBER(K279)),L279="")),"待补判定证据",IF(AND(I279="已判定",D279&gt;K279),"事后补录不评分","有效输入")))))))))</x:f>
      </x:c>
    </x:row>
    <x:row r="280" ht="25" customHeight="1">
      <x:c r="A280" s="3"/>
      <x:c r="B280" s="3"/>
      <x:c r="C280" s="3"/>
      <x:c r="D280" s="25"/>
      <x:c r="E280" s="25"/>
      <x:c r="F280" s="3"/>
      <x:c r="G280" s="26"/>
      <x:c r="H280" s="26"/>
      <x:c r="I280" s="3"/>
      <x:c r="J280" s="22"/>
      <x:c r="K280" s="25"/>
      <x:c r="L280" s="3"/>
      <x:c r="M280" s="3"/>
      <x:c r="N280" s="24" t="str">
        <x:f>IF(AND(R280="有效输入",I280="已判定",M280="是",ISNUMBER(G280)),(G280-J280)^2,"")</x:f>
      </x:c>
      <x:c r="O280" s="24" t="str">
        <x:f>IF(AND(ISNUMBER(N280),ISNUMBER(H280)),(H280-J280)^2,"")</x:f>
      </x:c>
      <x:c r="P280" s="24" t="str">
        <x:f>IF(AND(ISNUMBER(N280),ISNUMBER(O280)),O280-N280,"")</x:f>
      </x:c>
      <x:c r="Q280" s="3"/>
      <x:c r="R280" s="19" t="str">
        <x:f>IF(A280="","",IF(COUNTIFS('预测登记'!$A$7:$A$306,A280)&lt;&gt;1,"编号重复",IF(COUNTIFS('问题总览'!$A$7:$A$306,B280)&lt;&gt;1,"问题引用无效",IF(COUNTIFS('方案版本'!$A$7:$A$306,C280,'方案版本'!$B$7:$B$306,B280,'方案版本'!$L$7:$L$306,"已冻结")&lt;&gt;1,"方案引用无效",IF(OR(NOT(ISNUMBER(D280)),NOT(ISNUMBER(E280)),F280="",I280="",M280="",Q280=""),"待补预测信息",IF(D280&gt;E280,"非事前到期登记",IF(OR(AND(G280&lt;&gt;"",OR(NOT(ISNUMBER(G280)),G280&lt;0,G280&gt;1)),AND(H280&lt;&gt;"",OR(NOT(ISNUMBER(H280)),H280&lt;0,H280&gt;1))),"概率无效",IF(AND(I280="已判定",OR(NOT(ISNUMBER(J280)),AND(J280&lt;&gt;0,J280&lt;&gt;1),NOT(ISNUMBER(K280)),L280="")),"待补判定证据",IF(AND(I280="已判定",D280&gt;K280),"事后补录不评分","有效输入")))))))))</x:f>
      </x:c>
    </x:row>
    <x:row r="281" ht="25" customHeight="1">
      <x:c r="A281" s="3"/>
      <x:c r="B281" s="3"/>
      <x:c r="C281" s="3"/>
      <x:c r="D281" s="25"/>
      <x:c r="E281" s="25"/>
      <x:c r="F281" s="3"/>
      <x:c r="G281" s="26"/>
      <x:c r="H281" s="26"/>
      <x:c r="I281" s="3"/>
      <x:c r="J281" s="22"/>
      <x:c r="K281" s="25"/>
      <x:c r="L281" s="3"/>
      <x:c r="M281" s="3"/>
      <x:c r="N281" s="24" t="str">
        <x:f>IF(AND(R281="有效输入",I281="已判定",M281="是",ISNUMBER(G281)),(G281-J281)^2,"")</x:f>
      </x:c>
      <x:c r="O281" s="24" t="str">
        <x:f>IF(AND(ISNUMBER(N281),ISNUMBER(H281)),(H281-J281)^2,"")</x:f>
      </x:c>
      <x:c r="P281" s="24" t="str">
        <x:f>IF(AND(ISNUMBER(N281),ISNUMBER(O281)),O281-N281,"")</x:f>
      </x:c>
      <x:c r="Q281" s="3"/>
      <x:c r="R281" s="19" t="str">
        <x:f>IF(A281="","",IF(COUNTIFS('预测登记'!$A$7:$A$306,A281)&lt;&gt;1,"编号重复",IF(COUNTIFS('问题总览'!$A$7:$A$306,B281)&lt;&gt;1,"问题引用无效",IF(COUNTIFS('方案版本'!$A$7:$A$306,C281,'方案版本'!$B$7:$B$306,B281,'方案版本'!$L$7:$L$306,"已冻结")&lt;&gt;1,"方案引用无效",IF(OR(NOT(ISNUMBER(D281)),NOT(ISNUMBER(E281)),F281="",I281="",M281="",Q281=""),"待补预测信息",IF(D281&gt;E281,"非事前到期登记",IF(OR(AND(G281&lt;&gt;"",OR(NOT(ISNUMBER(G281)),G281&lt;0,G281&gt;1)),AND(H281&lt;&gt;"",OR(NOT(ISNUMBER(H281)),H281&lt;0,H281&gt;1))),"概率无效",IF(AND(I281="已判定",OR(NOT(ISNUMBER(J281)),AND(J281&lt;&gt;0,J281&lt;&gt;1),NOT(ISNUMBER(K281)),L281="")),"待补判定证据",IF(AND(I281="已判定",D281&gt;K281),"事后补录不评分","有效输入")))))))))</x:f>
      </x:c>
    </x:row>
    <x:row r="282" ht="25" customHeight="1">
      <x:c r="A282" s="3"/>
      <x:c r="B282" s="3"/>
      <x:c r="C282" s="3"/>
      <x:c r="D282" s="25"/>
      <x:c r="E282" s="25"/>
      <x:c r="F282" s="3"/>
      <x:c r="G282" s="26"/>
      <x:c r="H282" s="26"/>
      <x:c r="I282" s="3"/>
      <x:c r="J282" s="22"/>
      <x:c r="K282" s="25"/>
      <x:c r="L282" s="3"/>
      <x:c r="M282" s="3"/>
      <x:c r="N282" s="24" t="str">
        <x:f>IF(AND(R282="有效输入",I282="已判定",M282="是",ISNUMBER(G282)),(G282-J282)^2,"")</x:f>
      </x:c>
      <x:c r="O282" s="24" t="str">
        <x:f>IF(AND(ISNUMBER(N282),ISNUMBER(H282)),(H282-J282)^2,"")</x:f>
      </x:c>
      <x:c r="P282" s="24" t="str">
        <x:f>IF(AND(ISNUMBER(N282),ISNUMBER(O282)),O282-N282,"")</x:f>
      </x:c>
      <x:c r="Q282" s="3"/>
      <x:c r="R282" s="19" t="str">
        <x:f>IF(A282="","",IF(COUNTIFS('预测登记'!$A$7:$A$306,A282)&lt;&gt;1,"编号重复",IF(COUNTIFS('问题总览'!$A$7:$A$306,B282)&lt;&gt;1,"问题引用无效",IF(COUNTIFS('方案版本'!$A$7:$A$306,C282,'方案版本'!$B$7:$B$306,B282,'方案版本'!$L$7:$L$306,"已冻结")&lt;&gt;1,"方案引用无效",IF(OR(NOT(ISNUMBER(D282)),NOT(ISNUMBER(E282)),F282="",I282="",M282="",Q282=""),"待补预测信息",IF(D282&gt;E282,"非事前到期登记",IF(OR(AND(G282&lt;&gt;"",OR(NOT(ISNUMBER(G282)),G282&lt;0,G282&gt;1)),AND(H282&lt;&gt;"",OR(NOT(ISNUMBER(H282)),H282&lt;0,H282&gt;1))),"概率无效",IF(AND(I282="已判定",OR(NOT(ISNUMBER(J282)),AND(J282&lt;&gt;0,J282&lt;&gt;1),NOT(ISNUMBER(K282)),L282="")),"待补判定证据",IF(AND(I282="已判定",D282&gt;K282),"事后补录不评分","有效输入")))))))))</x:f>
      </x:c>
    </x:row>
    <x:row r="283" ht="25" customHeight="1">
      <x:c r="A283" s="3"/>
      <x:c r="B283" s="3"/>
      <x:c r="C283" s="3"/>
      <x:c r="D283" s="25"/>
      <x:c r="E283" s="25"/>
      <x:c r="F283" s="3"/>
      <x:c r="G283" s="26"/>
      <x:c r="H283" s="26"/>
      <x:c r="I283" s="3"/>
      <x:c r="J283" s="22"/>
      <x:c r="K283" s="25"/>
      <x:c r="L283" s="3"/>
      <x:c r="M283" s="3"/>
      <x:c r="N283" s="24" t="str">
        <x:f>IF(AND(R283="有效输入",I283="已判定",M283="是",ISNUMBER(G283)),(G283-J283)^2,"")</x:f>
      </x:c>
      <x:c r="O283" s="24" t="str">
        <x:f>IF(AND(ISNUMBER(N283),ISNUMBER(H283)),(H283-J283)^2,"")</x:f>
      </x:c>
      <x:c r="P283" s="24" t="str">
        <x:f>IF(AND(ISNUMBER(N283),ISNUMBER(O283)),O283-N283,"")</x:f>
      </x:c>
      <x:c r="Q283" s="3"/>
      <x:c r="R283" s="19" t="str">
        <x:f>IF(A283="","",IF(COUNTIFS('预测登记'!$A$7:$A$306,A283)&lt;&gt;1,"编号重复",IF(COUNTIFS('问题总览'!$A$7:$A$306,B283)&lt;&gt;1,"问题引用无效",IF(COUNTIFS('方案版本'!$A$7:$A$306,C283,'方案版本'!$B$7:$B$306,B283,'方案版本'!$L$7:$L$306,"已冻结")&lt;&gt;1,"方案引用无效",IF(OR(NOT(ISNUMBER(D283)),NOT(ISNUMBER(E283)),F283="",I283="",M283="",Q283=""),"待补预测信息",IF(D283&gt;E283,"非事前到期登记",IF(OR(AND(G283&lt;&gt;"",OR(NOT(ISNUMBER(G283)),G283&lt;0,G283&gt;1)),AND(H283&lt;&gt;"",OR(NOT(ISNUMBER(H283)),H283&lt;0,H283&gt;1))),"概率无效",IF(AND(I283="已判定",OR(NOT(ISNUMBER(J283)),AND(J283&lt;&gt;0,J283&lt;&gt;1),NOT(ISNUMBER(K283)),L283="")),"待补判定证据",IF(AND(I283="已判定",D283&gt;K283),"事后补录不评分","有效输入")))))))))</x:f>
      </x:c>
    </x:row>
    <x:row r="284" ht="25" customHeight="1">
      <x:c r="A284" s="3"/>
      <x:c r="B284" s="3"/>
      <x:c r="C284" s="3"/>
      <x:c r="D284" s="25"/>
      <x:c r="E284" s="25"/>
      <x:c r="F284" s="3"/>
      <x:c r="G284" s="26"/>
      <x:c r="H284" s="26"/>
      <x:c r="I284" s="3"/>
      <x:c r="J284" s="22"/>
      <x:c r="K284" s="25"/>
      <x:c r="L284" s="3"/>
      <x:c r="M284" s="3"/>
      <x:c r="N284" s="24" t="str">
        <x:f>IF(AND(R284="有效输入",I284="已判定",M284="是",ISNUMBER(G284)),(G284-J284)^2,"")</x:f>
      </x:c>
      <x:c r="O284" s="24" t="str">
        <x:f>IF(AND(ISNUMBER(N284),ISNUMBER(H284)),(H284-J284)^2,"")</x:f>
      </x:c>
      <x:c r="P284" s="24" t="str">
        <x:f>IF(AND(ISNUMBER(N284),ISNUMBER(O284)),O284-N284,"")</x:f>
      </x:c>
      <x:c r="Q284" s="3"/>
      <x:c r="R284" s="19" t="str">
        <x:f>IF(A284="","",IF(COUNTIFS('预测登记'!$A$7:$A$306,A284)&lt;&gt;1,"编号重复",IF(COUNTIFS('问题总览'!$A$7:$A$306,B284)&lt;&gt;1,"问题引用无效",IF(COUNTIFS('方案版本'!$A$7:$A$306,C284,'方案版本'!$B$7:$B$306,B284,'方案版本'!$L$7:$L$306,"已冻结")&lt;&gt;1,"方案引用无效",IF(OR(NOT(ISNUMBER(D284)),NOT(ISNUMBER(E284)),F284="",I284="",M284="",Q284=""),"待补预测信息",IF(D284&gt;E284,"非事前到期登记",IF(OR(AND(G284&lt;&gt;"",OR(NOT(ISNUMBER(G284)),G284&lt;0,G284&gt;1)),AND(H284&lt;&gt;"",OR(NOT(ISNUMBER(H284)),H284&lt;0,H284&gt;1))),"概率无效",IF(AND(I284="已判定",OR(NOT(ISNUMBER(J284)),AND(J284&lt;&gt;0,J284&lt;&gt;1),NOT(ISNUMBER(K284)),L284="")),"待补判定证据",IF(AND(I284="已判定",D284&gt;K284),"事后补录不评分","有效输入")))))))))</x:f>
      </x:c>
    </x:row>
    <x:row r="285" ht="25" customHeight="1">
      <x:c r="A285" s="3"/>
      <x:c r="B285" s="3"/>
      <x:c r="C285" s="3"/>
      <x:c r="D285" s="25"/>
      <x:c r="E285" s="25"/>
      <x:c r="F285" s="3"/>
      <x:c r="G285" s="26"/>
      <x:c r="H285" s="26"/>
      <x:c r="I285" s="3"/>
      <x:c r="J285" s="22"/>
      <x:c r="K285" s="25"/>
      <x:c r="L285" s="3"/>
      <x:c r="M285" s="3"/>
      <x:c r="N285" s="24" t="str">
        <x:f>IF(AND(R285="有效输入",I285="已判定",M285="是",ISNUMBER(G285)),(G285-J285)^2,"")</x:f>
      </x:c>
      <x:c r="O285" s="24" t="str">
        <x:f>IF(AND(ISNUMBER(N285),ISNUMBER(H285)),(H285-J285)^2,"")</x:f>
      </x:c>
      <x:c r="P285" s="24" t="str">
        <x:f>IF(AND(ISNUMBER(N285),ISNUMBER(O285)),O285-N285,"")</x:f>
      </x:c>
      <x:c r="Q285" s="3"/>
      <x:c r="R285" s="19" t="str">
        <x:f>IF(A285="","",IF(COUNTIFS('预测登记'!$A$7:$A$306,A285)&lt;&gt;1,"编号重复",IF(COUNTIFS('问题总览'!$A$7:$A$306,B285)&lt;&gt;1,"问题引用无效",IF(COUNTIFS('方案版本'!$A$7:$A$306,C285,'方案版本'!$B$7:$B$306,B285,'方案版本'!$L$7:$L$306,"已冻结")&lt;&gt;1,"方案引用无效",IF(OR(NOT(ISNUMBER(D285)),NOT(ISNUMBER(E285)),F285="",I285="",M285="",Q285=""),"待补预测信息",IF(D285&gt;E285,"非事前到期登记",IF(OR(AND(G285&lt;&gt;"",OR(NOT(ISNUMBER(G285)),G285&lt;0,G285&gt;1)),AND(H285&lt;&gt;"",OR(NOT(ISNUMBER(H285)),H285&lt;0,H285&gt;1))),"概率无效",IF(AND(I285="已判定",OR(NOT(ISNUMBER(J285)),AND(J285&lt;&gt;0,J285&lt;&gt;1),NOT(ISNUMBER(K285)),L285="")),"待补判定证据",IF(AND(I285="已判定",D285&gt;K285),"事后补录不评分","有效输入")))))))))</x:f>
      </x:c>
    </x:row>
    <x:row r="286" ht="25" customHeight="1">
      <x:c r="A286" s="3"/>
      <x:c r="B286" s="3"/>
      <x:c r="C286" s="3"/>
      <x:c r="D286" s="25"/>
      <x:c r="E286" s="25"/>
      <x:c r="F286" s="3"/>
      <x:c r="G286" s="26"/>
      <x:c r="H286" s="26"/>
      <x:c r="I286" s="3"/>
      <x:c r="J286" s="22"/>
      <x:c r="K286" s="25"/>
      <x:c r="L286" s="3"/>
      <x:c r="M286" s="3"/>
      <x:c r="N286" s="24" t="str">
        <x:f>IF(AND(R286="有效输入",I286="已判定",M286="是",ISNUMBER(G286)),(G286-J286)^2,"")</x:f>
      </x:c>
      <x:c r="O286" s="24" t="str">
        <x:f>IF(AND(ISNUMBER(N286),ISNUMBER(H286)),(H286-J286)^2,"")</x:f>
      </x:c>
      <x:c r="P286" s="24" t="str">
        <x:f>IF(AND(ISNUMBER(N286),ISNUMBER(O286)),O286-N286,"")</x:f>
      </x:c>
      <x:c r="Q286" s="3"/>
      <x:c r="R286" s="19" t="str">
        <x:f>IF(A286="","",IF(COUNTIFS('预测登记'!$A$7:$A$306,A286)&lt;&gt;1,"编号重复",IF(COUNTIFS('问题总览'!$A$7:$A$306,B286)&lt;&gt;1,"问题引用无效",IF(COUNTIFS('方案版本'!$A$7:$A$306,C286,'方案版本'!$B$7:$B$306,B286,'方案版本'!$L$7:$L$306,"已冻结")&lt;&gt;1,"方案引用无效",IF(OR(NOT(ISNUMBER(D286)),NOT(ISNUMBER(E286)),F286="",I286="",M286="",Q286=""),"待补预测信息",IF(D286&gt;E286,"非事前到期登记",IF(OR(AND(G286&lt;&gt;"",OR(NOT(ISNUMBER(G286)),G286&lt;0,G286&gt;1)),AND(H286&lt;&gt;"",OR(NOT(ISNUMBER(H286)),H286&lt;0,H286&gt;1))),"概率无效",IF(AND(I286="已判定",OR(NOT(ISNUMBER(J286)),AND(J286&lt;&gt;0,J286&lt;&gt;1),NOT(ISNUMBER(K286)),L286="")),"待补判定证据",IF(AND(I286="已判定",D286&gt;K286),"事后补录不评分","有效输入")))))))))</x:f>
      </x:c>
    </x:row>
    <x:row r="287" ht="25" customHeight="1">
      <x:c r="A287" s="3"/>
      <x:c r="B287" s="3"/>
      <x:c r="C287" s="3"/>
      <x:c r="D287" s="25"/>
      <x:c r="E287" s="25"/>
      <x:c r="F287" s="3"/>
      <x:c r="G287" s="26"/>
      <x:c r="H287" s="26"/>
      <x:c r="I287" s="3"/>
      <x:c r="J287" s="22"/>
      <x:c r="K287" s="25"/>
      <x:c r="L287" s="3"/>
      <x:c r="M287" s="3"/>
      <x:c r="N287" s="24" t="str">
        <x:f>IF(AND(R287="有效输入",I287="已判定",M287="是",ISNUMBER(G287)),(G287-J287)^2,"")</x:f>
      </x:c>
      <x:c r="O287" s="24" t="str">
        <x:f>IF(AND(ISNUMBER(N287),ISNUMBER(H287)),(H287-J287)^2,"")</x:f>
      </x:c>
      <x:c r="P287" s="24" t="str">
        <x:f>IF(AND(ISNUMBER(N287),ISNUMBER(O287)),O287-N287,"")</x:f>
      </x:c>
      <x:c r="Q287" s="3"/>
      <x:c r="R287" s="19" t="str">
        <x:f>IF(A287="","",IF(COUNTIFS('预测登记'!$A$7:$A$306,A287)&lt;&gt;1,"编号重复",IF(COUNTIFS('问题总览'!$A$7:$A$306,B287)&lt;&gt;1,"问题引用无效",IF(COUNTIFS('方案版本'!$A$7:$A$306,C287,'方案版本'!$B$7:$B$306,B287,'方案版本'!$L$7:$L$306,"已冻结")&lt;&gt;1,"方案引用无效",IF(OR(NOT(ISNUMBER(D287)),NOT(ISNUMBER(E287)),F287="",I287="",M287="",Q287=""),"待补预测信息",IF(D287&gt;E287,"非事前到期登记",IF(OR(AND(G287&lt;&gt;"",OR(NOT(ISNUMBER(G287)),G287&lt;0,G287&gt;1)),AND(H287&lt;&gt;"",OR(NOT(ISNUMBER(H287)),H287&lt;0,H287&gt;1))),"概率无效",IF(AND(I287="已判定",OR(NOT(ISNUMBER(J287)),AND(J287&lt;&gt;0,J287&lt;&gt;1),NOT(ISNUMBER(K287)),L287="")),"待补判定证据",IF(AND(I287="已判定",D287&gt;K287),"事后补录不评分","有效输入")))))))))</x:f>
      </x:c>
    </x:row>
    <x:row r="288" ht="25" customHeight="1">
      <x:c r="A288" s="3"/>
      <x:c r="B288" s="3"/>
      <x:c r="C288" s="3"/>
      <x:c r="D288" s="25"/>
      <x:c r="E288" s="25"/>
      <x:c r="F288" s="3"/>
      <x:c r="G288" s="26"/>
      <x:c r="H288" s="26"/>
      <x:c r="I288" s="3"/>
      <x:c r="J288" s="22"/>
      <x:c r="K288" s="25"/>
      <x:c r="L288" s="3"/>
      <x:c r="M288" s="3"/>
      <x:c r="N288" s="24" t="str">
        <x:f>IF(AND(R288="有效输入",I288="已判定",M288="是",ISNUMBER(G288)),(G288-J288)^2,"")</x:f>
      </x:c>
      <x:c r="O288" s="24" t="str">
        <x:f>IF(AND(ISNUMBER(N288),ISNUMBER(H288)),(H288-J288)^2,"")</x:f>
      </x:c>
      <x:c r="P288" s="24" t="str">
        <x:f>IF(AND(ISNUMBER(N288),ISNUMBER(O288)),O288-N288,"")</x:f>
      </x:c>
      <x:c r="Q288" s="3"/>
      <x:c r="R288" s="19" t="str">
        <x:f>IF(A288="","",IF(COUNTIFS('预测登记'!$A$7:$A$306,A288)&lt;&gt;1,"编号重复",IF(COUNTIFS('问题总览'!$A$7:$A$306,B288)&lt;&gt;1,"问题引用无效",IF(COUNTIFS('方案版本'!$A$7:$A$306,C288,'方案版本'!$B$7:$B$306,B288,'方案版本'!$L$7:$L$306,"已冻结")&lt;&gt;1,"方案引用无效",IF(OR(NOT(ISNUMBER(D288)),NOT(ISNUMBER(E288)),F288="",I288="",M288="",Q288=""),"待补预测信息",IF(D288&gt;E288,"非事前到期登记",IF(OR(AND(G288&lt;&gt;"",OR(NOT(ISNUMBER(G288)),G288&lt;0,G288&gt;1)),AND(H288&lt;&gt;"",OR(NOT(ISNUMBER(H288)),H288&lt;0,H288&gt;1))),"概率无效",IF(AND(I288="已判定",OR(NOT(ISNUMBER(J288)),AND(J288&lt;&gt;0,J288&lt;&gt;1),NOT(ISNUMBER(K288)),L288="")),"待补判定证据",IF(AND(I288="已判定",D288&gt;K288),"事后补录不评分","有效输入")))))))))</x:f>
      </x:c>
    </x:row>
    <x:row r="289" ht="25" customHeight="1">
      <x:c r="A289" s="3"/>
      <x:c r="B289" s="3"/>
      <x:c r="C289" s="3"/>
      <x:c r="D289" s="25"/>
      <x:c r="E289" s="25"/>
      <x:c r="F289" s="3"/>
      <x:c r="G289" s="26"/>
      <x:c r="H289" s="26"/>
      <x:c r="I289" s="3"/>
      <x:c r="J289" s="22"/>
      <x:c r="K289" s="25"/>
      <x:c r="L289" s="3"/>
      <x:c r="M289" s="3"/>
      <x:c r="N289" s="24" t="str">
        <x:f>IF(AND(R289="有效输入",I289="已判定",M289="是",ISNUMBER(G289)),(G289-J289)^2,"")</x:f>
      </x:c>
      <x:c r="O289" s="24" t="str">
        <x:f>IF(AND(ISNUMBER(N289),ISNUMBER(H289)),(H289-J289)^2,"")</x:f>
      </x:c>
      <x:c r="P289" s="24" t="str">
        <x:f>IF(AND(ISNUMBER(N289),ISNUMBER(O289)),O289-N289,"")</x:f>
      </x:c>
      <x:c r="Q289" s="3"/>
      <x:c r="R289" s="19" t="str">
        <x:f>IF(A289="","",IF(COUNTIFS('预测登记'!$A$7:$A$306,A289)&lt;&gt;1,"编号重复",IF(COUNTIFS('问题总览'!$A$7:$A$306,B289)&lt;&gt;1,"问题引用无效",IF(COUNTIFS('方案版本'!$A$7:$A$306,C289,'方案版本'!$B$7:$B$306,B289,'方案版本'!$L$7:$L$306,"已冻结")&lt;&gt;1,"方案引用无效",IF(OR(NOT(ISNUMBER(D289)),NOT(ISNUMBER(E289)),F289="",I289="",M289="",Q289=""),"待补预测信息",IF(D289&gt;E289,"非事前到期登记",IF(OR(AND(G289&lt;&gt;"",OR(NOT(ISNUMBER(G289)),G289&lt;0,G289&gt;1)),AND(H289&lt;&gt;"",OR(NOT(ISNUMBER(H289)),H289&lt;0,H289&gt;1))),"概率无效",IF(AND(I289="已判定",OR(NOT(ISNUMBER(J289)),AND(J289&lt;&gt;0,J289&lt;&gt;1),NOT(ISNUMBER(K289)),L289="")),"待补判定证据",IF(AND(I289="已判定",D289&gt;K289),"事后补录不评分","有效输入")))))))))</x:f>
      </x:c>
    </x:row>
    <x:row r="290" ht="25" customHeight="1">
      <x:c r="A290" s="3"/>
      <x:c r="B290" s="3"/>
      <x:c r="C290" s="3"/>
      <x:c r="D290" s="25"/>
      <x:c r="E290" s="25"/>
      <x:c r="F290" s="3"/>
      <x:c r="G290" s="26"/>
      <x:c r="H290" s="26"/>
      <x:c r="I290" s="3"/>
      <x:c r="J290" s="22"/>
      <x:c r="K290" s="25"/>
      <x:c r="L290" s="3"/>
      <x:c r="M290" s="3"/>
      <x:c r="N290" s="24" t="str">
        <x:f>IF(AND(R290="有效输入",I290="已判定",M290="是",ISNUMBER(G290)),(G290-J290)^2,"")</x:f>
      </x:c>
      <x:c r="O290" s="24" t="str">
        <x:f>IF(AND(ISNUMBER(N290),ISNUMBER(H290)),(H290-J290)^2,"")</x:f>
      </x:c>
      <x:c r="P290" s="24" t="str">
        <x:f>IF(AND(ISNUMBER(N290),ISNUMBER(O290)),O290-N290,"")</x:f>
      </x:c>
      <x:c r="Q290" s="3"/>
      <x:c r="R290" s="19" t="str">
        <x:f>IF(A290="","",IF(COUNTIFS('预测登记'!$A$7:$A$306,A290)&lt;&gt;1,"编号重复",IF(COUNTIFS('问题总览'!$A$7:$A$306,B290)&lt;&gt;1,"问题引用无效",IF(COUNTIFS('方案版本'!$A$7:$A$306,C290,'方案版本'!$B$7:$B$306,B290,'方案版本'!$L$7:$L$306,"已冻结")&lt;&gt;1,"方案引用无效",IF(OR(NOT(ISNUMBER(D290)),NOT(ISNUMBER(E290)),F290="",I290="",M290="",Q290=""),"待补预测信息",IF(D290&gt;E290,"非事前到期登记",IF(OR(AND(G290&lt;&gt;"",OR(NOT(ISNUMBER(G290)),G290&lt;0,G290&gt;1)),AND(H290&lt;&gt;"",OR(NOT(ISNUMBER(H290)),H290&lt;0,H290&gt;1))),"概率无效",IF(AND(I290="已判定",OR(NOT(ISNUMBER(J290)),AND(J290&lt;&gt;0,J290&lt;&gt;1),NOT(ISNUMBER(K290)),L290="")),"待补判定证据",IF(AND(I290="已判定",D290&gt;K290),"事后补录不评分","有效输入")))))))))</x:f>
      </x:c>
    </x:row>
    <x:row r="291" ht="25" customHeight="1">
      <x:c r="A291" s="3"/>
      <x:c r="B291" s="3"/>
      <x:c r="C291" s="3"/>
      <x:c r="D291" s="25"/>
      <x:c r="E291" s="25"/>
      <x:c r="F291" s="3"/>
      <x:c r="G291" s="26"/>
      <x:c r="H291" s="26"/>
      <x:c r="I291" s="3"/>
      <x:c r="J291" s="22"/>
      <x:c r="K291" s="25"/>
      <x:c r="L291" s="3"/>
      <x:c r="M291" s="3"/>
      <x:c r="N291" s="24" t="str">
        <x:f>IF(AND(R291="有效输入",I291="已判定",M291="是",ISNUMBER(G291)),(G291-J291)^2,"")</x:f>
      </x:c>
      <x:c r="O291" s="24" t="str">
        <x:f>IF(AND(ISNUMBER(N291),ISNUMBER(H291)),(H291-J291)^2,"")</x:f>
      </x:c>
      <x:c r="P291" s="24" t="str">
        <x:f>IF(AND(ISNUMBER(N291),ISNUMBER(O291)),O291-N291,"")</x:f>
      </x:c>
      <x:c r="Q291" s="3"/>
      <x:c r="R291" s="19" t="str">
        <x:f>IF(A291="","",IF(COUNTIFS('预测登记'!$A$7:$A$306,A291)&lt;&gt;1,"编号重复",IF(COUNTIFS('问题总览'!$A$7:$A$306,B291)&lt;&gt;1,"问题引用无效",IF(COUNTIFS('方案版本'!$A$7:$A$306,C291,'方案版本'!$B$7:$B$306,B291,'方案版本'!$L$7:$L$306,"已冻结")&lt;&gt;1,"方案引用无效",IF(OR(NOT(ISNUMBER(D291)),NOT(ISNUMBER(E291)),F291="",I291="",M291="",Q291=""),"待补预测信息",IF(D291&gt;E291,"非事前到期登记",IF(OR(AND(G291&lt;&gt;"",OR(NOT(ISNUMBER(G291)),G291&lt;0,G291&gt;1)),AND(H291&lt;&gt;"",OR(NOT(ISNUMBER(H291)),H291&lt;0,H291&gt;1))),"概率无效",IF(AND(I291="已判定",OR(NOT(ISNUMBER(J291)),AND(J291&lt;&gt;0,J291&lt;&gt;1),NOT(ISNUMBER(K291)),L291="")),"待补判定证据",IF(AND(I291="已判定",D291&gt;K291),"事后补录不评分","有效输入")))))))))</x:f>
      </x:c>
    </x:row>
    <x:row r="292" ht="25" customHeight="1">
      <x:c r="A292" s="3"/>
      <x:c r="B292" s="3"/>
      <x:c r="C292" s="3"/>
      <x:c r="D292" s="25"/>
      <x:c r="E292" s="25"/>
      <x:c r="F292" s="3"/>
      <x:c r="G292" s="26"/>
      <x:c r="H292" s="26"/>
      <x:c r="I292" s="3"/>
      <x:c r="J292" s="22"/>
      <x:c r="K292" s="25"/>
      <x:c r="L292" s="3"/>
      <x:c r="M292" s="3"/>
      <x:c r="N292" s="24" t="str">
        <x:f>IF(AND(R292="有效输入",I292="已判定",M292="是",ISNUMBER(G292)),(G292-J292)^2,"")</x:f>
      </x:c>
      <x:c r="O292" s="24" t="str">
        <x:f>IF(AND(ISNUMBER(N292),ISNUMBER(H292)),(H292-J292)^2,"")</x:f>
      </x:c>
      <x:c r="P292" s="24" t="str">
        <x:f>IF(AND(ISNUMBER(N292),ISNUMBER(O292)),O292-N292,"")</x:f>
      </x:c>
      <x:c r="Q292" s="3"/>
      <x:c r="R292" s="19" t="str">
        <x:f>IF(A292="","",IF(COUNTIFS('预测登记'!$A$7:$A$306,A292)&lt;&gt;1,"编号重复",IF(COUNTIFS('问题总览'!$A$7:$A$306,B292)&lt;&gt;1,"问题引用无效",IF(COUNTIFS('方案版本'!$A$7:$A$306,C292,'方案版本'!$B$7:$B$306,B292,'方案版本'!$L$7:$L$306,"已冻结")&lt;&gt;1,"方案引用无效",IF(OR(NOT(ISNUMBER(D292)),NOT(ISNUMBER(E292)),F292="",I292="",M292="",Q292=""),"待补预测信息",IF(D292&gt;E292,"非事前到期登记",IF(OR(AND(G292&lt;&gt;"",OR(NOT(ISNUMBER(G292)),G292&lt;0,G292&gt;1)),AND(H292&lt;&gt;"",OR(NOT(ISNUMBER(H292)),H292&lt;0,H292&gt;1))),"概率无效",IF(AND(I292="已判定",OR(NOT(ISNUMBER(J292)),AND(J292&lt;&gt;0,J292&lt;&gt;1),NOT(ISNUMBER(K292)),L292="")),"待补判定证据",IF(AND(I292="已判定",D292&gt;K292),"事后补录不评分","有效输入")))))))))</x:f>
      </x:c>
    </x:row>
    <x:row r="293" ht="25" customHeight="1">
      <x:c r="A293" s="3"/>
      <x:c r="B293" s="3"/>
      <x:c r="C293" s="3"/>
      <x:c r="D293" s="25"/>
      <x:c r="E293" s="25"/>
      <x:c r="F293" s="3"/>
      <x:c r="G293" s="26"/>
      <x:c r="H293" s="26"/>
      <x:c r="I293" s="3"/>
      <x:c r="J293" s="22"/>
      <x:c r="K293" s="25"/>
      <x:c r="L293" s="3"/>
      <x:c r="M293" s="3"/>
      <x:c r="N293" s="24" t="str">
        <x:f>IF(AND(R293="有效输入",I293="已判定",M293="是",ISNUMBER(G293)),(G293-J293)^2,"")</x:f>
      </x:c>
      <x:c r="O293" s="24" t="str">
        <x:f>IF(AND(ISNUMBER(N293),ISNUMBER(H293)),(H293-J293)^2,"")</x:f>
      </x:c>
      <x:c r="P293" s="24" t="str">
        <x:f>IF(AND(ISNUMBER(N293),ISNUMBER(O293)),O293-N293,"")</x:f>
      </x:c>
      <x:c r="Q293" s="3"/>
      <x:c r="R293" s="19" t="str">
        <x:f>IF(A293="","",IF(COUNTIFS('预测登记'!$A$7:$A$306,A293)&lt;&gt;1,"编号重复",IF(COUNTIFS('问题总览'!$A$7:$A$306,B293)&lt;&gt;1,"问题引用无效",IF(COUNTIFS('方案版本'!$A$7:$A$306,C293,'方案版本'!$B$7:$B$306,B293,'方案版本'!$L$7:$L$306,"已冻结")&lt;&gt;1,"方案引用无效",IF(OR(NOT(ISNUMBER(D293)),NOT(ISNUMBER(E293)),F293="",I293="",M293="",Q293=""),"待补预测信息",IF(D293&gt;E293,"非事前到期登记",IF(OR(AND(G293&lt;&gt;"",OR(NOT(ISNUMBER(G293)),G293&lt;0,G293&gt;1)),AND(H293&lt;&gt;"",OR(NOT(ISNUMBER(H293)),H293&lt;0,H293&gt;1))),"概率无效",IF(AND(I293="已判定",OR(NOT(ISNUMBER(J293)),AND(J293&lt;&gt;0,J293&lt;&gt;1),NOT(ISNUMBER(K293)),L293="")),"待补判定证据",IF(AND(I293="已判定",D293&gt;K293),"事后补录不评分","有效输入")))))))))</x:f>
      </x:c>
    </x:row>
    <x:row r="294" ht="25" customHeight="1">
      <x:c r="A294" s="3"/>
      <x:c r="B294" s="3"/>
      <x:c r="C294" s="3"/>
      <x:c r="D294" s="25"/>
      <x:c r="E294" s="25"/>
      <x:c r="F294" s="3"/>
      <x:c r="G294" s="26"/>
      <x:c r="H294" s="26"/>
      <x:c r="I294" s="3"/>
      <x:c r="J294" s="22"/>
      <x:c r="K294" s="25"/>
      <x:c r="L294" s="3"/>
      <x:c r="M294" s="3"/>
      <x:c r="N294" s="24" t="str">
        <x:f>IF(AND(R294="有效输入",I294="已判定",M294="是",ISNUMBER(G294)),(G294-J294)^2,"")</x:f>
      </x:c>
      <x:c r="O294" s="24" t="str">
        <x:f>IF(AND(ISNUMBER(N294),ISNUMBER(H294)),(H294-J294)^2,"")</x:f>
      </x:c>
      <x:c r="P294" s="24" t="str">
        <x:f>IF(AND(ISNUMBER(N294),ISNUMBER(O294)),O294-N294,"")</x:f>
      </x:c>
      <x:c r="Q294" s="3"/>
      <x:c r="R294" s="19" t="str">
        <x:f>IF(A294="","",IF(COUNTIFS('预测登记'!$A$7:$A$306,A294)&lt;&gt;1,"编号重复",IF(COUNTIFS('问题总览'!$A$7:$A$306,B294)&lt;&gt;1,"问题引用无效",IF(COUNTIFS('方案版本'!$A$7:$A$306,C294,'方案版本'!$B$7:$B$306,B294,'方案版本'!$L$7:$L$306,"已冻结")&lt;&gt;1,"方案引用无效",IF(OR(NOT(ISNUMBER(D294)),NOT(ISNUMBER(E294)),F294="",I294="",M294="",Q294=""),"待补预测信息",IF(D294&gt;E294,"非事前到期登记",IF(OR(AND(G294&lt;&gt;"",OR(NOT(ISNUMBER(G294)),G294&lt;0,G294&gt;1)),AND(H294&lt;&gt;"",OR(NOT(ISNUMBER(H294)),H294&lt;0,H294&gt;1))),"概率无效",IF(AND(I294="已判定",OR(NOT(ISNUMBER(J294)),AND(J294&lt;&gt;0,J294&lt;&gt;1),NOT(ISNUMBER(K294)),L294="")),"待补判定证据",IF(AND(I294="已判定",D294&gt;K294),"事后补录不评分","有效输入")))))))))</x:f>
      </x:c>
    </x:row>
    <x:row r="295" ht="25" customHeight="1">
      <x:c r="A295" s="3"/>
      <x:c r="B295" s="3"/>
      <x:c r="C295" s="3"/>
      <x:c r="D295" s="25"/>
      <x:c r="E295" s="25"/>
      <x:c r="F295" s="3"/>
      <x:c r="G295" s="26"/>
      <x:c r="H295" s="26"/>
      <x:c r="I295" s="3"/>
      <x:c r="J295" s="22"/>
      <x:c r="K295" s="25"/>
      <x:c r="L295" s="3"/>
      <x:c r="M295" s="3"/>
      <x:c r="N295" s="24" t="str">
        <x:f>IF(AND(R295="有效输入",I295="已判定",M295="是",ISNUMBER(G295)),(G295-J295)^2,"")</x:f>
      </x:c>
      <x:c r="O295" s="24" t="str">
        <x:f>IF(AND(ISNUMBER(N295),ISNUMBER(H295)),(H295-J295)^2,"")</x:f>
      </x:c>
      <x:c r="P295" s="24" t="str">
        <x:f>IF(AND(ISNUMBER(N295),ISNUMBER(O295)),O295-N295,"")</x:f>
      </x:c>
      <x:c r="Q295" s="3"/>
      <x:c r="R295" s="19" t="str">
        <x:f>IF(A295="","",IF(COUNTIFS('预测登记'!$A$7:$A$306,A295)&lt;&gt;1,"编号重复",IF(COUNTIFS('问题总览'!$A$7:$A$306,B295)&lt;&gt;1,"问题引用无效",IF(COUNTIFS('方案版本'!$A$7:$A$306,C295,'方案版本'!$B$7:$B$306,B295,'方案版本'!$L$7:$L$306,"已冻结")&lt;&gt;1,"方案引用无效",IF(OR(NOT(ISNUMBER(D295)),NOT(ISNUMBER(E295)),F295="",I295="",M295="",Q295=""),"待补预测信息",IF(D295&gt;E295,"非事前到期登记",IF(OR(AND(G295&lt;&gt;"",OR(NOT(ISNUMBER(G295)),G295&lt;0,G295&gt;1)),AND(H295&lt;&gt;"",OR(NOT(ISNUMBER(H295)),H295&lt;0,H295&gt;1))),"概率无效",IF(AND(I295="已判定",OR(NOT(ISNUMBER(J295)),AND(J295&lt;&gt;0,J295&lt;&gt;1),NOT(ISNUMBER(K295)),L295="")),"待补判定证据",IF(AND(I295="已判定",D295&gt;K295),"事后补录不评分","有效输入")))))))))</x:f>
      </x:c>
    </x:row>
    <x:row r="296" ht="25" customHeight="1">
      <x:c r="A296" s="3"/>
      <x:c r="B296" s="3"/>
      <x:c r="C296" s="3"/>
      <x:c r="D296" s="25"/>
      <x:c r="E296" s="25"/>
      <x:c r="F296" s="3"/>
      <x:c r="G296" s="26"/>
      <x:c r="H296" s="26"/>
      <x:c r="I296" s="3"/>
      <x:c r="J296" s="22"/>
      <x:c r="K296" s="25"/>
      <x:c r="L296" s="3"/>
      <x:c r="M296" s="3"/>
      <x:c r="N296" s="24" t="str">
        <x:f>IF(AND(R296="有效输入",I296="已判定",M296="是",ISNUMBER(G296)),(G296-J296)^2,"")</x:f>
      </x:c>
      <x:c r="O296" s="24" t="str">
        <x:f>IF(AND(ISNUMBER(N296),ISNUMBER(H296)),(H296-J296)^2,"")</x:f>
      </x:c>
      <x:c r="P296" s="24" t="str">
        <x:f>IF(AND(ISNUMBER(N296),ISNUMBER(O296)),O296-N296,"")</x:f>
      </x:c>
      <x:c r="Q296" s="3"/>
      <x:c r="R296" s="19" t="str">
        <x:f>IF(A296="","",IF(COUNTIFS('预测登记'!$A$7:$A$306,A296)&lt;&gt;1,"编号重复",IF(COUNTIFS('问题总览'!$A$7:$A$306,B296)&lt;&gt;1,"问题引用无效",IF(COUNTIFS('方案版本'!$A$7:$A$306,C296,'方案版本'!$B$7:$B$306,B296,'方案版本'!$L$7:$L$306,"已冻结")&lt;&gt;1,"方案引用无效",IF(OR(NOT(ISNUMBER(D296)),NOT(ISNUMBER(E296)),F296="",I296="",M296="",Q296=""),"待补预测信息",IF(D296&gt;E296,"非事前到期登记",IF(OR(AND(G296&lt;&gt;"",OR(NOT(ISNUMBER(G296)),G296&lt;0,G296&gt;1)),AND(H296&lt;&gt;"",OR(NOT(ISNUMBER(H296)),H296&lt;0,H296&gt;1))),"概率无效",IF(AND(I296="已判定",OR(NOT(ISNUMBER(J296)),AND(J296&lt;&gt;0,J296&lt;&gt;1),NOT(ISNUMBER(K296)),L296="")),"待补判定证据",IF(AND(I296="已判定",D296&gt;K296),"事后补录不评分","有效输入")))))))))</x:f>
      </x:c>
    </x:row>
    <x:row r="297" ht="25" customHeight="1">
      <x:c r="A297" s="3"/>
      <x:c r="B297" s="3"/>
      <x:c r="C297" s="3"/>
      <x:c r="D297" s="25"/>
      <x:c r="E297" s="25"/>
      <x:c r="F297" s="3"/>
      <x:c r="G297" s="26"/>
      <x:c r="H297" s="26"/>
      <x:c r="I297" s="3"/>
      <x:c r="J297" s="22"/>
      <x:c r="K297" s="25"/>
      <x:c r="L297" s="3"/>
      <x:c r="M297" s="3"/>
      <x:c r="N297" s="24" t="str">
        <x:f>IF(AND(R297="有效输入",I297="已判定",M297="是",ISNUMBER(G297)),(G297-J297)^2,"")</x:f>
      </x:c>
      <x:c r="O297" s="24" t="str">
        <x:f>IF(AND(ISNUMBER(N297),ISNUMBER(H297)),(H297-J297)^2,"")</x:f>
      </x:c>
      <x:c r="P297" s="24" t="str">
        <x:f>IF(AND(ISNUMBER(N297),ISNUMBER(O297)),O297-N297,"")</x:f>
      </x:c>
      <x:c r="Q297" s="3"/>
      <x:c r="R297" s="19" t="str">
        <x:f>IF(A297="","",IF(COUNTIFS('预测登记'!$A$7:$A$306,A297)&lt;&gt;1,"编号重复",IF(COUNTIFS('问题总览'!$A$7:$A$306,B297)&lt;&gt;1,"问题引用无效",IF(COUNTIFS('方案版本'!$A$7:$A$306,C297,'方案版本'!$B$7:$B$306,B297,'方案版本'!$L$7:$L$306,"已冻结")&lt;&gt;1,"方案引用无效",IF(OR(NOT(ISNUMBER(D297)),NOT(ISNUMBER(E297)),F297="",I297="",M297="",Q297=""),"待补预测信息",IF(D297&gt;E297,"非事前到期登记",IF(OR(AND(G297&lt;&gt;"",OR(NOT(ISNUMBER(G297)),G297&lt;0,G297&gt;1)),AND(H297&lt;&gt;"",OR(NOT(ISNUMBER(H297)),H297&lt;0,H297&gt;1))),"概率无效",IF(AND(I297="已判定",OR(NOT(ISNUMBER(J297)),AND(J297&lt;&gt;0,J297&lt;&gt;1),NOT(ISNUMBER(K297)),L297="")),"待补判定证据",IF(AND(I297="已判定",D297&gt;K297),"事后补录不评分","有效输入")))))))))</x:f>
      </x:c>
    </x:row>
    <x:row r="298" ht="25" customHeight="1">
      <x:c r="A298" s="3"/>
      <x:c r="B298" s="3"/>
      <x:c r="C298" s="3"/>
      <x:c r="D298" s="25"/>
      <x:c r="E298" s="25"/>
      <x:c r="F298" s="3"/>
      <x:c r="G298" s="26"/>
      <x:c r="H298" s="26"/>
      <x:c r="I298" s="3"/>
      <x:c r="J298" s="22"/>
      <x:c r="K298" s="25"/>
      <x:c r="L298" s="3"/>
      <x:c r="M298" s="3"/>
      <x:c r="N298" s="24" t="str">
        <x:f>IF(AND(R298="有效输入",I298="已判定",M298="是",ISNUMBER(G298)),(G298-J298)^2,"")</x:f>
      </x:c>
      <x:c r="O298" s="24" t="str">
        <x:f>IF(AND(ISNUMBER(N298),ISNUMBER(H298)),(H298-J298)^2,"")</x:f>
      </x:c>
      <x:c r="P298" s="24" t="str">
        <x:f>IF(AND(ISNUMBER(N298),ISNUMBER(O298)),O298-N298,"")</x:f>
      </x:c>
      <x:c r="Q298" s="3"/>
      <x:c r="R298" s="19" t="str">
        <x:f>IF(A298="","",IF(COUNTIFS('预测登记'!$A$7:$A$306,A298)&lt;&gt;1,"编号重复",IF(COUNTIFS('问题总览'!$A$7:$A$306,B298)&lt;&gt;1,"问题引用无效",IF(COUNTIFS('方案版本'!$A$7:$A$306,C298,'方案版本'!$B$7:$B$306,B298,'方案版本'!$L$7:$L$306,"已冻结")&lt;&gt;1,"方案引用无效",IF(OR(NOT(ISNUMBER(D298)),NOT(ISNUMBER(E298)),F298="",I298="",M298="",Q298=""),"待补预测信息",IF(D298&gt;E298,"非事前到期登记",IF(OR(AND(G298&lt;&gt;"",OR(NOT(ISNUMBER(G298)),G298&lt;0,G298&gt;1)),AND(H298&lt;&gt;"",OR(NOT(ISNUMBER(H298)),H298&lt;0,H298&gt;1))),"概率无效",IF(AND(I298="已判定",OR(NOT(ISNUMBER(J298)),AND(J298&lt;&gt;0,J298&lt;&gt;1),NOT(ISNUMBER(K298)),L298="")),"待补判定证据",IF(AND(I298="已判定",D298&gt;K298),"事后补录不评分","有效输入")))))))))</x:f>
      </x:c>
    </x:row>
    <x:row r="299" ht="25" customHeight="1">
      <x:c r="A299" s="3"/>
      <x:c r="B299" s="3"/>
      <x:c r="C299" s="3"/>
      <x:c r="D299" s="25"/>
      <x:c r="E299" s="25"/>
      <x:c r="F299" s="3"/>
      <x:c r="G299" s="26"/>
      <x:c r="H299" s="26"/>
      <x:c r="I299" s="3"/>
      <x:c r="J299" s="22"/>
      <x:c r="K299" s="25"/>
      <x:c r="L299" s="3"/>
      <x:c r="M299" s="3"/>
      <x:c r="N299" s="24" t="str">
        <x:f>IF(AND(R299="有效输入",I299="已判定",M299="是",ISNUMBER(G299)),(G299-J299)^2,"")</x:f>
      </x:c>
      <x:c r="O299" s="24" t="str">
        <x:f>IF(AND(ISNUMBER(N299),ISNUMBER(H299)),(H299-J299)^2,"")</x:f>
      </x:c>
      <x:c r="P299" s="24" t="str">
        <x:f>IF(AND(ISNUMBER(N299),ISNUMBER(O299)),O299-N299,"")</x:f>
      </x:c>
      <x:c r="Q299" s="3"/>
      <x:c r="R299" s="19" t="str">
        <x:f>IF(A299="","",IF(COUNTIFS('预测登记'!$A$7:$A$306,A299)&lt;&gt;1,"编号重复",IF(COUNTIFS('问题总览'!$A$7:$A$306,B299)&lt;&gt;1,"问题引用无效",IF(COUNTIFS('方案版本'!$A$7:$A$306,C299,'方案版本'!$B$7:$B$306,B299,'方案版本'!$L$7:$L$306,"已冻结")&lt;&gt;1,"方案引用无效",IF(OR(NOT(ISNUMBER(D299)),NOT(ISNUMBER(E299)),F299="",I299="",M299="",Q299=""),"待补预测信息",IF(D299&gt;E299,"非事前到期登记",IF(OR(AND(G299&lt;&gt;"",OR(NOT(ISNUMBER(G299)),G299&lt;0,G299&gt;1)),AND(H299&lt;&gt;"",OR(NOT(ISNUMBER(H299)),H299&lt;0,H299&gt;1))),"概率无效",IF(AND(I299="已判定",OR(NOT(ISNUMBER(J299)),AND(J299&lt;&gt;0,J299&lt;&gt;1),NOT(ISNUMBER(K299)),L299="")),"待补判定证据",IF(AND(I299="已判定",D299&gt;K299),"事后补录不评分","有效输入")))))))))</x:f>
      </x:c>
    </x:row>
    <x:row r="300" ht="25" customHeight="1">
      <x:c r="A300" s="3"/>
      <x:c r="B300" s="3"/>
      <x:c r="C300" s="3"/>
      <x:c r="D300" s="25"/>
      <x:c r="E300" s="25"/>
      <x:c r="F300" s="3"/>
      <x:c r="G300" s="26"/>
      <x:c r="H300" s="26"/>
      <x:c r="I300" s="3"/>
      <x:c r="J300" s="22"/>
      <x:c r="K300" s="25"/>
      <x:c r="L300" s="3"/>
      <x:c r="M300" s="3"/>
      <x:c r="N300" s="24" t="str">
        <x:f>IF(AND(R300="有效输入",I300="已判定",M300="是",ISNUMBER(G300)),(G300-J300)^2,"")</x:f>
      </x:c>
      <x:c r="O300" s="24" t="str">
        <x:f>IF(AND(ISNUMBER(N300),ISNUMBER(H300)),(H300-J300)^2,"")</x:f>
      </x:c>
      <x:c r="P300" s="24" t="str">
        <x:f>IF(AND(ISNUMBER(N300),ISNUMBER(O300)),O300-N300,"")</x:f>
      </x:c>
      <x:c r="Q300" s="3"/>
      <x:c r="R300" s="19" t="str">
        <x:f>IF(A300="","",IF(COUNTIFS('预测登记'!$A$7:$A$306,A300)&lt;&gt;1,"编号重复",IF(COUNTIFS('问题总览'!$A$7:$A$306,B300)&lt;&gt;1,"问题引用无效",IF(COUNTIFS('方案版本'!$A$7:$A$306,C300,'方案版本'!$B$7:$B$306,B300,'方案版本'!$L$7:$L$306,"已冻结")&lt;&gt;1,"方案引用无效",IF(OR(NOT(ISNUMBER(D300)),NOT(ISNUMBER(E300)),F300="",I300="",M300="",Q300=""),"待补预测信息",IF(D300&gt;E300,"非事前到期登记",IF(OR(AND(G300&lt;&gt;"",OR(NOT(ISNUMBER(G300)),G300&lt;0,G300&gt;1)),AND(H300&lt;&gt;"",OR(NOT(ISNUMBER(H300)),H300&lt;0,H300&gt;1))),"概率无效",IF(AND(I300="已判定",OR(NOT(ISNUMBER(J300)),AND(J300&lt;&gt;0,J300&lt;&gt;1),NOT(ISNUMBER(K300)),L300="")),"待补判定证据",IF(AND(I300="已判定",D300&gt;K300),"事后补录不评分","有效输入")))))))))</x:f>
      </x:c>
    </x:row>
    <x:row r="301" ht="25" customHeight="1">
      <x:c r="A301" s="3"/>
      <x:c r="B301" s="3"/>
      <x:c r="C301" s="3"/>
      <x:c r="D301" s="25"/>
      <x:c r="E301" s="25"/>
      <x:c r="F301" s="3"/>
      <x:c r="G301" s="26"/>
      <x:c r="H301" s="26"/>
      <x:c r="I301" s="3"/>
      <x:c r="J301" s="22"/>
      <x:c r="K301" s="25"/>
      <x:c r="L301" s="3"/>
      <x:c r="M301" s="3"/>
      <x:c r="N301" s="24" t="str">
        <x:f>IF(AND(R301="有效输入",I301="已判定",M301="是",ISNUMBER(G301)),(G301-J301)^2,"")</x:f>
      </x:c>
      <x:c r="O301" s="24" t="str">
        <x:f>IF(AND(ISNUMBER(N301),ISNUMBER(H301)),(H301-J301)^2,"")</x:f>
      </x:c>
      <x:c r="P301" s="24" t="str">
        <x:f>IF(AND(ISNUMBER(N301),ISNUMBER(O301)),O301-N301,"")</x:f>
      </x:c>
      <x:c r="Q301" s="3"/>
      <x:c r="R301" s="19" t="str">
        <x:f>IF(A301="","",IF(COUNTIFS('预测登记'!$A$7:$A$306,A301)&lt;&gt;1,"编号重复",IF(COUNTIFS('问题总览'!$A$7:$A$306,B301)&lt;&gt;1,"问题引用无效",IF(COUNTIFS('方案版本'!$A$7:$A$306,C301,'方案版本'!$B$7:$B$306,B301,'方案版本'!$L$7:$L$306,"已冻结")&lt;&gt;1,"方案引用无效",IF(OR(NOT(ISNUMBER(D301)),NOT(ISNUMBER(E301)),F301="",I301="",M301="",Q301=""),"待补预测信息",IF(D301&gt;E301,"非事前到期登记",IF(OR(AND(G301&lt;&gt;"",OR(NOT(ISNUMBER(G301)),G301&lt;0,G301&gt;1)),AND(H301&lt;&gt;"",OR(NOT(ISNUMBER(H301)),H301&lt;0,H301&gt;1))),"概率无效",IF(AND(I301="已判定",OR(NOT(ISNUMBER(J301)),AND(J301&lt;&gt;0,J301&lt;&gt;1),NOT(ISNUMBER(K301)),L301="")),"待补判定证据",IF(AND(I301="已判定",D301&gt;K301),"事后补录不评分","有效输入")))))))))</x:f>
      </x:c>
    </x:row>
    <x:row r="302" ht="25" customHeight="1">
      <x:c r="A302" s="3"/>
      <x:c r="B302" s="3"/>
      <x:c r="C302" s="3"/>
      <x:c r="D302" s="25"/>
      <x:c r="E302" s="25"/>
      <x:c r="F302" s="3"/>
      <x:c r="G302" s="26"/>
      <x:c r="H302" s="26"/>
      <x:c r="I302" s="3"/>
      <x:c r="J302" s="22"/>
      <x:c r="K302" s="25"/>
      <x:c r="L302" s="3"/>
      <x:c r="M302" s="3"/>
      <x:c r="N302" s="24" t="str">
        <x:f>IF(AND(R302="有效输入",I302="已判定",M302="是",ISNUMBER(G302)),(G302-J302)^2,"")</x:f>
      </x:c>
      <x:c r="O302" s="24" t="str">
        <x:f>IF(AND(ISNUMBER(N302),ISNUMBER(H302)),(H302-J302)^2,"")</x:f>
      </x:c>
      <x:c r="P302" s="24" t="str">
        <x:f>IF(AND(ISNUMBER(N302),ISNUMBER(O302)),O302-N302,"")</x:f>
      </x:c>
      <x:c r="Q302" s="3"/>
      <x:c r="R302" s="19" t="str">
        <x:f>IF(A302="","",IF(COUNTIFS('预测登记'!$A$7:$A$306,A302)&lt;&gt;1,"编号重复",IF(COUNTIFS('问题总览'!$A$7:$A$306,B302)&lt;&gt;1,"问题引用无效",IF(COUNTIFS('方案版本'!$A$7:$A$306,C302,'方案版本'!$B$7:$B$306,B302,'方案版本'!$L$7:$L$306,"已冻结")&lt;&gt;1,"方案引用无效",IF(OR(NOT(ISNUMBER(D302)),NOT(ISNUMBER(E302)),F302="",I302="",M302="",Q302=""),"待补预测信息",IF(D302&gt;E302,"非事前到期登记",IF(OR(AND(G302&lt;&gt;"",OR(NOT(ISNUMBER(G302)),G302&lt;0,G302&gt;1)),AND(H302&lt;&gt;"",OR(NOT(ISNUMBER(H302)),H302&lt;0,H302&gt;1))),"概率无效",IF(AND(I302="已判定",OR(NOT(ISNUMBER(J302)),AND(J302&lt;&gt;0,J302&lt;&gt;1),NOT(ISNUMBER(K302)),L302="")),"待补判定证据",IF(AND(I302="已判定",D302&gt;K302),"事后补录不评分","有效输入")))))))))</x:f>
      </x:c>
    </x:row>
    <x:row r="303" ht="25" customHeight="1">
      <x:c r="A303" s="3"/>
      <x:c r="B303" s="3"/>
      <x:c r="C303" s="3"/>
      <x:c r="D303" s="25"/>
      <x:c r="E303" s="25"/>
      <x:c r="F303" s="3"/>
      <x:c r="G303" s="26"/>
      <x:c r="H303" s="26"/>
      <x:c r="I303" s="3"/>
      <x:c r="J303" s="22"/>
      <x:c r="K303" s="25"/>
      <x:c r="L303" s="3"/>
      <x:c r="M303" s="3"/>
      <x:c r="N303" s="24" t="str">
        <x:f>IF(AND(R303="有效输入",I303="已判定",M303="是",ISNUMBER(G303)),(G303-J303)^2,"")</x:f>
      </x:c>
      <x:c r="O303" s="24" t="str">
        <x:f>IF(AND(ISNUMBER(N303),ISNUMBER(H303)),(H303-J303)^2,"")</x:f>
      </x:c>
      <x:c r="P303" s="24" t="str">
        <x:f>IF(AND(ISNUMBER(N303),ISNUMBER(O303)),O303-N303,"")</x:f>
      </x:c>
      <x:c r="Q303" s="3"/>
      <x:c r="R303" s="19" t="str">
        <x:f>IF(A303="","",IF(COUNTIFS('预测登记'!$A$7:$A$306,A303)&lt;&gt;1,"编号重复",IF(COUNTIFS('问题总览'!$A$7:$A$306,B303)&lt;&gt;1,"问题引用无效",IF(COUNTIFS('方案版本'!$A$7:$A$306,C303,'方案版本'!$B$7:$B$306,B303,'方案版本'!$L$7:$L$306,"已冻结")&lt;&gt;1,"方案引用无效",IF(OR(NOT(ISNUMBER(D303)),NOT(ISNUMBER(E303)),F303="",I303="",M303="",Q303=""),"待补预测信息",IF(D303&gt;E303,"非事前到期登记",IF(OR(AND(G303&lt;&gt;"",OR(NOT(ISNUMBER(G303)),G303&lt;0,G303&gt;1)),AND(H303&lt;&gt;"",OR(NOT(ISNUMBER(H303)),H303&lt;0,H303&gt;1))),"概率无效",IF(AND(I303="已判定",OR(NOT(ISNUMBER(J303)),AND(J303&lt;&gt;0,J303&lt;&gt;1),NOT(ISNUMBER(K303)),L303="")),"待补判定证据",IF(AND(I303="已判定",D303&gt;K303),"事后补录不评分","有效输入")))))))))</x:f>
      </x:c>
    </x:row>
    <x:row r="304" ht="25" customHeight="1">
      <x:c r="A304" s="3"/>
      <x:c r="B304" s="3"/>
      <x:c r="C304" s="3"/>
      <x:c r="D304" s="25"/>
      <x:c r="E304" s="25"/>
      <x:c r="F304" s="3"/>
      <x:c r="G304" s="26"/>
      <x:c r="H304" s="26"/>
      <x:c r="I304" s="3"/>
      <x:c r="J304" s="22"/>
      <x:c r="K304" s="25"/>
      <x:c r="L304" s="3"/>
      <x:c r="M304" s="3"/>
      <x:c r="N304" s="24" t="str">
        <x:f>IF(AND(R304="有效输入",I304="已判定",M304="是",ISNUMBER(G304)),(G304-J304)^2,"")</x:f>
      </x:c>
      <x:c r="O304" s="24" t="str">
        <x:f>IF(AND(ISNUMBER(N304),ISNUMBER(H304)),(H304-J304)^2,"")</x:f>
      </x:c>
      <x:c r="P304" s="24" t="str">
        <x:f>IF(AND(ISNUMBER(N304),ISNUMBER(O304)),O304-N304,"")</x:f>
      </x:c>
      <x:c r="Q304" s="3"/>
      <x:c r="R304" s="19" t="str">
        <x:f>IF(A304="","",IF(COUNTIFS('预测登记'!$A$7:$A$306,A304)&lt;&gt;1,"编号重复",IF(COUNTIFS('问题总览'!$A$7:$A$306,B304)&lt;&gt;1,"问题引用无效",IF(COUNTIFS('方案版本'!$A$7:$A$306,C304,'方案版本'!$B$7:$B$306,B304,'方案版本'!$L$7:$L$306,"已冻结")&lt;&gt;1,"方案引用无效",IF(OR(NOT(ISNUMBER(D304)),NOT(ISNUMBER(E304)),F304="",I304="",M304="",Q304=""),"待补预测信息",IF(D304&gt;E304,"非事前到期登记",IF(OR(AND(G304&lt;&gt;"",OR(NOT(ISNUMBER(G304)),G304&lt;0,G304&gt;1)),AND(H304&lt;&gt;"",OR(NOT(ISNUMBER(H304)),H304&lt;0,H304&gt;1))),"概率无效",IF(AND(I304="已判定",OR(NOT(ISNUMBER(J304)),AND(J304&lt;&gt;0,J304&lt;&gt;1),NOT(ISNUMBER(K304)),L304="")),"待补判定证据",IF(AND(I304="已判定",D304&gt;K304),"事后补录不评分","有效输入")))))))))</x:f>
      </x:c>
    </x:row>
    <x:row r="305" ht="25" customHeight="1">
      <x:c r="A305" s="3"/>
      <x:c r="B305" s="3"/>
      <x:c r="C305" s="3"/>
      <x:c r="D305" s="25"/>
      <x:c r="E305" s="25"/>
      <x:c r="F305" s="3"/>
      <x:c r="G305" s="26"/>
      <x:c r="H305" s="26"/>
      <x:c r="I305" s="3"/>
      <x:c r="J305" s="22"/>
      <x:c r="K305" s="25"/>
      <x:c r="L305" s="3"/>
      <x:c r="M305" s="3"/>
      <x:c r="N305" s="24" t="str">
        <x:f>IF(AND(R305="有效输入",I305="已判定",M305="是",ISNUMBER(G305)),(G305-J305)^2,"")</x:f>
      </x:c>
      <x:c r="O305" s="24" t="str">
        <x:f>IF(AND(ISNUMBER(N305),ISNUMBER(H305)),(H305-J305)^2,"")</x:f>
      </x:c>
      <x:c r="P305" s="24" t="str">
        <x:f>IF(AND(ISNUMBER(N305),ISNUMBER(O305)),O305-N305,"")</x:f>
      </x:c>
      <x:c r="Q305" s="3"/>
      <x:c r="R305" s="19" t="str">
        <x:f>IF(A305="","",IF(COUNTIFS('预测登记'!$A$7:$A$306,A305)&lt;&gt;1,"编号重复",IF(COUNTIFS('问题总览'!$A$7:$A$306,B305)&lt;&gt;1,"问题引用无效",IF(COUNTIFS('方案版本'!$A$7:$A$306,C305,'方案版本'!$B$7:$B$306,B305,'方案版本'!$L$7:$L$306,"已冻结")&lt;&gt;1,"方案引用无效",IF(OR(NOT(ISNUMBER(D305)),NOT(ISNUMBER(E305)),F305="",I305="",M305="",Q305=""),"待补预测信息",IF(D305&gt;E305,"非事前到期登记",IF(OR(AND(G305&lt;&gt;"",OR(NOT(ISNUMBER(G305)),G305&lt;0,G305&gt;1)),AND(H305&lt;&gt;"",OR(NOT(ISNUMBER(H305)),H305&lt;0,H305&gt;1))),"概率无效",IF(AND(I305="已判定",OR(NOT(ISNUMBER(J305)),AND(J305&lt;&gt;0,J305&lt;&gt;1),NOT(ISNUMBER(K305)),L305="")),"待补判定证据",IF(AND(I305="已判定",D305&gt;K305),"事后补录不评分","有效输入")))))))))</x:f>
      </x:c>
    </x:row>
    <x:row r="306" ht="25" customHeight="1">
      <x:c r="A306" s="3"/>
      <x:c r="B306" s="3"/>
      <x:c r="C306" s="3"/>
      <x:c r="D306" s="25"/>
      <x:c r="E306" s="25"/>
      <x:c r="F306" s="3"/>
      <x:c r="G306" s="26"/>
      <x:c r="H306" s="26"/>
      <x:c r="I306" s="3"/>
      <x:c r="J306" s="22"/>
      <x:c r="K306" s="25"/>
      <x:c r="L306" s="3"/>
      <x:c r="M306" s="3"/>
      <x:c r="N306" s="24" t="str">
        <x:f>IF(AND(R306="有效输入",I306="已判定",M306="是",ISNUMBER(G306)),(G306-J306)^2,"")</x:f>
      </x:c>
      <x:c r="O306" s="24" t="str">
        <x:f>IF(AND(ISNUMBER(N306),ISNUMBER(H306)),(H306-J306)^2,"")</x:f>
      </x:c>
      <x:c r="P306" s="24" t="str">
        <x:f>IF(AND(ISNUMBER(N306),ISNUMBER(O306)),O306-N306,"")</x:f>
      </x:c>
      <x:c r="Q306" s="3"/>
      <x:c r="R306" s="19" t="str">
        <x:f>IF(A306="","",IF(COUNTIFS('预测登记'!$A$7:$A$306,A306)&lt;&gt;1,"编号重复",IF(COUNTIFS('问题总览'!$A$7:$A$306,B306)&lt;&gt;1,"问题引用无效",IF(COUNTIFS('方案版本'!$A$7:$A$306,C306,'方案版本'!$B$7:$B$306,B306,'方案版本'!$L$7:$L$306,"已冻结")&lt;&gt;1,"方案引用无效",IF(OR(NOT(ISNUMBER(D306)),NOT(ISNUMBER(E306)),F306="",I306="",M306="",Q306=""),"待补预测信息",IF(D306&gt;E306,"非事前到期登记",IF(OR(AND(G306&lt;&gt;"",OR(NOT(ISNUMBER(G306)),G306&lt;0,G306&gt;1)),AND(H306&lt;&gt;"",OR(NOT(ISNUMBER(H306)),H306&lt;0,H306&gt;1))),"概率无效",IF(AND(I306="已判定",OR(NOT(ISNUMBER(J306)),AND(J306&lt;&gt;0,J306&lt;&gt;1),NOT(ISNUMBER(K306)),L306="")),"待补判定证据",IF(AND(I306="已判定",D306&gt;K306),"事后补录不评分","有效输入")))))))))</x:f>
      </x:c>
    </x:row>
  </x:sheetData>
  <x:conditionalFormatting sqref="R7:R306">
    <x:cfRule type="expression" dxfId="4" priority="1">
      <x:formula>AND($A7&lt;&gt;"",R7&lt;&gt;"有效输入")</x:formula>
    </x:cfRule>
  </x:conditionalFormatting>
  <x:dataValidations count="2">
    <x:dataValidation type="list" sqref="I7:I306">
      <x:formula1>"未到期,待判定,已判定,无法判定,撤销"</x:formula1>
    </x:dataValidation>
    <x:dataValidation type="list" sqref="M7:M30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f0a46348c463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3" hidden="0" customWidth="1"/>
    <x:col min="5" max="5" width="23" hidden="0" customWidth="1"/>
    <x:col min="6" max="6" width="20" hidden="0" customWidth="1"/>
    <x:col min="7" max="7" width="29" hidden="0" customWidth="1"/>
    <x:col min="8" max="8" width="20" hidden="0" customWidth="1"/>
    <x:col min="9" max="9" width="29" hidden="0" customWidth="1"/>
    <x:col min="10" max="10" width="29" hidden="0" customWidth="1"/>
    <x:col min="11" max="11" width="20" hidden="0" customWidth="1"/>
    <x:col min="12" max="12" width="23" hidden="0" customWidth="1"/>
    <x:col min="13" max="13" width="29" hidden="0" customWidth="1"/>
    <x:col min="14" max="14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6" t="str">
        <x:v>复盘记录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5" customHeight="1">
      <x:c r="A3" s="18" t="str">
        <x:v>每行一次复盘。分别评价原目标、当前价值和因果支持；每次复盘关联一份更新单。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复盘ID</x:v>
      </x:c>
      <x:c r="B6" s="13" t="str">
        <x:v>问题ID</x:v>
      </x:c>
      <x:c r="C6" s="13" t="str">
        <x:v>方案ID</x:v>
      </x:c>
      <x:c r="D6" s="13" t="str">
        <x:v>信息截止时间</x:v>
      </x:c>
      <x:c r="E6" s="13" t="str">
        <x:v>复盘时间</x:v>
      </x:c>
      <x:c r="F6" s="13" t="str">
        <x:v>原目标结果</x:v>
      </x:c>
      <x:c r="G6" s="13" t="str">
        <x:v>当前价值判断</x:v>
      </x:c>
      <x:c r="H6" s="13" t="str">
        <x:v>归因结论</x:v>
      </x:c>
      <x:c r="I6" s="13" t="str">
        <x:v>关键OB引用</x:v>
      </x:c>
      <x:c r="J6" s="13" t="str">
        <x:v>更新单ID</x:v>
      </x:c>
      <x:c r="K6" s="13" t="str">
        <x:v>后续相位</x:v>
      </x:c>
      <x:c r="L6" s="13" t="str">
        <x:v>下次复盘日</x:v>
      </x:c>
      <x:c r="M6" s="13" t="str">
        <x:v>复盘文件</x:v>
      </x:c>
      <x:c r="N6" s="14" t="str">
        <x:v>输入检查</x:v>
      </x:c>
    </x:row>
    <x:row r="7" ht="25" customHeight="1">
      <x:c r="A7" s="3"/>
      <x:c r="B7" s="3"/>
      <x:c r="C7" s="3"/>
      <x:c r="D7" s="25"/>
      <x:c r="E7" s="25"/>
      <x:c r="F7" s="3"/>
      <x:c r="G7" s="3"/>
      <x:c r="H7" s="3"/>
      <x:c r="I7" s="3"/>
      <x:c r="J7" s="3"/>
      <x:c r="K7" s="3"/>
      <x:c r="L7" s="20"/>
      <x:c r="M7" s="3"/>
      <x:c r="N7" s="19" t="str">
        <x:f>IF(A7="","",IF(COUNTIFS('复盘记录'!$A$7:$A$306,A7)&lt;&gt;1,"编号重复",IF(COUNTIFS('问题总览'!$A$7:$A$306,B7)&lt;&gt;1,"问题引用无效",IF(COUNTIFS('方案版本'!$A$7:$A$306,C7,'方案版本'!$B$7:$B$306,B7,'方案版本'!$L$7:$L$306,"已冻结")&lt;&gt;1,"方案引用无效",IF(OR(NOT(ISNUMBER(D7)),NOT(ISNUMBER(E7)),F7="",G7="",H7="",M7=""),"待补复盘信息",IF(COUNTIFS('更新日志'!$A$7:$A$306,J7,'更新日志'!$B$7:$B$306,B7,'更新日志'!$C$7:$C$306,A7)&lt;&gt;1,"待登记更新单","有效输入"))))))</x:f>
      </x:c>
    </x:row>
    <x:row r="8" ht="25" customHeight="1">
      <x:c r="A8" s="3"/>
      <x:c r="B8" s="3"/>
      <x:c r="C8" s="3"/>
      <x:c r="D8" s="25"/>
      <x:c r="E8" s="25"/>
      <x:c r="F8" s="3"/>
      <x:c r="G8" s="3"/>
      <x:c r="H8" s="3"/>
      <x:c r="I8" s="3"/>
      <x:c r="J8" s="3"/>
      <x:c r="K8" s="3"/>
      <x:c r="L8" s="20"/>
      <x:c r="M8" s="3"/>
      <x:c r="N8" s="19" t="str">
        <x:f>IF(A8="","",IF(COUNTIFS('复盘记录'!$A$7:$A$306,A8)&lt;&gt;1,"编号重复",IF(COUNTIFS('问题总览'!$A$7:$A$306,B8)&lt;&gt;1,"问题引用无效",IF(COUNTIFS('方案版本'!$A$7:$A$306,C8,'方案版本'!$B$7:$B$306,B8,'方案版本'!$L$7:$L$306,"已冻结")&lt;&gt;1,"方案引用无效",IF(OR(NOT(ISNUMBER(D8)),NOT(ISNUMBER(E8)),F8="",G8="",H8="",M8=""),"待补复盘信息",IF(COUNTIFS('更新日志'!$A$7:$A$306,J8,'更新日志'!$B$7:$B$306,B8,'更新日志'!$C$7:$C$306,A8)&lt;&gt;1,"待登记更新单","有效输入"))))))</x:f>
      </x:c>
    </x:row>
    <x:row r="9" ht="25" customHeight="1">
      <x:c r="A9" s="3"/>
      <x:c r="B9" s="3"/>
      <x:c r="C9" s="3"/>
      <x:c r="D9" s="25"/>
      <x:c r="E9" s="25"/>
      <x:c r="F9" s="3"/>
      <x:c r="G9" s="3"/>
      <x:c r="H9" s="3"/>
      <x:c r="I9" s="3"/>
      <x:c r="J9" s="3"/>
      <x:c r="K9" s="3"/>
      <x:c r="L9" s="20"/>
      <x:c r="M9" s="3"/>
      <x:c r="N9" s="19" t="str">
        <x:f>IF(A9="","",IF(COUNTIFS('复盘记录'!$A$7:$A$306,A9)&lt;&gt;1,"编号重复",IF(COUNTIFS('问题总览'!$A$7:$A$306,B9)&lt;&gt;1,"问题引用无效",IF(COUNTIFS('方案版本'!$A$7:$A$306,C9,'方案版本'!$B$7:$B$306,B9,'方案版本'!$L$7:$L$306,"已冻结")&lt;&gt;1,"方案引用无效",IF(OR(NOT(ISNUMBER(D9)),NOT(ISNUMBER(E9)),F9="",G9="",H9="",M9=""),"待补复盘信息",IF(COUNTIFS('更新日志'!$A$7:$A$306,J9,'更新日志'!$B$7:$B$306,B9,'更新日志'!$C$7:$C$306,A9)&lt;&gt;1,"待登记更新单","有效输入"))))))</x:f>
      </x:c>
    </x:row>
    <x:row r="10" ht="25" customHeight="1">
      <x:c r="A10" s="3"/>
      <x:c r="B10" s="3"/>
      <x:c r="C10" s="3"/>
      <x:c r="D10" s="25"/>
      <x:c r="E10" s="25"/>
      <x:c r="F10" s="3"/>
      <x:c r="G10" s="3"/>
      <x:c r="H10" s="3"/>
      <x:c r="I10" s="3"/>
      <x:c r="J10" s="3"/>
      <x:c r="K10" s="3"/>
      <x:c r="L10" s="20"/>
      <x:c r="M10" s="3"/>
      <x:c r="N10" s="19" t="str">
        <x:f>IF(A10="","",IF(COUNTIFS('复盘记录'!$A$7:$A$306,A10)&lt;&gt;1,"编号重复",IF(COUNTIFS('问题总览'!$A$7:$A$306,B10)&lt;&gt;1,"问题引用无效",IF(COUNTIFS('方案版本'!$A$7:$A$306,C10,'方案版本'!$B$7:$B$306,B10,'方案版本'!$L$7:$L$306,"已冻结")&lt;&gt;1,"方案引用无效",IF(OR(NOT(ISNUMBER(D10)),NOT(ISNUMBER(E10)),F10="",G10="",H10="",M10=""),"待补复盘信息",IF(COUNTIFS('更新日志'!$A$7:$A$306,J10,'更新日志'!$B$7:$B$306,B10,'更新日志'!$C$7:$C$306,A10)&lt;&gt;1,"待登记更新单","有效输入"))))))</x:f>
      </x:c>
    </x:row>
    <x:row r="11" ht="25" customHeight="1">
      <x:c r="A11" s="3"/>
      <x:c r="B11" s="3"/>
      <x:c r="C11" s="3"/>
      <x:c r="D11" s="25"/>
      <x:c r="E11" s="25"/>
      <x:c r="F11" s="3"/>
      <x:c r="G11" s="3"/>
      <x:c r="H11" s="3"/>
      <x:c r="I11" s="3"/>
      <x:c r="J11" s="3"/>
      <x:c r="K11" s="3"/>
      <x:c r="L11" s="20"/>
      <x:c r="M11" s="3"/>
      <x:c r="N11" s="19" t="str">
        <x:f>IF(A11="","",IF(COUNTIFS('复盘记录'!$A$7:$A$306,A11)&lt;&gt;1,"编号重复",IF(COUNTIFS('问题总览'!$A$7:$A$306,B11)&lt;&gt;1,"问题引用无效",IF(COUNTIFS('方案版本'!$A$7:$A$306,C11,'方案版本'!$B$7:$B$306,B11,'方案版本'!$L$7:$L$306,"已冻结")&lt;&gt;1,"方案引用无效",IF(OR(NOT(ISNUMBER(D11)),NOT(ISNUMBER(E11)),F11="",G11="",H11="",M11=""),"待补复盘信息",IF(COUNTIFS('更新日志'!$A$7:$A$306,J11,'更新日志'!$B$7:$B$306,B11,'更新日志'!$C$7:$C$306,A11)&lt;&gt;1,"待登记更新单","有效输入"))))))</x:f>
      </x:c>
    </x:row>
    <x:row r="12" ht="25" customHeight="1">
      <x:c r="A12" s="3"/>
      <x:c r="B12" s="3"/>
      <x:c r="C12" s="3"/>
      <x:c r="D12" s="25"/>
      <x:c r="E12" s="25"/>
      <x:c r="F12" s="3"/>
      <x:c r="G12" s="3"/>
      <x:c r="H12" s="3"/>
      <x:c r="I12" s="3"/>
      <x:c r="J12" s="3"/>
      <x:c r="K12" s="3"/>
      <x:c r="L12" s="20"/>
      <x:c r="M12" s="3"/>
      <x:c r="N12" s="19" t="str">
        <x:f>IF(A12="","",IF(COUNTIFS('复盘记录'!$A$7:$A$306,A12)&lt;&gt;1,"编号重复",IF(COUNTIFS('问题总览'!$A$7:$A$306,B12)&lt;&gt;1,"问题引用无效",IF(COUNTIFS('方案版本'!$A$7:$A$306,C12,'方案版本'!$B$7:$B$306,B12,'方案版本'!$L$7:$L$306,"已冻结")&lt;&gt;1,"方案引用无效",IF(OR(NOT(ISNUMBER(D12)),NOT(ISNUMBER(E12)),F12="",G12="",H12="",M12=""),"待补复盘信息",IF(COUNTIFS('更新日志'!$A$7:$A$306,J12,'更新日志'!$B$7:$B$306,B12,'更新日志'!$C$7:$C$306,A12)&lt;&gt;1,"待登记更新单","有效输入"))))))</x:f>
      </x:c>
    </x:row>
    <x:row r="13" ht="25" customHeight="1">
      <x:c r="A13" s="3"/>
      <x:c r="B13" s="3"/>
      <x:c r="C13" s="3"/>
      <x:c r="D13" s="25"/>
      <x:c r="E13" s="25"/>
      <x:c r="F13" s="3"/>
      <x:c r="G13" s="3"/>
      <x:c r="H13" s="3"/>
      <x:c r="I13" s="3"/>
      <x:c r="J13" s="3"/>
      <x:c r="K13" s="3"/>
      <x:c r="L13" s="20"/>
      <x:c r="M13" s="3"/>
      <x:c r="N13" s="19" t="str">
        <x:f>IF(A13="","",IF(COUNTIFS('复盘记录'!$A$7:$A$306,A13)&lt;&gt;1,"编号重复",IF(COUNTIFS('问题总览'!$A$7:$A$306,B13)&lt;&gt;1,"问题引用无效",IF(COUNTIFS('方案版本'!$A$7:$A$306,C13,'方案版本'!$B$7:$B$306,B13,'方案版本'!$L$7:$L$306,"已冻结")&lt;&gt;1,"方案引用无效",IF(OR(NOT(ISNUMBER(D13)),NOT(ISNUMBER(E13)),F13="",G13="",H13="",M13=""),"待补复盘信息",IF(COUNTIFS('更新日志'!$A$7:$A$306,J13,'更新日志'!$B$7:$B$306,B13,'更新日志'!$C$7:$C$306,A13)&lt;&gt;1,"待登记更新单","有效输入"))))))</x:f>
      </x:c>
    </x:row>
    <x:row r="14" ht="25" customHeight="1">
      <x:c r="A14" s="3"/>
      <x:c r="B14" s="3"/>
      <x:c r="C14" s="3"/>
      <x:c r="D14" s="25"/>
      <x:c r="E14" s="25"/>
      <x:c r="F14" s="3"/>
      <x:c r="G14" s="3"/>
      <x:c r="H14" s="3"/>
      <x:c r="I14" s="3"/>
      <x:c r="J14" s="3"/>
      <x:c r="K14" s="3"/>
      <x:c r="L14" s="20"/>
      <x:c r="M14" s="3"/>
      <x:c r="N14" s="19" t="str">
        <x:f>IF(A14="","",IF(COUNTIFS('复盘记录'!$A$7:$A$306,A14)&lt;&gt;1,"编号重复",IF(COUNTIFS('问题总览'!$A$7:$A$306,B14)&lt;&gt;1,"问题引用无效",IF(COUNTIFS('方案版本'!$A$7:$A$306,C14,'方案版本'!$B$7:$B$306,B14,'方案版本'!$L$7:$L$306,"已冻结")&lt;&gt;1,"方案引用无效",IF(OR(NOT(ISNUMBER(D14)),NOT(ISNUMBER(E14)),F14="",G14="",H14="",M14=""),"待补复盘信息",IF(COUNTIFS('更新日志'!$A$7:$A$306,J14,'更新日志'!$B$7:$B$306,B14,'更新日志'!$C$7:$C$306,A14)&lt;&gt;1,"待登记更新单","有效输入"))))))</x:f>
      </x:c>
    </x:row>
    <x:row r="15" ht="25" customHeight="1">
      <x:c r="A15" s="3"/>
      <x:c r="B15" s="3"/>
      <x:c r="C15" s="3"/>
      <x:c r="D15" s="25"/>
      <x:c r="E15" s="25"/>
      <x:c r="F15" s="3"/>
      <x:c r="G15" s="3"/>
      <x:c r="H15" s="3"/>
      <x:c r="I15" s="3"/>
      <x:c r="J15" s="3"/>
      <x:c r="K15" s="3"/>
      <x:c r="L15" s="20"/>
      <x:c r="M15" s="3"/>
      <x:c r="N15" s="19" t="str">
        <x:f>IF(A15="","",IF(COUNTIFS('复盘记录'!$A$7:$A$306,A15)&lt;&gt;1,"编号重复",IF(COUNTIFS('问题总览'!$A$7:$A$306,B15)&lt;&gt;1,"问题引用无效",IF(COUNTIFS('方案版本'!$A$7:$A$306,C15,'方案版本'!$B$7:$B$306,B15,'方案版本'!$L$7:$L$306,"已冻结")&lt;&gt;1,"方案引用无效",IF(OR(NOT(ISNUMBER(D15)),NOT(ISNUMBER(E15)),F15="",G15="",H15="",M15=""),"待补复盘信息",IF(COUNTIFS('更新日志'!$A$7:$A$306,J15,'更新日志'!$B$7:$B$306,B15,'更新日志'!$C$7:$C$306,A15)&lt;&gt;1,"待登记更新单","有效输入"))))))</x:f>
      </x:c>
    </x:row>
    <x:row r="16" ht="25" customHeight="1">
      <x:c r="A16" s="3"/>
      <x:c r="B16" s="3"/>
      <x:c r="C16" s="3"/>
      <x:c r="D16" s="25"/>
      <x:c r="E16" s="25"/>
      <x:c r="F16" s="3"/>
      <x:c r="G16" s="3"/>
      <x:c r="H16" s="3"/>
      <x:c r="I16" s="3"/>
      <x:c r="J16" s="3"/>
      <x:c r="K16" s="3"/>
      <x:c r="L16" s="20"/>
      <x:c r="M16" s="3"/>
      <x:c r="N16" s="19" t="str">
        <x:f>IF(A16="","",IF(COUNTIFS('复盘记录'!$A$7:$A$306,A16)&lt;&gt;1,"编号重复",IF(COUNTIFS('问题总览'!$A$7:$A$306,B16)&lt;&gt;1,"问题引用无效",IF(COUNTIFS('方案版本'!$A$7:$A$306,C16,'方案版本'!$B$7:$B$306,B16,'方案版本'!$L$7:$L$306,"已冻结")&lt;&gt;1,"方案引用无效",IF(OR(NOT(ISNUMBER(D16)),NOT(ISNUMBER(E16)),F16="",G16="",H16="",M16=""),"待补复盘信息",IF(COUNTIFS('更新日志'!$A$7:$A$306,J16,'更新日志'!$B$7:$B$306,B16,'更新日志'!$C$7:$C$306,A16)&lt;&gt;1,"待登记更新单","有效输入"))))))</x:f>
      </x:c>
    </x:row>
    <x:row r="17" ht="25" customHeight="1">
      <x:c r="A17" s="3"/>
      <x:c r="B17" s="3"/>
      <x:c r="C17" s="3"/>
      <x:c r="D17" s="25"/>
      <x:c r="E17" s="25"/>
      <x:c r="F17" s="3"/>
      <x:c r="G17" s="3"/>
      <x:c r="H17" s="3"/>
      <x:c r="I17" s="3"/>
      <x:c r="J17" s="3"/>
      <x:c r="K17" s="3"/>
      <x:c r="L17" s="20"/>
      <x:c r="M17" s="3"/>
      <x:c r="N17" s="19" t="str">
        <x:f>IF(A17="","",IF(COUNTIFS('复盘记录'!$A$7:$A$306,A17)&lt;&gt;1,"编号重复",IF(COUNTIFS('问题总览'!$A$7:$A$306,B17)&lt;&gt;1,"问题引用无效",IF(COUNTIFS('方案版本'!$A$7:$A$306,C17,'方案版本'!$B$7:$B$306,B17,'方案版本'!$L$7:$L$306,"已冻结")&lt;&gt;1,"方案引用无效",IF(OR(NOT(ISNUMBER(D17)),NOT(ISNUMBER(E17)),F17="",G17="",H17="",M17=""),"待补复盘信息",IF(COUNTIFS('更新日志'!$A$7:$A$306,J17,'更新日志'!$B$7:$B$306,B17,'更新日志'!$C$7:$C$306,A17)&lt;&gt;1,"待登记更新单","有效输入"))))))</x:f>
      </x:c>
    </x:row>
    <x:row r="18" ht="25" customHeight="1">
      <x:c r="A18" s="3"/>
      <x:c r="B18" s="3"/>
      <x:c r="C18" s="3"/>
      <x:c r="D18" s="25"/>
      <x:c r="E18" s="25"/>
      <x:c r="F18" s="3"/>
      <x:c r="G18" s="3"/>
      <x:c r="H18" s="3"/>
      <x:c r="I18" s="3"/>
      <x:c r="J18" s="3"/>
      <x:c r="K18" s="3"/>
      <x:c r="L18" s="20"/>
      <x:c r="M18" s="3"/>
      <x:c r="N18" s="19" t="str">
        <x:f>IF(A18="","",IF(COUNTIFS('复盘记录'!$A$7:$A$306,A18)&lt;&gt;1,"编号重复",IF(COUNTIFS('问题总览'!$A$7:$A$306,B18)&lt;&gt;1,"问题引用无效",IF(COUNTIFS('方案版本'!$A$7:$A$306,C18,'方案版本'!$B$7:$B$306,B18,'方案版本'!$L$7:$L$306,"已冻结")&lt;&gt;1,"方案引用无效",IF(OR(NOT(ISNUMBER(D18)),NOT(ISNUMBER(E18)),F18="",G18="",H18="",M18=""),"待补复盘信息",IF(COUNTIFS('更新日志'!$A$7:$A$306,J18,'更新日志'!$B$7:$B$306,B18,'更新日志'!$C$7:$C$306,A18)&lt;&gt;1,"待登记更新单","有效输入"))))))</x:f>
      </x:c>
    </x:row>
    <x:row r="19" ht="25" customHeight="1">
      <x:c r="A19" s="3"/>
      <x:c r="B19" s="3"/>
      <x:c r="C19" s="3"/>
      <x:c r="D19" s="25"/>
      <x:c r="E19" s="25"/>
      <x:c r="F19" s="3"/>
      <x:c r="G19" s="3"/>
      <x:c r="H19" s="3"/>
      <x:c r="I19" s="3"/>
      <x:c r="J19" s="3"/>
      <x:c r="K19" s="3"/>
      <x:c r="L19" s="20"/>
      <x:c r="M19" s="3"/>
      <x:c r="N19" s="19" t="str">
        <x:f>IF(A19="","",IF(COUNTIFS('复盘记录'!$A$7:$A$306,A19)&lt;&gt;1,"编号重复",IF(COUNTIFS('问题总览'!$A$7:$A$306,B19)&lt;&gt;1,"问题引用无效",IF(COUNTIFS('方案版本'!$A$7:$A$306,C19,'方案版本'!$B$7:$B$306,B19,'方案版本'!$L$7:$L$306,"已冻结")&lt;&gt;1,"方案引用无效",IF(OR(NOT(ISNUMBER(D19)),NOT(ISNUMBER(E19)),F19="",G19="",H19="",M19=""),"待补复盘信息",IF(COUNTIFS('更新日志'!$A$7:$A$306,J19,'更新日志'!$B$7:$B$306,B19,'更新日志'!$C$7:$C$306,A19)&lt;&gt;1,"待登记更新单","有效输入"))))))</x:f>
      </x:c>
    </x:row>
    <x:row r="20" ht="25" customHeight="1">
      <x:c r="A20" s="3"/>
      <x:c r="B20" s="3"/>
      <x:c r="C20" s="3"/>
      <x:c r="D20" s="25"/>
      <x:c r="E20" s="25"/>
      <x:c r="F20" s="3"/>
      <x:c r="G20" s="3"/>
      <x:c r="H20" s="3"/>
      <x:c r="I20" s="3"/>
      <x:c r="J20" s="3"/>
      <x:c r="K20" s="3"/>
      <x:c r="L20" s="20"/>
      <x:c r="M20" s="3"/>
      <x:c r="N20" s="19" t="str">
        <x:f>IF(A20="","",IF(COUNTIFS('复盘记录'!$A$7:$A$306,A20)&lt;&gt;1,"编号重复",IF(COUNTIFS('问题总览'!$A$7:$A$306,B20)&lt;&gt;1,"问题引用无效",IF(COUNTIFS('方案版本'!$A$7:$A$306,C20,'方案版本'!$B$7:$B$306,B20,'方案版本'!$L$7:$L$306,"已冻结")&lt;&gt;1,"方案引用无效",IF(OR(NOT(ISNUMBER(D20)),NOT(ISNUMBER(E20)),F20="",G20="",H20="",M20=""),"待补复盘信息",IF(COUNTIFS('更新日志'!$A$7:$A$306,J20,'更新日志'!$B$7:$B$306,B20,'更新日志'!$C$7:$C$306,A20)&lt;&gt;1,"待登记更新单","有效输入"))))))</x:f>
      </x:c>
    </x:row>
    <x:row r="21" ht="25" customHeight="1">
      <x:c r="A21" s="3"/>
      <x:c r="B21" s="3"/>
      <x:c r="C21" s="3"/>
      <x:c r="D21" s="25"/>
      <x:c r="E21" s="25"/>
      <x:c r="F21" s="3"/>
      <x:c r="G21" s="3"/>
      <x:c r="H21" s="3"/>
      <x:c r="I21" s="3"/>
      <x:c r="J21" s="3"/>
      <x:c r="K21" s="3"/>
      <x:c r="L21" s="20"/>
      <x:c r="M21" s="3"/>
      <x:c r="N21" s="19" t="str">
        <x:f>IF(A21="","",IF(COUNTIFS('复盘记录'!$A$7:$A$306,A21)&lt;&gt;1,"编号重复",IF(COUNTIFS('问题总览'!$A$7:$A$306,B21)&lt;&gt;1,"问题引用无效",IF(COUNTIFS('方案版本'!$A$7:$A$306,C21,'方案版本'!$B$7:$B$306,B21,'方案版本'!$L$7:$L$306,"已冻结")&lt;&gt;1,"方案引用无效",IF(OR(NOT(ISNUMBER(D21)),NOT(ISNUMBER(E21)),F21="",G21="",H21="",M21=""),"待补复盘信息",IF(COUNTIFS('更新日志'!$A$7:$A$306,J21,'更新日志'!$B$7:$B$306,B21,'更新日志'!$C$7:$C$306,A21)&lt;&gt;1,"待登记更新单","有效输入"))))))</x:f>
      </x:c>
    </x:row>
    <x:row r="22" ht="25" customHeight="1">
      <x:c r="A22" s="3"/>
      <x:c r="B22" s="3"/>
      <x:c r="C22" s="3"/>
      <x:c r="D22" s="25"/>
      <x:c r="E22" s="25"/>
      <x:c r="F22" s="3"/>
      <x:c r="G22" s="3"/>
      <x:c r="H22" s="3"/>
      <x:c r="I22" s="3"/>
      <x:c r="J22" s="3"/>
      <x:c r="K22" s="3"/>
      <x:c r="L22" s="20"/>
      <x:c r="M22" s="3"/>
      <x:c r="N22" s="19" t="str">
        <x:f>IF(A22="","",IF(COUNTIFS('复盘记录'!$A$7:$A$306,A22)&lt;&gt;1,"编号重复",IF(COUNTIFS('问题总览'!$A$7:$A$306,B22)&lt;&gt;1,"问题引用无效",IF(COUNTIFS('方案版本'!$A$7:$A$306,C22,'方案版本'!$B$7:$B$306,B22,'方案版本'!$L$7:$L$306,"已冻结")&lt;&gt;1,"方案引用无效",IF(OR(NOT(ISNUMBER(D22)),NOT(ISNUMBER(E22)),F22="",G22="",H22="",M22=""),"待补复盘信息",IF(COUNTIFS('更新日志'!$A$7:$A$306,J22,'更新日志'!$B$7:$B$306,B22,'更新日志'!$C$7:$C$306,A22)&lt;&gt;1,"待登记更新单","有效输入"))))))</x:f>
      </x:c>
    </x:row>
    <x:row r="23" ht="25" customHeight="1">
      <x:c r="A23" s="3"/>
      <x:c r="B23" s="3"/>
      <x:c r="C23" s="3"/>
      <x:c r="D23" s="25"/>
      <x:c r="E23" s="25"/>
      <x:c r="F23" s="3"/>
      <x:c r="G23" s="3"/>
      <x:c r="H23" s="3"/>
      <x:c r="I23" s="3"/>
      <x:c r="J23" s="3"/>
      <x:c r="K23" s="3"/>
      <x:c r="L23" s="20"/>
      <x:c r="M23" s="3"/>
      <x:c r="N23" s="19" t="str">
        <x:f>IF(A23="","",IF(COUNTIFS('复盘记录'!$A$7:$A$306,A23)&lt;&gt;1,"编号重复",IF(COUNTIFS('问题总览'!$A$7:$A$306,B23)&lt;&gt;1,"问题引用无效",IF(COUNTIFS('方案版本'!$A$7:$A$306,C23,'方案版本'!$B$7:$B$306,B23,'方案版本'!$L$7:$L$306,"已冻结")&lt;&gt;1,"方案引用无效",IF(OR(NOT(ISNUMBER(D23)),NOT(ISNUMBER(E23)),F23="",G23="",H23="",M23=""),"待补复盘信息",IF(COUNTIFS('更新日志'!$A$7:$A$306,J23,'更新日志'!$B$7:$B$306,B23,'更新日志'!$C$7:$C$306,A23)&lt;&gt;1,"待登记更新单","有效输入"))))))</x:f>
      </x:c>
    </x:row>
    <x:row r="24" ht="25" customHeight="1">
      <x:c r="A24" s="3"/>
      <x:c r="B24" s="3"/>
      <x:c r="C24" s="3"/>
      <x:c r="D24" s="25"/>
      <x:c r="E24" s="25"/>
      <x:c r="F24" s="3"/>
      <x:c r="G24" s="3"/>
      <x:c r="H24" s="3"/>
      <x:c r="I24" s="3"/>
      <x:c r="J24" s="3"/>
      <x:c r="K24" s="3"/>
      <x:c r="L24" s="20"/>
      <x:c r="M24" s="3"/>
      <x:c r="N24" s="19" t="str">
        <x:f>IF(A24="","",IF(COUNTIFS('复盘记录'!$A$7:$A$306,A24)&lt;&gt;1,"编号重复",IF(COUNTIFS('问题总览'!$A$7:$A$306,B24)&lt;&gt;1,"问题引用无效",IF(COUNTIFS('方案版本'!$A$7:$A$306,C24,'方案版本'!$B$7:$B$306,B24,'方案版本'!$L$7:$L$306,"已冻结")&lt;&gt;1,"方案引用无效",IF(OR(NOT(ISNUMBER(D24)),NOT(ISNUMBER(E24)),F24="",G24="",H24="",M24=""),"待补复盘信息",IF(COUNTIFS('更新日志'!$A$7:$A$306,J24,'更新日志'!$B$7:$B$306,B24,'更新日志'!$C$7:$C$306,A24)&lt;&gt;1,"待登记更新单","有效输入"))))))</x:f>
      </x:c>
    </x:row>
    <x:row r="25" ht="25" customHeight="1">
      <x:c r="A25" s="3"/>
      <x:c r="B25" s="3"/>
      <x:c r="C25" s="3"/>
      <x:c r="D25" s="25"/>
      <x:c r="E25" s="25"/>
      <x:c r="F25" s="3"/>
      <x:c r="G25" s="3"/>
      <x:c r="H25" s="3"/>
      <x:c r="I25" s="3"/>
      <x:c r="J25" s="3"/>
      <x:c r="K25" s="3"/>
      <x:c r="L25" s="20"/>
      <x:c r="M25" s="3"/>
      <x:c r="N25" s="19" t="str">
        <x:f>IF(A25="","",IF(COUNTIFS('复盘记录'!$A$7:$A$306,A25)&lt;&gt;1,"编号重复",IF(COUNTIFS('问题总览'!$A$7:$A$306,B25)&lt;&gt;1,"问题引用无效",IF(COUNTIFS('方案版本'!$A$7:$A$306,C25,'方案版本'!$B$7:$B$306,B25,'方案版本'!$L$7:$L$306,"已冻结")&lt;&gt;1,"方案引用无效",IF(OR(NOT(ISNUMBER(D25)),NOT(ISNUMBER(E25)),F25="",G25="",H25="",M25=""),"待补复盘信息",IF(COUNTIFS('更新日志'!$A$7:$A$306,J25,'更新日志'!$B$7:$B$306,B25,'更新日志'!$C$7:$C$306,A25)&lt;&gt;1,"待登记更新单","有效输入"))))))</x:f>
      </x:c>
    </x:row>
    <x:row r="26" ht="25" customHeight="1">
      <x:c r="A26" s="3"/>
      <x:c r="B26" s="3"/>
      <x:c r="C26" s="3"/>
      <x:c r="D26" s="25"/>
      <x:c r="E26" s="25"/>
      <x:c r="F26" s="3"/>
      <x:c r="G26" s="3"/>
      <x:c r="H26" s="3"/>
      <x:c r="I26" s="3"/>
      <x:c r="J26" s="3"/>
      <x:c r="K26" s="3"/>
      <x:c r="L26" s="20"/>
      <x:c r="M26" s="3"/>
      <x:c r="N26" s="19" t="str">
        <x:f>IF(A26="","",IF(COUNTIFS('复盘记录'!$A$7:$A$306,A26)&lt;&gt;1,"编号重复",IF(COUNTIFS('问题总览'!$A$7:$A$306,B26)&lt;&gt;1,"问题引用无效",IF(COUNTIFS('方案版本'!$A$7:$A$306,C26,'方案版本'!$B$7:$B$306,B26,'方案版本'!$L$7:$L$306,"已冻结")&lt;&gt;1,"方案引用无效",IF(OR(NOT(ISNUMBER(D26)),NOT(ISNUMBER(E26)),F26="",G26="",H26="",M26=""),"待补复盘信息",IF(COUNTIFS('更新日志'!$A$7:$A$306,J26,'更新日志'!$B$7:$B$306,B26,'更新日志'!$C$7:$C$306,A26)&lt;&gt;1,"待登记更新单","有效输入"))))))</x:f>
      </x:c>
    </x:row>
    <x:row r="27" ht="25" customHeight="1">
      <x:c r="A27" s="3"/>
      <x:c r="B27" s="3"/>
      <x:c r="C27" s="3"/>
      <x:c r="D27" s="25"/>
      <x:c r="E27" s="25"/>
      <x:c r="F27" s="3"/>
      <x:c r="G27" s="3"/>
      <x:c r="H27" s="3"/>
      <x:c r="I27" s="3"/>
      <x:c r="J27" s="3"/>
      <x:c r="K27" s="3"/>
      <x:c r="L27" s="20"/>
      <x:c r="M27" s="3"/>
      <x:c r="N27" s="19" t="str">
        <x:f>IF(A27="","",IF(COUNTIFS('复盘记录'!$A$7:$A$306,A27)&lt;&gt;1,"编号重复",IF(COUNTIFS('问题总览'!$A$7:$A$306,B27)&lt;&gt;1,"问题引用无效",IF(COUNTIFS('方案版本'!$A$7:$A$306,C27,'方案版本'!$B$7:$B$306,B27,'方案版本'!$L$7:$L$306,"已冻结")&lt;&gt;1,"方案引用无效",IF(OR(NOT(ISNUMBER(D27)),NOT(ISNUMBER(E27)),F27="",G27="",H27="",M27=""),"待补复盘信息",IF(COUNTIFS('更新日志'!$A$7:$A$306,J27,'更新日志'!$B$7:$B$306,B27,'更新日志'!$C$7:$C$306,A27)&lt;&gt;1,"待登记更新单","有效输入"))))))</x:f>
      </x:c>
    </x:row>
    <x:row r="28" ht="25" customHeight="1">
      <x:c r="A28" s="3"/>
      <x:c r="B28" s="3"/>
      <x:c r="C28" s="3"/>
      <x:c r="D28" s="25"/>
      <x:c r="E28" s="25"/>
      <x:c r="F28" s="3"/>
      <x:c r="G28" s="3"/>
      <x:c r="H28" s="3"/>
      <x:c r="I28" s="3"/>
      <x:c r="J28" s="3"/>
      <x:c r="K28" s="3"/>
      <x:c r="L28" s="20"/>
      <x:c r="M28" s="3"/>
      <x:c r="N28" s="19" t="str">
        <x:f>IF(A28="","",IF(COUNTIFS('复盘记录'!$A$7:$A$306,A28)&lt;&gt;1,"编号重复",IF(COUNTIFS('问题总览'!$A$7:$A$306,B28)&lt;&gt;1,"问题引用无效",IF(COUNTIFS('方案版本'!$A$7:$A$306,C28,'方案版本'!$B$7:$B$306,B28,'方案版本'!$L$7:$L$306,"已冻结")&lt;&gt;1,"方案引用无效",IF(OR(NOT(ISNUMBER(D28)),NOT(ISNUMBER(E28)),F28="",G28="",H28="",M28=""),"待补复盘信息",IF(COUNTIFS('更新日志'!$A$7:$A$306,J28,'更新日志'!$B$7:$B$306,B28,'更新日志'!$C$7:$C$306,A28)&lt;&gt;1,"待登记更新单","有效输入"))))))</x:f>
      </x:c>
    </x:row>
    <x:row r="29" ht="25" customHeight="1">
      <x:c r="A29" s="3"/>
      <x:c r="B29" s="3"/>
      <x:c r="C29" s="3"/>
      <x:c r="D29" s="25"/>
      <x:c r="E29" s="25"/>
      <x:c r="F29" s="3"/>
      <x:c r="G29" s="3"/>
      <x:c r="H29" s="3"/>
      <x:c r="I29" s="3"/>
      <x:c r="J29" s="3"/>
      <x:c r="K29" s="3"/>
      <x:c r="L29" s="20"/>
      <x:c r="M29" s="3"/>
      <x:c r="N29" s="19" t="str">
        <x:f>IF(A29="","",IF(COUNTIFS('复盘记录'!$A$7:$A$306,A29)&lt;&gt;1,"编号重复",IF(COUNTIFS('问题总览'!$A$7:$A$306,B29)&lt;&gt;1,"问题引用无效",IF(COUNTIFS('方案版本'!$A$7:$A$306,C29,'方案版本'!$B$7:$B$306,B29,'方案版本'!$L$7:$L$306,"已冻结")&lt;&gt;1,"方案引用无效",IF(OR(NOT(ISNUMBER(D29)),NOT(ISNUMBER(E29)),F29="",G29="",H29="",M29=""),"待补复盘信息",IF(COUNTIFS('更新日志'!$A$7:$A$306,J29,'更新日志'!$B$7:$B$306,B29,'更新日志'!$C$7:$C$306,A29)&lt;&gt;1,"待登记更新单","有效输入"))))))</x:f>
      </x:c>
    </x:row>
    <x:row r="30" ht="25" customHeight="1">
      <x:c r="A30" s="3"/>
      <x:c r="B30" s="3"/>
      <x:c r="C30" s="3"/>
      <x:c r="D30" s="25"/>
      <x:c r="E30" s="25"/>
      <x:c r="F30" s="3"/>
      <x:c r="G30" s="3"/>
      <x:c r="H30" s="3"/>
      <x:c r="I30" s="3"/>
      <x:c r="J30" s="3"/>
      <x:c r="K30" s="3"/>
      <x:c r="L30" s="20"/>
      <x:c r="M30" s="3"/>
      <x:c r="N30" s="19" t="str">
        <x:f>IF(A30="","",IF(COUNTIFS('复盘记录'!$A$7:$A$306,A30)&lt;&gt;1,"编号重复",IF(COUNTIFS('问题总览'!$A$7:$A$306,B30)&lt;&gt;1,"问题引用无效",IF(COUNTIFS('方案版本'!$A$7:$A$306,C30,'方案版本'!$B$7:$B$306,B30,'方案版本'!$L$7:$L$306,"已冻结")&lt;&gt;1,"方案引用无效",IF(OR(NOT(ISNUMBER(D30)),NOT(ISNUMBER(E30)),F30="",G30="",H30="",M30=""),"待补复盘信息",IF(COUNTIFS('更新日志'!$A$7:$A$306,J30,'更新日志'!$B$7:$B$306,B30,'更新日志'!$C$7:$C$306,A30)&lt;&gt;1,"待登记更新单","有效输入"))))))</x:f>
      </x:c>
    </x:row>
    <x:row r="31" ht="25" customHeight="1">
      <x:c r="A31" s="3"/>
      <x:c r="B31" s="3"/>
      <x:c r="C31" s="3"/>
      <x:c r="D31" s="25"/>
      <x:c r="E31" s="25"/>
      <x:c r="F31" s="3"/>
      <x:c r="G31" s="3"/>
      <x:c r="H31" s="3"/>
      <x:c r="I31" s="3"/>
      <x:c r="J31" s="3"/>
      <x:c r="K31" s="3"/>
      <x:c r="L31" s="20"/>
      <x:c r="M31" s="3"/>
      <x:c r="N31" s="19" t="str">
        <x:f>IF(A31="","",IF(COUNTIFS('复盘记录'!$A$7:$A$306,A31)&lt;&gt;1,"编号重复",IF(COUNTIFS('问题总览'!$A$7:$A$306,B31)&lt;&gt;1,"问题引用无效",IF(COUNTIFS('方案版本'!$A$7:$A$306,C31,'方案版本'!$B$7:$B$306,B31,'方案版本'!$L$7:$L$306,"已冻结")&lt;&gt;1,"方案引用无效",IF(OR(NOT(ISNUMBER(D31)),NOT(ISNUMBER(E31)),F31="",G31="",H31="",M31=""),"待补复盘信息",IF(COUNTIFS('更新日志'!$A$7:$A$306,J31,'更新日志'!$B$7:$B$306,B31,'更新日志'!$C$7:$C$306,A31)&lt;&gt;1,"待登记更新单","有效输入"))))))</x:f>
      </x:c>
    </x:row>
    <x:row r="32" ht="25" customHeight="1">
      <x:c r="A32" s="3"/>
      <x:c r="B32" s="3"/>
      <x:c r="C32" s="3"/>
      <x:c r="D32" s="25"/>
      <x:c r="E32" s="25"/>
      <x:c r="F32" s="3"/>
      <x:c r="G32" s="3"/>
      <x:c r="H32" s="3"/>
      <x:c r="I32" s="3"/>
      <x:c r="J32" s="3"/>
      <x:c r="K32" s="3"/>
      <x:c r="L32" s="20"/>
      <x:c r="M32" s="3"/>
      <x:c r="N32" s="19" t="str">
        <x:f>IF(A32="","",IF(COUNTIFS('复盘记录'!$A$7:$A$306,A32)&lt;&gt;1,"编号重复",IF(COUNTIFS('问题总览'!$A$7:$A$306,B32)&lt;&gt;1,"问题引用无效",IF(COUNTIFS('方案版本'!$A$7:$A$306,C32,'方案版本'!$B$7:$B$306,B32,'方案版本'!$L$7:$L$306,"已冻结")&lt;&gt;1,"方案引用无效",IF(OR(NOT(ISNUMBER(D32)),NOT(ISNUMBER(E32)),F32="",G32="",H32="",M32=""),"待补复盘信息",IF(COUNTIFS('更新日志'!$A$7:$A$306,J32,'更新日志'!$B$7:$B$306,B32,'更新日志'!$C$7:$C$306,A32)&lt;&gt;1,"待登记更新单","有效输入"))))))</x:f>
      </x:c>
    </x:row>
    <x:row r="33" ht="25" customHeight="1">
      <x:c r="A33" s="3"/>
      <x:c r="B33" s="3"/>
      <x:c r="C33" s="3"/>
      <x:c r="D33" s="25"/>
      <x:c r="E33" s="25"/>
      <x:c r="F33" s="3"/>
      <x:c r="G33" s="3"/>
      <x:c r="H33" s="3"/>
      <x:c r="I33" s="3"/>
      <x:c r="J33" s="3"/>
      <x:c r="K33" s="3"/>
      <x:c r="L33" s="20"/>
      <x:c r="M33" s="3"/>
      <x:c r="N33" s="19" t="str">
        <x:f>IF(A33="","",IF(COUNTIFS('复盘记录'!$A$7:$A$306,A33)&lt;&gt;1,"编号重复",IF(COUNTIFS('问题总览'!$A$7:$A$306,B33)&lt;&gt;1,"问题引用无效",IF(COUNTIFS('方案版本'!$A$7:$A$306,C33,'方案版本'!$B$7:$B$306,B33,'方案版本'!$L$7:$L$306,"已冻结")&lt;&gt;1,"方案引用无效",IF(OR(NOT(ISNUMBER(D33)),NOT(ISNUMBER(E33)),F33="",G33="",H33="",M33=""),"待补复盘信息",IF(COUNTIFS('更新日志'!$A$7:$A$306,J33,'更新日志'!$B$7:$B$306,B33,'更新日志'!$C$7:$C$306,A33)&lt;&gt;1,"待登记更新单","有效输入"))))))</x:f>
      </x:c>
    </x:row>
    <x:row r="34" ht="25" customHeight="1">
      <x:c r="A34" s="3"/>
      <x:c r="B34" s="3"/>
      <x:c r="C34" s="3"/>
      <x:c r="D34" s="25"/>
      <x:c r="E34" s="25"/>
      <x:c r="F34" s="3"/>
      <x:c r="G34" s="3"/>
      <x:c r="H34" s="3"/>
      <x:c r="I34" s="3"/>
      <x:c r="J34" s="3"/>
      <x:c r="K34" s="3"/>
      <x:c r="L34" s="20"/>
      <x:c r="M34" s="3"/>
      <x:c r="N34" s="19" t="str">
        <x:f>IF(A34="","",IF(COUNTIFS('复盘记录'!$A$7:$A$306,A34)&lt;&gt;1,"编号重复",IF(COUNTIFS('问题总览'!$A$7:$A$306,B34)&lt;&gt;1,"问题引用无效",IF(COUNTIFS('方案版本'!$A$7:$A$306,C34,'方案版本'!$B$7:$B$306,B34,'方案版本'!$L$7:$L$306,"已冻结")&lt;&gt;1,"方案引用无效",IF(OR(NOT(ISNUMBER(D34)),NOT(ISNUMBER(E34)),F34="",G34="",H34="",M34=""),"待补复盘信息",IF(COUNTIFS('更新日志'!$A$7:$A$306,J34,'更新日志'!$B$7:$B$306,B34,'更新日志'!$C$7:$C$306,A34)&lt;&gt;1,"待登记更新单","有效输入"))))))</x:f>
      </x:c>
    </x:row>
    <x:row r="35" ht="25" customHeight="1">
      <x:c r="A35" s="3"/>
      <x:c r="B35" s="3"/>
      <x:c r="C35" s="3"/>
      <x:c r="D35" s="25"/>
      <x:c r="E35" s="25"/>
      <x:c r="F35" s="3"/>
      <x:c r="G35" s="3"/>
      <x:c r="H35" s="3"/>
      <x:c r="I35" s="3"/>
      <x:c r="J35" s="3"/>
      <x:c r="K35" s="3"/>
      <x:c r="L35" s="20"/>
      <x:c r="M35" s="3"/>
      <x:c r="N35" s="19" t="str">
        <x:f>IF(A35="","",IF(COUNTIFS('复盘记录'!$A$7:$A$306,A35)&lt;&gt;1,"编号重复",IF(COUNTIFS('问题总览'!$A$7:$A$306,B35)&lt;&gt;1,"问题引用无效",IF(COUNTIFS('方案版本'!$A$7:$A$306,C35,'方案版本'!$B$7:$B$306,B35,'方案版本'!$L$7:$L$306,"已冻结")&lt;&gt;1,"方案引用无效",IF(OR(NOT(ISNUMBER(D35)),NOT(ISNUMBER(E35)),F35="",G35="",H35="",M35=""),"待补复盘信息",IF(COUNTIFS('更新日志'!$A$7:$A$306,J35,'更新日志'!$B$7:$B$306,B35,'更新日志'!$C$7:$C$306,A35)&lt;&gt;1,"待登记更新单","有效输入"))))))</x:f>
      </x:c>
    </x:row>
    <x:row r="36" ht="25" customHeight="1">
      <x:c r="A36" s="3"/>
      <x:c r="B36" s="3"/>
      <x:c r="C36" s="3"/>
      <x:c r="D36" s="25"/>
      <x:c r="E36" s="25"/>
      <x:c r="F36" s="3"/>
      <x:c r="G36" s="3"/>
      <x:c r="H36" s="3"/>
      <x:c r="I36" s="3"/>
      <x:c r="J36" s="3"/>
      <x:c r="K36" s="3"/>
      <x:c r="L36" s="20"/>
      <x:c r="M36" s="3"/>
      <x:c r="N36" s="19" t="str">
        <x:f>IF(A36="","",IF(COUNTIFS('复盘记录'!$A$7:$A$306,A36)&lt;&gt;1,"编号重复",IF(COUNTIFS('问题总览'!$A$7:$A$306,B36)&lt;&gt;1,"问题引用无效",IF(COUNTIFS('方案版本'!$A$7:$A$306,C36,'方案版本'!$B$7:$B$306,B36,'方案版本'!$L$7:$L$306,"已冻结")&lt;&gt;1,"方案引用无效",IF(OR(NOT(ISNUMBER(D36)),NOT(ISNUMBER(E36)),F36="",G36="",H36="",M36=""),"待补复盘信息",IF(COUNTIFS('更新日志'!$A$7:$A$306,J36,'更新日志'!$B$7:$B$306,B36,'更新日志'!$C$7:$C$306,A36)&lt;&gt;1,"待登记更新单","有效输入"))))))</x:f>
      </x:c>
    </x:row>
    <x:row r="37" ht="25" customHeight="1">
      <x:c r="A37" s="3"/>
      <x:c r="B37" s="3"/>
      <x:c r="C37" s="3"/>
      <x:c r="D37" s="25"/>
      <x:c r="E37" s="25"/>
      <x:c r="F37" s="3"/>
      <x:c r="G37" s="3"/>
      <x:c r="H37" s="3"/>
      <x:c r="I37" s="3"/>
      <x:c r="J37" s="3"/>
      <x:c r="K37" s="3"/>
      <x:c r="L37" s="20"/>
      <x:c r="M37" s="3"/>
      <x:c r="N37" s="19" t="str">
        <x:f>IF(A37="","",IF(COUNTIFS('复盘记录'!$A$7:$A$306,A37)&lt;&gt;1,"编号重复",IF(COUNTIFS('问题总览'!$A$7:$A$306,B37)&lt;&gt;1,"问题引用无效",IF(COUNTIFS('方案版本'!$A$7:$A$306,C37,'方案版本'!$B$7:$B$306,B37,'方案版本'!$L$7:$L$306,"已冻结")&lt;&gt;1,"方案引用无效",IF(OR(NOT(ISNUMBER(D37)),NOT(ISNUMBER(E37)),F37="",G37="",H37="",M37=""),"待补复盘信息",IF(COUNTIFS('更新日志'!$A$7:$A$306,J37,'更新日志'!$B$7:$B$306,B37,'更新日志'!$C$7:$C$306,A37)&lt;&gt;1,"待登记更新单","有效输入"))))))</x:f>
      </x:c>
    </x:row>
    <x:row r="38" ht="25" customHeight="1">
      <x:c r="A38" s="3"/>
      <x:c r="B38" s="3"/>
      <x:c r="C38" s="3"/>
      <x:c r="D38" s="25"/>
      <x:c r="E38" s="25"/>
      <x:c r="F38" s="3"/>
      <x:c r="G38" s="3"/>
      <x:c r="H38" s="3"/>
      <x:c r="I38" s="3"/>
      <x:c r="J38" s="3"/>
      <x:c r="K38" s="3"/>
      <x:c r="L38" s="20"/>
      <x:c r="M38" s="3"/>
      <x:c r="N38" s="19" t="str">
        <x:f>IF(A38="","",IF(COUNTIFS('复盘记录'!$A$7:$A$306,A38)&lt;&gt;1,"编号重复",IF(COUNTIFS('问题总览'!$A$7:$A$306,B38)&lt;&gt;1,"问题引用无效",IF(COUNTIFS('方案版本'!$A$7:$A$306,C38,'方案版本'!$B$7:$B$306,B38,'方案版本'!$L$7:$L$306,"已冻结")&lt;&gt;1,"方案引用无效",IF(OR(NOT(ISNUMBER(D38)),NOT(ISNUMBER(E38)),F38="",G38="",H38="",M38=""),"待补复盘信息",IF(COUNTIFS('更新日志'!$A$7:$A$306,J38,'更新日志'!$B$7:$B$306,B38,'更新日志'!$C$7:$C$306,A38)&lt;&gt;1,"待登记更新单","有效输入"))))))</x:f>
      </x:c>
    </x:row>
    <x:row r="39" ht="25" customHeight="1">
      <x:c r="A39" s="3"/>
      <x:c r="B39" s="3"/>
      <x:c r="C39" s="3"/>
      <x:c r="D39" s="25"/>
      <x:c r="E39" s="25"/>
      <x:c r="F39" s="3"/>
      <x:c r="G39" s="3"/>
      <x:c r="H39" s="3"/>
      <x:c r="I39" s="3"/>
      <x:c r="J39" s="3"/>
      <x:c r="K39" s="3"/>
      <x:c r="L39" s="20"/>
      <x:c r="M39" s="3"/>
      <x:c r="N39" s="19" t="str">
        <x:f>IF(A39="","",IF(COUNTIFS('复盘记录'!$A$7:$A$306,A39)&lt;&gt;1,"编号重复",IF(COUNTIFS('问题总览'!$A$7:$A$306,B39)&lt;&gt;1,"问题引用无效",IF(COUNTIFS('方案版本'!$A$7:$A$306,C39,'方案版本'!$B$7:$B$306,B39,'方案版本'!$L$7:$L$306,"已冻结")&lt;&gt;1,"方案引用无效",IF(OR(NOT(ISNUMBER(D39)),NOT(ISNUMBER(E39)),F39="",G39="",H39="",M39=""),"待补复盘信息",IF(COUNTIFS('更新日志'!$A$7:$A$306,J39,'更新日志'!$B$7:$B$306,B39,'更新日志'!$C$7:$C$306,A39)&lt;&gt;1,"待登记更新单","有效输入"))))))</x:f>
      </x:c>
    </x:row>
    <x:row r="40" ht="25" customHeight="1">
      <x:c r="A40" s="3"/>
      <x:c r="B40" s="3"/>
      <x:c r="C40" s="3"/>
      <x:c r="D40" s="25"/>
      <x:c r="E40" s="25"/>
      <x:c r="F40" s="3"/>
      <x:c r="G40" s="3"/>
      <x:c r="H40" s="3"/>
      <x:c r="I40" s="3"/>
      <x:c r="J40" s="3"/>
      <x:c r="K40" s="3"/>
      <x:c r="L40" s="20"/>
      <x:c r="M40" s="3"/>
      <x:c r="N40" s="19" t="str">
        <x:f>IF(A40="","",IF(COUNTIFS('复盘记录'!$A$7:$A$306,A40)&lt;&gt;1,"编号重复",IF(COUNTIFS('问题总览'!$A$7:$A$306,B40)&lt;&gt;1,"问题引用无效",IF(COUNTIFS('方案版本'!$A$7:$A$306,C40,'方案版本'!$B$7:$B$306,B40,'方案版本'!$L$7:$L$306,"已冻结")&lt;&gt;1,"方案引用无效",IF(OR(NOT(ISNUMBER(D40)),NOT(ISNUMBER(E40)),F40="",G40="",H40="",M40=""),"待补复盘信息",IF(COUNTIFS('更新日志'!$A$7:$A$306,J40,'更新日志'!$B$7:$B$306,B40,'更新日志'!$C$7:$C$306,A40)&lt;&gt;1,"待登记更新单","有效输入"))))))</x:f>
      </x:c>
    </x:row>
    <x:row r="41" ht="25" customHeight="1">
      <x:c r="A41" s="3"/>
      <x:c r="B41" s="3"/>
      <x:c r="C41" s="3"/>
      <x:c r="D41" s="25"/>
      <x:c r="E41" s="25"/>
      <x:c r="F41" s="3"/>
      <x:c r="G41" s="3"/>
      <x:c r="H41" s="3"/>
      <x:c r="I41" s="3"/>
      <x:c r="J41" s="3"/>
      <x:c r="K41" s="3"/>
      <x:c r="L41" s="20"/>
      <x:c r="M41" s="3"/>
      <x:c r="N41" s="19" t="str">
        <x:f>IF(A41="","",IF(COUNTIFS('复盘记录'!$A$7:$A$306,A41)&lt;&gt;1,"编号重复",IF(COUNTIFS('问题总览'!$A$7:$A$306,B41)&lt;&gt;1,"问题引用无效",IF(COUNTIFS('方案版本'!$A$7:$A$306,C41,'方案版本'!$B$7:$B$306,B41,'方案版本'!$L$7:$L$306,"已冻结")&lt;&gt;1,"方案引用无效",IF(OR(NOT(ISNUMBER(D41)),NOT(ISNUMBER(E41)),F41="",G41="",H41="",M41=""),"待补复盘信息",IF(COUNTIFS('更新日志'!$A$7:$A$306,J41,'更新日志'!$B$7:$B$306,B41,'更新日志'!$C$7:$C$306,A41)&lt;&gt;1,"待登记更新单","有效输入"))))))</x:f>
      </x:c>
    </x:row>
    <x:row r="42" ht="25" customHeight="1">
      <x:c r="A42" s="3"/>
      <x:c r="B42" s="3"/>
      <x:c r="C42" s="3"/>
      <x:c r="D42" s="25"/>
      <x:c r="E42" s="25"/>
      <x:c r="F42" s="3"/>
      <x:c r="G42" s="3"/>
      <x:c r="H42" s="3"/>
      <x:c r="I42" s="3"/>
      <x:c r="J42" s="3"/>
      <x:c r="K42" s="3"/>
      <x:c r="L42" s="20"/>
      <x:c r="M42" s="3"/>
      <x:c r="N42" s="19" t="str">
        <x:f>IF(A42="","",IF(COUNTIFS('复盘记录'!$A$7:$A$306,A42)&lt;&gt;1,"编号重复",IF(COUNTIFS('问题总览'!$A$7:$A$306,B42)&lt;&gt;1,"问题引用无效",IF(COUNTIFS('方案版本'!$A$7:$A$306,C42,'方案版本'!$B$7:$B$306,B42,'方案版本'!$L$7:$L$306,"已冻结")&lt;&gt;1,"方案引用无效",IF(OR(NOT(ISNUMBER(D42)),NOT(ISNUMBER(E42)),F42="",G42="",H42="",M42=""),"待补复盘信息",IF(COUNTIFS('更新日志'!$A$7:$A$306,J42,'更新日志'!$B$7:$B$306,B42,'更新日志'!$C$7:$C$306,A42)&lt;&gt;1,"待登记更新单","有效输入"))))))</x:f>
      </x:c>
    </x:row>
    <x:row r="43" ht="25" customHeight="1">
      <x:c r="A43" s="3"/>
      <x:c r="B43" s="3"/>
      <x:c r="C43" s="3"/>
      <x:c r="D43" s="25"/>
      <x:c r="E43" s="25"/>
      <x:c r="F43" s="3"/>
      <x:c r="G43" s="3"/>
      <x:c r="H43" s="3"/>
      <x:c r="I43" s="3"/>
      <x:c r="J43" s="3"/>
      <x:c r="K43" s="3"/>
      <x:c r="L43" s="20"/>
      <x:c r="M43" s="3"/>
      <x:c r="N43" s="19" t="str">
        <x:f>IF(A43="","",IF(COUNTIFS('复盘记录'!$A$7:$A$306,A43)&lt;&gt;1,"编号重复",IF(COUNTIFS('问题总览'!$A$7:$A$306,B43)&lt;&gt;1,"问题引用无效",IF(COUNTIFS('方案版本'!$A$7:$A$306,C43,'方案版本'!$B$7:$B$306,B43,'方案版本'!$L$7:$L$306,"已冻结")&lt;&gt;1,"方案引用无效",IF(OR(NOT(ISNUMBER(D43)),NOT(ISNUMBER(E43)),F43="",G43="",H43="",M43=""),"待补复盘信息",IF(COUNTIFS('更新日志'!$A$7:$A$306,J43,'更新日志'!$B$7:$B$306,B43,'更新日志'!$C$7:$C$306,A43)&lt;&gt;1,"待登记更新单","有效输入"))))))</x:f>
      </x:c>
    </x:row>
    <x:row r="44" ht="25" customHeight="1">
      <x:c r="A44" s="3"/>
      <x:c r="B44" s="3"/>
      <x:c r="C44" s="3"/>
      <x:c r="D44" s="25"/>
      <x:c r="E44" s="25"/>
      <x:c r="F44" s="3"/>
      <x:c r="G44" s="3"/>
      <x:c r="H44" s="3"/>
      <x:c r="I44" s="3"/>
      <x:c r="J44" s="3"/>
      <x:c r="K44" s="3"/>
      <x:c r="L44" s="20"/>
      <x:c r="M44" s="3"/>
      <x:c r="N44" s="19" t="str">
        <x:f>IF(A44="","",IF(COUNTIFS('复盘记录'!$A$7:$A$306,A44)&lt;&gt;1,"编号重复",IF(COUNTIFS('问题总览'!$A$7:$A$306,B44)&lt;&gt;1,"问题引用无效",IF(COUNTIFS('方案版本'!$A$7:$A$306,C44,'方案版本'!$B$7:$B$306,B44,'方案版本'!$L$7:$L$306,"已冻结")&lt;&gt;1,"方案引用无效",IF(OR(NOT(ISNUMBER(D44)),NOT(ISNUMBER(E44)),F44="",G44="",H44="",M44=""),"待补复盘信息",IF(COUNTIFS('更新日志'!$A$7:$A$306,J44,'更新日志'!$B$7:$B$306,B44,'更新日志'!$C$7:$C$306,A44)&lt;&gt;1,"待登记更新单","有效输入"))))))</x:f>
      </x:c>
    </x:row>
    <x:row r="45" ht="25" customHeight="1">
      <x:c r="A45" s="3"/>
      <x:c r="B45" s="3"/>
      <x:c r="C45" s="3"/>
      <x:c r="D45" s="25"/>
      <x:c r="E45" s="25"/>
      <x:c r="F45" s="3"/>
      <x:c r="G45" s="3"/>
      <x:c r="H45" s="3"/>
      <x:c r="I45" s="3"/>
      <x:c r="J45" s="3"/>
      <x:c r="K45" s="3"/>
      <x:c r="L45" s="20"/>
      <x:c r="M45" s="3"/>
      <x:c r="N45" s="19" t="str">
        <x:f>IF(A45="","",IF(COUNTIFS('复盘记录'!$A$7:$A$306,A45)&lt;&gt;1,"编号重复",IF(COUNTIFS('问题总览'!$A$7:$A$306,B45)&lt;&gt;1,"问题引用无效",IF(COUNTIFS('方案版本'!$A$7:$A$306,C45,'方案版本'!$B$7:$B$306,B45,'方案版本'!$L$7:$L$306,"已冻结")&lt;&gt;1,"方案引用无效",IF(OR(NOT(ISNUMBER(D45)),NOT(ISNUMBER(E45)),F45="",G45="",H45="",M45=""),"待补复盘信息",IF(COUNTIFS('更新日志'!$A$7:$A$306,J45,'更新日志'!$B$7:$B$306,B45,'更新日志'!$C$7:$C$306,A45)&lt;&gt;1,"待登记更新单","有效输入"))))))</x:f>
      </x:c>
    </x:row>
    <x:row r="46" ht="25" customHeight="1">
      <x:c r="A46" s="3"/>
      <x:c r="B46" s="3"/>
      <x:c r="C46" s="3"/>
      <x:c r="D46" s="25"/>
      <x:c r="E46" s="25"/>
      <x:c r="F46" s="3"/>
      <x:c r="G46" s="3"/>
      <x:c r="H46" s="3"/>
      <x:c r="I46" s="3"/>
      <x:c r="J46" s="3"/>
      <x:c r="K46" s="3"/>
      <x:c r="L46" s="20"/>
      <x:c r="M46" s="3"/>
      <x:c r="N46" s="19" t="str">
        <x:f>IF(A46="","",IF(COUNTIFS('复盘记录'!$A$7:$A$306,A46)&lt;&gt;1,"编号重复",IF(COUNTIFS('问题总览'!$A$7:$A$306,B46)&lt;&gt;1,"问题引用无效",IF(COUNTIFS('方案版本'!$A$7:$A$306,C46,'方案版本'!$B$7:$B$306,B46,'方案版本'!$L$7:$L$306,"已冻结")&lt;&gt;1,"方案引用无效",IF(OR(NOT(ISNUMBER(D46)),NOT(ISNUMBER(E46)),F46="",G46="",H46="",M46=""),"待补复盘信息",IF(COUNTIFS('更新日志'!$A$7:$A$306,J46,'更新日志'!$B$7:$B$306,B46,'更新日志'!$C$7:$C$306,A46)&lt;&gt;1,"待登记更新单","有效输入"))))))</x:f>
      </x:c>
    </x:row>
    <x:row r="47" ht="25" customHeight="1">
      <x:c r="A47" s="3"/>
      <x:c r="B47" s="3"/>
      <x:c r="C47" s="3"/>
      <x:c r="D47" s="25"/>
      <x:c r="E47" s="25"/>
      <x:c r="F47" s="3"/>
      <x:c r="G47" s="3"/>
      <x:c r="H47" s="3"/>
      <x:c r="I47" s="3"/>
      <x:c r="J47" s="3"/>
      <x:c r="K47" s="3"/>
      <x:c r="L47" s="20"/>
      <x:c r="M47" s="3"/>
      <x:c r="N47" s="19" t="str">
        <x:f>IF(A47="","",IF(COUNTIFS('复盘记录'!$A$7:$A$306,A47)&lt;&gt;1,"编号重复",IF(COUNTIFS('问题总览'!$A$7:$A$306,B47)&lt;&gt;1,"问题引用无效",IF(COUNTIFS('方案版本'!$A$7:$A$306,C47,'方案版本'!$B$7:$B$306,B47,'方案版本'!$L$7:$L$306,"已冻结")&lt;&gt;1,"方案引用无效",IF(OR(NOT(ISNUMBER(D47)),NOT(ISNUMBER(E47)),F47="",G47="",H47="",M47=""),"待补复盘信息",IF(COUNTIFS('更新日志'!$A$7:$A$306,J47,'更新日志'!$B$7:$B$306,B47,'更新日志'!$C$7:$C$306,A47)&lt;&gt;1,"待登记更新单","有效输入"))))))</x:f>
      </x:c>
    </x:row>
    <x:row r="48" ht="25" customHeight="1">
      <x:c r="A48" s="3"/>
      <x:c r="B48" s="3"/>
      <x:c r="C48" s="3"/>
      <x:c r="D48" s="25"/>
      <x:c r="E48" s="25"/>
      <x:c r="F48" s="3"/>
      <x:c r="G48" s="3"/>
      <x:c r="H48" s="3"/>
      <x:c r="I48" s="3"/>
      <x:c r="J48" s="3"/>
      <x:c r="K48" s="3"/>
      <x:c r="L48" s="20"/>
      <x:c r="M48" s="3"/>
      <x:c r="N48" s="19" t="str">
        <x:f>IF(A48="","",IF(COUNTIFS('复盘记录'!$A$7:$A$306,A48)&lt;&gt;1,"编号重复",IF(COUNTIFS('问题总览'!$A$7:$A$306,B48)&lt;&gt;1,"问题引用无效",IF(COUNTIFS('方案版本'!$A$7:$A$306,C48,'方案版本'!$B$7:$B$306,B48,'方案版本'!$L$7:$L$306,"已冻结")&lt;&gt;1,"方案引用无效",IF(OR(NOT(ISNUMBER(D48)),NOT(ISNUMBER(E48)),F48="",G48="",H48="",M48=""),"待补复盘信息",IF(COUNTIFS('更新日志'!$A$7:$A$306,J48,'更新日志'!$B$7:$B$306,B48,'更新日志'!$C$7:$C$306,A48)&lt;&gt;1,"待登记更新单","有效输入"))))))</x:f>
      </x:c>
    </x:row>
    <x:row r="49" ht="25" customHeight="1">
      <x:c r="A49" s="3"/>
      <x:c r="B49" s="3"/>
      <x:c r="C49" s="3"/>
      <x:c r="D49" s="25"/>
      <x:c r="E49" s="25"/>
      <x:c r="F49" s="3"/>
      <x:c r="G49" s="3"/>
      <x:c r="H49" s="3"/>
      <x:c r="I49" s="3"/>
      <x:c r="J49" s="3"/>
      <x:c r="K49" s="3"/>
      <x:c r="L49" s="20"/>
      <x:c r="M49" s="3"/>
      <x:c r="N49" s="19" t="str">
        <x:f>IF(A49="","",IF(COUNTIFS('复盘记录'!$A$7:$A$306,A49)&lt;&gt;1,"编号重复",IF(COUNTIFS('问题总览'!$A$7:$A$306,B49)&lt;&gt;1,"问题引用无效",IF(COUNTIFS('方案版本'!$A$7:$A$306,C49,'方案版本'!$B$7:$B$306,B49,'方案版本'!$L$7:$L$306,"已冻结")&lt;&gt;1,"方案引用无效",IF(OR(NOT(ISNUMBER(D49)),NOT(ISNUMBER(E49)),F49="",G49="",H49="",M49=""),"待补复盘信息",IF(COUNTIFS('更新日志'!$A$7:$A$306,J49,'更新日志'!$B$7:$B$306,B49,'更新日志'!$C$7:$C$306,A49)&lt;&gt;1,"待登记更新单","有效输入"))))))</x:f>
      </x:c>
    </x:row>
    <x:row r="50" ht="25" customHeight="1">
      <x:c r="A50" s="3"/>
      <x:c r="B50" s="3"/>
      <x:c r="C50" s="3"/>
      <x:c r="D50" s="25"/>
      <x:c r="E50" s="25"/>
      <x:c r="F50" s="3"/>
      <x:c r="G50" s="3"/>
      <x:c r="H50" s="3"/>
      <x:c r="I50" s="3"/>
      <x:c r="J50" s="3"/>
      <x:c r="K50" s="3"/>
      <x:c r="L50" s="20"/>
      <x:c r="M50" s="3"/>
      <x:c r="N50" s="19" t="str">
        <x:f>IF(A50="","",IF(COUNTIFS('复盘记录'!$A$7:$A$306,A50)&lt;&gt;1,"编号重复",IF(COUNTIFS('问题总览'!$A$7:$A$306,B50)&lt;&gt;1,"问题引用无效",IF(COUNTIFS('方案版本'!$A$7:$A$306,C50,'方案版本'!$B$7:$B$306,B50,'方案版本'!$L$7:$L$306,"已冻结")&lt;&gt;1,"方案引用无效",IF(OR(NOT(ISNUMBER(D50)),NOT(ISNUMBER(E50)),F50="",G50="",H50="",M50=""),"待补复盘信息",IF(COUNTIFS('更新日志'!$A$7:$A$306,J50,'更新日志'!$B$7:$B$306,B50,'更新日志'!$C$7:$C$306,A50)&lt;&gt;1,"待登记更新单","有效输入"))))))</x:f>
      </x:c>
    </x:row>
    <x:row r="51" ht="25" customHeight="1">
      <x:c r="A51" s="3"/>
      <x:c r="B51" s="3"/>
      <x:c r="C51" s="3"/>
      <x:c r="D51" s="25"/>
      <x:c r="E51" s="25"/>
      <x:c r="F51" s="3"/>
      <x:c r="G51" s="3"/>
      <x:c r="H51" s="3"/>
      <x:c r="I51" s="3"/>
      <x:c r="J51" s="3"/>
      <x:c r="K51" s="3"/>
      <x:c r="L51" s="20"/>
      <x:c r="M51" s="3"/>
      <x:c r="N51" s="19" t="str">
        <x:f>IF(A51="","",IF(COUNTIFS('复盘记录'!$A$7:$A$306,A51)&lt;&gt;1,"编号重复",IF(COUNTIFS('问题总览'!$A$7:$A$306,B51)&lt;&gt;1,"问题引用无效",IF(COUNTIFS('方案版本'!$A$7:$A$306,C51,'方案版本'!$B$7:$B$306,B51,'方案版本'!$L$7:$L$306,"已冻结")&lt;&gt;1,"方案引用无效",IF(OR(NOT(ISNUMBER(D51)),NOT(ISNUMBER(E51)),F51="",G51="",H51="",M51=""),"待补复盘信息",IF(COUNTIFS('更新日志'!$A$7:$A$306,J51,'更新日志'!$B$7:$B$306,B51,'更新日志'!$C$7:$C$306,A51)&lt;&gt;1,"待登记更新单","有效输入"))))))</x:f>
      </x:c>
    </x:row>
    <x:row r="52" ht="25" customHeight="1">
      <x:c r="A52" s="3"/>
      <x:c r="B52" s="3"/>
      <x:c r="C52" s="3"/>
      <x:c r="D52" s="25"/>
      <x:c r="E52" s="25"/>
      <x:c r="F52" s="3"/>
      <x:c r="G52" s="3"/>
      <x:c r="H52" s="3"/>
      <x:c r="I52" s="3"/>
      <x:c r="J52" s="3"/>
      <x:c r="K52" s="3"/>
      <x:c r="L52" s="20"/>
      <x:c r="M52" s="3"/>
      <x:c r="N52" s="19" t="str">
        <x:f>IF(A52="","",IF(COUNTIFS('复盘记录'!$A$7:$A$306,A52)&lt;&gt;1,"编号重复",IF(COUNTIFS('问题总览'!$A$7:$A$306,B52)&lt;&gt;1,"问题引用无效",IF(COUNTIFS('方案版本'!$A$7:$A$306,C52,'方案版本'!$B$7:$B$306,B52,'方案版本'!$L$7:$L$306,"已冻结")&lt;&gt;1,"方案引用无效",IF(OR(NOT(ISNUMBER(D52)),NOT(ISNUMBER(E52)),F52="",G52="",H52="",M52=""),"待补复盘信息",IF(COUNTIFS('更新日志'!$A$7:$A$306,J52,'更新日志'!$B$7:$B$306,B52,'更新日志'!$C$7:$C$306,A52)&lt;&gt;1,"待登记更新单","有效输入"))))))</x:f>
      </x:c>
    </x:row>
    <x:row r="53" ht="25" customHeight="1">
      <x:c r="A53" s="3"/>
      <x:c r="B53" s="3"/>
      <x:c r="C53" s="3"/>
      <x:c r="D53" s="25"/>
      <x:c r="E53" s="25"/>
      <x:c r="F53" s="3"/>
      <x:c r="G53" s="3"/>
      <x:c r="H53" s="3"/>
      <x:c r="I53" s="3"/>
      <x:c r="J53" s="3"/>
      <x:c r="K53" s="3"/>
      <x:c r="L53" s="20"/>
      <x:c r="M53" s="3"/>
      <x:c r="N53" s="19" t="str">
        <x:f>IF(A53="","",IF(COUNTIFS('复盘记录'!$A$7:$A$306,A53)&lt;&gt;1,"编号重复",IF(COUNTIFS('问题总览'!$A$7:$A$306,B53)&lt;&gt;1,"问题引用无效",IF(COUNTIFS('方案版本'!$A$7:$A$306,C53,'方案版本'!$B$7:$B$306,B53,'方案版本'!$L$7:$L$306,"已冻结")&lt;&gt;1,"方案引用无效",IF(OR(NOT(ISNUMBER(D53)),NOT(ISNUMBER(E53)),F53="",G53="",H53="",M53=""),"待补复盘信息",IF(COUNTIFS('更新日志'!$A$7:$A$306,J53,'更新日志'!$B$7:$B$306,B53,'更新日志'!$C$7:$C$306,A53)&lt;&gt;1,"待登记更新单","有效输入"))))))</x:f>
      </x:c>
    </x:row>
    <x:row r="54" ht="25" customHeight="1">
      <x:c r="A54" s="3"/>
      <x:c r="B54" s="3"/>
      <x:c r="C54" s="3"/>
      <x:c r="D54" s="25"/>
      <x:c r="E54" s="25"/>
      <x:c r="F54" s="3"/>
      <x:c r="G54" s="3"/>
      <x:c r="H54" s="3"/>
      <x:c r="I54" s="3"/>
      <x:c r="J54" s="3"/>
      <x:c r="K54" s="3"/>
      <x:c r="L54" s="20"/>
      <x:c r="M54" s="3"/>
      <x:c r="N54" s="19" t="str">
        <x:f>IF(A54="","",IF(COUNTIFS('复盘记录'!$A$7:$A$306,A54)&lt;&gt;1,"编号重复",IF(COUNTIFS('问题总览'!$A$7:$A$306,B54)&lt;&gt;1,"问题引用无效",IF(COUNTIFS('方案版本'!$A$7:$A$306,C54,'方案版本'!$B$7:$B$306,B54,'方案版本'!$L$7:$L$306,"已冻结")&lt;&gt;1,"方案引用无效",IF(OR(NOT(ISNUMBER(D54)),NOT(ISNUMBER(E54)),F54="",G54="",H54="",M54=""),"待补复盘信息",IF(COUNTIFS('更新日志'!$A$7:$A$306,J54,'更新日志'!$B$7:$B$306,B54,'更新日志'!$C$7:$C$306,A54)&lt;&gt;1,"待登记更新单","有效输入"))))))</x:f>
      </x:c>
    </x:row>
    <x:row r="55" ht="25" customHeight="1">
      <x:c r="A55" s="3"/>
      <x:c r="B55" s="3"/>
      <x:c r="C55" s="3"/>
      <x:c r="D55" s="25"/>
      <x:c r="E55" s="25"/>
      <x:c r="F55" s="3"/>
      <x:c r="G55" s="3"/>
      <x:c r="H55" s="3"/>
      <x:c r="I55" s="3"/>
      <x:c r="J55" s="3"/>
      <x:c r="K55" s="3"/>
      <x:c r="L55" s="20"/>
      <x:c r="M55" s="3"/>
      <x:c r="N55" s="19" t="str">
        <x:f>IF(A55="","",IF(COUNTIFS('复盘记录'!$A$7:$A$306,A55)&lt;&gt;1,"编号重复",IF(COUNTIFS('问题总览'!$A$7:$A$306,B55)&lt;&gt;1,"问题引用无效",IF(COUNTIFS('方案版本'!$A$7:$A$306,C55,'方案版本'!$B$7:$B$306,B55,'方案版本'!$L$7:$L$306,"已冻结")&lt;&gt;1,"方案引用无效",IF(OR(NOT(ISNUMBER(D55)),NOT(ISNUMBER(E55)),F55="",G55="",H55="",M55=""),"待补复盘信息",IF(COUNTIFS('更新日志'!$A$7:$A$306,J55,'更新日志'!$B$7:$B$306,B55,'更新日志'!$C$7:$C$306,A55)&lt;&gt;1,"待登记更新单","有效输入"))))))</x:f>
      </x:c>
    </x:row>
    <x:row r="56" ht="25" customHeight="1">
      <x:c r="A56" s="3"/>
      <x:c r="B56" s="3"/>
      <x:c r="C56" s="3"/>
      <x:c r="D56" s="25"/>
      <x:c r="E56" s="25"/>
      <x:c r="F56" s="3"/>
      <x:c r="G56" s="3"/>
      <x:c r="H56" s="3"/>
      <x:c r="I56" s="3"/>
      <x:c r="J56" s="3"/>
      <x:c r="K56" s="3"/>
      <x:c r="L56" s="20"/>
      <x:c r="M56" s="3"/>
      <x:c r="N56" s="19" t="str">
        <x:f>IF(A56="","",IF(COUNTIFS('复盘记录'!$A$7:$A$306,A56)&lt;&gt;1,"编号重复",IF(COUNTIFS('问题总览'!$A$7:$A$306,B56)&lt;&gt;1,"问题引用无效",IF(COUNTIFS('方案版本'!$A$7:$A$306,C56,'方案版本'!$B$7:$B$306,B56,'方案版本'!$L$7:$L$306,"已冻结")&lt;&gt;1,"方案引用无效",IF(OR(NOT(ISNUMBER(D56)),NOT(ISNUMBER(E56)),F56="",G56="",H56="",M56=""),"待补复盘信息",IF(COUNTIFS('更新日志'!$A$7:$A$306,J56,'更新日志'!$B$7:$B$306,B56,'更新日志'!$C$7:$C$306,A56)&lt;&gt;1,"待登记更新单","有效输入"))))))</x:f>
      </x:c>
    </x:row>
    <x:row r="57" ht="25" customHeight="1">
      <x:c r="A57" s="3"/>
      <x:c r="B57" s="3"/>
      <x:c r="C57" s="3"/>
      <x:c r="D57" s="25"/>
      <x:c r="E57" s="25"/>
      <x:c r="F57" s="3"/>
      <x:c r="G57" s="3"/>
      <x:c r="H57" s="3"/>
      <x:c r="I57" s="3"/>
      <x:c r="J57" s="3"/>
      <x:c r="K57" s="3"/>
      <x:c r="L57" s="20"/>
      <x:c r="M57" s="3"/>
      <x:c r="N57" s="19" t="str">
        <x:f>IF(A57="","",IF(COUNTIFS('复盘记录'!$A$7:$A$306,A57)&lt;&gt;1,"编号重复",IF(COUNTIFS('问题总览'!$A$7:$A$306,B57)&lt;&gt;1,"问题引用无效",IF(COUNTIFS('方案版本'!$A$7:$A$306,C57,'方案版本'!$B$7:$B$306,B57,'方案版本'!$L$7:$L$306,"已冻结")&lt;&gt;1,"方案引用无效",IF(OR(NOT(ISNUMBER(D57)),NOT(ISNUMBER(E57)),F57="",G57="",H57="",M57=""),"待补复盘信息",IF(COUNTIFS('更新日志'!$A$7:$A$306,J57,'更新日志'!$B$7:$B$306,B57,'更新日志'!$C$7:$C$306,A57)&lt;&gt;1,"待登记更新单","有效输入"))))))</x:f>
      </x:c>
    </x:row>
    <x:row r="58" ht="25" customHeight="1">
      <x:c r="A58" s="3"/>
      <x:c r="B58" s="3"/>
      <x:c r="C58" s="3"/>
      <x:c r="D58" s="25"/>
      <x:c r="E58" s="25"/>
      <x:c r="F58" s="3"/>
      <x:c r="G58" s="3"/>
      <x:c r="H58" s="3"/>
      <x:c r="I58" s="3"/>
      <x:c r="J58" s="3"/>
      <x:c r="K58" s="3"/>
      <x:c r="L58" s="20"/>
      <x:c r="M58" s="3"/>
      <x:c r="N58" s="19" t="str">
        <x:f>IF(A58="","",IF(COUNTIFS('复盘记录'!$A$7:$A$306,A58)&lt;&gt;1,"编号重复",IF(COUNTIFS('问题总览'!$A$7:$A$306,B58)&lt;&gt;1,"问题引用无效",IF(COUNTIFS('方案版本'!$A$7:$A$306,C58,'方案版本'!$B$7:$B$306,B58,'方案版本'!$L$7:$L$306,"已冻结")&lt;&gt;1,"方案引用无效",IF(OR(NOT(ISNUMBER(D58)),NOT(ISNUMBER(E58)),F58="",G58="",H58="",M58=""),"待补复盘信息",IF(COUNTIFS('更新日志'!$A$7:$A$306,J58,'更新日志'!$B$7:$B$306,B58,'更新日志'!$C$7:$C$306,A58)&lt;&gt;1,"待登记更新单","有效输入"))))))</x:f>
      </x:c>
    </x:row>
    <x:row r="59" ht="25" customHeight="1">
      <x:c r="A59" s="3"/>
      <x:c r="B59" s="3"/>
      <x:c r="C59" s="3"/>
      <x:c r="D59" s="25"/>
      <x:c r="E59" s="25"/>
      <x:c r="F59" s="3"/>
      <x:c r="G59" s="3"/>
      <x:c r="H59" s="3"/>
      <x:c r="I59" s="3"/>
      <x:c r="J59" s="3"/>
      <x:c r="K59" s="3"/>
      <x:c r="L59" s="20"/>
      <x:c r="M59" s="3"/>
      <x:c r="N59" s="19" t="str">
        <x:f>IF(A59="","",IF(COUNTIFS('复盘记录'!$A$7:$A$306,A59)&lt;&gt;1,"编号重复",IF(COUNTIFS('问题总览'!$A$7:$A$306,B59)&lt;&gt;1,"问题引用无效",IF(COUNTIFS('方案版本'!$A$7:$A$306,C59,'方案版本'!$B$7:$B$306,B59,'方案版本'!$L$7:$L$306,"已冻结")&lt;&gt;1,"方案引用无效",IF(OR(NOT(ISNUMBER(D59)),NOT(ISNUMBER(E59)),F59="",G59="",H59="",M59=""),"待补复盘信息",IF(COUNTIFS('更新日志'!$A$7:$A$306,J59,'更新日志'!$B$7:$B$306,B59,'更新日志'!$C$7:$C$306,A59)&lt;&gt;1,"待登记更新单","有效输入"))))))</x:f>
      </x:c>
    </x:row>
    <x:row r="60" ht="25" customHeight="1">
      <x:c r="A60" s="3"/>
      <x:c r="B60" s="3"/>
      <x:c r="C60" s="3"/>
      <x:c r="D60" s="25"/>
      <x:c r="E60" s="25"/>
      <x:c r="F60" s="3"/>
      <x:c r="G60" s="3"/>
      <x:c r="H60" s="3"/>
      <x:c r="I60" s="3"/>
      <x:c r="J60" s="3"/>
      <x:c r="K60" s="3"/>
      <x:c r="L60" s="20"/>
      <x:c r="M60" s="3"/>
      <x:c r="N60" s="19" t="str">
        <x:f>IF(A60="","",IF(COUNTIFS('复盘记录'!$A$7:$A$306,A60)&lt;&gt;1,"编号重复",IF(COUNTIFS('问题总览'!$A$7:$A$306,B60)&lt;&gt;1,"问题引用无效",IF(COUNTIFS('方案版本'!$A$7:$A$306,C60,'方案版本'!$B$7:$B$306,B60,'方案版本'!$L$7:$L$306,"已冻结")&lt;&gt;1,"方案引用无效",IF(OR(NOT(ISNUMBER(D60)),NOT(ISNUMBER(E60)),F60="",G60="",H60="",M60=""),"待补复盘信息",IF(COUNTIFS('更新日志'!$A$7:$A$306,J60,'更新日志'!$B$7:$B$306,B60,'更新日志'!$C$7:$C$306,A60)&lt;&gt;1,"待登记更新单","有效输入"))))))</x:f>
      </x:c>
    </x:row>
    <x:row r="61" ht="25" customHeight="1">
      <x:c r="A61" s="3"/>
      <x:c r="B61" s="3"/>
      <x:c r="C61" s="3"/>
      <x:c r="D61" s="25"/>
      <x:c r="E61" s="25"/>
      <x:c r="F61" s="3"/>
      <x:c r="G61" s="3"/>
      <x:c r="H61" s="3"/>
      <x:c r="I61" s="3"/>
      <x:c r="J61" s="3"/>
      <x:c r="K61" s="3"/>
      <x:c r="L61" s="20"/>
      <x:c r="M61" s="3"/>
      <x:c r="N61" s="19" t="str">
        <x:f>IF(A61="","",IF(COUNTIFS('复盘记录'!$A$7:$A$306,A61)&lt;&gt;1,"编号重复",IF(COUNTIFS('问题总览'!$A$7:$A$306,B61)&lt;&gt;1,"问题引用无效",IF(COUNTIFS('方案版本'!$A$7:$A$306,C61,'方案版本'!$B$7:$B$306,B61,'方案版本'!$L$7:$L$306,"已冻结")&lt;&gt;1,"方案引用无效",IF(OR(NOT(ISNUMBER(D61)),NOT(ISNUMBER(E61)),F61="",G61="",H61="",M61=""),"待补复盘信息",IF(COUNTIFS('更新日志'!$A$7:$A$306,J61,'更新日志'!$B$7:$B$306,B61,'更新日志'!$C$7:$C$306,A61)&lt;&gt;1,"待登记更新单","有效输入"))))))</x:f>
      </x:c>
    </x:row>
    <x:row r="62" ht="25" customHeight="1">
      <x:c r="A62" s="3"/>
      <x:c r="B62" s="3"/>
      <x:c r="C62" s="3"/>
      <x:c r="D62" s="25"/>
      <x:c r="E62" s="25"/>
      <x:c r="F62" s="3"/>
      <x:c r="G62" s="3"/>
      <x:c r="H62" s="3"/>
      <x:c r="I62" s="3"/>
      <x:c r="J62" s="3"/>
      <x:c r="K62" s="3"/>
      <x:c r="L62" s="20"/>
      <x:c r="M62" s="3"/>
      <x:c r="N62" s="19" t="str">
        <x:f>IF(A62="","",IF(COUNTIFS('复盘记录'!$A$7:$A$306,A62)&lt;&gt;1,"编号重复",IF(COUNTIFS('问题总览'!$A$7:$A$306,B62)&lt;&gt;1,"问题引用无效",IF(COUNTIFS('方案版本'!$A$7:$A$306,C62,'方案版本'!$B$7:$B$306,B62,'方案版本'!$L$7:$L$306,"已冻结")&lt;&gt;1,"方案引用无效",IF(OR(NOT(ISNUMBER(D62)),NOT(ISNUMBER(E62)),F62="",G62="",H62="",M62=""),"待补复盘信息",IF(COUNTIFS('更新日志'!$A$7:$A$306,J62,'更新日志'!$B$7:$B$306,B62,'更新日志'!$C$7:$C$306,A62)&lt;&gt;1,"待登记更新单","有效输入"))))))</x:f>
      </x:c>
    </x:row>
    <x:row r="63" ht="25" customHeight="1">
      <x:c r="A63" s="3"/>
      <x:c r="B63" s="3"/>
      <x:c r="C63" s="3"/>
      <x:c r="D63" s="25"/>
      <x:c r="E63" s="25"/>
      <x:c r="F63" s="3"/>
      <x:c r="G63" s="3"/>
      <x:c r="H63" s="3"/>
      <x:c r="I63" s="3"/>
      <x:c r="J63" s="3"/>
      <x:c r="K63" s="3"/>
      <x:c r="L63" s="20"/>
      <x:c r="M63" s="3"/>
      <x:c r="N63" s="19" t="str">
        <x:f>IF(A63="","",IF(COUNTIFS('复盘记录'!$A$7:$A$306,A63)&lt;&gt;1,"编号重复",IF(COUNTIFS('问题总览'!$A$7:$A$306,B63)&lt;&gt;1,"问题引用无效",IF(COUNTIFS('方案版本'!$A$7:$A$306,C63,'方案版本'!$B$7:$B$306,B63,'方案版本'!$L$7:$L$306,"已冻结")&lt;&gt;1,"方案引用无效",IF(OR(NOT(ISNUMBER(D63)),NOT(ISNUMBER(E63)),F63="",G63="",H63="",M63=""),"待补复盘信息",IF(COUNTIFS('更新日志'!$A$7:$A$306,J63,'更新日志'!$B$7:$B$306,B63,'更新日志'!$C$7:$C$306,A63)&lt;&gt;1,"待登记更新单","有效输入"))))))</x:f>
      </x:c>
    </x:row>
    <x:row r="64" ht="25" customHeight="1">
      <x:c r="A64" s="3"/>
      <x:c r="B64" s="3"/>
      <x:c r="C64" s="3"/>
      <x:c r="D64" s="25"/>
      <x:c r="E64" s="25"/>
      <x:c r="F64" s="3"/>
      <x:c r="G64" s="3"/>
      <x:c r="H64" s="3"/>
      <x:c r="I64" s="3"/>
      <x:c r="J64" s="3"/>
      <x:c r="K64" s="3"/>
      <x:c r="L64" s="20"/>
      <x:c r="M64" s="3"/>
      <x:c r="N64" s="19" t="str">
        <x:f>IF(A64="","",IF(COUNTIFS('复盘记录'!$A$7:$A$306,A64)&lt;&gt;1,"编号重复",IF(COUNTIFS('问题总览'!$A$7:$A$306,B64)&lt;&gt;1,"问题引用无效",IF(COUNTIFS('方案版本'!$A$7:$A$306,C64,'方案版本'!$B$7:$B$306,B64,'方案版本'!$L$7:$L$306,"已冻结")&lt;&gt;1,"方案引用无效",IF(OR(NOT(ISNUMBER(D64)),NOT(ISNUMBER(E64)),F64="",G64="",H64="",M64=""),"待补复盘信息",IF(COUNTIFS('更新日志'!$A$7:$A$306,J64,'更新日志'!$B$7:$B$306,B64,'更新日志'!$C$7:$C$306,A64)&lt;&gt;1,"待登记更新单","有效输入"))))))</x:f>
      </x:c>
    </x:row>
    <x:row r="65" ht="25" customHeight="1">
      <x:c r="A65" s="3"/>
      <x:c r="B65" s="3"/>
      <x:c r="C65" s="3"/>
      <x:c r="D65" s="25"/>
      <x:c r="E65" s="25"/>
      <x:c r="F65" s="3"/>
      <x:c r="G65" s="3"/>
      <x:c r="H65" s="3"/>
      <x:c r="I65" s="3"/>
      <x:c r="J65" s="3"/>
      <x:c r="K65" s="3"/>
      <x:c r="L65" s="20"/>
      <x:c r="M65" s="3"/>
      <x:c r="N65" s="19" t="str">
        <x:f>IF(A65="","",IF(COUNTIFS('复盘记录'!$A$7:$A$306,A65)&lt;&gt;1,"编号重复",IF(COUNTIFS('问题总览'!$A$7:$A$306,B65)&lt;&gt;1,"问题引用无效",IF(COUNTIFS('方案版本'!$A$7:$A$306,C65,'方案版本'!$B$7:$B$306,B65,'方案版本'!$L$7:$L$306,"已冻结")&lt;&gt;1,"方案引用无效",IF(OR(NOT(ISNUMBER(D65)),NOT(ISNUMBER(E65)),F65="",G65="",H65="",M65=""),"待补复盘信息",IF(COUNTIFS('更新日志'!$A$7:$A$306,J65,'更新日志'!$B$7:$B$306,B65,'更新日志'!$C$7:$C$306,A65)&lt;&gt;1,"待登记更新单","有效输入"))))))</x:f>
      </x:c>
    </x:row>
    <x:row r="66" ht="25" customHeight="1">
      <x:c r="A66" s="3"/>
      <x:c r="B66" s="3"/>
      <x:c r="C66" s="3"/>
      <x:c r="D66" s="25"/>
      <x:c r="E66" s="25"/>
      <x:c r="F66" s="3"/>
      <x:c r="G66" s="3"/>
      <x:c r="H66" s="3"/>
      <x:c r="I66" s="3"/>
      <x:c r="J66" s="3"/>
      <x:c r="K66" s="3"/>
      <x:c r="L66" s="20"/>
      <x:c r="M66" s="3"/>
      <x:c r="N66" s="19" t="str">
        <x:f>IF(A66="","",IF(COUNTIFS('复盘记录'!$A$7:$A$306,A66)&lt;&gt;1,"编号重复",IF(COUNTIFS('问题总览'!$A$7:$A$306,B66)&lt;&gt;1,"问题引用无效",IF(COUNTIFS('方案版本'!$A$7:$A$306,C66,'方案版本'!$B$7:$B$306,B66,'方案版本'!$L$7:$L$306,"已冻结")&lt;&gt;1,"方案引用无效",IF(OR(NOT(ISNUMBER(D66)),NOT(ISNUMBER(E66)),F66="",G66="",H66="",M66=""),"待补复盘信息",IF(COUNTIFS('更新日志'!$A$7:$A$306,J66,'更新日志'!$B$7:$B$306,B66,'更新日志'!$C$7:$C$306,A66)&lt;&gt;1,"待登记更新单","有效输入"))))))</x:f>
      </x:c>
    </x:row>
    <x:row r="67" ht="25" customHeight="1">
      <x:c r="A67" s="3"/>
      <x:c r="B67" s="3"/>
      <x:c r="C67" s="3"/>
      <x:c r="D67" s="25"/>
      <x:c r="E67" s="25"/>
      <x:c r="F67" s="3"/>
      <x:c r="G67" s="3"/>
      <x:c r="H67" s="3"/>
      <x:c r="I67" s="3"/>
      <x:c r="J67" s="3"/>
      <x:c r="K67" s="3"/>
      <x:c r="L67" s="20"/>
      <x:c r="M67" s="3"/>
      <x:c r="N67" s="19" t="str">
        <x:f>IF(A67="","",IF(COUNTIFS('复盘记录'!$A$7:$A$306,A67)&lt;&gt;1,"编号重复",IF(COUNTIFS('问题总览'!$A$7:$A$306,B67)&lt;&gt;1,"问题引用无效",IF(COUNTIFS('方案版本'!$A$7:$A$306,C67,'方案版本'!$B$7:$B$306,B67,'方案版本'!$L$7:$L$306,"已冻结")&lt;&gt;1,"方案引用无效",IF(OR(NOT(ISNUMBER(D67)),NOT(ISNUMBER(E67)),F67="",G67="",H67="",M67=""),"待补复盘信息",IF(COUNTIFS('更新日志'!$A$7:$A$306,J67,'更新日志'!$B$7:$B$306,B67,'更新日志'!$C$7:$C$306,A67)&lt;&gt;1,"待登记更新单","有效输入"))))))</x:f>
      </x:c>
    </x:row>
    <x:row r="68" ht="25" customHeight="1">
      <x:c r="A68" s="3"/>
      <x:c r="B68" s="3"/>
      <x:c r="C68" s="3"/>
      <x:c r="D68" s="25"/>
      <x:c r="E68" s="25"/>
      <x:c r="F68" s="3"/>
      <x:c r="G68" s="3"/>
      <x:c r="H68" s="3"/>
      <x:c r="I68" s="3"/>
      <x:c r="J68" s="3"/>
      <x:c r="K68" s="3"/>
      <x:c r="L68" s="20"/>
      <x:c r="M68" s="3"/>
      <x:c r="N68" s="19" t="str">
        <x:f>IF(A68="","",IF(COUNTIFS('复盘记录'!$A$7:$A$306,A68)&lt;&gt;1,"编号重复",IF(COUNTIFS('问题总览'!$A$7:$A$306,B68)&lt;&gt;1,"问题引用无效",IF(COUNTIFS('方案版本'!$A$7:$A$306,C68,'方案版本'!$B$7:$B$306,B68,'方案版本'!$L$7:$L$306,"已冻结")&lt;&gt;1,"方案引用无效",IF(OR(NOT(ISNUMBER(D68)),NOT(ISNUMBER(E68)),F68="",G68="",H68="",M68=""),"待补复盘信息",IF(COUNTIFS('更新日志'!$A$7:$A$306,J68,'更新日志'!$B$7:$B$306,B68,'更新日志'!$C$7:$C$306,A68)&lt;&gt;1,"待登记更新单","有效输入"))))))</x:f>
      </x:c>
    </x:row>
    <x:row r="69" ht="25" customHeight="1">
      <x:c r="A69" s="3"/>
      <x:c r="B69" s="3"/>
      <x:c r="C69" s="3"/>
      <x:c r="D69" s="25"/>
      <x:c r="E69" s="25"/>
      <x:c r="F69" s="3"/>
      <x:c r="G69" s="3"/>
      <x:c r="H69" s="3"/>
      <x:c r="I69" s="3"/>
      <x:c r="J69" s="3"/>
      <x:c r="K69" s="3"/>
      <x:c r="L69" s="20"/>
      <x:c r="M69" s="3"/>
      <x:c r="N69" s="19" t="str">
        <x:f>IF(A69="","",IF(COUNTIFS('复盘记录'!$A$7:$A$306,A69)&lt;&gt;1,"编号重复",IF(COUNTIFS('问题总览'!$A$7:$A$306,B69)&lt;&gt;1,"问题引用无效",IF(COUNTIFS('方案版本'!$A$7:$A$306,C69,'方案版本'!$B$7:$B$306,B69,'方案版本'!$L$7:$L$306,"已冻结")&lt;&gt;1,"方案引用无效",IF(OR(NOT(ISNUMBER(D69)),NOT(ISNUMBER(E69)),F69="",G69="",H69="",M69=""),"待补复盘信息",IF(COUNTIFS('更新日志'!$A$7:$A$306,J69,'更新日志'!$B$7:$B$306,B69,'更新日志'!$C$7:$C$306,A69)&lt;&gt;1,"待登记更新单","有效输入"))))))</x:f>
      </x:c>
    </x:row>
    <x:row r="70" ht="25" customHeight="1">
      <x:c r="A70" s="3"/>
      <x:c r="B70" s="3"/>
      <x:c r="C70" s="3"/>
      <x:c r="D70" s="25"/>
      <x:c r="E70" s="25"/>
      <x:c r="F70" s="3"/>
      <x:c r="G70" s="3"/>
      <x:c r="H70" s="3"/>
      <x:c r="I70" s="3"/>
      <x:c r="J70" s="3"/>
      <x:c r="K70" s="3"/>
      <x:c r="L70" s="20"/>
      <x:c r="M70" s="3"/>
      <x:c r="N70" s="19" t="str">
        <x:f>IF(A70="","",IF(COUNTIFS('复盘记录'!$A$7:$A$306,A70)&lt;&gt;1,"编号重复",IF(COUNTIFS('问题总览'!$A$7:$A$306,B70)&lt;&gt;1,"问题引用无效",IF(COUNTIFS('方案版本'!$A$7:$A$306,C70,'方案版本'!$B$7:$B$306,B70,'方案版本'!$L$7:$L$306,"已冻结")&lt;&gt;1,"方案引用无效",IF(OR(NOT(ISNUMBER(D70)),NOT(ISNUMBER(E70)),F70="",G70="",H70="",M70=""),"待补复盘信息",IF(COUNTIFS('更新日志'!$A$7:$A$306,J70,'更新日志'!$B$7:$B$306,B70,'更新日志'!$C$7:$C$306,A70)&lt;&gt;1,"待登记更新单","有效输入"))))))</x:f>
      </x:c>
    </x:row>
    <x:row r="71" ht="25" customHeight="1">
      <x:c r="A71" s="3"/>
      <x:c r="B71" s="3"/>
      <x:c r="C71" s="3"/>
      <x:c r="D71" s="25"/>
      <x:c r="E71" s="25"/>
      <x:c r="F71" s="3"/>
      <x:c r="G71" s="3"/>
      <x:c r="H71" s="3"/>
      <x:c r="I71" s="3"/>
      <x:c r="J71" s="3"/>
      <x:c r="K71" s="3"/>
      <x:c r="L71" s="20"/>
      <x:c r="M71" s="3"/>
      <x:c r="N71" s="19" t="str">
        <x:f>IF(A71="","",IF(COUNTIFS('复盘记录'!$A$7:$A$306,A71)&lt;&gt;1,"编号重复",IF(COUNTIFS('问题总览'!$A$7:$A$306,B71)&lt;&gt;1,"问题引用无效",IF(COUNTIFS('方案版本'!$A$7:$A$306,C71,'方案版本'!$B$7:$B$306,B71,'方案版本'!$L$7:$L$306,"已冻结")&lt;&gt;1,"方案引用无效",IF(OR(NOT(ISNUMBER(D71)),NOT(ISNUMBER(E71)),F71="",G71="",H71="",M71=""),"待补复盘信息",IF(COUNTIFS('更新日志'!$A$7:$A$306,J71,'更新日志'!$B$7:$B$306,B71,'更新日志'!$C$7:$C$306,A71)&lt;&gt;1,"待登记更新单","有效输入"))))))</x:f>
      </x:c>
    </x:row>
    <x:row r="72" ht="25" customHeight="1">
      <x:c r="A72" s="3"/>
      <x:c r="B72" s="3"/>
      <x:c r="C72" s="3"/>
      <x:c r="D72" s="25"/>
      <x:c r="E72" s="25"/>
      <x:c r="F72" s="3"/>
      <x:c r="G72" s="3"/>
      <x:c r="H72" s="3"/>
      <x:c r="I72" s="3"/>
      <x:c r="J72" s="3"/>
      <x:c r="K72" s="3"/>
      <x:c r="L72" s="20"/>
      <x:c r="M72" s="3"/>
      <x:c r="N72" s="19" t="str">
        <x:f>IF(A72="","",IF(COUNTIFS('复盘记录'!$A$7:$A$306,A72)&lt;&gt;1,"编号重复",IF(COUNTIFS('问题总览'!$A$7:$A$306,B72)&lt;&gt;1,"问题引用无效",IF(COUNTIFS('方案版本'!$A$7:$A$306,C72,'方案版本'!$B$7:$B$306,B72,'方案版本'!$L$7:$L$306,"已冻结")&lt;&gt;1,"方案引用无效",IF(OR(NOT(ISNUMBER(D72)),NOT(ISNUMBER(E72)),F72="",G72="",H72="",M72=""),"待补复盘信息",IF(COUNTIFS('更新日志'!$A$7:$A$306,J72,'更新日志'!$B$7:$B$306,B72,'更新日志'!$C$7:$C$306,A72)&lt;&gt;1,"待登记更新单","有效输入"))))))</x:f>
      </x:c>
    </x:row>
    <x:row r="73" ht="25" customHeight="1">
      <x:c r="A73" s="3"/>
      <x:c r="B73" s="3"/>
      <x:c r="C73" s="3"/>
      <x:c r="D73" s="25"/>
      <x:c r="E73" s="25"/>
      <x:c r="F73" s="3"/>
      <x:c r="G73" s="3"/>
      <x:c r="H73" s="3"/>
      <x:c r="I73" s="3"/>
      <x:c r="J73" s="3"/>
      <x:c r="K73" s="3"/>
      <x:c r="L73" s="20"/>
      <x:c r="M73" s="3"/>
      <x:c r="N73" s="19" t="str">
        <x:f>IF(A73="","",IF(COUNTIFS('复盘记录'!$A$7:$A$306,A73)&lt;&gt;1,"编号重复",IF(COUNTIFS('问题总览'!$A$7:$A$306,B73)&lt;&gt;1,"问题引用无效",IF(COUNTIFS('方案版本'!$A$7:$A$306,C73,'方案版本'!$B$7:$B$306,B73,'方案版本'!$L$7:$L$306,"已冻结")&lt;&gt;1,"方案引用无效",IF(OR(NOT(ISNUMBER(D73)),NOT(ISNUMBER(E73)),F73="",G73="",H73="",M73=""),"待补复盘信息",IF(COUNTIFS('更新日志'!$A$7:$A$306,J73,'更新日志'!$B$7:$B$306,B73,'更新日志'!$C$7:$C$306,A73)&lt;&gt;1,"待登记更新单","有效输入"))))))</x:f>
      </x:c>
    </x:row>
    <x:row r="74" ht="25" customHeight="1">
      <x:c r="A74" s="3"/>
      <x:c r="B74" s="3"/>
      <x:c r="C74" s="3"/>
      <x:c r="D74" s="25"/>
      <x:c r="E74" s="25"/>
      <x:c r="F74" s="3"/>
      <x:c r="G74" s="3"/>
      <x:c r="H74" s="3"/>
      <x:c r="I74" s="3"/>
      <x:c r="J74" s="3"/>
      <x:c r="K74" s="3"/>
      <x:c r="L74" s="20"/>
      <x:c r="M74" s="3"/>
      <x:c r="N74" s="19" t="str">
        <x:f>IF(A74="","",IF(COUNTIFS('复盘记录'!$A$7:$A$306,A74)&lt;&gt;1,"编号重复",IF(COUNTIFS('问题总览'!$A$7:$A$306,B74)&lt;&gt;1,"问题引用无效",IF(COUNTIFS('方案版本'!$A$7:$A$306,C74,'方案版本'!$B$7:$B$306,B74,'方案版本'!$L$7:$L$306,"已冻结")&lt;&gt;1,"方案引用无效",IF(OR(NOT(ISNUMBER(D74)),NOT(ISNUMBER(E74)),F74="",G74="",H74="",M74=""),"待补复盘信息",IF(COUNTIFS('更新日志'!$A$7:$A$306,J74,'更新日志'!$B$7:$B$306,B74,'更新日志'!$C$7:$C$306,A74)&lt;&gt;1,"待登记更新单","有效输入"))))))</x:f>
      </x:c>
    </x:row>
    <x:row r="75" ht="25" customHeight="1">
      <x:c r="A75" s="3"/>
      <x:c r="B75" s="3"/>
      <x:c r="C75" s="3"/>
      <x:c r="D75" s="25"/>
      <x:c r="E75" s="25"/>
      <x:c r="F75" s="3"/>
      <x:c r="G75" s="3"/>
      <x:c r="H75" s="3"/>
      <x:c r="I75" s="3"/>
      <x:c r="J75" s="3"/>
      <x:c r="K75" s="3"/>
      <x:c r="L75" s="20"/>
      <x:c r="M75" s="3"/>
      <x:c r="N75" s="19" t="str">
        <x:f>IF(A75="","",IF(COUNTIFS('复盘记录'!$A$7:$A$306,A75)&lt;&gt;1,"编号重复",IF(COUNTIFS('问题总览'!$A$7:$A$306,B75)&lt;&gt;1,"问题引用无效",IF(COUNTIFS('方案版本'!$A$7:$A$306,C75,'方案版本'!$B$7:$B$306,B75,'方案版本'!$L$7:$L$306,"已冻结")&lt;&gt;1,"方案引用无效",IF(OR(NOT(ISNUMBER(D75)),NOT(ISNUMBER(E75)),F75="",G75="",H75="",M75=""),"待补复盘信息",IF(COUNTIFS('更新日志'!$A$7:$A$306,J75,'更新日志'!$B$7:$B$306,B75,'更新日志'!$C$7:$C$306,A75)&lt;&gt;1,"待登记更新单","有效输入"))))))</x:f>
      </x:c>
    </x:row>
    <x:row r="76" ht="25" customHeight="1">
      <x:c r="A76" s="3"/>
      <x:c r="B76" s="3"/>
      <x:c r="C76" s="3"/>
      <x:c r="D76" s="25"/>
      <x:c r="E76" s="25"/>
      <x:c r="F76" s="3"/>
      <x:c r="G76" s="3"/>
      <x:c r="H76" s="3"/>
      <x:c r="I76" s="3"/>
      <x:c r="J76" s="3"/>
      <x:c r="K76" s="3"/>
      <x:c r="L76" s="20"/>
      <x:c r="M76" s="3"/>
      <x:c r="N76" s="19" t="str">
        <x:f>IF(A76="","",IF(COUNTIFS('复盘记录'!$A$7:$A$306,A76)&lt;&gt;1,"编号重复",IF(COUNTIFS('问题总览'!$A$7:$A$306,B76)&lt;&gt;1,"问题引用无效",IF(COUNTIFS('方案版本'!$A$7:$A$306,C76,'方案版本'!$B$7:$B$306,B76,'方案版本'!$L$7:$L$306,"已冻结")&lt;&gt;1,"方案引用无效",IF(OR(NOT(ISNUMBER(D76)),NOT(ISNUMBER(E76)),F76="",G76="",H76="",M76=""),"待补复盘信息",IF(COUNTIFS('更新日志'!$A$7:$A$306,J76,'更新日志'!$B$7:$B$306,B76,'更新日志'!$C$7:$C$306,A76)&lt;&gt;1,"待登记更新单","有效输入"))))))</x:f>
      </x:c>
    </x:row>
    <x:row r="77" ht="25" customHeight="1">
      <x:c r="A77" s="3"/>
      <x:c r="B77" s="3"/>
      <x:c r="C77" s="3"/>
      <x:c r="D77" s="25"/>
      <x:c r="E77" s="25"/>
      <x:c r="F77" s="3"/>
      <x:c r="G77" s="3"/>
      <x:c r="H77" s="3"/>
      <x:c r="I77" s="3"/>
      <x:c r="J77" s="3"/>
      <x:c r="K77" s="3"/>
      <x:c r="L77" s="20"/>
      <x:c r="M77" s="3"/>
      <x:c r="N77" s="19" t="str">
        <x:f>IF(A77="","",IF(COUNTIFS('复盘记录'!$A$7:$A$306,A77)&lt;&gt;1,"编号重复",IF(COUNTIFS('问题总览'!$A$7:$A$306,B77)&lt;&gt;1,"问题引用无效",IF(COUNTIFS('方案版本'!$A$7:$A$306,C77,'方案版本'!$B$7:$B$306,B77,'方案版本'!$L$7:$L$306,"已冻结")&lt;&gt;1,"方案引用无效",IF(OR(NOT(ISNUMBER(D77)),NOT(ISNUMBER(E77)),F77="",G77="",H77="",M77=""),"待补复盘信息",IF(COUNTIFS('更新日志'!$A$7:$A$306,J77,'更新日志'!$B$7:$B$306,B77,'更新日志'!$C$7:$C$306,A77)&lt;&gt;1,"待登记更新单","有效输入"))))))</x:f>
      </x:c>
    </x:row>
    <x:row r="78" ht="25" customHeight="1">
      <x:c r="A78" s="3"/>
      <x:c r="B78" s="3"/>
      <x:c r="C78" s="3"/>
      <x:c r="D78" s="25"/>
      <x:c r="E78" s="25"/>
      <x:c r="F78" s="3"/>
      <x:c r="G78" s="3"/>
      <x:c r="H78" s="3"/>
      <x:c r="I78" s="3"/>
      <x:c r="J78" s="3"/>
      <x:c r="K78" s="3"/>
      <x:c r="L78" s="20"/>
      <x:c r="M78" s="3"/>
      <x:c r="N78" s="19" t="str">
        <x:f>IF(A78="","",IF(COUNTIFS('复盘记录'!$A$7:$A$306,A78)&lt;&gt;1,"编号重复",IF(COUNTIFS('问题总览'!$A$7:$A$306,B78)&lt;&gt;1,"问题引用无效",IF(COUNTIFS('方案版本'!$A$7:$A$306,C78,'方案版本'!$B$7:$B$306,B78,'方案版本'!$L$7:$L$306,"已冻结")&lt;&gt;1,"方案引用无效",IF(OR(NOT(ISNUMBER(D78)),NOT(ISNUMBER(E78)),F78="",G78="",H78="",M78=""),"待补复盘信息",IF(COUNTIFS('更新日志'!$A$7:$A$306,J78,'更新日志'!$B$7:$B$306,B78,'更新日志'!$C$7:$C$306,A78)&lt;&gt;1,"待登记更新单","有效输入"))))))</x:f>
      </x:c>
    </x:row>
    <x:row r="79" ht="25" customHeight="1">
      <x:c r="A79" s="3"/>
      <x:c r="B79" s="3"/>
      <x:c r="C79" s="3"/>
      <x:c r="D79" s="25"/>
      <x:c r="E79" s="25"/>
      <x:c r="F79" s="3"/>
      <x:c r="G79" s="3"/>
      <x:c r="H79" s="3"/>
      <x:c r="I79" s="3"/>
      <x:c r="J79" s="3"/>
      <x:c r="K79" s="3"/>
      <x:c r="L79" s="20"/>
      <x:c r="M79" s="3"/>
      <x:c r="N79" s="19" t="str">
        <x:f>IF(A79="","",IF(COUNTIFS('复盘记录'!$A$7:$A$306,A79)&lt;&gt;1,"编号重复",IF(COUNTIFS('问题总览'!$A$7:$A$306,B79)&lt;&gt;1,"问题引用无效",IF(COUNTIFS('方案版本'!$A$7:$A$306,C79,'方案版本'!$B$7:$B$306,B79,'方案版本'!$L$7:$L$306,"已冻结")&lt;&gt;1,"方案引用无效",IF(OR(NOT(ISNUMBER(D79)),NOT(ISNUMBER(E79)),F79="",G79="",H79="",M79=""),"待补复盘信息",IF(COUNTIFS('更新日志'!$A$7:$A$306,J79,'更新日志'!$B$7:$B$306,B79,'更新日志'!$C$7:$C$306,A79)&lt;&gt;1,"待登记更新单","有效输入"))))))</x:f>
      </x:c>
    </x:row>
    <x:row r="80" ht="25" customHeight="1">
      <x:c r="A80" s="3"/>
      <x:c r="B80" s="3"/>
      <x:c r="C80" s="3"/>
      <x:c r="D80" s="25"/>
      <x:c r="E80" s="25"/>
      <x:c r="F80" s="3"/>
      <x:c r="G80" s="3"/>
      <x:c r="H80" s="3"/>
      <x:c r="I80" s="3"/>
      <x:c r="J80" s="3"/>
      <x:c r="K80" s="3"/>
      <x:c r="L80" s="20"/>
      <x:c r="M80" s="3"/>
      <x:c r="N80" s="19" t="str">
        <x:f>IF(A80="","",IF(COUNTIFS('复盘记录'!$A$7:$A$306,A80)&lt;&gt;1,"编号重复",IF(COUNTIFS('问题总览'!$A$7:$A$306,B80)&lt;&gt;1,"问题引用无效",IF(COUNTIFS('方案版本'!$A$7:$A$306,C80,'方案版本'!$B$7:$B$306,B80,'方案版本'!$L$7:$L$306,"已冻结")&lt;&gt;1,"方案引用无效",IF(OR(NOT(ISNUMBER(D80)),NOT(ISNUMBER(E80)),F80="",G80="",H80="",M80=""),"待补复盘信息",IF(COUNTIFS('更新日志'!$A$7:$A$306,J80,'更新日志'!$B$7:$B$306,B80,'更新日志'!$C$7:$C$306,A80)&lt;&gt;1,"待登记更新单","有效输入"))))))</x:f>
      </x:c>
    </x:row>
    <x:row r="81" ht="25" customHeight="1">
      <x:c r="A81" s="3"/>
      <x:c r="B81" s="3"/>
      <x:c r="C81" s="3"/>
      <x:c r="D81" s="25"/>
      <x:c r="E81" s="25"/>
      <x:c r="F81" s="3"/>
      <x:c r="G81" s="3"/>
      <x:c r="H81" s="3"/>
      <x:c r="I81" s="3"/>
      <x:c r="J81" s="3"/>
      <x:c r="K81" s="3"/>
      <x:c r="L81" s="20"/>
      <x:c r="M81" s="3"/>
      <x:c r="N81" s="19" t="str">
        <x:f>IF(A81="","",IF(COUNTIFS('复盘记录'!$A$7:$A$306,A81)&lt;&gt;1,"编号重复",IF(COUNTIFS('问题总览'!$A$7:$A$306,B81)&lt;&gt;1,"问题引用无效",IF(COUNTIFS('方案版本'!$A$7:$A$306,C81,'方案版本'!$B$7:$B$306,B81,'方案版本'!$L$7:$L$306,"已冻结")&lt;&gt;1,"方案引用无效",IF(OR(NOT(ISNUMBER(D81)),NOT(ISNUMBER(E81)),F81="",G81="",H81="",M81=""),"待补复盘信息",IF(COUNTIFS('更新日志'!$A$7:$A$306,J81,'更新日志'!$B$7:$B$306,B81,'更新日志'!$C$7:$C$306,A81)&lt;&gt;1,"待登记更新单","有效输入"))))))</x:f>
      </x:c>
    </x:row>
    <x:row r="82" ht="25" customHeight="1">
      <x:c r="A82" s="3"/>
      <x:c r="B82" s="3"/>
      <x:c r="C82" s="3"/>
      <x:c r="D82" s="25"/>
      <x:c r="E82" s="25"/>
      <x:c r="F82" s="3"/>
      <x:c r="G82" s="3"/>
      <x:c r="H82" s="3"/>
      <x:c r="I82" s="3"/>
      <x:c r="J82" s="3"/>
      <x:c r="K82" s="3"/>
      <x:c r="L82" s="20"/>
      <x:c r="M82" s="3"/>
      <x:c r="N82" s="19" t="str">
        <x:f>IF(A82="","",IF(COUNTIFS('复盘记录'!$A$7:$A$306,A82)&lt;&gt;1,"编号重复",IF(COUNTIFS('问题总览'!$A$7:$A$306,B82)&lt;&gt;1,"问题引用无效",IF(COUNTIFS('方案版本'!$A$7:$A$306,C82,'方案版本'!$B$7:$B$306,B82,'方案版本'!$L$7:$L$306,"已冻结")&lt;&gt;1,"方案引用无效",IF(OR(NOT(ISNUMBER(D82)),NOT(ISNUMBER(E82)),F82="",G82="",H82="",M82=""),"待补复盘信息",IF(COUNTIFS('更新日志'!$A$7:$A$306,J82,'更新日志'!$B$7:$B$306,B82,'更新日志'!$C$7:$C$306,A82)&lt;&gt;1,"待登记更新单","有效输入"))))))</x:f>
      </x:c>
    </x:row>
    <x:row r="83" ht="25" customHeight="1">
      <x:c r="A83" s="3"/>
      <x:c r="B83" s="3"/>
      <x:c r="C83" s="3"/>
      <x:c r="D83" s="25"/>
      <x:c r="E83" s="25"/>
      <x:c r="F83" s="3"/>
      <x:c r="G83" s="3"/>
      <x:c r="H83" s="3"/>
      <x:c r="I83" s="3"/>
      <x:c r="J83" s="3"/>
      <x:c r="K83" s="3"/>
      <x:c r="L83" s="20"/>
      <x:c r="M83" s="3"/>
      <x:c r="N83" s="19" t="str">
        <x:f>IF(A83="","",IF(COUNTIFS('复盘记录'!$A$7:$A$306,A83)&lt;&gt;1,"编号重复",IF(COUNTIFS('问题总览'!$A$7:$A$306,B83)&lt;&gt;1,"问题引用无效",IF(COUNTIFS('方案版本'!$A$7:$A$306,C83,'方案版本'!$B$7:$B$306,B83,'方案版本'!$L$7:$L$306,"已冻结")&lt;&gt;1,"方案引用无效",IF(OR(NOT(ISNUMBER(D83)),NOT(ISNUMBER(E83)),F83="",G83="",H83="",M83=""),"待补复盘信息",IF(COUNTIFS('更新日志'!$A$7:$A$306,J83,'更新日志'!$B$7:$B$306,B83,'更新日志'!$C$7:$C$306,A83)&lt;&gt;1,"待登记更新单","有效输入"))))))</x:f>
      </x:c>
    </x:row>
    <x:row r="84" ht="25" customHeight="1">
      <x:c r="A84" s="3"/>
      <x:c r="B84" s="3"/>
      <x:c r="C84" s="3"/>
      <x:c r="D84" s="25"/>
      <x:c r="E84" s="25"/>
      <x:c r="F84" s="3"/>
      <x:c r="G84" s="3"/>
      <x:c r="H84" s="3"/>
      <x:c r="I84" s="3"/>
      <x:c r="J84" s="3"/>
      <x:c r="K84" s="3"/>
      <x:c r="L84" s="20"/>
      <x:c r="M84" s="3"/>
      <x:c r="N84" s="19" t="str">
        <x:f>IF(A84="","",IF(COUNTIFS('复盘记录'!$A$7:$A$306,A84)&lt;&gt;1,"编号重复",IF(COUNTIFS('问题总览'!$A$7:$A$306,B84)&lt;&gt;1,"问题引用无效",IF(COUNTIFS('方案版本'!$A$7:$A$306,C84,'方案版本'!$B$7:$B$306,B84,'方案版本'!$L$7:$L$306,"已冻结")&lt;&gt;1,"方案引用无效",IF(OR(NOT(ISNUMBER(D84)),NOT(ISNUMBER(E84)),F84="",G84="",H84="",M84=""),"待补复盘信息",IF(COUNTIFS('更新日志'!$A$7:$A$306,J84,'更新日志'!$B$7:$B$306,B84,'更新日志'!$C$7:$C$306,A84)&lt;&gt;1,"待登记更新单","有效输入"))))))</x:f>
      </x:c>
    </x:row>
    <x:row r="85" ht="25" customHeight="1">
      <x:c r="A85" s="3"/>
      <x:c r="B85" s="3"/>
      <x:c r="C85" s="3"/>
      <x:c r="D85" s="25"/>
      <x:c r="E85" s="25"/>
      <x:c r="F85" s="3"/>
      <x:c r="G85" s="3"/>
      <x:c r="H85" s="3"/>
      <x:c r="I85" s="3"/>
      <x:c r="J85" s="3"/>
      <x:c r="K85" s="3"/>
      <x:c r="L85" s="20"/>
      <x:c r="M85" s="3"/>
      <x:c r="N85" s="19" t="str">
        <x:f>IF(A85="","",IF(COUNTIFS('复盘记录'!$A$7:$A$306,A85)&lt;&gt;1,"编号重复",IF(COUNTIFS('问题总览'!$A$7:$A$306,B85)&lt;&gt;1,"问题引用无效",IF(COUNTIFS('方案版本'!$A$7:$A$306,C85,'方案版本'!$B$7:$B$306,B85,'方案版本'!$L$7:$L$306,"已冻结")&lt;&gt;1,"方案引用无效",IF(OR(NOT(ISNUMBER(D85)),NOT(ISNUMBER(E85)),F85="",G85="",H85="",M85=""),"待补复盘信息",IF(COUNTIFS('更新日志'!$A$7:$A$306,J85,'更新日志'!$B$7:$B$306,B85,'更新日志'!$C$7:$C$306,A85)&lt;&gt;1,"待登记更新单","有效输入"))))))</x:f>
      </x:c>
    </x:row>
    <x:row r="86" ht="25" customHeight="1">
      <x:c r="A86" s="3"/>
      <x:c r="B86" s="3"/>
      <x:c r="C86" s="3"/>
      <x:c r="D86" s="25"/>
      <x:c r="E86" s="25"/>
      <x:c r="F86" s="3"/>
      <x:c r="G86" s="3"/>
      <x:c r="H86" s="3"/>
      <x:c r="I86" s="3"/>
      <x:c r="J86" s="3"/>
      <x:c r="K86" s="3"/>
      <x:c r="L86" s="20"/>
      <x:c r="M86" s="3"/>
      <x:c r="N86" s="19" t="str">
        <x:f>IF(A86="","",IF(COUNTIFS('复盘记录'!$A$7:$A$306,A86)&lt;&gt;1,"编号重复",IF(COUNTIFS('问题总览'!$A$7:$A$306,B86)&lt;&gt;1,"问题引用无效",IF(COUNTIFS('方案版本'!$A$7:$A$306,C86,'方案版本'!$B$7:$B$306,B86,'方案版本'!$L$7:$L$306,"已冻结")&lt;&gt;1,"方案引用无效",IF(OR(NOT(ISNUMBER(D86)),NOT(ISNUMBER(E86)),F86="",G86="",H86="",M86=""),"待补复盘信息",IF(COUNTIFS('更新日志'!$A$7:$A$306,J86,'更新日志'!$B$7:$B$306,B86,'更新日志'!$C$7:$C$306,A86)&lt;&gt;1,"待登记更新单","有效输入"))))))</x:f>
      </x:c>
    </x:row>
    <x:row r="87" ht="25" customHeight="1">
      <x:c r="A87" s="3"/>
      <x:c r="B87" s="3"/>
      <x:c r="C87" s="3"/>
      <x:c r="D87" s="25"/>
      <x:c r="E87" s="25"/>
      <x:c r="F87" s="3"/>
      <x:c r="G87" s="3"/>
      <x:c r="H87" s="3"/>
      <x:c r="I87" s="3"/>
      <x:c r="J87" s="3"/>
      <x:c r="K87" s="3"/>
      <x:c r="L87" s="20"/>
      <x:c r="M87" s="3"/>
      <x:c r="N87" s="19" t="str">
        <x:f>IF(A87="","",IF(COUNTIFS('复盘记录'!$A$7:$A$306,A87)&lt;&gt;1,"编号重复",IF(COUNTIFS('问题总览'!$A$7:$A$306,B87)&lt;&gt;1,"问题引用无效",IF(COUNTIFS('方案版本'!$A$7:$A$306,C87,'方案版本'!$B$7:$B$306,B87,'方案版本'!$L$7:$L$306,"已冻结")&lt;&gt;1,"方案引用无效",IF(OR(NOT(ISNUMBER(D87)),NOT(ISNUMBER(E87)),F87="",G87="",H87="",M87=""),"待补复盘信息",IF(COUNTIFS('更新日志'!$A$7:$A$306,J87,'更新日志'!$B$7:$B$306,B87,'更新日志'!$C$7:$C$306,A87)&lt;&gt;1,"待登记更新单","有效输入"))))))</x:f>
      </x:c>
    </x:row>
    <x:row r="88" ht="25" customHeight="1">
      <x:c r="A88" s="3"/>
      <x:c r="B88" s="3"/>
      <x:c r="C88" s="3"/>
      <x:c r="D88" s="25"/>
      <x:c r="E88" s="25"/>
      <x:c r="F88" s="3"/>
      <x:c r="G88" s="3"/>
      <x:c r="H88" s="3"/>
      <x:c r="I88" s="3"/>
      <x:c r="J88" s="3"/>
      <x:c r="K88" s="3"/>
      <x:c r="L88" s="20"/>
      <x:c r="M88" s="3"/>
      <x:c r="N88" s="19" t="str">
        <x:f>IF(A88="","",IF(COUNTIFS('复盘记录'!$A$7:$A$306,A88)&lt;&gt;1,"编号重复",IF(COUNTIFS('问题总览'!$A$7:$A$306,B88)&lt;&gt;1,"问题引用无效",IF(COUNTIFS('方案版本'!$A$7:$A$306,C88,'方案版本'!$B$7:$B$306,B88,'方案版本'!$L$7:$L$306,"已冻结")&lt;&gt;1,"方案引用无效",IF(OR(NOT(ISNUMBER(D88)),NOT(ISNUMBER(E88)),F88="",G88="",H88="",M88=""),"待补复盘信息",IF(COUNTIFS('更新日志'!$A$7:$A$306,J88,'更新日志'!$B$7:$B$306,B88,'更新日志'!$C$7:$C$306,A88)&lt;&gt;1,"待登记更新单","有效输入"))))))</x:f>
      </x:c>
    </x:row>
    <x:row r="89" ht="25" customHeight="1">
      <x:c r="A89" s="3"/>
      <x:c r="B89" s="3"/>
      <x:c r="C89" s="3"/>
      <x:c r="D89" s="25"/>
      <x:c r="E89" s="25"/>
      <x:c r="F89" s="3"/>
      <x:c r="G89" s="3"/>
      <x:c r="H89" s="3"/>
      <x:c r="I89" s="3"/>
      <x:c r="J89" s="3"/>
      <x:c r="K89" s="3"/>
      <x:c r="L89" s="20"/>
      <x:c r="M89" s="3"/>
      <x:c r="N89" s="19" t="str">
        <x:f>IF(A89="","",IF(COUNTIFS('复盘记录'!$A$7:$A$306,A89)&lt;&gt;1,"编号重复",IF(COUNTIFS('问题总览'!$A$7:$A$306,B89)&lt;&gt;1,"问题引用无效",IF(COUNTIFS('方案版本'!$A$7:$A$306,C89,'方案版本'!$B$7:$B$306,B89,'方案版本'!$L$7:$L$306,"已冻结")&lt;&gt;1,"方案引用无效",IF(OR(NOT(ISNUMBER(D89)),NOT(ISNUMBER(E89)),F89="",G89="",H89="",M89=""),"待补复盘信息",IF(COUNTIFS('更新日志'!$A$7:$A$306,J89,'更新日志'!$B$7:$B$306,B89,'更新日志'!$C$7:$C$306,A89)&lt;&gt;1,"待登记更新单","有效输入"))))))</x:f>
      </x:c>
    </x:row>
    <x:row r="90" ht="25" customHeight="1">
      <x:c r="A90" s="3"/>
      <x:c r="B90" s="3"/>
      <x:c r="C90" s="3"/>
      <x:c r="D90" s="25"/>
      <x:c r="E90" s="25"/>
      <x:c r="F90" s="3"/>
      <x:c r="G90" s="3"/>
      <x:c r="H90" s="3"/>
      <x:c r="I90" s="3"/>
      <x:c r="J90" s="3"/>
      <x:c r="K90" s="3"/>
      <x:c r="L90" s="20"/>
      <x:c r="M90" s="3"/>
      <x:c r="N90" s="19" t="str">
        <x:f>IF(A90="","",IF(COUNTIFS('复盘记录'!$A$7:$A$306,A90)&lt;&gt;1,"编号重复",IF(COUNTIFS('问题总览'!$A$7:$A$306,B90)&lt;&gt;1,"问题引用无效",IF(COUNTIFS('方案版本'!$A$7:$A$306,C90,'方案版本'!$B$7:$B$306,B90,'方案版本'!$L$7:$L$306,"已冻结")&lt;&gt;1,"方案引用无效",IF(OR(NOT(ISNUMBER(D90)),NOT(ISNUMBER(E90)),F90="",G90="",H90="",M90=""),"待补复盘信息",IF(COUNTIFS('更新日志'!$A$7:$A$306,J90,'更新日志'!$B$7:$B$306,B90,'更新日志'!$C$7:$C$306,A90)&lt;&gt;1,"待登记更新单","有效输入"))))))</x:f>
      </x:c>
    </x:row>
    <x:row r="91" ht="25" customHeight="1">
      <x:c r="A91" s="3"/>
      <x:c r="B91" s="3"/>
      <x:c r="C91" s="3"/>
      <x:c r="D91" s="25"/>
      <x:c r="E91" s="25"/>
      <x:c r="F91" s="3"/>
      <x:c r="G91" s="3"/>
      <x:c r="H91" s="3"/>
      <x:c r="I91" s="3"/>
      <x:c r="J91" s="3"/>
      <x:c r="K91" s="3"/>
      <x:c r="L91" s="20"/>
      <x:c r="M91" s="3"/>
      <x:c r="N91" s="19" t="str">
        <x:f>IF(A91="","",IF(COUNTIFS('复盘记录'!$A$7:$A$306,A91)&lt;&gt;1,"编号重复",IF(COUNTIFS('问题总览'!$A$7:$A$306,B91)&lt;&gt;1,"问题引用无效",IF(COUNTIFS('方案版本'!$A$7:$A$306,C91,'方案版本'!$B$7:$B$306,B91,'方案版本'!$L$7:$L$306,"已冻结")&lt;&gt;1,"方案引用无效",IF(OR(NOT(ISNUMBER(D91)),NOT(ISNUMBER(E91)),F91="",G91="",H91="",M91=""),"待补复盘信息",IF(COUNTIFS('更新日志'!$A$7:$A$306,J91,'更新日志'!$B$7:$B$306,B91,'更新日志'!$C$7:$C$306,A91)&lt;&gt;1,"待登记更新单","有效输入"))))))</x:f>
      </x:c>
    </x:row>
    <x:row r="92" ht="25" customHeight="1">
      <x:c r="A92" s="3"/>
      <x:c r="B92" s="3"/>
      <x:c r="C92" s="3"/>
      <x:c r="D92" s="25"/>
      <x:c r="E92" s="25"/>
      <x:c r="F92" s="3"/>
      <x:c r="G92" s="3"/>
      <x:c r="H92" s="3"/>
      <x:c r="I92" s="3"/>
      <x:c r="J92" s="3"/>
      <x:c r="K92" s="3"/>
      <x:c r="L92" s="20"/>
      <x:c r="M92" s="3"/>
      <x:c r="N92" s="19" t="str">
        <x:f>IF(A92="","",IF(COUNTIFS('复盘记录'!$A$7:$A$306,A92)&lt;&gt;1,"编号重复",IF(COUNTIFS('问题总览'!$A$7:$A$306,B92)&lt;&gt;1,"问题引用无效",IF(COUNTIFS('方案版本'!$A$7:$A$306,C92,'方案版本'!$B$7:$B$306,B92,'方案版本'!$L$7:$L$306,"已冻结")&lt;&gt;1,"方案引用无效",IF(OR(NOT(ISNUMBER(D92)),NOT(ISNUMBER(E92)),F92="",G92="",H92="",M92=""),"待补复盘信息",IF(COUNTIFS('更新日志'!$A$7:$A$306,J92,'更新日志'!$B$7:$B$306,B92,'更新日志'!$C$7:$C$306,A92)&lt;&gt;1,"待登记更新单","有效输入"))))))</x:f>
      </x:c>
    </x:row>
    <x:row r="93" ht="25" customHeight="1">
      <x:c r="A93" s="3"/>
      <x:c r="B93" s="3"/>
      <x:c r="C93" s="3"/>
      <x:c r="D93" s="25"/>
      <x:c r="E93" s="25"/>
      <x:c r="F93" s="3"/>
      <x:c r="G93" s="3"/>
      <x:c r="H93" s="3"/>
      <x:c r="I93" s="3"/>
      <x:c r="J93" s="3"/>
      <x:c r="K93" s="3"/>
      <x:c r="L93" s="20"/>
      <x:c r="M93" s="3"/>
      <x:c r="N93" s="19" t="str">
        <x:f>IF(A93="","",IF(COUNTIFS('复盘记录'!$A$7:$A$306,A93)&lt;&gt;1,"编号重复",IF(COUNTIFS('问题总览'!$A$7:$A$306,B93)&lt;&gt;1,"问题引用无效",IF(COUNTIFS('方案版本'!$A$7:$A$306,C93,'方案版本'!$B$7:$B$306,B93,'方案版本'!$L$7:$L$306,"已冻结")&lt;&gt;1,"方案引用无效",IF(OR(NOT(ISNUMBER(D93)),NOT(ISNUMBER(E93)),F93="",G93="",H93="",M93=""),"待补复盘信息",IF(COUNTIFS('更新日志'!$A$7:$A$306,J93,'更新日志'!$B$7:$B$306,B93,'更新日志'!$C$7:$C$306,A93)&lt;&gt;1,"待登记更新单","有效输入"))))))</x:f>
      </x:c>
    </x:row>
    <x:row r="94" ht="25" customHeight="1">
      <x:c r="A94" s="3"/>
      <x:c r="B94" s="3"/>
      <x:c r="C94" s="3"/>
      <x:c r="D94" s="25"/>
      <x:c r="E94" s="25"/>
      <x:c r="F94" s="3"/>
      <x:c r="G94" s="3"/>
      <x:c r="H94" s="3"/>
      <x:c r="I94" s="3"/>
      <x:c r="J94" s="3"/>
      <x:c r="K94" s="3"/>
      <x:c r="L94" s="20"/>
      <x:c r="M94" s="3"/>
      <x:c r="N94" s="19" t="str">
        <x:f>IF(A94="","",IF(COUNTIFS('复盘记录'!$A$7:$A$306,A94)&lt;&gt;1,"编号重复",IF(COUNTIFS('问题总览'!$A$7:$A$306,B94)&lt;&gt;1,"问题引用无效",IF(COUNTIFS('方案版本'!$A$7:$A$306,C94,'方案版本'!$B$7:$B$306,B94,'方案版本'!$L$7:$L$306,"已冻结")&lt;&gt;1,"方案引用无效",IF(OR(NOT(ISNUMBER(D94)),NOT(ISNUMBER(E94)),F94="",G94="",H94="",M94=""),"待补复盘信息",IF(COUNTIFS('更新日志'!$A$7:$A$306,J94,'更新日志'!$B$7:$B$306,B94,'更新日志'!$C$7:$C$306,A94)&lt;&gt;1,"待登记更新单","有效输入"))))))</x:f>
      </x:c>
    </x:row>
    <x:row r="95" ht="25" customHeight="1">
      <x:c r="A95" s="3"/>
      <x:c r="B95" s="3"/>
      <x:c r="C95" s="3"/>
      <x:c r="D95" s="25"/>
      <x:c r="E95" s="25"/>
      <x:c r="F95" s="3"/>
      <x:c r="G95" s="3"/>
      <x:c r="H95" s="3"/>
      <x:c r="I95" s="3"/>
      <x:c r="J95" s="3"/>
      <x:c r="K95" s="3"/>
      <x:c r="L95" s="20"/>
      <x:c r="M95" s="3"/>
      <x:c r="N95" s="19" t="str">
        <x:f>IF(A95="","",IF(COUNTIFS('复盘记录'!$A$7:$A$306,A95)&lt;&gt;1,"编号重复",IF(COUNTIFS('问题总览'!$A$7:$A$306,B95)&lt;&gt;1,"问题引用无效",IF(COUNTIFS('方案版本'!$A$7:$A$306,C95,'方案版本'!$B$7:$B$306,B95,'方案版本'!$L$7:$L$306,"已冻结")&lt;&gt;1,"方案引用无效",IF(OR(NOT(ISNUMBER(D95)),NOT(ISNUMBER(E95)),F95="",G95="",H95="",M95=""),"待补复盘信息",IF(COUNTIFS('更新日志'!$A$7:$A$306,J95,'更新日志'!$B$7:$B$306,B95,'更新日志'!$C$7:$C$306,A95)&lt;&gt;1,"待登记更新单","有效输入"))))))</x:f>
      </x:c>
    </x:row>
    <x:row r="96" ht="25" customHeight="1">
      <x:c r="A96" s="3"/>
      <x:c r="B96" s="3"/>
      <x:c r="C96" s="3"/>
      <x:c r="D96" s="25"/>
      <x:c r="E96" s="25"/>
      <x:c r="F96" s="3"/>
      <x:c r="G96" s="3"/>
      <x:c r="H96" s="3"/>
      <x:c r="I96" s="3"/>
      <x:c r="J96" s="3"/>
      <x:c r="K96" s="3"/>
      <x:c r="L96" s="20"/>
      <x:c r="M96" s="3"/>
      <x:c r="N96" s="19" t="str">
        <x:f>IF(A96="","",IF(COUNTIFS('复盘记录'!$A$7:$A$306,A96)&lt;&gt;1,"编号重复",IF(COUNTIFS('问题总览'!$A$7:$A$306,B96)&lt;&gt;1,"问题引用无效",IF(COUNTIFS('方案版本'!$A$7:$A$306,C96,'方案版本'!$B$7:$B$306,B96,'方案版本'!$L$7:$L$306,"已冻结")&lt;&gt;1,"方案引用无效",IF(OR(NOT(ISNUMBER(D96)),NOT(ISNUMBER(E96)),F96="",G96="",H96="",M96=""),"待补复盘信息",IF(COUNTIFS('更新日志'!$A$7:$A$306,J96,'更新日志'!$B$7:$B$306,B96,'更新日志'!$C$7:$C$306,A96)&lt;&gt;1,"待登记更新单","有效输入"))))))</x:f>
      </x:c>
    </x:row>
    <x:row r="97" ht="25" customHeight="1">
      <x:c r="A97" s="3"/>
      <x:c r="B97" s="3"/>
      <x:c r="C97" s="3"/>
      <x:c r="D97" s="25"/>
      <x:c r="E97" s="25"/>
      <x:c r="F97" s="3"/>
      <x:c r="G97" s="3"/>
      <x:c r="H97" s="3"/>
      <x:c r="I97" s="3"/>
      <x:c r="J97" s="3"/>
      <x:c r="K97" s="3"/>
      <x:c r="L97" s="20"/>
      <x:c r="M97" s="3"/>
      <x:c r="N97" s="19" t="str">
        <x:f>IF(A97="","",IF(COUNTIFS('复盘记录'!$A$7:$A$306,A97)&lt;&gt;1,"编号重复",IF(COUNTIFS('问题总览'!$A$7:$A$306,B97)&lt;&gt;1,"问题引用无效",IF(COUNTIFS('方案版本'!$A$7:$A$306,C97,'方案版本'!$B$7:$B$306,B97,'方案版本'!$L$7:$L$306,"已冻结")&lt;&gt;1,"方案引用无效",IF(OR(NOT(ISNUMBER(D97)),NOT(ISNUMBER(E97)),F97="",G97="",H97="",M97=""),"待补复盘信息",IF(COUNTIFS('更新日志'!$A$7:$A$306,J97,'更新日志'!$B$7:$B$306,B97,'更新日志'!$C$7:$C$306,A97)&lt;&gt;1,"待登记更新单","有效输入"))))))</x:f>
      </x:c>
    </x:row>
    <x:row r="98" ht="25" customHeight="1">
      <x:c r="A98" s="3"/>
      <x:c r="B98" s="3"/>
      <x:c r="C98" s="3"/>
      <x:c r="D98" s="25"/>
      <x:c r="E98" s="25"/>
      <x:c r="F98" s="3"/>
      <x:c r="G98" s="3"/>
      <x:c r="H98" s="3"/>
      <x:c r="I98" s="3"/>
      <x:c r="J98" s="3"/>
      <x:c r="K98" s="3"/>
      <x:c r="L98" s="20"/>
      <x:c r="M98" s="3"/>
      <x:c r="N98" s="19" t="str">
        <x:f>IF(A98="","",IF(COUNTIFS('复盘记录'!$A$7:$A$306,A98)&lt;&gt;1,"编号重复",IF(COUNTIFS('问题总览'!$A$7:$A$306,B98)&lt;&gt;1,"问题引用无效",IF(COUNTIFS('方案版本'!$A$7:$A$306,C98,'方案版本'!$B$7:$B$306,B98,'方案版本'!$L$7:$L$306,"已冻结")&lt;&gt;1,"方案引用无效",IF(OR(NOT(ISNUMBER(D98)),NOT(ISNUMBER(E98)),F98="",G98="",H98="",M98=""),"待补复盘信息",IF(COUNTIFS('更新日志'!$A$7:$A$306,J98,'更新日志'!$B$7:$B$306,B98,'更新日志'!$C$7:$C$306,A98)&lt;&gt;1,"待登记更新单","有效输入"))))))</x:f>
      </x:c>
    </x:row>
    <x:row r="99" ht="25" customHeight="1">
      <x:c r="A99" s="3"/>
      <x:c r="B99" s="3"/>
      <x:c r="C99" s="3"/>
      <x:c r="D99" s="25"/>
      <x:c r="E99" s="25"/>
      <x:c r="F99" s="3"/>
      <x:c r="G99" s="3"/>
      <x:c r="H99" s="3"/>
      <x:c r="I99" s="3"/>
      <x:c r="J99" s="3"/>
      <x:c r="K99" s="3"/>
      <x:c r="L99" s="20"/>
      <x:c r="M99" s="3"/>
      <x:c r="N99" s="19" t="str">
        <x:f>IF(A99="","",IF(COUNTIFS('复盘记录'!$A$7:$A$306,A99)&lt;&gt;1,"编号重复",IF(COUNTIFS('问题总览'!$A$7:$A$306,B99)&lt;&gt;1,"问题引用无效",IF(COUNTIFS('方案版本'!$A$7:$A$306,C99,'方案版本'!$B$7:$B$306,B99,'方案版本'!$L$7:$L$306,"已冻结")&lt;&gt;1,"方案引用无效",IF(OR(NOT(ISNUMBER(D99)),NOT(ISNUMBER(E99)),F99="",G99="",H99="",M99=""),"待补复盘信息",IF(COUNTIFS('更新日志'!$A$7:$A$306,J99,'更新日志'!$B$7:$B$306,B99,'更新日志'!$C$7:$C$306,A99)&lt;&gt;1,"待登记更新单","有效输入"))))))</x:f>
      </x:c>
    </x:row>
    <x:row r="100" ht="25" customHeight="1">
      <x:c r="A100" s="3"/>
      <x:c r="B100" s="3"/>
      <x:c r="C100" s="3"/>
      <x:c r="D100" s="25"/>
      <x:c r="E100" s="25"/>
      <x:c r="F100" s="3"/>
      <x:c r="G100" s="3"/>
      <x:c r="H100" s="3"/>
      <x:c r="I100" s="3"/>
      <x:c r="J100" s="3"/>
      <x:c r="K100" s="3"/>
      <x:c r="L100" s="20"/>
      <x:c r="M100" s="3"/>
      <x:c r="N100" s="19" t="str">
        <x:f>IF(A100="","",IF(COUNTIFS('复盘记录'!$A$7:$A$306,A100)&lt;&gt;1,"编号重复",IF(COUNTIFS('问题总览'!$A$7:$A$306,B100)&lt;&gt;1,"问题引用无效",IF(COUNTIFS('方案版本'!$A$7:$A$306,C100,'方案版本'!$B$7:$B$306,B100,'方案版本'!$L$7:$L$306,"已冻结")&lt;&gt;1,"方案引用无效",IF(OR(NOT(ISNUMBER(D100)),NOT(ISNUMBER(E100)),F100="",G100="",H100="",M100=""),"待补复盘信息",IF(COUNTIFS('更新日志'!$A$7:$A$306,J100,'更新日志'!$B$7:$B$306,B100,'更新日志'!$C$7:$C$306,A100)&lt;&gt;1,"待登记更新单","有效输入"))))))</x:f>
      </x:c>
    </x:row>
    <x:row r="101" ht="25" customHeight="1">
      <x:c r="A101" s="3"/>
      <x:c r="B101" s="3"/>
      <x:c r="C101" s="3"/>
      <x:c r="D101" s="25"/>
      <x:c r="E101" s="25"/>
      <x:c r="F101" s="3"/>
      <x:c r="G101" s="3"/>
      <x:c r="H101" s="3"/>
      <x:c r="I101" s="3"/>
      <x:c r="J101" s="3"/>
      <x:c r="K101" s="3"/>
      <x:c r="L101" s="20"/>
      <x:c r="M101" s="3"/>
      <x:c r="N101" s="19" t="str">
        <x:f>IF(A101="","",IF(COUNTIFS('复盘记录'!$A$7:$A$306,A101)&lt;&gt;1,"编号重复",IF(COUNTIFS('问题总览'!$A$7:$A$306,B101)&lt;&gt;1,"问题引用无效",IF(COUNTIFS('方案版本'!$A$7:$A$306,C101,'方案版本'!$B$7:$B$306,B101,'方案版本'!$L$7:$L$306,"已冻结")&lt;&gt;1,"方案引用无效",IF(OR(NOT(ISNUMBER(D101)),NOT(ISNUMBER(E101)),F101="",G101="",H101="",M101=""),"待补复盘信息",IF(COUNTIFS('更新日志'!$A$7:$A$306,J101,'更新日志'!$B$7:$B$306,B101,'更新日志'!$C$7:$C$306,A101)&lt;&gt;1,"待登记更新单","有效输入"))))))</x:f>
      </x:c>
    </x:row>
    <x:row r="102" ht="25" customHeight="1">
      <x:c r="A102" s="3"/>
      <x:c r="B102" s="3"/>
      <x:c r="C102" s="3"/>
      <x:c r="D102" s="25"/>
      <x:c r="E102" s="25"/>
      <x:c r="F102" s="3"/>
      <x:c r="G102" s="3"/>
      <x:c r="H102" s="3"/>
      <x:c r="I102" s="3"/>
      <x:c r="J102" s="3"/>
      <x:c r="K102" s="3"/>
      <x:c r="L102" s="20"/>
      <x:c r="M102" s="3"/>
      <x:c r="N102" s="19" t="str">
        <x:f>IF(A102="","",IF(COUNTIFS('复盘记录'!$A$7:$A$306,A102)&lt;&gt;1,"编号重复",IF(COUNTIFS('问题总览'!$A$7:$A$306,B102)&lt;&gt;1,"问题引用无效",IF(COUNTIFS('方案版本'!$A$7:$A$306,C102,'方案版本'!$B$7:$B$306,B102,'方案版本'!$L$7:$L$306,"已冻结")&lt;&gt;1,"方案引用无效",IF(OR(NOT(ISNUMBER(D102)),NOT(ISNUMBER(E102)),F102="",G102="",H102="",M102=""),"待补复盘信息",IF(COUNTIFS('更新日志'!$A$7:$A$306,J102,'更新日志'!$B$7:$B$306,B102,'更新日志'!$C$7:$C$306,A102)&lt;&gt;1,"待登记更新单","有效输入"))))))</x:f>
      </x:c>
    </x:row>
    <x:row r="103" ht="25" customHeight="1">
      <x:c r="A103" s="3"/>
      <x:c r="B103" s="3"/>
      <x:c r="C103" s="3"/>
      <x:c r="D103" s="25"/>
      <x:c r="E103" s="25"/>
      <x:c r="F103" s="3"/>
      <x:c r="G103" s="3"/>
      <x:c r="H103" s="3"/>
      <x:c r="I103" s="3"/>
      <x:c r="J103" s="3"/>
      <x:c r="K103" s="3"/>
      <x:c r="L103" s="20"/>
      <x:c r="M103" s="3"/>
      <x:c r="N103" s="19" t="str">
        <x:f>IF(A103="","",IF(COUNTIFS('复盘记录'!$A$7:$A$306,A103)&lt;&gt;1,"编号重复",IF(COUNTIFS('问题总览'!$A$7:$A$306,B103)&lt;&gt;1,"问题引用无效",IF(COUNTIFS('方案版本'!$A$7:$A$306,C103,'方案版本'!$B$7:$B$306,B103,'方案版本'!$L$7:$L$306,"已冻结")&lt;&gt;1,"方案引用无效",IF(OR(NOT(ISNUMBER(D103)),NOT(ISNUMBER(E103)),F103="",G103="",H103="",M103=""),"待补复盘信息",IF(COUNTIFS('更新日志'!$A$7:$A$306,J103,'更新日志'!$B$7:$B$306,B103,'更新日志'!$C$7:$C$306,A103)&lt;&gt;1,"待登记更新单","有效输入"))))))</x:f>
      </x:c>
    </x:row>
    <x:row r="104" ht="25" customHeight="1">
      <x:c r="A104" s="3"/>
      <x:c r="B104" s="3"/>
      <x:c r="C104" s="3"/>
      <x:c r="D104" s="25"/>
      <x:c r="E104" s="25"/>
      <x:c r="F104" s="3"/>
      <x:c r="G104" s="3"/>
      <x:c r="H104" s="3"/>
      <x:c r="I104" s="3"/>
      <x:c r="J104" s="3"/>
      <x:c r="K104" s="3"/>
      <x:c r="L104" s="20"/>
      <x:c r="M104" s="3"/>
      <x:c r="N104" s="19" t="str">
        <x:f>IF(A104="","",IF(COUNTIFS('复盘记录'!$A$7:$A$306,A104)&lt;&gt;1,"编号重复",IF(COUNTIFS('问题总览'!$A$7:$A$306,B104)&lt;&gt;1,"问题引用无效",IF(COUNTIFS('方案版本'!$A$7:$A$306,C104,'方案版本'!$B$7:$B$306,B104,'方案版本'!$L$7:$L$306,"已冻结")&lt;&gt;1,"方案引用无效",IF(OR(NOT(ISNUMBER(D104)),NOT(ISNUMBER(E104)),F104="",G104="",H104="",M104=""),"待补复盘信息",IF(COUNTIFS('更新日志'!$A$7:$A$306,J104,'更新日志'!$B$7:$B$306,B104,'更新日志'!$C$7:$C$306,A104)&lt;&gt;1,"待登记更新单","有效输入"))))))</x:f>
      </x:c>
    </x:row>
    <x:row r="105" ht="25" customHeight="1">
      <x:c r="A105" s="3"/>
      <x:c r="B105" s="3"/>
      <x:c r="C105" s="3"/>
      <x:c r="D105" s="25"/>
      <x:c r="E105" s="25"/>
      <x:c r="F105" s="3"/>
      <x:c r="G105" s="3"/>
      <x:c r="H105" s="3"/>
      <x:c r="I105" s="3"/>
      <x:c r="J105" s="3"/>
      <x:c r="K105" s="3"/>
      <x:c r="L105" s="20"/>
      <x:c r="M105" s="3"/>
      <x:c r="N105" s="19" t="str">
        <x:f>IF(A105="","",IF(COUNTIFS('复盘记录'!$A$7:$A$306,A105)&lt;&gt;1,"编号重复",IF(COUNTIFS('问题总览'!$A$7:$A$306,B105)&lt;&gt;1,"问题引用无效",IF(COUNTIFS('方案版本'!$A$7:$A$306,C105,'方案版本'!$B$7:$B$306,B105,'方案版本'!$L$7:$L$306,"已冻结")&lt;&gt;1,"方案引用无效",IF(OR(NOT(ISNUMBER(D105)),NOT(ISNUMBER(E105)),F105="",G105="",H105="",M105=""),"待补复盘信息",IF(COUNTIFS('更新日志'!$A$7:$A$306,J105,'更新日志'!$B$7:$B$306,B105,'更新日志'!$C$7:$C$306,A105)&lt;&gt;1,"待登记更新单","有效输入"))))))</x:f>
      </x:c>
    </x:row>
    <x:row r="106" ht="25" customHeight="1">
      <x:c r="A106" s="3"/>
      <x:c r="B106" s="3"/>
      <x:c r="C106" s="3"/>
      <x:c r="D106" s="25"/>
      <x:c r="E106" s="25"/>
      <x:c r="F106" s="3"/>
      <x:c r="G106" s="3"/>
      <x:c r="H106" s="3"/>
      <x:c r="I106" s="3"/>
      <x:c r="J106" s="3"/>
      <x:c r="K106" s="3"/>
      <x:c r="L106" s="20"/>
      <x:c r="M106" s="3"/>
      <x:c r="N106" s="19" t="str">
        <x:f>IF(A106="","",IF(COUNTIFS('复盘记录'!$A$7:$A$306,A106)&lt;&gt;1,"编号重复",IF(COUNTIFS('问题总览'!$A$7:$A$306,B106)&lt;&gt;1,"问题引用无效",IF(COUNTIFS('方案版本'!$A$7:$A$306,C106,'方案版本'!$B$7:$B$306,B106,'方案版本'!$L$7:$L$306,"已冻结")&lt;&gt;1,"方案引用无效",IF(OR(NOT(ISNUMBER(D106)),NOT(ISNUMBER(E106)),F106="",G106="",H106="",M106=""),"待补复盘信息",IF(COUNTIFS('更新日志'!$A$7:$A$306,J106,'更新日志'!$B$7:$B$306,B106,'更新日志'!$C$7:$C$306,A106)&lt;&gt;1,"待登记更新单","有效输入"))))))</x:f>
      </x:c>
    </x:row>
    <x:row r="107" ht="25" customHeight="1">
      <x:c r="A107" s="3"/>
      <x:c r="B107" s="3"/>
      <x:c r="C107" s="3"/>
      <x:c r="D107" s="25"/>
      <x:c r="E107" s="25"/>
      <x:c r="F107" s="3"/>
      <x:c r="G107" s="3"/>
      <x:c r="H107" s="3"/>
      <x:c r="I107" s="3"/>
      <x:c r="J107" s="3"/>
      <x:c r="K107" s="3"/>
      <x:c r="L107" s="20"/>
      <x:c r="M107" s="3"/>
      <x:c r="N107" s="19" t="str">
        <x:f>IF(A107="","",IF(COUNTIFS('复盘记录'!$A$7:$A$306,A107)&lt;&gt;1,"编号重复",IF(COUNTIFS('问题总览'!$A$7:$A$306,B107)&lt;&gt;1,"问题引用无效",IF(COUNTIFS('方案版本'!$A$7:$A$306,C107,'方案版本'!$B$7:$B$306,B107,'方案版本'!$L$7:$L$306,"已冻结")&lt;&gt;1,"方案引用无效",IF(OR(NOT(ISNUMBER(D107)),NOT(ISNUMBER(E107)),F107="",G107="",H107="",M107=""),"待补复盘信息",IF(COUNTIFS('更新日志'!$A$7:$A$306,J107,'更新日志'!$B$7:$B$306,B107,'更新日志'!$C$7:$C$306,A107)&lt;&gt;1,"待登记更新单","有效输入"))))))</x:f>
      </x:c>
    </x:row>
    <x:row r="108" ht="25" customHeight="1">
      <x:c r="A108" s="3"/>
      <x:c r="B108" s="3"/>
      <x:c r="C108" s="3"/>
      <x:c r="D108" s="25"/>
      <x:c r="E108" s="25"/>
      <x:c r="F108" s="3"/>
      <x:c r="G108" s="3"/>
      <x:c r="H108" s="3"/>
      <x:c r="I108" s="3"/>
      <x:c r="J108" s="3"/>
      <x:c r="K108" s="3"/>
      <x:c r="L108" s="20"/>
      <x:c r="M108" s="3"/>
      <x:c r="N108" s="19" t="str">
        <x:f>IF(A108="","",IF(COUNTIFS('复盘记录'!$A$7:$A$306,A108)&lt;&gt;1,"编号重复",IF(COUNTIFS('问题总览'!$A$7:$A$306,B108)&lt;&gt;1,"问题引用无效",IF(COUNTIFS('方案版本'!$A$7:$A$306,C108,'方案版本'!$B$7:$B$306,B108,'方案版本'!$L$7:$L$306,"已冻结")&lt;&gt;1,"方案引用无效",IF(OR(NOT(ISNUMBER(D108)),NOT(ISNUMBER(E108)),F108="",G108="",H108="",M108=""),"待补复盘信息",IF(COUNTIFS('更新日志'!$A$7:$A$306,J108,'更新日志'!$B$7:$B$306,B108,'更新日志'!$C$7:$C$306,A108)&lt;&gt;1,"待登记更新单","有效输入"))))))</x:f>
      </x:c>
    </x:row>
    <x:row r="109" ht="25" customHeight="1">
      <x:c r="A109" s="3"/>
      <x:c r="B109" s="3"/>
      <x:c r="C109" s="3"/>
      <x:c r="D109" s="25"/>
      <x:c r="E109" s="25"/>
      <x:c r="F109" s="3"/>
      <x:c r="G109" s="3"/>
      <x:c r="H109" s="3"/>
      <x:c r="I109" s="3"/>
      <x:c r="J109" s="3"/>
      <x:c r="K109" s="3"/>
      <x:c r="L109" s="20"/>
      <x:c r="M109" s="3"/>
      <x:c r="N109" s="19" t="str">
        <x:f>IF(A109="","",IF(COUNTIFS('复盘记录'!$A$7:$A$306,A109)&lt;&gt;1,"编号重复",IF(COUNTIFS('问题总览'!$A$7:$A$306,B109)&lt;&gt;1,"问题引用无效",IF(COUNTIFS('方案版本'!$A$7:$A$306,C109,'方案版本'!$B$7:$B$306,B109,'方案版本'!$L$7:$L$306,"已冻结")&lt;&gt;1,"方案引用无效",IF(OR(NOT(ISNUMBER(D109)),NOT(ISNUMBER(E109)),F109="",G109="",H109="",M109=""),"待补复盘信息",IF(COUNTIFS('更新日志'!$A$7:$A$306,J109,'更新日志'!$B$7:$B$306,B109,'更新日志'!$C$7:$C$306,A109)&lt;&gt;1,"待登记更新单","有效输入"))))))</x:f>
      </x:c>
    </x:row>
    <x:row r="110" ht="25" customHeight="1">
      <x:c r="A110" s="3"/>
      <x:c r="B110" s="3"/>
      <x:c r="C110" s="3"/>
      <x:c r="D110" s="25"/>
      <x:c r="E110" s="25"/>
      <x:c r="F110" s="3"/>
      <x:c r="G110" s="3"/>
      <x:c r="H110" s="3"/>
      <x:c r="I110" s="3"/>
      <x:c r="J110" s="3"/>
      <x:c r="K110" s="3"/>
      <x:c r="L110" s="20"/>
      <x:c r="M110" s="3"/>
      <x:c r="N110" s="19" t="str">
        <x:f>IF(A110="","",IF(COUNTIFS('复盘记录'!$A$7:$A$306,A110)&lt;&gt;1,"编号重复",IF(COUNTIFS('问题总览'!$A$7:$A$306,B110)&lt;&gt;1,"问题引用无效",IF(COUNTIFS('方案版本'!$A$7:$A$306,C110,'方案版本'!$B$7:$B$306,B110,'方案版本'!$L$7:$L$306,"已冻结")&lt;&gt;1,"方案引用无效",IF(OR(NOT(ISNUMBER(D110)),NOT(ISNUMBER(E110)),F110="",G110="",H110="",M110=""),"待补复盘信息",IF(COUNTIFS('更新日志'!$A$7:$A$306,J110,'更新日志'!$B$7:$B$306,B110,'更新日志'!$C$7:$C$306,A110)&lt;&gt;1,"待登记更新单","有效输入"))))))</x:f>
      </x:c>
    </x:row>
    <x:row r="111" ht="25" customHeight="1">
      <x:c r="A111" s="3"/>
      <x:c r="B111" s="3"/>
      <x:c r="C111" s="3"/>
      <x:c r="D111" s="25"/>
      <x:c r="E111" s="25"/>
      <x:c r="F111" s="3"/>
      <x:c r="G111" s="3"/>
      <x:c r="H111" s="3"/>
      <x:c r="I111" s="3"/>
      <x:c r="J111" s="3"/>
      <x:c r="K111" s="3"/>
      <x:c r="L111" s="20"/>
      <x:c r="M111" s="3"/>
      <x:c r="N111" s="19" t="str">
        <x:f>IF(A111="","",IF(COUNTIFS('复盘记录'!$A$7:$A$306,A111)&lt;&gt;1,"编号重复",IF(COUNTIFS('问题总览'!$A$7:$A$306,B111)&lt;&gt;1,"问题引用无效",IF(COUNTIFS('方案版本'!$A$7:$A$306,C111,'方案版本'!$B$7:$B$306,B111,'方案版本'!$L$7:$L$306,"已冻结")&lt;&gt;1,"方案引用无效",IF(OR(NOT(ISNUMBER(D111)),NOT(ISNUMBER(E111)),F111="",G111="",H111="",M111=""),"待补复盘信息",IF(COUNTIFS('更新日志'!$A$7:$A$306,J111,'更新日志'!$B$7:$B$306,B111,'更新日志'!$C$7:$C$306,A111)&lt;&gt;1,"待登记更新单","有效输入"))))))</x:f>
      </x:c>
    </x:row>
    <x:row r="112" ht="25" customHeight="1">
      <x:c r="A112" s="3"/>
      <x:c r="B112" s="3"/>
      <x:c r="C112" s="3"/>
      <x:c r="D112" s="25"/>
      <x:c r="E112" s="25"/>
      <x:c r="F112" s="3"/>
      <x:c r="G112" s="3"/>
      <x:c r="H112" s="3"/>
      <x:c r="I112" s="3"/>
      <x:c r="J112" s="3"/>
      <x:c r="K112" s="3"/>
      <x:c r="L112" s="20"/>
      <x:c r="M112" s="3"/>
      <x:c r="N112" s="19" t="str">
        <x:f>IF(A112="","",IF(COUNTIFS('复盘记录'!$A$7:$A$306,A112)&lt;&gt;1,"编号重复",IF(COUNTIFS('问题总览'!$A$7:$A$306,B112)&lt;&gt;1,"问题引用无效",IF(COUNTIFS('方案版本'!$A$7:$A$306,C112,'方案版本'!$B$7:$B$306,B112,'方案版本'!$L$7:$L$306,"已冻结")&lt;&gt;1,"方案引用无效",IF(OR(NOT(ISNUMBER(D112)),NOT(ISNUMBER(E112)),F112="",G112="",H112="",M112=""),"待补复盘信息",IF(COUNTIFS('更新日志'!$A$7:$A$306,J112,'更新日志'!$B$7:$B$306,B112,'更新日志'!$C$7:$C$306,A112)&lt;&gt;1,"待登记更新单","有效输入"))))))</x:f>
      </x:c>
    </x:row>
    <x:row r="113" ht="25" customHeight="1">
      <x:c r="A113" s="3"/>
      <x:c r="B113" s="3"/>
      <x:c r="C113" s="3"/>
      <x:c r="D113" s="25"/>
      <x:c r="E113" s="25"/>
      <x:c r="F113" s="3"/>
      <x:c r="G113" s="3"/>
      <x:c r="H113" s="3"/>
      <x:c r="I113" s="3"/>
      <x:c r="J113" s="3"/>
      <x:c r="K113" s="3"/>
      <x:c r="L113" s="20"/>
      <x:c r="M113" s="3"/>
      <x:c r="N113" s="19" t="str">
        <x:f>IF(A113="","",IF(COUNTIFS('复盘记录'!$A$7:$A$306,A113)&lt;&gt;1,"编号重复",IF(COUNTIFS('问题总览'!$A$7:$A$306,B113)&lt;&gt;1,"问题引用无效",IF(COUNTIFS('方案版本'!$A$7:$A$306,C113,'方案版本'!$B$7:$B$306,B113,'方案版本'!$L$7:$L$306,"已冻结")&lt;&gt;1,"方案引用无效",IF(OR(NOT(ISNUMBER(D113)),NOT(ISNUMBER(E113)),F113="",G113="",H113="",M113=""),"待补复盘信息",IF(COUNTIFS('更新日志'!$A$7:$A$306,J113,'更新日志'!$B$7:$B$306,B113,'更新日志'!$C$7:$C$306,A113)&lt;&gt;1,"待登记更新单","有效输入"))))))</x:f>
      </x:c>
    </x:row>
    <x:row r="114" ht="25" customHeight="1">
      <x:c r="A114" s="3"/>
      <x:c r="B114" s="3"/>
      <x:c r="C114" s="3"/>
      <x:c r="D114" s="25"/>
      <x:c r="E114" s="25"/>
      <x:c r="F114" s="3"/>
      <x:c r="G114" s="3"/>
      <x:c r="H114" s="3"/>
      <x:c r="I114" s="3"/>
      <x:c r="J114" s="3"/>
      <x:c r="K114" s="3"/>
      <x:c r="L114" s="20"/>
      <x:c r="M114" s="3"/>
      <x:c r="N114" s="19" t="str">
        <x:f>IF(A114="","",IF(COUNTIFS('复盘记录'!$A$7:$A$306,A114)&lt;&gt;1,"编号重复",IF(COUNTIFS('问题总览'!$A$7:$A$306,B114)&lt;&gt;1,"问题引用无效",IF(COUNTIFS('方案版本'!$A$7:$A$306,C114,'方案版本'!$B$7:$B$306,B114,'方案版本'!$L$7:$L$306,"已冻结")&lt;&gt;1,"方案引用无效",IF(OR(NOT(ISNUMBER(D114)),NOT(ISNUMBER(E114)),F114="",G114="",H114="",M114=""),"待补复盘信息",IF(COUNTIFS('更新日志'!$A$7:$A$306,J114,'更新日志'!$B$7:$B$306,B114,'更新日志'!$C$7:$C$306,A114)&lt;&gt;1,"待登记更新单","有效输入"))))))</x:f>
      </x:c>
    </x:row>
    <x:row r="115" ht="25" customHeight="1">
      <x:c r="A115" s="3"/>
      <x:c r="B115" s="3"/>
      <x:c r="C115" s="3"/>
      <x:c r="D115" s="25"/>
      <x:c r="E115" s="25"/>
      <x:c r="F115" s="3"/>
      <x:c r="G115" s="3"/>
      <x:c r="H115" s="3"/>
      <x:c r="I115" s="3"/>
      <x:c r="J115" s="3"/>
      <x:c r="K115" s="3"/>
      <x:c r="L115" s="20"/>
      <x:c r="M115" s="3"/>
      <x:c r="N115" s="19" t="str">
        <x:f>IF(A115="","",IF(COUNTIFS('复盘记录'!$A$7:$A$306,A115)&lt;&gt;1,"编号重复",IF(COUNTIFS('问题总览'!$A$7:$A$306,B115)&lt;&gt;1,"问题引用无效",IF(COUNTIFS('方案版本'!$A$7:$A$306,C115,'方案版本'!$B$7:$B$306,B115,'方案版本'!$L$7:$L$306,"已冻结")&lt;&gt;1,"方案引用无效",IF(OR(NOT(ISNUMBER(D115)),NOT(ISNUMBER(E115)),F115="",G115="",H115="",M115=""),"待补复盘信息",IF(COUNTIFS('更新日志'!$A$7:$A$306,J115,'更新日志'!$B$7:$B$306,B115,'更新日志'!$C$7:$C$306,A115)&lt;&gt;1,"待登记更新单","有效输入"))))))</x:f>
      </x:c>
    </x:row>
    <x:row r="116" ht="25" customHeight="1">
      <x:c r="A116" s="3"/>
      <x:c r="B116" s="3"/>
      <x:c r="C116" s="3"/>
      <x:c r="D116" s="25"/>
      <x:c r="E116" s="25"/>
      <x:c r="F116" s="3"/>
      <x:c r="G116" s="3"/>
      <x:c r="H116" s="3"/>
      <x:c r="I116" s="3"/>
      <x:c r="J116" s="3"/>
      <x:c r="K116" s="3"/>
      <x:c r="L116" s="20"/>
      <x:c r="M116" s="3"/>
      <x:c r="N116" s="19" t="str">
        <x:f>IF(A116="","",IF(COUNTIFS('复盘记录'!$A$7:$A$306,A116)&lt;&gt;1,"编号重复",IF(COUNTIFS('问题总览'!$A$7:$A$306,B116)&lt;&gt;1,"问题引用无效",IF(COUNTIFS('方案版本'!$A$7:$A$306,C116,'方案版本'!$B$7:$B$306,B116,'方案版本'!$L$7:$L$306,"已冻结")&lt;&gt;1,"方案引用无效",IF(OR(NOT(ISNUMBER(D116)),NOT(ISNUMBER(E116)),F116="",G116="",H116="",M116=""),"待补复盘信息",IF(COUNTIFS('更新日志'!$A$7:$A$306,J116,'更新日志'!$B$7:$B$306,B116,'更新日志'!$C$7:$C$306,A116)&lt;&gt;1,"待登记更新单","有效输入"))))))</x:f>
      </x:c>
    </x:row>
    <x:row r="117" ht="25" customHeight="1">
      <x:c r="A117" s="3"/>
      <x:c r="B117" s="3"/>
      <x:c r="C117" s="3"/>
      <x:c r="D117" s="25"/>
      <x:c r="E117" s="25"/>
      <x:c r="F117" s="3"/>
      <x:c r="G117" s="3"/>
      <x:c r="H117" s="3"/>
      <x:c r="I117" s="3"/>
      <x:c r="J117" s="3"/>
      <x:c r="K117" s="3"/>
      <x:c r="L117" s="20"/>
      <x:c r="M117" s="3"/>
      <x:c r="N117" s="19" t="str">
        <x:f>IF(A117="","",IF(COUNTIFS('复盘记录'!$A$7:$A$306,A117)&lt;&gt;1,"编号重复",IF(COUNTIFS('问题总览'!$A$7:$A$306,B117)&lt;&gt;1,"问题引用无效",IF(COUNTIFS('方案版本'!$A$7:$A$306,C117,'方案版本'!$B$7:$B$306,B117,'方案版本'!$L$7:$L$306,"已冻结")&lt;&gt;1,"方案引用无效",IF(OR(NOT(ISNUMBER(D117)),NOT(ISNUMBER(E117)),F117="",G117="",H117="",M117=""),"待补复盘信息",IF(COUNTIFS('更新日志'!$A$7:$A$306,J117,'更新日志'!$B$7:$B$306,B117,'更新日志'!$C$7:$C$306,A117)&lt;&gt;1,"待登记更新单","有效输入"))))))</x:f>
      </x:c>
    </x:row>
    <x:row r="118" ht="25" customHeight="1">
      <x:c r="A118" s="3"/>
      <x:c r="B118" s="3"/>
      <x:c r="C118" s="3"/>
      <x:c r="D118" s="25"/>
      <x:c r="E118" s="25"/>
      <x:c r="F118" s="3"/>
      <x:c r="G118" s="3"/>
      <x:c r="H118" s="3"/>
      <x:c r="I118" s="3"/>
      <x:c r="J118" s="3"/>
      <x:c r="K118" s="3"/>
      <x:c r="L118" s="20"/>
      <x:c r="M118" s="3"/>
      <x:c r="N118" s="19" t="str">
        <x:f>IF(A118="","",IF(COUNTIFS('复盘记录'!$A$7:$A$306,A118)&lt;&gt;1,"编号重复",IF(COUNTIFS('问题总览'!$A$7:$A$306,B118)&lt;&gt;1,"问题引用无效",IF(COUNTIFS('方案版本'!$A$7:$A$306,C118,'方案版本'!$B$7:$B$306,B118,'方案版本'!$L$7:$L$306,"已冻结")&lt;&gt;1,"方案引用无效",IF(OR(NOT(ISNUMBER(D118)),NOT(ISNUMBER(E118)),F118="",G118="",H118="",M118=""),"待补复盘信息",IF(COUNTIFS('更新日志'!$A$7:$A$306,J118,'更新日志'!$B$7:$B$306,B118,'更新日志'!$C$7:$C$306,A118)&lt;&gt;1,"待登记更新单","有效输入"))))))</x:f>
      </x:c>
    </x:row>
    <x:row r="119" ht="25" customHeight="1">
      <x:c r="A119" s="3"/>
      <x:c r="B119" s="3"/>
      <x:c r="C119" s="3"/>
      <x:c r="D119" s="25"/>
      <x:c r="E119" s="25"/>
      <x:c r="F119" s="3"/>
      <x:c r="G119" s="3"/>
      <x:c r="H119" s="3"/>
      <x:c r="I119" s="3"/>
      <x:c r="J119" s="3"/>
      <x:c r="K119" s="3"/>
      <x:c r="L119" s="20"/>
      <x:c r="M119" s="3"/>
      <x:c r="N119" s="19" t="str">
        <x:f>IF(A119="","",IF(COUNTIFS('复盘记录'!$A$7:$A$306,A119)&lt;&gt;1,"编号重复",IF(COUNTIFS('问题总览'!$A$7:$A$306,B119)&lt;&gt;1,"问题引用无效",IF(COUNTIFS('方案版本'!$A$7:$A$306,C119,'方案版本'!$B$7:$B$306,B119,'方案版本'!$L$7:$L$306,"已冻结")&lt;&gt;1,"方案引用无效",IF(OR(NOT(ISNUMBER(D119)),NOT(ISNUMBER(E119)),F119="",G119="",H119="",M119=""),"待补复盘信息",IF(COUNTIFS('更新日志'!$A$7:$A$306,J119,'更新日志'!$B$7:$B$306,B119,'更新日志'!$C$7:$C$306,A119)&lt;&gt;1,"待登记更新单","有效输入"))))))</x:f>
      </x:c>
    </x:row>
    <x:row r="120" ht="25" customHeight="1">
      <x:c r="A120" s="3"/>
      <x:c r="B120" s="3"/>
      <x:c r="C120" s="3"/>
      <x:c r="D120" s="25"/>
      <x:c r="E120" s="25"/>
      <x:c r="F120" s="3"/>
      <x:c r="G120" s="3"/>
      <x:c r="H120" s="3"/>
      <x:c r="I120" s="3"/>
      <x:c r="J120" s="3"/>
      <x:c r="K120" s="3"/>
      <x:c r="L120" s="20"/>
      <x:c r="M120" s="3"/>
      <x:c r="N120" s="19" t="str">
        <x:f>IF(A120="","",IF(COUNTIFS('复盘记录'!$A$7:$A$306,A120)&lt;&gt;1,"编号重复",IF(COUNTIFS('问题总览'!$A$7:$A$306,B120)&lt;&gt;1,"问题引用无效",IF(COUNTIFS('方案版本'!$A$7:$A$306,C120,'方案版本'!$B$7:$B$306,B120,'方案版本'!$L$7:$L$306,"已冻结")&lt;&gt;1,"方案引用无效",IF(OR(NOT(ISNUMBER(D120)),NOT(ISNUMBER(E120)),F120="",G120="",H120="",M120=""),"待补复盘信息",IF(COUNTIFS('更新日志'!$A$7:$A$306,J120,'更新日志'!$B$7:$B$306,B120,'更新日志'!$C$7:$C$306,A120)&lt;&gt;1,"待登记更新单","有效输入"))))))</x:f>
      </x:c>
    </x:row>
    <x:row r="121" ht="25" customHeight="1">
      <x:c r="A121" s="3"/>
      <x:c r="B121" s="3"/>
      <x:c r="C121" s="3"/>
      <x:c r="D121" s="25"/>
      <x:c r="E121" s="25"/>
      <x:c r="F121" s="3"/>
      <x:c r="G121" s="3"/>
      <x:c r="H121" s="3"/>
      <x:c r="I121" s="3"/>
      <x:c r="J121" s="3"/>
      <x:c r="K121" s="3"/>
      <x:c r="L121" s="20"/>
      <x:c r="M121" s="3"/>
      <x:c r="N121" s="19" t="str">
        <x:f>IF(A121="","",IF(COUNTIFS('复盘记录'!$A$7:$A$306,A121)&lt;&gt;1,"编号重复",IF(COUNTIFS('问题总览'!$A$7:$A$306,B121)&lt;&gt;1,"问题引用无效",IF(COUNTIFS('方案版本'!$A$7:$A$306,C121,'方案版本'!$B$7:$B$306,B121,'方案版本'!$L$7:$L$306,"已冻结")&lt;&gt;1,"方案引用无效",IF(OR(NOT(ISNUMBER(D121)),NOT(ISNUMBER(E121)),F121="",G121="",H121="",M121=""),"待补复盘信息",IF(COUNTIFS('更新日志'!$A$7:$A$306,J121,'更新日志'!$B$7:$B$306,B121,'更新日志'!$C$7:$C$306,A121)&lt;&gt;1,"待登记更新单","有效输入"))))))</x:f>
      </x:c>
    </x:row>
    <x:row r="122" ht="25" customHeight="1">
      <x:c r="A122" s="3"/>
      <x:c r="B122" s="3"/>
      <x:c r="C122" s="3"/>
      <x:c r="D122" s="25"/>
      <x:c r="E122" s="25"/>
      <x:c r="F122" s="3"/>
      <x:c r="G122" s="3"/>
      <x:c r="H122" s="3"/>
      <x:c r="I122" s="3"/>
      <x:c r="J122" s="3"/>
      <x:c r="K122" s="3"/>
      <x:c r="L122" s="20"/>
      <x:c r="M122" s="3"/>
      <x:c r="N122" s="19" t="str">
        <x:f>IF(A122="","",IF(COUNTIFS('复盘记录'!$A$7:$A$306,A122)&lt;&gt;1,"编号重复",IF(COUNTIFS('问题总览'!$A$7:$A$306,B122)&lt;&gt;1,"问题引用无效",IF(COUNTIFS('方案版本'!$A$7:$A$306,C122,'方案版本'!$B$7:$B$306,B122,'方案版本'!$L$7:$L$306,"已冻结")&lt;&gt;1,"方案引用无效",IF(OR(NOT(ISNUMBER(D122)),NOT(ISNUMBER(E122)),F122="",G122="",H122="",M122=""),"待补复盘信息",IF(COUNTIFS('更新日志'!$A$7:$A$306,J122,'更新日志'!$B$7:$B$306,B122,'更新日志'!$C$7:$C$306,A122)&lt;&gt;1,"待登记更新单","有效输入"))))))</x:f>
      </x:c>
    </x:row>
    <x:row r="123" ht="25" customHeight="1">
      <x:c r="A123" s="3"/>
      <x:c r="B123" s="3"/>
      <x:c r="C123" s="3"/>
      <x:c r="D123" s="25"/>
      <x:c r="E123" s="25"/>
      <x:c r="F123" s="3"/>
      <x:c r="G123" s="3"/>
      <x:c r="H123" s="3"/>
      <x:c r="I123" s="3"/>
      <x:c r="J123" s="3"/>
      <x:c r="K123" s="3"/>
      <x:c r="L123" s="20"/>
      <x:c r="M123" s="3"/>
      <x:c r="N123" s="19" t="str">
        <x:f>IF(A123="","",IF(COUNTIFS('复盘记录'!$A$7:$A$306,A123)&lt;&gt;1,"编号重复",IF(COUNTIFS('问题总览'!$A$7:$A$306,B123)&lt;&gt;1,"问题引用无效",IF(COUNTIFS('方案版本'!$A$7:$A$306,C123,'方案版本'!$B$7:$B$306,B123,'方案版本'!$L$7:$L$306,"已冻结")&lt;&gt;1,"方案引用无效",IF(OR(NOT(ISNUMBER(D123)),NOT(ISNUMBER(E123)),F123="",G123="",H123="",M123=""),"待补复盘信息",IF(COUNTIFS('更新日志'!$A$7:$A$306,J123,'更新日志'!$B$7:$B$306,B123,'更新日志'!$C$7:$C$306,A123)&lt;&gt;1,"待登记更新单","有效输入"))))))</x:f>
      </x:c>
    </x:row>
    <x:row r="124" ht="25" customHeight="1">
      <x:c r="A124" s="3"/>
      <x:c r="B124" s="3"/>
      <x:c r="C124" s="3"/>
      <x:c r="D124" s="25"/>
      <x:c r="E124" s="25"/>
      <x:c r="F124" s="3"/>
      <x:c r="G124" s="3"/>
      <x:c r="H124" s="3"/>
      <x:c r="I124" s="3"/>
      <x:c r="J124" s="3"/>
      <x:c r="K124" s="3"/>
      <x:c r="L124" s="20"/>
      <x:c r="M124" s="3"/>
      <x:c r="N124" s="19" t="str">
        <x:f>IF(A124="","",IF(COUNTIFS('复盘记录'!$A$7:$A$306,A124)&lt;&gt;1,"编号重复",IF(COUNTIFS('问题总览'!$A$7:$A$306,B124)&lt;&gt;1,"问题引用无效",IF(COUNTIFS('方案版本'!$A$7:$A$306,C124,'方案版本'!$B$7:$B$306,B124,'方案版本'!$L$7:$L$306,"已冻结")&lt;&gt;1,"方案引用无效",IF(OR(NOT(ISNUMBER(D124)),NOT(ISNUMBER(E124)),F124="",G124="",H124="",M124=""),"待补复盘信息",IF(COUNTIFS('更新日志'!$A$7:$A$306,J124,'更新日志'!$B$7:$B$306,B124,'更新日志'!$C$7:$C$306,A124)&lt;&gt;1,"待登记更新单","有效输入"))))))</x:f>
      </x:c>
    </x:row>
    <x:row r="125" ht="25" customHeight="1">
      <x:c r="A125" s="3"/>
      <x:c r="B125" s="3"/>
      <x:c r="C125" s="3"/>
      <x:c r="D125" s="25"/>
      <x:c r="E125" s="25"/>
      <x:c r="F125" s="3"/>
      <x:c r="G125" s="3"/>
      <x:c r="H125" s="3"/>
      <x:c r="I125" s="3"/>
      <x:c r="J125" s="3"/>
      <x:c r="K125" s="3"/>
      <x:c r="L125" s="20"/>
      <x:c r="M125" s="3"/>
      <x:c r="N125" s="19" t="str">
        <x:f>IF(A125="","",IF(COUNTIFS('复盘记录'!$A$7:$A$306,A125)&lt;&gt;1,"编号重复",IF(COUNTIFS('问题总览'!$A$7:$A$306,B125)&lt;&gt;1,"问题引用无效",IF(COUNTIFS('方案版本'!$A$7:$A$306,C125,'方案版本'!$B$7:$B$306,B125,'方案版本'!$L$7:$L$306,"已冻结")&lt;&gt;1,"方案引用无效",IF(OR(NOT(ISNUMBER(D125)),NOT(ISNUMBER(E125)),F125="",G125="",H125="",M125=""),"待补复盘信息",IF(COUNTIFS('更新日志'!$A$7:$A$306,J125,'更新日志'!$B$7:$B$306,B125,'更新日志'!$C$7:$C$306,A125)&lt;&gt;1,"待登记更新单","有效输入"))))))</x:f>
      </x:c>
    </x:row>
    <x:row r="126" ht="25" customHeight="1">
      <x:c r="A126" s="3"/>
      <x:c r="B126" s="3"/>
      <x:c r="C126" s="3"/>
      <x:c r="D126" s="25"/>
      <x:c r="E126" s="25"/>
      <x:c r="F126" s="3"/>
      <x:c r="G126" s="3"/>
      <x:c r="H126" s="3"/>
      <x:c r="I126" s="3"/>
      <x:c r="J126" s="3"/>
      <x:c r="K126" s="3"/>
      <x:c r="L126" s="20"/>
      <x:c r="M126" s="3"/>
      <x:c r="N126" s="19" t="str">
        <x:f>IF(A126="","",IF(COUNTIFS('复盘记录'!$A$7:$A$306,A126)&lt;&gt;1,"编号重复",IF(COUNTIFS('问题总览'!$A$7:$A$306,B126)&lt;&gt;1,"问题引用无效",IF(COUNTIFS('方案版本'!$A$7:$A$306,C126,'方案版本'!$B$7:$B$306,B126,'方案版本'!$L$7:$L$306,"已冻结")&lt;&gt;1,"方案引用无效",IF(OR(NOT(ISNUMBER(D126)),NOT(ISNUMBER(E126)),F126="",G126="",H126="",M126=""),"待补复盘信息",IF(COUNTIFS('更新日志'!$A$7:$A$306,J126,'更新日志'!$B$7:$B$306,B126,'更新日志'!$C$7:$C$306,A126)&lt;&gt;1,"待登记更新单","有效输入"))))))</x:f>
      </x:c>
    </x:row>
    <x:row r="127" ht="25" customHeight="1">
      <x:c r="A127" s="3"/>
      <x:c r="B127" s="3"/>
      <x:c r="C127" s="3"/>
      <x:c r="D127" s="25"/>
      <x:c r="E127" s="25"/>
      <x:c r="F127" s="3"/>
      <x:c r="G127" s="3"/>
      <x:c r="H127" s="3"/>
      <x:c r="I127" s="3"/>
      <x:c r="J127" s="3"/>
      <x:c r="K127" s="3"/>
      <x:c r="L127" s="20"/>
      <x:c r="M127" s="3"/>
      <x:c r="N127" s="19" t="str">
        <x:f>IF(A127="","",IF(COUNTIFS('复盘记录'!$A$7:$A$306,A127)&lt;&gt;1,"编号重复",IF(COUNTIFS('问题总览'!$A$7:$A$306,B127)&lt;&gt;1,"问题引用无效",IF(COUNTIFS('方案版本'!$A$7:$A$306,C127,'方案版本'!$B$7:$B$306,B127,'方案版本'!$L$7:$L$306,"已冻结")&lt;&gt;1,"方案引用无效",IF(OR(NOT(ISNUMBER(D127)),NOT(ISNUMBER(E127)),F127="",G127="",H127="",M127=""),"待补复盘信息",IF(COUNTIFS('更新日志'!$A$7:$A$306,J127,'更新日志'!$B$7:$B$306,B127,'更新日志'!$C$7:$C$306,A127)&lt;&gt;1,"待登记更新单","有效输入"))))))</x:f>
      </x:c>
    </x:row>
    <x:row r="128" ht="25" customHeight="1">
      <x:c r="A128" s="3"/>
      <x:c r="B128" s="3"/>
      <x:c r="C128" s="3"/>
      <x:c r="D128" s="25"/>
      <x:c r="E128" s="25"/>
      <x:c r="F128" s="3"/>
      <x:c r="G128" s="3"/>
      <x:c r="H128" s="3"/>
      <x:c r="I128" s="3"/>
      <x:c r="J128" s="3"/>
      <x:c r="K128" s="3"/>
      <x:c r="L128" s="20"/>
      <x:c r="M128" s="3"/>
      <x:c r="N128" s="19" t="str">
        <x:f>IF(A128="","",IF(COUNTIFS('复盘记录'!$A$7:$A$306,A128)&lt;&gt;1,"编号重复",IF(COUNTIFS('问题总览'!$A$7:$A$306,B128)&lt;&gt;1,"问题引用无效",IF(COUNTIFS('方案版本'!$A$7:$A$306,C128,'方案版本'!$B$7:$B$306,B128,'方案版本'!$L$7:$L$306,"已冻结")&lt;&gt;1,"方案引用无效",IF(OR(NOT(ISNUMBER(D128)),NOT(ISNUMBER(E128)),F128="",G128="",H128="",M128=""),"待补复盘信息",IF(COUNTIFS('更新日志'!$A$7:$A$306,J128,'更新日志'!$B$7:$B$306,B128,'更新日志'!$C$7:$C$306,A128)&lt;&gt;1,"待登记更新单","有效输入"))))))</x:f>
      </x:c>
    </x:row>
    <x:row r="129" ht="25" customHeight="1">
      <x:c r="A129" s="3"/>
      <x:c r="B129" s="3"/>
      <x:c r="C129" s="3"/>
      <x:c r="D129" s="25"/>
      <x:c r="E129" s="25"/>
      <x:c r="F129" s="3"/>
      <x:c r="G129" s="3"/>
      <x:c r="H129" s="3"/>
      <x:c r="I129" s="3"/>
      <x:c r="J129" s="3"/>
      <x:c r="K129" s="3"/>
      <x:c r="L129" s="20"/>
      <x:c r="M129" s="3"/>
      <x:c r="N129" s="19" t="str">
        <x:f>IF(A129="","",IF(COUNTIFS('复盘记录'!$A$7:$A$306,A129)&lt;&gt;1,"编号重复",IF(COUNTIFS('问题总览'!$A$7:$A$306,B129)&lt;&gt;1,"问题引用无效",IF(COUNTIFS('方案版本'!$A$7:$A$306,C129,'方案版本'!$B$7:$B$306,B129,'方案版本'!$L$7:$L$306,"已冻结")&lt;&gt;1,"方案引用无效",IF(OR(NOT(ISNUMBER(D129)),NOT(ISNUMBER(E129)),F129="",G129="",H129="",M129=""),"待补复盘信息",IF(COUNTIFS('更新日志'!$A$7:$A$306,J129,'更新日志'!$B$7:$B$306,B129,'更新日志'!$C$7:$C$306,A129)&lt;&gt;1,"待登记更新单","有效输入"))))))</x:f>
      </x:c>
    </x:row>
    <x:row r="130" ht="25" customHeight="1">
      <x:c r="A130" s="3"/>
      <x:c r="B130" s="3"/>
      <x:c r="C130" s="3"/>
      <x:c r="D130" s="25"/>
      <x:c r="E130" s="25"/>
      <x:c r="F130" s="3"/>
      <x:c r="G130" s="3"/>
      <x:c r="H130" s="3"/>
      <x:c r="I130" s="3"/>
      <x:c r="J130" s="3"/>
      <x:c r="K130" s="3"/>
      <x:c r="L130" s="20"/>
      <x:c r="M130" s="3"/>
      <x:c r="N130" s="19" t="str">
        <x:f>IF(A130="","",IF(COUNTIFS('复盘记录'!$A$7:$A$306,A130)&lt;&gt;1,"编号重复",IF(COUNTIFS('问题总览'!$A$7:$A$306,B130)&lt;&gt;1,"问题引用无效",IF(COUNTIFS('方案版本'!$A$7:$A$306,C130,'方案版本'!$B$7:$B$306,B130,'方案版本'!$L$7:$L$306,"已冻结")&lt;&gt;1,"方案引用无效",IF(OR(NOT(ISNUMBER(D130)),NOT(ISNUMBER(E130)),F130="",G130="",H130="",M130=""),"待补复盘信息",IF(COUNTIFS('更新日志'!$A$7:$A$306,J130,'更新日志'!$B$7:$B$306,B130,'更新日志'!$C$7:$C$306,A130)&lt;&gt;1,"待登记更新单","有效输入"))))))</x:f>
      </x:c>
    </x:row>
    <x:row r="131" ht="25" customHeight="1">
      <x:c r="A131" s="3"/>
      <x:c r="B131" s="3"/>
      <x:c r="C131" s="3"/>
      <x:c r="D131" s="25"/>
      <x:c r="E131" s="25"/>
      <x:c r="F131" s="3"/>
      <x:c r="G131" s="3"/>
      <x:c r="H131" s="3"/>
      <x:c r="I131" s="3"/>
      <x:c r="J131" s="3"/>
      <x:c r="K131" s="3"/>
      <x:c r="L131" s="20"/>
      <x:c r="M131" s="3"/>
      <x:c r="N131" s="19" t="str">
        <x:f>IF(A131="","",IF(COUNTIFS('复盘记录'!$A$7:$A$306,A131)&lt;&gt;1,"编号重复",IF(COUNTIFS('问题总览'!$A$7:$A$306,B131)&lt;&gt;1,"问题引用无效",IF(COUNTIFS('方案版本'!$A$7:$A$306,C131,'方案版本'!$B$7:$B$306,B131,'方案版本'!$L$7:$L$306,"已冻结")&lt;&gt;1,"方案引用无效",IF(OR(NOT(ISNUMBER(D131)),NOT(ISNUMBER(E131)),F131="",G131="",H131="",M131=""),"待补复盘信息",IF(COUNTIFS('更新日志'!$A$7:$A$306,J131,'更新日志'!$B$7:$B$306,B131,'更新日志'!$C$7:$C$306,A131)&lt;&gt;1,"待登记更新单","有效输入"))))))</x:f>
      </x:c>
    </x:row>
    <x:row r="132" ht="25" customHeight="1">
      <x:c r="A132" s="3"/>
      <x:c r="B132" s="3"/>
      <x:c r="C132" s="3"/>
      <x:c r="D132" s="25"/>
      <x:c r="E132" s="25"/>
      <x:c r="F132" s="3"/>
      <x:c r="G132" s="3"/>
      <x:c r="H132" s="3"/>
      <x:c r="I132" s="3"/>
      <x:c r="J132" s="3"/>
      <x:c r="K132" s="3"/>
      <x:c r="L132" s="20"/>
      <x:c r="M132" s="3"/>
      <x:c r="N132" s="19" t="str">
        <x:f>IF(A132="","",IF(COUNTIFS('复盘记录'!$A$7:$A$306,A132)&lt;&gt;1,"编号重复",IF(COUNTIFS('问题总览'!$A$7:$A$306,B132)&lt;&gt;1,"问题引用无效",IF(COUNTIFS('方案版本'!$A$7:$A$306,C132,'方案版本'!$B$7:$B$306,B132,'方案版本'!$L$7:$L$306,"已冻结")&lt;&gt;1,"方案引用无效",IF(OR(NOT(ISNUMBER(D132)),NOT(ISNUMBER(E132)),F132="",G132="",H132="",M132=""),"待补复盘信息",IF(COUNTIFS('更新日志'!$A$7:$A$306,J132,'更新日志'!$B$7:$B$306,B132,'更新日志'!$C$7:$C$306,A132)&lt;&gt;1,"待登记更新单","有效输入"))))))</x:f>
      </x:c>
    </x:row>
    <x:row r="133" ht="25" customHeight="1">
      <x:c r="A133" s="3"/>
      <x:c r="B133" s="3"/>
      <x:c r="C133" s="3"/>
      <x:c r="D133" s="25"/>
      <x:c r="E133" s="25"/>
      <x:c r="F133" s="3"/>
      <x:c r="G133" s="3"/>
      <x:c r="H133" s="3"/>
      <x:c r="I133" s="3"/>
      <x:c r="J133" s="3"/>
      <x:c r="K133" s="3"/>
      <x:c r="L133" s="20"/>
      <x:c r="M133" s="3"/>
      <x:c r="N133" s="19" t="str">
        <x:f>IF(A133="","",IF(COUNTIFS('复盘记录'!$A$7:$A$306,A133)&lt;&gt;1,"编号重复",IF(COUNTIFS('问题总览'!$A$7:$A$306,B133)&lt;&gt;1,"问题引用无效",IF(COUNTIFS('方案版本'!$A$7:$A$306,C133,'方案版本'!$B$7:$B$306,B133,'方案版本'!$L$7:$L$306,"已冻结")&lt;&gt;1,"方案引用无效",IF(OR(NOT(ISNUMBER(D133)),NOT(ISNUMBER(E133)),F133="",G133="",H133="",M133=""),"待补复盘信息",IF(COUNTIFS('更新日志'!$A$7:$A$306,J133,'更新日志'!$B$7:$B$306,B133,'更新日志'!$C$7:$C$306,A133)&lt;&gt;1,"待登记更新单","有效输入"))))))</x:f>
      </x:c>
    </x:row>
    <x:row r="134" ht="25" customHeight="1">
      <x:c r="A134" s="3"/>
      <x:c r="B134" s="3"/>
      <x:c r="C134" s="3"/>
      <x:c r="D134" s="25"/>
      <x:c r="E134" s="25"/>
      <x:c r="F134" s="3"/>
      <x:c r="G134" s="3"/>
      <x:c r="H134" s="3"/>
      <x:c r="I134" s="3"/>
      <x:c r="J134" s="3"/>
      <x:c r="K134" s="3"/>
      <x:c r="L134" s="20"/>
      <x:c r="M134" s="3"/>
      <x:c r="N134" s="19" t="str">
        <x:f>IF(A134="","",IF(COUNTIFS('复盘记录'!$A$7:$A$306,A134)&lt;&gt;1,"编号重复",IF(COUNTIFS('问题总览'!$A$7:$A$306,B134)&lt;&gt;1,"问题引用无效",IF(COUNTIFS('方案版本'!$A$7:$A$306,C134,'方案版本'!$B$7:$B$306,B134,'方案版本'!$L$7:$L$306,"已冻结")&lt;&gt;1,"方案引用无效",IF(OR(NOT(ISNUMBER(D134)),NOT(ISNUMBER(E134)),F134="",G134="",H134="",M134=""),"待补复盘信息",IF(COUNTIFS('更新日志'!$A$7:$A$306,J134,'更新日志'!$B$7:$B$306,B134,'更新日志'!$C$7:$C$306,A134)&lt;&gt;1,"待登记更新单","有效输入"))))))</x:f>
      </x:c>
    </x:row>
    <x:row r="135" ht="25" customHeight="1">
      <x:c r="A135" s="3"/>
      <x:c r="B135" s="3"/>
      <x:c r="C135" s="3"/>
      <x:c r="D135" s="25"/>
      <x:c r="E135" s="25"/>
      <x:c r="F135" s="3"/>
      <x:c r="G135" s="3"/>
      <x:c r="H135" s="3"/>
      <x:c r="I135" s="3"/>
      <x:c r="J135" s="3"/>
      <x:c r="K135" s="3"/>
      <x:c r="L135" s="20"/>
      <x:c r="M135" s="3"/>
      <x:c r="N135" s="19" t="str">
        <x:f>IF(A135="","",IF(COUNTIFS('复盘记录'!$A$7:$A$306,A135)&lt;&gt;1,"编号重复",IF(COUNTIFS('问题总览'!$A$7:$A$306,B135)&lt;&gt;1,"问题引用无效",IF(COUNTIFS('方案版本'!$A$7:$A$306,C135,'方案版本'!$B$7:$B$306,B135,'方案版本'!$L$7:$L$306,"已冻结")&lt;&gt;1,"方案引用无效",IF(OR(NOT(ISNUMBER(D135)),NOT(ISNUMBER(E135)),F135="",G135="",H135="",M135=""),"待补复盘信息",IF(COUNTIFS('更新日志'!$A$7:$A$306,J135,'更新日志'!$B$7:$B$306,B135,'更新日志'!$C$7:$C$306,A135)&lt;&gt;1,"待登记更新单","有效输入"))))))</x:f>
      </x:c>
    </x:row>
    <x:row r="136" ht="25" customHeight="1">
      <x:c r="A136" s="3"/>
      <x:c r="B136" s="3"/>
      <x:c r="C136" s="3"/>
      <x:c r="D136" s="25"/>
      <x:c r="E136" s="25"/>
      <x:c r="F136" s="3"/>
      <x:c r="G136" s="3"/>
      <x:c r="H136" s="3"/>
      <x:c r="I136" s="3"/>
      <x:c r="J136" s="3"/>
      <x:c r="K136" s="3"/>
      <x:c r="L136" s="20"/>
      <x:c r="M136" s="3"/>
      <x:c r="N136" s="19" t="str">
        <x:f>IF(A136="","",IF(COUNTIFS('复盘记录'!$A$7:$A$306,A136)&lt;&gt;1,"编号重复",IF(COUNTIFS('问题总览'!$A$7:$A$306,B136)&lt;&gt;1,"问题引用无效",IF(COUNTIFS('方案版本'!$A$7:$A$306,C136,'方案版本'!$B$7:$B$306,B136,'方案版本'!$L$7:$L$306,"已冻结")&lt;&gt;1,"方案引用无效",IF(OR(NOT(ISNUMBER(D136)),NOT(ISNUMBER(E136)),F136="",G136="",H136="",M136=""),"待补复盘信息",IF(COUNTIFS('更新日志'!$A$7:$A$306,J136,'更新日志'!$B$7:$B$306,B136,'更新日志'!$C$7:$C$306,A136)&lt;&gt;1,"待登记更新单","有效输入"))))))</x:f>
      </x:c>
    </x:row>
    <x:row r="137" ht="25" customHeight="1">
      <x:c r="A137" s="3"/>
      <x:c r="B137" s="3"/>
      <x:c r="C137" s="3"/>
      <x:c r="D137" s="25"/>
      <x:c r="E137" s="25"/>
      <x:c r="F137" s="3"/>
      <x:c r="G137" s="3"/>
      <x:c r="H137" s="3"/>
      <x:c r="I137" s="3"/>
      <x:c r="J137" s="3"/>
      <x:c r="K137" s="3"/>
      <x:c r="L137" s="20"/>
      <x:c r="M137" s="3"/>
      <x:c r="N137" s="19" t="str">
        <x:f>IF(A137="","",IF(COUNTIFS('复盘记录'!$A$7:$A$306,A137)&lt;&gt;1,"编号重复",IF(COUNTIFS('问题总览'!$A$7:$A$306,B137)&lt;&gt;1,"问题引用无效",IF(COUNTIFS('方案版本'!$A$7:$A$306,C137,'方案版本'!$B$7:$B$306,B137,'方案版本'!$L$7:$L$306,"已冻结")&lt;&gt;1,"方案引用无效",IF(OR(NOT(ISNUMBER(D137)),NOT(ISNUMBER(E137)),F137="",G137="",H137="",M137=""),"待补复盘信息",IF(COUNTIFS('更新日志'!$A$7:$A$306,J137,'更新日志'!$B$7:$B$306,B137,'更新日志'!$C$7:$C$306,A137)&lt;&gt;1,"待登记更新单","有效输入"))))))</x:f>
      </x:c>
    </x:row>
    <x:row r="138" ht="25" customHeight="1">
      <x:c r="A138" s="3"/>
      <x:c r="B138" s="3"/>
      <x:c r="C138" s="3"/>
      <x:c r="D138" s="25"/>
      <x:c r="E138" s="25"/>
      <x:c r="F138" s="3"/>
      <x:c r="G138" s="3"/>
      <x:c r="H138" s="3"/>
      <x:c r="I138" s="3"/>
      <x:c r="J138" s="3"/>
      <x:c r="K138" s="3"/>
      <x:c r="L138" s="20"/>
      <x:c r="M138" s="3"/>
      <x:c r="N138" s="19" t="str">
        <x:f>IF(A138="","",IF(COUNTIFS('复盘记录'!$A$7:$A$306,A138)&lt;&gt;1,"编号重复",IF(COUNTIFS('问题总览'!$A$7:$A$306,B138)&lt;&gt;1,"问题引用无效",IF(COUNTIFS('方案版本'!$A$7:$A$306,C138,'方案版本'!$B$7:$B$306,B138,'方案版本'!$L$7:$L$306,"已冻结")&lt;&gt;1,"方案引用无效",IF(OR(NOT(ISNUMBER(D138)),NOT(ISNUMBER(E138)),F138="",G138="",H138="",M138=""),"待补复盘信息",IF(COUNTIFS('更新日志'!$A$7:$A$306,J138,'更新日志'!$B$7:$B$306,B138,'更新日志'!$C$7:$C$306,A138)&lt;&gt;1,"待登记更新单","有效输入"))))))</x:f>
      </x:c>
    </x:row>
    <x:row r="139" ht="25" customHeight="1">
      <x:c r="A139" s="3"/>
      <x:c r="B139" s="3"/>
      <x:c r="C139" s="3"/>
      <x:c r="D139" s="25"/>
      <x:c r="E139" s="25"/>
      <x:c r="F139" s="3"/>
      <x:c r="G139" s="3"/>
      <x:c r="H139" s="3"/>
      <x:c r="I139" s="3"/>
      <x:c r="J139" s="3"/>
      <x:c r="K139" s="3"/>
      <x:c r="L139" s="20"/>
      <x:c r="M139" s="3"/>
      <x:c r="N139" s="19" t="str">
        <x:f>IF(A139="","",IF(COUNTIFS('复盘记录'!$A$7:$A$306,A139)&lt;&gt;1,"编号重复",IF(COUNTIFS('问题总览'!$A$7:$A$306,B139)&lt;&gt;1,"问题引用无效",IF(COUNTIFS('方案版本'!$A$7:$A$306,C139,'方案版本'!$B$7:$B$306,B139,'方案版本'!$L$7:$L$306,"已冻结")&lt;&gt;1,"方案引用无效",IF(OR(NOT(ISNUMBER(D139)),NOT(ISNUMBER(E139)),F139="",G139="",H139="",M139=""),"待补复盘信息",IF(COUNTIFS('更新日志'!$A$7:$A$306,J139,'更新日志'!$B$7:$B$306,B139,'更新日志'!$C$7:$C$306,A139)&lt;&gt;1,"待登记更新单","有效输入"))))))</x:f>
      </x:c>
    </x:row>
    <x:row r="140" ht="25" customHeight="1">
      <x:c r="A140" s="3"/>
      <x:c r="B140" s="3"/>
      <x:c r="C140" s="3"/>
      <x:c r="D140" s="25"/>
      <x:c r="E140" s="25"/>
      <x:c r="F140" s="3"/>
      <x:c r="G140" s="3"/>
      <x:c r="H140" s="3"/>
      <x:c r="I140" s="3"/>
      <x:c r="J140" s="3"/>
      <x:c r="K140" s="3"/>
      <x:c r="L140" s="20"/>
      <x:c r="M140" s="3"/>
      <x:c r="N140" s="19" t="str">
        <x:f>IF(A140="","",IF(COUNTIFS('复盘记录'!$A$7:$A$306,A140)&lt;&gt;1,"编号重复",IF(COUNTIFS('问题总览'!$A$7:$A$306,B140)&lt;&gt;1,"问题引用无效",IF(COUNTIFS('方案版本'!$A$7:$A$306,C140,'方案版本'!$B$7:$B$306,B140,'方案版本'!$L$7:$L$306,"已冻结")&lt;&gt;1,"方案引用无效",IF(OR(NOT(ISNUMBER(D140)),NOT(ISNUMBER(E140)),F140="",G140="",H140="",M140=""),"待补复盘信息",IF(COUNTIFS('更新日志'!$A$7:$A$306,J140,'更新日志'!$B$7:$B$306,B140,'更新日志'!$C$7:$C$306,A140)&lt;&gt;1,"待登记更新单","有效输入"))))))</x:f>
      </x:c>
    </x:row>
    <x:row r="141" ht="25" customHeight="1">
      <x:c r="A141" s="3"/>
      <x:c r="B141" s="3"/>
      <x:c r="C141" s="3"/>
      <x:c r="D141" s="25"/>
      <x:c r="E141" s="25"/>
      <x:c r="F141" s="3"/>
      <x:c r="G141" s="3"/>
      <x:c r="H141" s="3"/>
      <x:c r="I141" s="3"/>
      <x:c r="J141" s="3"/>
      <x:c r="K141" s="3"/>
      <x:c r="L141" s="20"/>
      <x:c r="M141" s="3"/>
      <x:c r="N141" s="19" t="str">
        <x:f>IF(A141="","",IF(COUNTIFS('复盘记录'!$A$7:$A$306,A141)&lt;&gt;1,"编号重复",IF(COUNTIFS('问题总览'!$A$7:$A$306,B141)&lt;&gt;1,"问题引用无效",IF(COUNTIFS('方案版本'!$A$7:$A$306,C141,'方案版本'!$B$7:$B$306,B141,'方案版本'!$L$7:$L$306,"已冻结")&lt;&gt;1,"方案引用无效",IF(OR(NOT(ISNUMBER(D141)),NOT(ISNUMBER(E141)),F141="",G141="",H141="",M141=""),"待补复盘信息",IF(COUNTIFS('更新日志'!$A$7:$A$306,J141,'更新日志'!$B$7:$B$306,B141,'更新日志'!$C$7:$C$306,A141)&lt;&gt;1,"待登记更新单","有效输入"))))))</x:f>
      </x:c>
    </x:row>
    <x:row r="142" ht="25" customHeight="1">
      <x:c r="A142" s="3"/>
      <x:c r="B142" s="3"/>
      <x:c r="C142" s="3"/>
      <x:c r="D142" s="25"/>
      <x:c r="E142" s="25"/>
      <x:c r="F142" s="3"/>
      <x:c r="G142" s="3"/>
      <x:c r="H142" s="3"/>
      <x:c r="I142" s="3"/>
      <x:c r="J142" s="3"/>
      <x:c r="K142" s="3"/>
      <x:c r="L142" s="20"/>
      <x:c r="M142" s="3"/>
      <x:c r="N142" s="19" t="str">
        <x:f>IF(A142="","",IF(COUNTIFS('复盘记录'!$A$7:$A$306,A142)&lt;&gt;1,"编号重复",IF(COUNTIFS('问题总览'!$A$7:$A$306,B142)&lt;&gt;1,"问题引用无效",IF(COUNTIFS('方案版本'!$A$7:$A$306,C142,'方案版本'!$B$7:$B$306,B142,'方案版本'!$L$7:$L$306,"已冻结")&lt;&gt;1,"方案引用无效",IF(OR(NOT(ISNUMBER(D142)),NOT(ISNUMBER(E142)),F142="",G142="",H142="",M142=""),"待补复盘信息",IF(COUNTIFS('更新日志'!$A$7:$A$306,J142,'更新日志'!$B$7:$B$306,B142,'更新日志'!$C$7:$C$306,A142)&lt;&gt;1,"待登记更新单","有效输入"))))))</x:f>
      </x:c>
    </x:row>
    <x:row r="143" ht="25" customHeight="1">
      <x:c r="A143" s="3"/>
      <x:c r="B143" s="3"/>
      <x:c r="C143" s="3"/>
      <x:c r="D143" s="25"/>
      <x:c r="E143" s="25"/>
      <x:c r="F143" s="3"/>
      <x:c r="G143" s="3"/>
      <x:c r="H143" s="3"/>
      <x:c r="I143" s="3"/>
      <x:c r="J143" s="3"/>
      <x:c r="K143" s="3"/>
      <x:c r="L143" s="20"/>
      <x:c r="M143" s="3"/>
      <x:c r="N143" s="19" t="str">
        <x:f>IF(A143="","",IF(COUNTIFS('复盘记录'!$A$7:$A$306,A143)&lt;&gt;1,"编号重复",IF(COUNTIFS('问题总览'!$A$7:$A$306,B143)&lt;&gt;1,"问题引用无效",IF(COUNTIFS('方案版本'!$A$7:$A$306,C143,'方案版本'!$B$7:$B$306,B143,'方案版本'!$L$7:$L$306,"已冻结")&lt;&gt;1,"方案引用无效",IF(OR(NOT(ISNUMBER(D143)),NOT(ISNUMBER(E143)),F143="",G143="",H143="",M143=""),"待补复盘信息",IF(COUNTIFS('更新日志'!$A$7:$A$306,J143,'更新日志'!$B$7:$B$306,B143,'更新日志'!$C$7:$C$306,A143)&lt;&gt;1,"待登记更新单","有效输入"))))))</x:f>
      </x:c>
    </x:row>
    <x:row r="144" ht="25" customHeight="1">
      <x:c r="A144" s="3"/>
      <x:c r="B144" s="3"/>
      <x:c r="C144" s="3"/>
      <x:c r="D144" s="25"/>
      <x:c r="E144" s="25"/>
      <x:c r="F144" s="3"/>
      <x:c r="G144" s="3"/>
      <x:c r="H144" s="3"/>
      <x:c r="I144" s="3"/>
      <x:c r="J144" s="3"/>
      <x:c r="K144" s="3"/>
      <x:c r="L144" s="20"/>
      <x:c r="M144" s="3"/>
      <x:c r="N144" s="19" t="str">
        <x:f>IF(A144="","",IF(COUNTIFS('复盘记录'!$A$7:$A$306,A144)&lt;&gt;1,"编号重复",IF(COUNTIFS('问题总览'!$A$7:$A$306,B144)&lt;&gt;1,"问题引用无效",IF(COUNTIFS('方案版本'!$A$7:$A$306,C144,'方案版本'!$B$7:$B$306,B144,'方案版本'!$L$7:$L$306,"已冻结")&lt;&gt;1,"方案引用无效",IF(OR(NOT(ISNUMBER(D144)),NOT(ISNUMBER(E144)),F144="",G144="",H144="",M144=""),"待补复盘信息",IF(COUNTIFS('更新日志'!$A$7:$A$306,J144,'更新日志'!$B$7:$B$306,B144,'更新日志'!$C$7:$C$306,A144)&lt;&gt;1,"待登记更新单","有效输入"))))))</x:f>
      </x:c>
    </x:row>
    <x:row r="145" ht="25" customHeight="1">
      <x:c r="A145" s="3"/>
      <x:c r="B145" s="3"/>
      <x:c r="C145" s="3"/>
      <x:c r="D145" s="25"/>
      <x:c r="E145" s="25"/>
      <x:c r="F145" s="3"/>
      <x:c r="G145" s="3"/>
      <x:c r="H145" s="3"/>
      <x:c r="I145" s="3"/>
      <x:c r="J145" s="3"/>
      <x:c r="K145" s="3"/>
      <x:c r="L145" s="20"/>
      <x:c r="M145" s="3"/>
      <x:c r="N145" s="19" t="str">
        <x:f>IF(A145="","",IF(COUNTIFS('复盘记录'!$A$7:$A$306,A145)&lt;&gt;1,"编号重复",IF(COUNTIFS('问题总览'!$A$7:$A$306,B145)&lt;&gt;1,"问题引用无效",IF(COUNTIFS('方案版本'!$A$7:$A$306,C145,'方案版本'!$B$7:$B$306,B145,'方案版本'!$L$7:$L$306,"已冻结")&lt;&gt;1,"方案引用无效",IF(OR(NOT(ISNUMBER(D145)),NOT(ISNUMBER(E145)),F145="",G145="",H145="",M145=""),"待补复盘信息",IF(COUNTIFS('更新日志'!$A$7:$A$306,J145,'更新日志'!$B$7:$B$306,B145,'更新日志'!$C$7:$C$306,A145)&lt;&gt;1,"待登记更新单","有效输入"))))))</x:f>
      </x:c>
    </x:row>
    <x:row r="146" ht="25" customHeight="1">
      <x:c r="A146" s="3"/>
      <x:c r="B146" s="3"/>
      <x:c r="C146" s="3"/>
      <x:c r="D146" s="25"/>
      <x:c r="E146" s="25"/>
      <x:c r="F146" s="3"/>
      <x:c r="G146" s="3"/>
      <x:c r="H146" s="3"/>
      <x:c r="I146" s="3"/>
      <x:c r="J146" s="3"/>
      <x:c r="K146" s="3"/>
      <x:c r="L146" s="20"/>
      <x:c r="M146" s="3"/>
      <x:c r="N146" s="19" t="str">
        <x:f>IF(A146="","",IF(COUNTIFS('复盘记录'!$A$7:$A$306,A146)&lt;&gt;1,"编号重复",IF(COUNTIFS('问题总览'!$A$7:$A$306,B146)&lt;&gt;1,"问题引用无效",IF(COUNTIFS('方案版本'!$A$7:$A$306,C146,'方案版本'!$B$7:$B$306,B146,'方案版本'!$L$7:$L$306,"已冻结")&lt;&gt;1,"方案引用无效",IF(OR(NOT(ISNUMBER(D146)),NOT(ISNUMBER(E146)),F146="",G146="",H146="",M146=""),"待补复盘信息",IF(COUNTIFS('更新日志'!$A$7:$A$306,J146,'更新日志'!$B$7:$B$306,B146,'更新日志'!$C$7:$C$306,A146)&lt;&gt;1,"待登记更新单","有效输入"))))))</x:f>
      </x:c>
    </x:row>
    <x:row r="147" ht="25" customHeight="1">
      <x:c r="A147" s="3"/>
      <x:c r="B147" s="3"/>
      <x:c r="C147" s="3"/>
      <x:c r="D147" s="25"/>
      <x:c r="E147" s="25"/>
      <x:c r="F147" s="3"/>
      <x:c r="G147" s="3"/>
      <x:c r="H147" s="3"/>
      <x:c r="I147" s="3"/>
      <x:c r="J147" s="3"/>
      <x:c r="K147" s="3"/>
      <x:c r="L147" s="20"/>
      <x:c r="M147" s="3"/>
      <x:c r="N147" s="19" t="str">
        <x:f>IF(A147="","",IF(COUNTIFS('复盘记录'!$A$7:$A$306,A147)&lt;&gt;1,"编号重复",IF(COUNTIFS('问题总览'!$A$7:$A$306,B147)&lt;&gt;1,"问题引用无效",IF(COUNTIFS('方案版本'!$A$7:$A$306,C147,'方案版本'!$B$7:$B$306,B147,'方案版本'!$L$7:$L$306,"已冻结")&lt;&gt;1,"方案引用无效",IF(OR(NOT(ISNUMBER(D147)),NOT(ISNUMBER(E147)),F147="",G147="",H147="",M147=""),"待补复盘信息",IF(COUNTIFS('更新日志'!$A$7:$A$306,J147,'更新日志'!$B$7:$B$306,B147,'更新日志'!$C$7:$C$306,A147)&lt;&gt;1,"待登记更新单","有效输入"))))))</x:f>
      </x:c>
    </x:row>
    <x:row r="148" ht="25" customHeight="1">
      <x:c r="A148" s="3"/>
      <x:c r="B148" s="3"/>
      <x:c r="C148" s="3"/>
      <x:c r="D148" s="25"/>
      <x:c r="E148" s="25"/>
      <x:c r="F148" s="3"/>
      <x:c r="G148" s="3"/>
      <x:c r="H148" s="3"/>
      <x:c r="I148" s="3"/>
      <x:c r="J148" s="3"/>
      <x:c r="K148" s="3"/>
      <x:c r="L148" s="20"/>
      <x:c r="M148" s="3"/>
      <x:c r="N148" s="19" t="str">
        <x:f>IF(A148="","",IF(COUNTIFS('复盘记录'!$A$7:$A$306,A148)&lt;&gt;1,"编号重复",IF(COUNTIFS('问题总览'!$A$7:$A$306,B148)&lt;&gt;1,"问题引用无效",IF(COUNTIFS('方案版本'!$A$7:$A$306,C148,'方案版本'!$B$7:$B$306,B148,'方案版本'!$L$7:$L$306,"已冻结")&lt;&gt;1,"方案引用无效",IF(OR(NOT(ISNUMBER(D148)),NOT(ISNUMBER(E148)),F148="",G148="",H148="",M148=""),"待补复盘信息",IF(COUNTIFS('更新日志'!$A$7:$A$306,J148,'更新日志'!$B$7:$B$306,B148,'更新日志'!$C$7:$C$306,A148)&lt;&gt;1,"待登记更新单","有效输入"))))))</x:f>
      </x:c>
    </x:row>
    <x:row r="149" ht="25" customHeight="1">
      <x:c r="A149" s="3"/>
      <x:c r="B149" s="3"/>
      <x:c r="C149" s="3"/>
      <x:c r="D149" s="25"/>
      <x:c r="E149" s="25"/>
      <x:c r="F149" s="3"/>
      <x:c r="G149" s="3"/>
      <x:c r="H149" s="3"/>
      <x:c r="I149" s="3"/>
      <x:c r="J149" s="3"/>
      <x:c r="K149" s="3"/>
      <x:c r="L149" s="20"/>
      <x:c r="M149" s="3"/>
      <x:c r="N149" s="19" t="str">
        <x:f>IF(A149="","",IF(COUNTIFS('复盘记录'!$A$7:$A$306,A149)&lt;&gt;1,"编号重复",IF(COUNTIFS('问题总览'!$A$7:$A$306,B149)&lt;&gt;1,"问题引用无效",IF(COUNTIFS('方案版本'!$A$7:$A$306,C149,'方案版本'!$B$7:$B$306,B149,'方案版本'!$L$7:$L$306,"已冻结")&lt;&gt;1,"方案引用无效",IF(OR(NOT(ISNUMBER(D149)),NOT(ISNUMBER(E149)),F149="",G149="",H149="",M149=""),"待补复盘信息",IF(COUNTIFS('更新日志'!$A$7:$A$306,J149,'更新日志'!$B$7:$B$306,B149,'更新日志'!$C$7:$C$306,A149)&lt;&gt;1,"待登记更新单","有效输入"))))))</x:f>
      </x:c>
    </x:row>
    <x:row r="150" ht="25" customHeight="1">
      <x:c r="A150" s="3"/>
      <x:c r="B150" s="3"/>
      <x:c r="C150" s="3"/>
      <x:c r="D150" s="25"/>
      <x:c r="E150" s="25"/>
      <x:c r="F150" s="3"/>
      <x:c r="G150" s="3"/>
      <x:c r="H150" s="3"/>
      <x:c r="I150" s="3"/>
      <x:c r="J150" s="3"/>
      <x:c r="K150" s="3"/>
      <x:c r="L150" s="20"/>
      <x:c r="M150" s="3"/>
      <x:c r="N150" s="19" t="str">
        <x:f>IF(A150="","",IF(COUNTIFS('复盘记录'!$A$7:$A$306,A150)&lt;&gt;1,"编号重复",IF(COUNTIFS('问题总览'!$A$7:$A$306,B150)&lt;&gt;1,"问题引用无效",IF(COUNTIFS('方案版本'!$A$7:$A$306,C150,'方案版本'!$B$7:$B$306,B150,'方案版本'!$L$7:$L$306,"已冻结")&lt;&gt;1,"方案引用无效",IF(OR(NOT(ISNUMBER(D150)),NOT(ISNUMBER(E150)),F150="",G150="",H150="",M150=""),"待补复盘信息",IF(COUNTIFS('更新日志'!$A$7:$A$306,J150,'更新日志'!$B$7:$B$306,B150,'更新日志'!$C$7:$C$306,A150)&lt;&gt;1,"待登记更新单","有效输入"))))))</x:f>
      </x:c>
    </x:row>
    <x:row r="151" ht="25" customHeight="1">
      <x:c r="A151" s="3"/>
      <x:c r="B151" s="3"/>
      <x:c r="C151" s="3"/>
      <x:c r="D151" s="25"/>
      <x:c r="E151" s="25"/>
      <x:c r="F151" s="3"/>
      <x:c r="G151" s="3"/>
      <x:c r="H151" s="3"/>
      <x:c r="I151" s="3"/>
      <x:c r="J151" s="3"/>
      <x:c r="K151" s="3"/>
      <x:c r="L151" s="20"/>
      <x:c r="M151" s="3"/>
      <x:c r="N151" s="19" t="str">
        <x:f>IF(A151="","",IF(COUNTIFS('复盘记录'!$A$7:$A$306,A151)&lt;&gt;1,"编号重复",IF(COUNTIFS('问题总览'!$A$7:$A$306,B151)&lt;&gt;1,"问题引用无效",IF(COUNTIFS('方案版本'!$A$7:$A$306,C151,'方案版本'!$B$7:$B$306,B151,'方案版本'!$L$7:$L$306,"已冻结")&lt;&gt;1,"方案引用无效",IF(OR(NOT(ISNUMBER(D151)),NOT(ISNUMBER(E151)),F151="",G151="",H151="",M151=""),"待补复盘信息",IF(COUNTIFS('更新日志'!$A$7:$A$306,J151,'更新日志'!$B$7:$B$306,B151,'更新日志'!$C$7:$C$306,A151)&lt;&gt;1,"待登记更新单","有效输入"))))))</x:f>
      </x:c>
    </x:row>
    <x:row r="152" ht="25" customHeight="1">
      <x:c r="A152" s="3"/>
      <x:c r="B152" s="3"/>
      <x:c r="C152" s="3"/>
      <x:c r="D152" s="25"/>
      <x:c r="E152" s="25"/>
      <x:c r="F152" s="3"/>
      <x:c r="G152" s="3"/>
      <x:c r="H152" s="3"/>
      <x:c r="I152" s="3"/>
      <x:c r="J152" s="3"/>
      <x:c r="K152" s="3"/>
      <x:c r="L152" s="20"/>
      <x:c r="M152" s="3"/>
      <x:c r="N152" s="19" t="str">
        <x:f>IF(A152="","",IF(COUNTIFS('复盘记录'!$A$7:$A$306,A152)&lt;&gt;1,"编号重复",IF(COUNTIFS('问题总览'!$A$7:$A$306,B152)&lt;&gt;1,"问题引用无效",IF(COUNTIFS('方案版本'!$A$7:$A$306,C152,'方案版本'!$B$7:$B$306,B152,'方案版本'!$L$7:$L$306,"已冻结")&lt;&gt;1,"方案引用无效",IF(OR(NOT(ISNUMBER(D152)),NOT(ISNUMBER(E152)),F152="",G152="",H152="",M152=""),"待补复盘信息",IF(COUNTIFS('更新日志'!$A$7:$A$306,J152,'更新日志'!$B$7:$B$306,B152,'更新日志'!$C$7:$C$306,A152)&lt;&gt;1,"待登记更新单","有效输入"))))))</x:f>
      </x:c>
    </x:row>
    <x:row r="153" ht="25" customHeight="1">
      <x:c r="A153" s="3"/>
      <x:c r="B153" s="3"/>
      <x:c r="C153" s="3"/>
      <x:c r="D153" s="25"/>
      <x:c r="E153" s="25"/>
      <x:c r="F153" s="3"/>
      <x:c r="G153" s="3"/>
      <x:c r="H153" s="3"/>
      <x:c r="I153" s="3"/>
      <x:c r="J153" s="3"/>
      <x:c r="K153" s="3"/>
      <x:c r="L153" s="20"/>
      <x:c r="M153" s="3"/>
      <x:c r="N153" s="19" t="str">
        <x:f>IF(A153="","",IF(COUNTIFS('复盘记录'!$A$7:$A$306,A153)&lt;&gt;1,"编号重复",IF(COUNTIFS('问题总览'!$A$7:$A$306,B153)&lt;&gt;1,"问题引用无效",IF(COUNTIFS('方案版本'!$A$7:$A$306,C153,'方案版本'!$B$7:$B$306,B153,'方案版本'!$L$7:$L$306,"已冻结")&lt;&gt;1,"方案引用无效",IF(OR(NOT(ISNUMBER(D153)),NOT(ISNUMBER(E153)),F153="",G153="",H153="",M153=""),"待补复盘信息",IF(COUNTIFS('更新日志'!$A$7:$A$306,J153,'更新日志'!$B$7:$B$306,B153,'更新日志'!$C$7:$C$306,A153)&lt;&gt;1,"待登记更新单","有效输入"))))))</x:f>
      </x:c>
    </x:row>
    <x:row r="154" ht="25" customHeight="1">
      <x:c r="A154" s="3"/>
      <x:c r="B154" s="3"/>
      <x:c r="C154" s="3"/>
      <x:c r="D154" s="25"/>
      <x:c r="E154" s="25"/>
      <x:c r="F154" s="3"/>
      <x:c r="G154" s="3"/>
      <x:c r="H154" s="3"/>
      <x:c r="I154" s="3"/>
      <x:c r="J154" s="3"/>
      <x:c r="K154" s="3"/>
      <x:c r="L154" s="20"/>
      <x:c r="M154" s="3"/>
      <x:c r="N154" s="19" t="str">
        <x:f>IF(A154="","",IF(COUNTIFS('复盘记录'!$A$7:$A$306,A154)&lt;&gt;1,"编号重复",IF(COUNTIFS('问题总览'!$A$7:$A$306,B154)&lt;&gt;1,"问题引用无效",IF(COUNTIFS('方案版本'!$A$7:$A$306,C154,'方案版本'!$B$7:$B$306,B154,'方案版本'!$L$7:$L$306,"已冻结")&lt;&gt;1,"方案引用无效",IF(OR(NOT(ISNUMBER(D154)),NOT(ISNUMBER(E154)),F154="",G154="",H154="",M154=""),"待补复盘信息",IF(COUNTIFS('更新日志'!$A$7:$A$306,J154,'更新日志'!$B$7:$B$306,B154,'更新日志'!$C$7:$C$306,A154)&lt;&gt;1,"待登记更新单","有效输入"))))))</x:f>
      </x:c>
    </x:row>
    <x:row r="155" ht="25" customHeight="1">
      <x:c r="A155" s="3"/>
      <x:c r="B155" s="3"/>
      <x:c r="C155" s="3"/>
      <x:c r="D155" s="25"/>
      <x:c r="E155" s="25"/>
      <x:c r="F155" s="3"/>
      <x:c r="G155" s="3"/>
      <x:c r="H155" s="3"/>
      <x:c r="I155" s="3"/>
      <x:c r="J155" s="3"/>
      <x:c r="K155" s="3"/>
      <x:c r="L155" s="20"/>
      <x:c r="M155" s="3"/>
      <x:c r="N155" s="19" t="str">
        <x:f>IF(A155="","",IF(COUNTIFS('复盘记录'!$A$7:$A$306,A155)&lt;&gt;1,"编号重复",IF(COUNTIFS('问题总览'!$A$7:$A$306,B155)&lt;&gt;1,"问题引用无效",IF(COUNTIFS('方案版本'!$A$7:$A$306,C155,'方案版本'!$B$7:$B$306,B155,'方案版本'!$L$7:$L$306,"已冻结")&lt;&gt;1,"方案引用无效",IF(OR(NOT(ISNUMBER(D155)),NOT(ISNUMBER(E155)),F155="",G155="",H155="",M155=""),"待补复盘信息",IF(COUNTIFS('更新日志'!$A$7:$A$306,J155,'更新日志'!$B$7:$B$306,B155,'更新日志'!$C$7:$C$306,A155)&lt;&gt;1,"待登记更新单","有效输入"))))))</x:f>
      </x:c>
    </x:row>
    <x:row r="156" ht="25" customHeight="1">
      <x:c r="A156" s="3"/>
      <x:c r="B156" s="3"/>
      <x:c r="C156" s="3"/>
      <x:c r="D156" s="25"/>
      <x:c r="E156" s="25"/>
      <x:c r="F156" s="3"/>
      <x:c r="G156" s="3"/>
      <x:c r="H156" s="3"/>
      <x:c r="I156" s="3"/>
      <x:c r="J156" s="3"/>
      <x:c r="K156" s="3"/>
      <x:c r="L156" s="20"/>
      <x:c r="M156" s="3"/>
      <x:c r="N156" s="19" t="str">
        <x:f>IF(A156="","",IF(COUNTIFS('复盘记录'!$A$7:$A$306,A156)&lt;&gt;1,"编号重复",IF(COUNTIFS('问题总览'!$A$7:$A$306,B156)&lt;&gt;1,"问题引用无效",IF(COUNTIFS('方案版本'!$A$7:$A$306,C156,'方案版本'!$B$7:$B$306,B156,'方案版本'!$L$7:$L$306,"已冻结")&lt;&gt;1,"方案引用无效",IF(OR(NOT(ISNUMBER(D156)),NOT(ISNUMBER(E156)),F156="",G156="",H156="",M156=""),"待补复盘信息",IF(COUNTIFS('更新日志'!$A$7:$A$306,J156,'更新日志'!$B$7:$B$306,B156,'更新日志'!$C$7:$C$306,A156)&lt;&gt;1,"待登记更新单","有效输入"))))))</x:f>
      </x:c>
    </x:row>
    <x:row r="157" ht="25" customHeight="1">
      <x:c r="A157" s="3"/>
      <x:c r="B157" s="3"/>
      <x:c r="C157" s="3"/>
      <x:c r="D157" s="25"/>
      <x:c r="E157" s="25"/>
      <x:c r="F157" s="3"/>
      <x:c r="G157" s="3"/>
      <x:c r="H157" s="3"/>
      <x:c r="I157" s="3"/>
      <x:c r="J157" s="3"/>
      <x:c r="K157" s="3"/>
      <x:c r="L157" s="20"/>
      <x:c r="M157" s="3"/>
      <x:c r="N157" s="19" t="str">
        <x:f>IF(A157="","",IF(COUNTIFS('复盘记录'!$A$7:$A$306,A157)&lt;&gt;1,"编号重复",IF(COUNTIFS('问题总览'!$A$7:$A$306,B157)&lt;&gt;1,"问题引用无效",IF(COUNTIFS('方案版本'!$A$7:$A$306,C157,'方案版本'!$B$7:$B$306,B157,'方案版本'!$L$7:$L$306,"已冻结")&lt;&gt;1,"方案引用无效",IF(OR(NOT(ISNUMBER(D157)),NOT(ISNUMBER(E157)),F157="",G157="",H157="",M157=""),"待补复盘信息",IF(COUNTIFS('更新日志'!$A$7:$A$306,J157,'更新日志'!$B$7:$B$306,B157,'更新日志'!$C$7:$C$306,A157)&lt;&gt;1,"待登记更新单","有效输入"))))))</x:f>
      </x:c>
    </x:row>
    <x:row r="158" ht="25" customHeight="1">
      <x:c r="A158" s="3"/>
      <x:c r="B158" s="3"/>
      <x:c r="C158" s="3"/>
      <x:c r="D158" s="25"/>
      <x:c r="E158" s="25"/>
      <x:c r="F158" s="3"/>
      <x:c r="G158" s="3"/>
      <x:c r="H158" s="3"/>
      <x:c r="I158" s="3"/>
      <x:c r="J158" s="3"/>
      <x:c r="K158" s="3"/>
      <x:c r="L158" s="20"/>
      <x:c r="M158" s="3"/>
      <x:c r="N158" s="19" t="str">
        <x:f>IF(A158="","",IF(COUNTIFS('复盘记录'!$A$7:$A$306,A158)&lt;&gt;1,"编号重复",IF(COUNTIFS('问题总览'!$A$7:$A$306,B158)&lt;&gt;1,"问题引用无效",IF(COUNTIFS('方案版本'!$A$7:$A$306,C158,'方案版本'!$B$7:$B$306,B158,'方案版本'!$L$7:$L$306,"已冻结")&lt;&gt;1,"方案引用无效",IF(OR(NOT(ISNUMBER(D158)),NOT(ISNUMBER(E158)),F158="",G158="",H158="",M158=""),"待补复盘信息",IF(COUNTIFS('更新日志'!$A$7:$A$306,J158,'更新日志'!$B$7:$B$306,B158,'更新日志'!$C$7:$C$306,A158)&lt;&gt;1,"待登记更新单","有效输入"))))))</x:f>
      </x:c>
    </x:row>
    <x:row r="159" ht="25" customHeight="1">
      <x:c r="A159" s="3"/>
      <x:c r="B159" s="3"/>
      <x:c r="C159" s="3"/>
      <x:c r="D159" s="25"/>
      <x:c r="E159" s="25"/>
      <x:c r="F159" s="3"/>
      <x:c r="G159" s="3"/>
      <x:c r="H159" s="3"/>
      <x:c r="I159" s="3"/>
      <x:c r="J159" s="3"/>
      <x:c r="K159" s="3"/>
      <x:c r="L159" s="20"/>
      <x:c r="M159" s="3"/>
      <x:c r="N159" s="19" t="str">
        <x:f>IF(A159="","",IF(COUNTIFS('复盘记录'!$A$7:$A$306,A159)&lt;&gt;1,"编号重复",IF(COUNTIFS('问题总览'!$A$7:$A$306,B159)&lt;&gt;1,"问题引用无效",IF(COUNTIFS('方案版本'!$A$7:$A$306,C159,'方案版本'!$B$7:$B$306,B159,'方案版本'!$L$7:$L$306,"已冻结")&lt;&gt;1,"方案引用无效",IF(OR(NOT(ISNUMBER(D159)),NOT(ISNUMBER(E159)),F159="",G159="",H159="",M159=""),"待补复盘信息",IF(COUNTIFS('更新日志'!$A$7:$A$306,J159,'更新日志'!$B$7:$B$306,B159,'更新日志'!$C$7:$C$306,A159)&lt;&gt;1,"待登记更新单","有效输入"))))))</x:f>
      </x:c>
    </x:row>
    <x:row r="160" ht="25" customHeight="1">
      <x:c r="A160" s="3"/>
      <x:c r="B160" s="3"/>
      <x:c r="C160" s="3"/>
      <x:c r="D160" s="25"/>
      <x:c r="E160" s="25"/>
      <x:c r="F160" s="3"/>
      <x:c r="G160" s="3"/>
      <x:c r="H160" s="3"/>
      <x:c r="I160" s="3"/>
      <x:c r="J160" s="3"/>
      <x:c r="K160" s="3"/>
      <x:c r="L160" s="20"/>
      <x:c r="M160" s="3"/>
      <x:c r="N160" s="19" t="str">
        <x:f>IF(A160="","",IF(COUNTIFS('复盘记录'!$A$7:$A$306,A160)&lt;&gt;1,"编号重复",IF(COUNTIFS('问题总览'!$A$7:$A$306,B160)&lt;&gt;1,"问题引用无效",IF(COUNTIFS('方案版本'!$A$7:$A$306,C160,'方案版本'!$B$7:$B$306,B160,'方案版本'!$L$7:$L$306,"已冻结")&lt;&gt;1,"方案引用无效",IF(OR(NOT(ISNUMBER(D160)),NOT(ISNUMBER(E160)),F160="",G160="",H160="",M160=""),"待补复盘信息",IF(COUNTIFS('更新日志'!$A$7:$A$306,J160,'更新日志'!$B$7:$B$306,B160,'更新日志'!$C$7:$C$306,A160)&lt;&gt;1,"待登记更新单","有效输入"))))))</x:f>
      </x:c>
    </x:row>
    <x:row r="161" ht="25" customHeight="1">
      <x:c r="A161" s="3"/>
      <x:c r="B161" s="3"/>
      <x:c r="C161" s="3"/>
      <x:c r="D161" s="25"/>
      <x:c r="E161" s="25"/>
      <x:c r="F161" s="3"/>
      <x:c r="G161" s="3"/>
      <x:c r="H161" s="3"/>
      <x:c r="I161" s="3"/>
      <x:c r="J161" s="3"/>
      <x:c r="K161" s="3"/>
      <x:c r="L161" s="20"/>
      <x:c r="M161" s="3"/>
      <x:c r="N161" s="19" t="str">
        <x:f>IF(A161="","",IF(COUNTIFS('复盘记录'!$A$7:$A$306,A161)&lt;&gt;1,"编号重复",IF(COUNTIFS('问题总览'!$A$7:$A$306,B161)&lt;&gt;1,"问题引用无效",IF(COUNTIFS('方案版本'!$A$7:$A$306,C161,'方案版本'!$B$7:$B$306,B161,'方案版本'!$L$7:$L$306,"已冻结")&lt;&gt;1,"方案引用无效",IF(OR(NOT(ISNUMBER(D161)),NOT(ISNUMBER(E161)),F161="",G161="",H161="",M161=""),"待补复盘信息",IF(COUNTIFS('更新日志'!$A$7:$A$306,J161,'更新日志'!$B$7:$B$306,B161,'更新日志'!$C$7:$C$306,A161)&lt;&gt;1,"待登记更新单","有效输入"))))))</x:f>
      </x:c>
    </x:row>
    <x:row r="162" ht="25" customHeight="1">
      <x:c r="A162" s="3"/>
      <x:c r="B162" s="3"/>
      <x:c r="C162" s="3"/>
      <x:c r="D162" s="25"/>
      <x:c r="E162" s="25"/>
      <x:c r="F162" s="3"/>
      <x:c r="G162" s="3"/>
      <x:c r="H162" s="3"/>
      <x:c r="I162" s="3"/>
      <x:c r="J162" s="3"/>
      <x:c r="K162" s="3"/>
      <x:c r="L162" s="20"/>
      <x:c r="M162" s="3"/>
      <x:c r="N162" s="19" t="str">
        <x:f>IF(A162="","",IF(COUNTIFS('复盘记录'!$A$7:$A$306,A162)&lt;&gt;1,"编号重复",IF(COUNTIFS('问题总览'!$A$7:$A$306,B162)&lt;&gt;1,"问题引用无效",IF(COUNTIFS('方案版本'!$A$7:$A$306,C162,'方案版本'!$B$7:$B$306,B162,'方案版本'!$L$7:$L$306,"已冻结")&lt;&gt;1,"方案引用无效",IF(OR(NOT(ISNUMBER(D162)),NOT(ISNUMBER(E162)),F162="",G162="",H162="",M162=""),"待补复盘信息",IF(COUNTIFS('更新日志'!$A$7:$A$306,J162,'更新日志'!$B$7:$B$306,B162,'更新日志'!$C$7:$C$306,A162)&lt;&gt;1,"待登记更新单","有效输入"))))))</x:f>
      </x:c>
    </x:row>
    <x:row r="163" ht="25" customHeight="1">
      <x:c r="A163" s="3"/>
      <x:c r="B163" s="3"/>
      <x:c r="C163" s="3"/>
      <x:c r="D163" s="25"/>
      <x:c r="E163" s="25"/>
      <x:c r="F163" s="3"/>
      <x:c r="G163" s="3"/>
      <x:c r="H163" s="3"/>
      <x:c r="I163" s="3"/>
      <x:c r="J163" s="3"/>
      <x:c r="K163" s="3"/>
      <x:c r="L163" s="20"/>
      <x:c r="M163" s="3"/>
      <x:c r="N163" s="19" t="str">
        <x:f>IF(A163="","",IF(COUNTIFS('复盘记录'!$A$7:$A$306,A163)&lt;&gt;1,"编号重复",IF(COUNTIFS('问题总览'!$A$7:$A$306,B163)&lt;&gt;1,"问题引用无效",IF(COUNTIFS('方案版本'!$A$7:$A$306,C163,'方案版本'!$B$7:$B$306,B163,'方案版本'!$L$7:$L$306,"已冻结")&lt;&gt;1,"方案引用无效",IF(OR(NOT(ISNUMBER(D163)),NOT(ISNUMBER(E163)),F163="",G163="",H163="",M163=""),"待补复盘信息",IF(COUNTIFS('更新日志'!$A$7:$A$306,J163,'更新日志'!$B$7:$B$306,B163,'更新日志'!$C$7:$C$306,A163)&lt;&gt;1,"待登记更新单","有效输入"))))))</x:f>
      </x:c>
    </x:row>
    <x:row r="164" ht="25" customHeight="1">
      <x:c r="A164" s="3"/>
      <x:c r="B164" s="3"/>
      <x:c r="C164" s="3"/>
      <x:c r="D164" s="25"/>
      <x:c r="E164" s="25"/>
      <x:c r="F164" s="3"/>
      <x:c r="G164" s="3"/>
      <x:c r="H164" s="3"/>
      <x:c r="I164" s="3"/>
      <x:c r="J164" s="3"/>
      <x:c r="K164" s="3"/>
      <x:c r="L164" s="20"/>
      <x:c r="M164" s="3"/>
      <x:c r="N164" s="19" t="str">
        <x:f>IF(A164="","",IF(COUNTIFS('复盘记录'!$A$7:$A$306,A164)&lt;&gt;1,"编号重复",IF(COUNTIFS('问题总览'!$A$7:$A$306,B164)&lt;&gt;1,"问题引用无效",IF(COUNTIFS('方案版本'!$A$7:$A$306,C164,'方案版本'!$B$7:$B$306,B164,'方案版本'!$L$7:$L$306,"已冻结")&lt;&gt;1,"方案引用无效",IF(OR(NOT(ISNUMBER(D164)),NOT(ISNUMBER(E164)),F164="",G164="",H164="",M164=""),"待补复盘信息",IF(COUNTIFS('更新日志'!$A$7:$A$306,J164,'更新日志'!$B$7:$B$306,B164,'更新日志'!$C$7:$C$306,A164)&lt;&gt;1,"待登记更新单","有效输入"))))))</x:f>
      </x:c>
    </x:row>
    <x:row r="165" ht="25" customHeight="1">
      <x:c r="A165" s="3"/>
      <x:c r="B165" s="3"/>
      <x:c r="C165" s="3"/>
      <x:c r="D165" s="25"/>
      <x:c r="E165" s="25"/>
      <x:c r="F165" s="3"/>
      <x:c r="G165" s="3"/>
      <x:c r="H165" s="3"/>
      <x:c r="I165" s="3"/>
      <x:c r="J165" s="3"/>
      <x:c r="K165" s="3"/>
      <x:c r="L165" s="20"/>
      <x:c r="M165" s="3"/>
      <x:c r="N165" s="19" t="str">
        <x:f>IF(A165="","",IF(COUNTIFS('复盘记录'!$A$7:$A$306,A165)&lt;&gt;1,"编号重复",IF(COUNTIFS('问题总览'!$A$7:$A$306,B165)&lt;&gt;1,"问题引用无效",IF(COUNTIFS('方案版本'!$A$7:$A$306,C165,'方案版本'!$B$7:$B$306,B165,'方案版本'!$L$7:$L$306,"已冻结")&lt;&gt;1,"方案引用无效",IF(OR(NOT(ISNUMBER(D165)),NOT(ISNUMBER(E165)),F165="",G165="",H165="",M165=""),"待补复盘信息",IF(COUNTIFS('更新日志'!$A$7:$A$306,J165,'更新日志'!$B$7:$B$306,B165,'更新日志'!$C$7:$C$306,A165)&lt;&gt;1,"待登记更新单","有效输入"))))))</x:f>
      </x:c>
    </x:row>
    <x:row r="166" ht="25" customHeight="1">
      <x:c r="A166" s="3"/>
      <x:c r="B166" s="3"/>
      <x:c r="C166" s="3"/>
      <x:c r="D166" s="25"/>
      <x:c r="E166" s="25"/>
      <x:c r="F166" s="3"/>
      <x:c r="G166" s="3"/>
      <x:c r="H166" s="3"/>
      <x:c r="I166" s="3"/>
      <x:c r="J166" s="3"/>
      <x:c r="K166" s="3"/>
      <x:c r="L166" s="20"/>
      <x:c r="M166" s="3"/>
      <x:c r="N166" s="19" t="str">
        <x:f>IF(A166="","",IF(COUNTIFS('复盘记录'!$A$7:$A$306,A166)&lt;&gt;1,"编号重复",IF(COUNTIFS('问题总览'!$A$7:$A$306,B166)&lt;&gt;1,"问题引用无效",IF(COUNTIFS('方案版本'!$A$7:$A$306,C166,'方案版本'!$B$7:$B$306,B166,'方案版本'!$L$7:$L$306,"已冻结")&lt;&gt;1,"方案引用无效",IF(OR(NOT(ISNUMBER(D166)),NOT(ISNUMBER(E166)),F166="",G166="",H166="",M166=""),"待补复盘信息",IF(COUNTIFS('更新日志'!$A$7:$A$306,J166,'更新日志'!$B$7:$B$306,B166,'更新日志'!$C$7:$C$306,A166)&lt;&gt;1,"待登记更新单","有效输入"))))))</x:f>
      </x:c>
    </x:row>
    <x:row r="167" ht="25" customHeight="1">
      <x:c r="A167" s="3"/>
      <x:c r="B167" s="3"/>
      <x:c r="C167" s="3"/>
      <x:c r="D167" s="25"/>
      <x:c r="E167" s="25"/>
      <x:c r="F167" s="3"/>
      <x:c r="G167" s="3"/>
      <x:c r="H167" s="3"/>
      <x:c r="I167" s="3"/>
      <x:c r="J167" s="3"/>
      <x:c r="K167" s="3"/>
      <x:c r="L167" s="20"/>
      <x:c r="M167" s="3"/>
      <x:c r="N167" s="19" t="str">
        <x:f>IF(A167="","",IF(COUNTIFS('复盘记录'!$A$7:$A$306,A167)&lt;&gt;1,"编号重复",IF(COUNTIFS('问题总览'!$A$7:$A$306,B167)&lt;&gt;1,"问题引用无效",IF(COUNTIFS('方案版本'!$A$7:$A$306,C167,'方案版本'!$B$7:$B$306,B167,'方案版本'!$L$7:$L$306,"已冻结")&lt;&gt;1,"方案引用无效",IF(OR(NOT(ISNUMBER(D167)),NOT(ISNUMBER(E167)),F167="",G167="",H167="",M167=""),"待补复盘信息",IF(COUNTIFS('更新日志'!$A$7:$A$306,J167,'更新日志'!$B$7:$B$306,B167,'更新日志'!$C$7:$C$306,A167)&lt;&gt;1,"待登记更新单","有效输入"))))))</x:f>
      </x:c>
    </x:row>
    <x:row r="168" ht="25" customHeight="1">
      <x:c r="A168" s="3"/>
      <x:c r="B168" s="3"/>
      <x:c r="C168" s="3"/>
      <x:c r="D168" s="25"/>
      <x:c r="E168" s="25"/>
      <x:c r="F168" s="3"/>
      <x:c r="G168" s="3"/>
      <x:c r="H168" s="3"/>
      <x:c r="I168" s="3"/>
      <x:c r="J168" s="3"/>
      <x:c r="K168" s="3"/>
      <x:c r="L168" s="20"/>
      <x:c r="M168" s="3"/>
      <x:c r="N168" s="19" t="str">
        <x:f>IF(A168="","",IF(COUNTIFS('复盘记录'!$A$7:$A$306,A168)&lt;&gt;1,"编号重复",IF(COUNTIFS('问题总览'!$A$7:$A$306,B168)&lt;&gt;1,"问题引用无效",IF(COUNTIFS('方案版本'!$A$7:$A$306,C168,'方案版本'!$B$7:$B$306,B168,'方案版本'!$L$7:$L$306,"已冻结")&lt;&gt;1,"方案引用无效",IF(OR(NOT(ISNUMBER(D168)),NOT(ISNUMBER(E168)),F168="",G168="",H168="",M168=""),"待补复盘信息",IF(COUNTIFS('更新日志'!$A$7:$A$306,J168,'更新日志'!$B$7:$B$306,B168,'更新日志'!$C$7:$C$306,A168)&lt;&gt;1,"待登记更新单","有效输入"))))))</x:f>
      </x:c>
    </x:row>
    <x:row r="169" ht="25" customHeight="1">
      <x:c r="A169" s="3"/>
      <x:c r="B169" s="3"/>
      <x:c r="C169" s="3"/>
      <x:c r="D169" s="25"/>
      <x:c r="E169" s="25"/>
      <x:c r="F169" s="3"/>
      <x:c r="G169" s="3"/>
      <x:c r="H169" s="3"/>
      <x:c r="I169" s="3"/>
      <x:c r="J169" s="3"/>
      <x:c r="K169" s="3"/>
      <x:c r="L169" s="20"/>
      <x:c r="M169" s="3"/>
      <x:c r="N169" s="19" t="str">
        <x:f>IF(A169="","",IF(COUNTIFS('复盘记录'!$A$7:$A$306,A169)&lt;&gt;1,"编号重复",IF(COUNTIFS('问题总览'!$A$7:$A$306,B169)&lt;&gt;1,"问题引用无效",IF(COUNTIFS('方案版本'!$A$7:$A$306,C169,'方案版本'!$B$7:$B$306,B169,'方案版本'!$L$7:$L$306,"已冻结")&lt;&gt;1,"方案引用无效",IF(OR(NOT(ISNUMBER(D169)),NOT(ISNUMBER(E169)),F169="",G169="",H169="",M169=""),"待补复盘信息",IF(COUNTIFS('更新日志'!$A$7:$A$306,J169,'更新日志'!$B$7:$B$306,B169,'更新日志'!$C$7:$C$306,A169)&lt;&gt;1,"待登记更新单","有效输入"))))))</x:f>
      </x:c>
    </x:row>
    <x:row r="170" ht="25" customHeight="1">
      <x:c r="A170" s="3"/>
      <x:c r="B170" s="3"/>
      <x:c r="C170" s="3"/>
      <x:c r="D170" s="25"/>
      <x:c r="E170" s="25"/>
      <x:c r="F170" s="3"/>
      <x:c r="G170" s="3"/>
      <x:c r="H170" s="3"/>
      <x:c r="I170" s="3"/>
      <x:c r="J170" s="3"/>
      <x:c r="K170" s="3"/>
      <x:c r="L170" s="20"/>
      <x:c r="M170" s="3"/>
      <x:c r="N170" s="19" t="str">
        <x:f>IF(A170="","",IF(COUNTIFS('复盘记录'!$A$7:$A$306,A170)&lt;&gt;1,"编号重复",IF(COUNTIFS('问题总览'!$A$7:$A$306,B170)&lt;&gt;1,"问题引用无效",IF(COUNTIFS('方案版本'!$A$7:$A$306,C170,'方案版本'!$B$7:$B$306,B170,'方案版本'!$L$7:$L$306,"已冻结")&lt;&gt;1,"方案引用无效",IF(OR(NOT(ISNUMBER(D170)),NOT(ISNUMBER(E170)),F170="",G170="",H170="",M170=""),"待补复盘信息",IF(COUNTIFS('更新日志'!$A$7:$A$306,J170,'更新日志'!$B$7:$B$306,B170,'更新日志'!$C$7:$C$306,A170)&lt;&gt;1,"待登记更新单","有效输入"))))))</x:f>
      </x:c>
    </x:row>
    <x:row r="171" ht="25" customHeight="1">
      <x:c r="A171" s="3"/>
      <x:c r="B171" s="3"/>
      <x:c r="C171" s="3"/>
      <x:c r="D171" s="25"/>
      <x:c r="E171" s="25"/>
      <x:c r="F171" s="3"/>
      <x:c r="G171" s="3"/>
      <x:c r="H171" s="3"/>
      <x:c r="I171" s="3"/>
      <x:c r="J171" s="3"/>
      <x:c r="K171" s="3"/>
      <x:c r="L171" s="20"/>
      <x:c r="M171" s="3"/>
      <x:c r="N171" s="19" t="str">
        <x:f>IF(A171="","",IF(COUNTIFS('复盘记录'!$A$7:$A$306,A171)&lt;&gt;1,"编号重复",IF(COUNTIFS('问题总览'!$A$7:$A$306,B171)&lt;&gt;1,"问题引用无效",IF(COUNTIFS('方案版本'!$A$7:$A$306,C171,'方案版本'!$B$7:$B$306,B171,'方案版本'!$L$7:$L$306,"已冻结")&lt;&gt;1,"方案引用无效",IF(OR(NOT(ISNUMBER(D171)),NOT(ISNUMBER(E171)),F171="",G171="",H171="",M171=""),"待补复盘信息",IF(COUNTIFS('更新日志'!$A$7:$A$306,J171,'更新日志'!$B$7:$B$306,B171,'更新日志'!$C$7:$C$306,A171)&lt;&gt;1,"待登记更新单","有效输入"))))))</x:f>
      </x:c>
    </x:row>
    <x:row r="172" ht="25" customHeight="1">
      <x:c r="A172" s="3"/>
      <x:c r="B172" s="3"/>
      <x:c r="C172" s="3"/>
      <x:c r="D172" s="25"/>
      <x:c r="E172" s="25"/>
      <x:c r="F172" s="3"/>
      <x:c r="G172" s="3"/>
      <x:c r="H172" s="3"/>
      <x:c r="I172" s="3"/>
      <x:c r="J172" s="3"/>
      <x:c r="K172" s="3"/>
      <x:c r="L172" s="20"/>
      <x:c r="M172" s="3"/>
      <x:c r="N172" s="19" t="str">
        <x:f>IF(A172="","",IF(COUNTIFS('复盘记录'!$A$7:$A$306,A172)&lt;&gt;1,"编号重复",IF(COUNTIFS('问题总览'!$A$7:$A$306,B172)&lt;&gt;1,"问题引用无效",IF(COUNTIFS('方案版本'!$A$7:$A$306,C172,'方案版本'!$B$7:$B$306,B172,'方案版本'!$L$7:$L$306,"已冻结")&lt;&gt;1,"方案引用无效",IF(OR(NOT(ISNUMBER(D172)),NOT(ISNUMBER(E172)),F172="",G172="",H172="",M172=""),"待补复盘信息",IF(COUNTIFS('更新日志'!$A$7:$A$306,J172,'更新日志'!$B$7:$B$306,B172,'更新日志'!$C$7:$C$306,A172)&lt;&gt;1,"待登记更新单","有效输入"))))))</x:f>
      </x:c>
    </x:row>
    <x:row r="173" ht="25" customHeight="1">
      <x:c r="A173" s="3"/>
      <x:c r="B173" s="3"/>
      <x:c r="C173" s="3"/>
      <x:c r="D173" s="25"/>
      <x:c r="E173" s="25"/>
      <x:c r="F173" s="3"/>
      <x:c r="G173" s="3"/>
      <x:c r="H173" s="3"/>
      <x:c r="I173" s="3"/>
      <x:c r="J173" s="3"/>
      <x:c r="K173" s="3"/>
      <x:c r="L173" s="20"/>
      <x:c r="M173" s="3"/>
      <x:c r="N173" s="19" t="str">
        <x:f>IF(A173="","",IF(COUNTIFS('复盘记录'!$A$7:$A$306,A173)&lt;&gt;1,"编号重复",IF(COUNTIFS('问题总览'!$A$7:$A$306,B173)&lt;&gt;1,"问题引用无效",IF(COUNTIFS('方案版本'!$A$7:$A$306,C173,'方案版本'!$B$7:$B$306,B173,'方案版本'!$L$7:$L$306,"已冻结")&lt;&gt;1,"方案引用无效",IF(OR(NOT(ISNUMBER(D173)),NOT(ISNUMBER(E173)),F173="",G173="",H173="",M173=""),"待补复盘信息",IF(COUNTIFS('更新日志'!$A$7:$A$306,J173,'更新日志'!$B$7:$B$306,B173,'更新日志'!$C$7:$C$306,A173)&lt;&gt;1,"待登记更新单","有效输入"))))))</x:f>
      </x:c>
    </x:row>
    <x:row r="174" ht="25" customHeight="1">
      <x:c r="A174" s="3"/>
      <x:c r="B174" s="3"/>
      <x:c r="C174" s="3"/>
      <x:c r="D174" s="25"/>
      <x:c r="E174" s="25"/>
      <x:c r="F174" s="3"/>
      <x:c r="G174" s="3"/>
      <x:c r="H174" s="3"/>
      <x:c r="I174" s="3"/>
      <x:c r="J174" s="3"/>
      <x:c r="K174" s="3"/>
      <x:c r="L174" s="20"/>
      <x:c r="M174" s="3"/>
      <x:c r="N174" s="19" t="str">
        <x:f>IF(A174="","",IF(COUNTIFS('复盘记录'!$A$7:$A$306,A174)&lt;&gt;1,"编号重复",IF(COUNTIFS('问题总览'!$A$7:$A$306,B174)&lt;&gt;1,"问题引用无效",IF(COUNTIFS('方案版本'!$A$7:$A$306,C174,'方案版本'!$B$7:$B$306,B174,'方案版本'!$L$7:$L$306,"已冻结")&lt;&gt;1,"方案引用无效",IF(OR(NOT(ISNUMBER(D174)),NOT(ISNUMBER(E174)),F174="",G174="",H174="",M174=""),"待补复盘信息",IF(COUNTIFS('更新日志'!$A$7:$A$306,J174,'更新日志'!$B$7:$B$306,B174,'更新日志'!$C$7:$C$306,A174)&lt;&gt;1,"待登记更新单","有效输入"))))))</x:f>
      </x:c>
    </x:row>
    <x:row r="175" ht="25" customHeight="1">
      <x:c r="A175" s="3"/>
      <x:c r="B175" s="3"/>
      <x:c r="C175" s="3"/>
      <x:c r="D175" s="25"/>
      <x:c r="E175" s="25"/>
      <x:c r="F175" s="3"/>
      <x:c r="G175" s="3"/>
      <x:c r="H175" s="3"/>
      <x:c r="I175" s="3"/>
      <x:c r="J175" s="3"/>
      <x:c r="K175" s="3"/>
      <x:c r="L175" s="20"/>
      <x:c r="M175" s="3"/>
      <x:c r="N175" s="19" t="str">
        <x:f>IF(A175="","",IF(COUNTIFS('复盘记录'!$A$7:$A$306,A175)&lt;&gt;1,"编号重复",IF(COUNTIFS('问题总览'!$A$7:$A$306,B175)&lt;&gt;1,"问题引用无效",IF(COUNTIFS('方案版本'!$A$7:$A$306,C175,'方案版本'!$B$7:$B$306,B175,'方案版本'!$L$7:$L$306,"已冻结")&lt;&gt;1,"方案引用无效",IF(OR(NOT(ISNUMBER(D175)),NOT(ISNUMBER(E175)),F175="",G175="",H175="",M175=""),"待补复盘信息",IF(COUNTIFS('更新日志'!$A$7:$A$306,J175,'更新日志'!$B$7:$B$306,B175,'更新日志'!$C$7:$C$306,A175)&lt;&gt;1,"待登记更新单","有效输入"))))))</x:f>
      </x:c>
    </x:row>
    <x:row r="176" ht="25" customHeight="1">
      <x:c r="A176" s="3"/>
      <x:c r="B176" s="3"/>
      <x:c r="C176" s="3"/>
      <x:c r="D176" s="25"/>
      <x:c r="E176" s="25"/>
      <x:c r="F176" s="3"/>
      <x:c r="G176" s="3"/>
      <x:c r="H176" s="3"/>
      <x:c r="I176" s="3"/>
      <x:c r="J176" s="3"/>
      <x:c r="K176" s="3"/>
      <x:c r="L176" s="20"/>
      <x:c r="M176" s="3"/>
      <x:c r="N176" s="19" t="str">
        <x:f>IF(A176="","",IF(COUNTIFS('复盘记录'!$A$7:$A$306,A176)&lt;&gt;1,"编号重复",IF(COUNTIFS('问题总览'!$A$7:$A$306,B176)&lt;&gt;1,"问题引用无效",IF(COUNTIFS('方案版本'!$A$7:$A$306,C176,'方案版本'!$B$7:$B$306,B176,'方案版本'!$L$7:$L$306,"已冻结")&lt;&gt;1,"方案引用无效",IF(OR(NOT(ISNUMBER(D176)),NOT(ISNUMBER(E176)),F176="",G176="",H176="",M176=""),"待补复盘信息",IF(COUNTIFS('更新日志'!$A$7:$A$306,J176,'更新日志'!$B$7:$B$306,B176,'更新日志'!$C$7:$C$306,A176)&lt;&gt;1,"待登记更新单","有效输入"))))))</x:f>
      </x:c>
    </x:row>
    <x:row r="177" ht="25" customHeight="1">
      <x:c r="A177" s="3"/>
      <x:c r="B177" s="3"/>
      <x:c r="C177" s="3"/>
      <x:c r="D177" s="25"/>
      <x:c r="E177" s="25"/>
      <x:c r="F177" s="3"/>
      <x:c r="G177" s="3"/>
      <x:c r="H177" s="3"/>
      <x:c r="I177" s="3"/>
      <x:c r="J177" s="3"/>
      <x:c r="K177" s="3"/>
      <x:c r="L177" s="20"/>
      <x:c r="M177" s="3"/>
      <x:c r="N177" s="19" t="str">
        <x:f>IF(A177="","",IF(COUNTIFS('复盘记录'!$A$7:$A$306,A177)&lt;&gt;1,"编号重复",IF(COUNTIFS('问题总览'!$A$7:$A$306,B177)&lt;&gt;1,"问题引用无效",IF(COUNTIFS('方案版本'!$A$7:$A$306,C177,'方案版本'!$B$7:$B$306,B177,'方案版本'!$L$7:$L$306,"已冻结")&lt;&gt;1,"方案引用无效",IF(OR(NOT(ISNUMBER(D177)),NOT(ISNUMBER(E177)),F177="",G177="",H177="",M177=""),"待补复盘信息",IF(COUNTIFS('更新日志'!$A$7:$A$306,J177,'更新日志'!$B$7:$B$306,B177,'更新日志'!$C$7:$C$306,A177)&lt;&gt;1,"待登记更新单","有效输入"))))))</x:f>
      </x:c>
    </x:row>
    <x:row r="178" ht="25" customHeight="1">
      <x:c r="A178" s="3"/>
      <x:c r="B178" s="3"/>
      <x:c r="C178" s="3"/>
      <x:c r="D178" s="25"/>
      <x:c r="E178" s="25"/>
      <x:c r="F178" s="3"/>
      <x:c r="G178" s="3"/>
      <x:c r="H178" s="3"/>
      <x:c r="I178" s="3"/>
      <x:c r="J178" s="3"/>
      <x:c r="K178" s="3"/>
      <x:c r="L178" s="20"/>
      <x:c r="M178" s="3"/>
      <x:c r="N178" s="19" t="str">
        <x:f>IF(A178="","",IF(COUNTIFS('复盘记录'!$A$7:$A$306,A178)&lt;&gt;1,"编号重复",IF(COUNTIFS('问题总览'!$A$7:$A$306,B178)&lt;&gt;1,"问题引用无效",IF(COUNTIFS('方案版本'!$A$7:$A$306,C178,'方案版本'!$B$7:$B$306,B178,'方案版本'!$L$7:$L$306,"已冻结")&lt;&gt;1,"方案引用无效",IF(OR(NOT(ISNUMBER(D178)),NOT(ISNUMBER(E178)),F178="",G178="",H178="",M178=""),"待补复盘信息",IF(COUNTIFS('更新日志'!$A$7:$A$306,J178,'更新日志'!$B$7:$B$306,B178,'更新日志'!$C$7:$C$306,A178)&lt;&gt;1,"待登记更新单","有效输入"))))))</x:f>
      </x:c>
    </x:row>
    <x:row r="179" ht="25" customHeight="1">
      <x:c r="A179" s="3"/>
      <x:c r="B179" s="3"/>
      <x:c r="C179" s="3"/>
      <x:c r="D179" s="25"/>
      <x:c r="E179" s="25"/>
      <x:c r="F179" s="3"/>
      <x:c r="G179" s="3"/>
      <x:c r="H179" s="3"/>
      <x:c r="I179" s="3"/>
      <x:c r="J179" s="3"/>
      <x:c r="K179" s="3"/>
      <x:c r="L179" s="20"/>
      <x:c r="M179" s="3"/>
      <x:c r="N179" s="19" t="str">
        <x:f>IF(A179="","",IF(COUNTIFS('复盘记录'!$A$7:$A$306,A179)&lt;&gt;1,"编号重复",IF(COUNTIFS('问题总览'!$A$7:$A$306,B179)&lt;&gt;1,"问题引用无效",IF(COUNTIFS('方案版本'!$A$7:$A$306,C179,'方案版本'!$B$7:$B$306,B179,'方案版本'!$L$7:$L$306,"已冻结")&lt;&gt;1,"方案引用无效",IF(OR(NOT(ISNUMBER(D179)),NOT(ISNUMBER(E179)),F179="",G179="",H179="",M179=""),"待补复盘信息",IF(COUNTIFS('更新日志'!$A$7:$A$306,J179,'更新日志'!$B$7:$B$306,B179,'更新日志'!$C$7:$C$306,A179)&lt;&gt;1,"待登记更新单","有效输入"))))))</x:f>
      </x:c>
    </x:row>
    <x:row r="180" ht="25" customHeight="1">
      <x:c r="A180" s="3"/>
      <x:c r="B180" s="3"/>
      <x:c r="C180" s="3"/>
      <x:c r="D180" s="25"/>
      <x:c r="E180" s="25"/>
      <x:c r="F180" s="3"/>
      <x:c r="G180" s="3"/>
      <x:c r="H180" s="3"/>
      <x:c r="I180" s="3"/>
      <x:c r="J180" s="3"/>
      <x:c r="K180" s="3"/>
      <x:c r="L180" s="20"/>
      <x:c r="M180" s="3"/>
      <x:c r="N180" s="19" t="str">
        <x:f>IF(A180="","",IF(COUNTIFS('复盘记录'!$A$7:$A$306,A180)&lt;&gt;1,"编号重复",IF(COUNTIFS('问题总览'!$A$7:$A$306,B180)&lt;&gt;1,"问题引用无效",IF(COUNTIFS('方案版本'!$A$7:$A$306,C180,'方案版本'!$B$7:$B$306,B180,'方案版本'!$L$7:$L$306,"已冻结")&lt;&gt;1,"方案引用无效",IF(OR(NOT(ISNUMBER(D180)),NOT(ISNUMBER(E180)),F180="",G180="",H180="",M180=""),"待补复盘信息",IF(COUNTIFS('更新日志'!$A$7:$A$306,J180,'更新日志'!$B$7:$B$306,B180,'更新日志'!$C$7:$C$306,A180)&lt;&gt;1,"待登记更新单","有效输入"))))))</x:f>
      </x:c>
    </x:row>
    <x:row r="181" ht="25" customHeight="1">
      <x:c r="A181" s="3"/>
      <x:c r="B181" s="3"/>
      <x:c r="C181" s="3"/>
      <x:c r="D181" s="25"/>
      <x:c r="E181" s="25"/>
      <x:c r="F181" s="3"/>
      <x:c r="G181" s="3"/>
      <x:c r="H181" s="3"/>
      <x:c r="I181" s="3"/>
      <x:c r="J181" s="3"/>
      <x:c r="K181" s="3"/>
      <x:c r="L181" s="20"/>
      <x:c r="M181" s="3"/>
      <x:c r="N181" s="19" t="str">
        <x:f>IF(A181="","",IF(COUNTIFS('复盘记录'!$A$7:$A$306,A181)&lt;&gt;1,"编号重复",IF(COUNTIFS('问题总览'!$A$7:$A$306,B181)&lt;&gt;1,"问题引用无效",IF(COUNTIFS('方案版本'!$A$7:$A$306,C181,'方案版本'!$B$7:$B$306,B181,'方案版本'!$L$7:$L$306,"已冻结")&lt;&gt;1,"方案引用无效",IF(OR(NOT(ISNUMBER(D181)),NOT(ISNUMBER(E181)),F181="",G181="",H181="",M181=""),"待补复盘信息",IF(COUNTIFS('更新日志'!$A$7:$A$306,J181,'更新日志'!$B$7:$B$306,B181,'更新日志'!$C$7:$C$306,A181)&lt;&gt;1,"待登记更新单","有效输入"))))))</x:f>
      </x:c>
    </x:row>
    <x:row r="182" ht="25" customHeight="1">
      <x:c r="A182" s="3"/>
      <x:c r="B182" s="3"/>
      <x:c r="C182" s="3"/>
      <x:c r="D182" s="25"/>
      <x:c r="E182" s="25"/>
      <x:c r="F182" s="3"/>
      <x:c r="G182" s="3"/>
      <x:c r="H182" s="3"/>
      <x:c r="I182" s="3"/>
      <x:c r="J182" s="3"/>
      <x:c r="K182" s="3"/>
      <x:c r="L182" s="20"/>
      <x:c r="M182" s="3"/>
      <x:c r="N182" s="19" t="str">
        <x:f>IF(A182="","",IF(COUNTIFS('复盘记录'!$A$7:$A$306,A182)&lt;&gt;1,"编号重复",IF(COUNTIFS('问题总览'!$A$7:$A$306,B182)&lt;&gt;1,"问题引用无效",IF(COUNTIFS('方案版本'!$A$7:$A$306,C182,'方案版本'!$B$7:$B$306,B182,'方案版本'!$L$7:$L$306,"已冻结")&lt;&gt;1,"方案引用无效",IF(OR(NOT(ISNUMBER(D182)),NOT(ISNUMBER(E182)),F182="",G182="",H182="",M182=""),"待补复盘信息",IF(COUNTIFS('更新日志'!$A$7:$A$306,J182,'更新日志'!$B$7:$B$306,B182,'更新日志'!$C$7:$C$306,A182)&lt;&gt;1,"待登记更新单","有效输入"))))))</x:f>
      </x:c>
    </x:row>
    <x:row r="183" ht="25" customHeight="1">
      <x:c r="A183" s="3"/>
      <x:c r="B183" s="3"/>
      <x:c r="C183" s="3"/>
      <x:c r="D183" s="25"/>
      <x:c r="E183" s="25"/>
      <x:c r="F183" s="3"/>
      <x:c r="G183" s="3"/>
      <x:c r="H183" s="3"/>
      <x:c r="I183" s="3"/>
      <x:c r="J183" s="3"/>
      <x:c r="K183" s="3"/>
      <x:c r="L183" s="20"/>
      <x:c r="M183" s="3"/>
      <x:c r="N183" s="19" t="str">
        <x:f>IF(A183="","",IF(COUNTIFS('复盘记录'!$A$7:$A$306,A183)&lt;&gt;1,"编号重复",IF(COUNTIFS('问题总览'!$A$7:$A$306,B183)&lt;&gt;1,"问题引用无效",IF(COUNTIFS('方案版本'!$A$7:$A$306,C183,'方案版本'!$B$7:$B$306,B183,'方案版本'!$L$7:$L$306,"已冻结")&lt;&gt;1,"方案引用无效",IF(OR(NOT(ISNUMBER(D183)),NOT(ISNUMBER(E183)),F183="",G183="",H183="",M183=""),"待补复盘信息",IF(COUNTIFS('更新日志'!$A$7:$A$306,J183,'更新日志'!$B$7:$B$306,B183,'更新日志'!$C$7:$C$306,A183)&lt;&gt;1,"待登记更新单","有效输入"))))))</x:f>
      </x:c>
    </x:row>
    <x:row r="184" ht="25" customHeight="1">
      <x:c r="A184" s="3"/>
      <x:c r="B184" s="3"/>
      <x:c r="C184" s="3"/>
      <x:c r="D184" s="25"/>
      <x:c r="E184" s="25"/>
      <x:c r="F184" s="3"/>
      <x:c r="G184" s="3"/>
      <x:c r="H184" s="3"/>
      <x:c r="I184" s="3"/>
      <x:c r="J184" s="3"/>
      <x:c r="K184" s="3"/>
      <x:c r="L184" s="20"/>
      <x:c r="M184" s="3"/>
      <x:c r="N184" s="19" t="str">
        <x:f>IF(A184="","",IF(COUNTIFS('复盘记录'!$A$7:$A$306,A184)&lt;&gt;1,"编号重复",IF(COUNTIFS('问题总览'!$A$7:$A$306,B184)&lt;&gt;1,"问题引用无效",IF(COUNTIFS('方案版本'!$A$7:$A$306,C184,'方案版本'!$B$7:$B$306,B184,'方案版本'!$L$7:$L$306,"已冻结")&lt;&gt;1,"方案引用无效",IF(OR(NOT(ISNUMBER(D184)),NOT(ISNUMBER(E184)),F184="",G184="",H184="",M184=""),"待补复盘信息",IF(COUNTIFS('更新日志'!$A$7:$A$306,J184,'更新日志'!$B$7:$B$306,B184,'更新日志'!$C$7:$C$306,A184)&lt;&gt;1,"待登记更新单","有效输入"))))))</x:f>
      </x:c>
    </x:row>
    <x:row r="185" ht="25" customHeight="1">
      <x:c r="A185" s="3"/>
      <x:c r="B185" s="3"/>
      <x:c r="C185" s="3"/>
      <x:c r="D185" s="25"/>
      <x:c r="E185" s="25"/>
      <x:c r="F185" s="3"/>
      <x:c r="G185" s="3"/>
      <x:c r="H185" s="3"/>
      <x:c r="I185" s="3"/>
      <x:c r="J185" s="3"/>
      <x:c r="K185" s="3"/>
      <x:c r="L185" s="20"/>
      <x:c r="M185" s="3"/>
      <x:c r="N185" s="19" t="str">
        <x:f>IF(A185="","",IF(COUNTIFS('复盘记录'!$A$7:$A$306,A185)&lt;&gt;1,"编号重复",IF(COUNTIFS('问题总览'!$A$7:$A$306,B185)&lt;&gt;1,"问题引用无效",IF(COUNTIFS('方案版本'!$A$7:$A$306,C185,'方案版本'!$B$7:$B$306,B185,'方案版本'!$L$7:$L$306,"已冻结")&lt;&gt;1,"方案引用无效",IF(OR(NOT(ISNUMBER(D185)),NOT(ISNUMBER(E185)),F185="",G185="",H185="",M185=""),"待补复盘信息",IF(COUNTIFS('更新日志'!$A$7:$A$306,J185,'更新日志'!$B$7:$B$306,B185,'更新日志'!$C$7:$C$306,A185)&lt;&gt;1,"待登记更新单","有效输入"))))))</x:f>
      </x:c>
    </x:row>
    <x:row r="186" ht="25" customHeight="1">
      <x:c r="A186" s="3"/>
      <x:c r="B186" s="3"/>
      <x:c r="C186" s="3"/>
      <x:c r="D186" s="25"/>
      <x:c r="E186" s="25"/>
      <x:c r="F186" s="3"/>
      <x:c r="G186" s="3"/>
      <x:c r="H186" s="3"/>
      <x:c r="I186" s="3"/>
      <x:c r="J186" s="3"/>
      <x:c r="K186" s="3"/>
      <x:c r="L186" s="20"/>
      <x:c r="M186" s="3"/>
      <x:c r="N186" s="19" t="str">
        <x:f>IF(A186="","",IF(COUNTIFS('复盘记录'!$A$7:$A$306,A186)&lt;&gt;1,"编号重复",IF(COUNTIFS('问题总览'!$A$7:$A$306,B186)&lt;&gt;1,"问题引用无效",IF(COUNTIFS('方案版本'!$A$7:$A$306,C186,'方案版本'!$B$7:$B$306,B186,'方案版本'!$L$7:$L$306,"已冻结")&lt;&gt;1,"方案引用无效",IF(OR(NOT(ISNUMBER(D186)),NOT(ISNUMBER(E186)),F186="",G186="",H186="",M186=""),"待补复盘信息",IF(COUNTIFS('更新日志'!$A$7:$A$306,J186,'更新日志'!$B$7:$B$306,B186,'更新日志'!$C$7:$C$306,A186)&lt;&gt;1,"待登记更新单","有效输入"))))))</x:f>
      </x:c>
    </x:row>
    <x:row r="187" ht="25" customHeight="1">
      <x:c r="A187" s="3"/>
      <x:c r="B187" s="3"/>
      <x:c r="C187" s="3"/>
      <x:c r="D187" s="25"/>
      <x:c r="E187" s="25"/>
      <x:c r="F187" s="3"/>
      <x:c r="G187" s="3"/>
      <x:c r="H187" s="3"/>
      <x:c r="I187" s="3"/>
      <x:c r="J187" s="3"/>
      <x:c r="K187" s="3"/>
      <x:c r="L187" s="20"/>
      <x:c r="M187" s="3"/>
      <x:c r="N187" s="19" t="str">
        <x:f>IF(A187="","",IF(COUNTIFS('复盘记录'!$A$7:$A$306,A187)&lt;&gt;1,"编号重复",IF(COUNTIFS('问题总览'!$A$7:$A$306,B187)&lt;&gt;1,"问题引用无效",IF(COUNTIFS('方案版本'!$A$7:$A$306,C187,'方案版本'!$B$7:$B$306,B187,'方案版本'!$L$7:$L$306,"已冻结")&lt;&gt;1,"方案引用无效",IF(OR(NOT(ISNUMBER(D187)),NOT(ISNUMBER(E187)),F187="",G187="",H187="",M187=""),"待补复盘信息",IF(COUNTIFS('更新日志'!$A$7:$A$306,J187,'更新日志'!$B$7:$B$306,B187,'更新日志'!$C$7:$C$306,A187)&lt;&gt;1,"待登记更新单","有效输入"))))))</x:f>
      </x:c>
    </x:row>
    <x:row r="188" ht="25" customHeight="1">
      <x:c r="A188" s="3"/>
      <x:c r="B188" s="3"/>
      <x:c r="C188" s="3"/>
      <x:c r="D188" s="25"/>
      <x:c r="E188" s="25"/>
      <x:c r="F188" s="3"/>
      <x:c r="G188" s="3"/>
      <x:c r="H188" s="3"/>
      <x:c r="I188" s="3"/>
      <x:c r="J188" s="3"/>
      <x:c r="K188" s="3"/>
      <x:c r="L188" s="20"/>
      <x:c r="M188" s="3"/>
      <x:c r="N188" s="19" t="str">
        <x:f>IF(A188="","",IF(COUNTIFS('复盘记录'!$A$7:$A$306,A188)&lt;&gt;1,"编号重复",IF(COUNTIFS('问题总览'!$A$7:$A$306,B188)&lt;&gt;1,"问题引用无效",IF(COUNTIFS('方案版本'!$A$7:$A$306,C188,'方案版本'!$B$7:$B$306,B188,'方案版本'!$L$7:$L$306,"已冻结")&lt;&gt;1,"方案引用无效",IF(OR(NOT(ISNUMBER(D188)),NOT(ISNUMBER(E188)),F188="",G188="",H188="",M188=""),"待补复盘信息",IF(COUNTIFS('更新日志'!$A$7:$A$306,J188,'更新日志'!$B$7:$B$306,B188,'更新日志'!$C$7:$C$306,A188)&lt;&gt;1,"待登记更新单","有效输入"))))))</x:f>
      </x:c>
    </x:row>
    <x:row r="189" ht="25" customHeight="1">
      <x:c r="A189" s="3"/>
      <x:c r="B189" s="3"/>
      <x:c r="C189" s="3"/>
      <x:c r="D189" s="25"/>
      <x:c r="E189" s="25"/>
      <x:c r="F189" s="3"/>
      <x:c r="G189" s="3"/>
      <x:c r="H189" s="3"/>
      <x:c r="I189" s="3"/>
      <x:c r="J189" s="3"/>
      <x:c r="K189" s="3"/>
      <x:c r="L189" s="20"/>
      <x:c r="M189" s="3"/>
      <x:c r="N189" s="19" t="str">
        <x:f>IF(A189="","",IF(COUNTIFS('复盘记录'!$A$7:$A$306,A189)&lt;&gt;1,"编号重复",IF(COUNTIFS('问题总览'!$A$7:$A$306,B189)&lt;&gt;1,"问题引用无效",IF(COUNTIFS('方案版本'!$A$7:$A$306,C189,'方案版本'!$B$7:$B$306,B189,'方案版本'!$L$7:$L$306,"已冻结")&lt;&gt;1,"方案引用无效",IF(OR(NOT(ISNUMBER(D189)),NOT(ISNUMBER(E189)),F189="",G189="",H189="",M189=""),"待补复盘信息",IF(COUNTIFS('更新日志'!$A$7:$A$306,J189,'更新日志'!$B$7:$B$306,B189,'更新日志'!$C$7:$C$306,A189)&lt;&gt;1,"待登记更新单","有效输入"))))))</x:f>
      </x:c>
    </x:row>
    <x:row r="190" ht="25" customHeight="1">
      <x:c r="A190" s="3"/>
      <x:c r="B190" s="3"/>
      <x:c r="C190" s="3"/>
      <x:c r="D190" s="25"/>
      <x:c r="E190" s="25"/>
      <x:c r="F190" s="3"/>
      <x:c r="G190" s="3"/>
      <x:c r="H190" s="3"/>
      <x:c r="I190" s="3"/>
      <x:c r="J190" s="3"/>
      <x:c r="K190" s="3"/>
      <x:c r="L190" s="20"/>
      <x:c r="M190" s="3"/>
      <x:c r="N190" s="19" t="str">
        <x:f>IF(A190="","",IF(COUNTIFS('复盘记录'!$A$7:$A$306,A190)&lt;&gt;1,"编号重复",IF(COUNTIFS('问题总览'!$A$7:$A$306,B190)&lt;&gt;1,"问题引用无效",IF(COUNTIFS('方案版本'!$A$7:$A$306,C190,'方案版本'!$B$7:$B$306,B190,'方案版本'!$L$7:$L$306,"已冻结")&lt;&gt;1,"方案引用无效",IF(OR(NOT(ISNUMBER(D190)),NOT(ISNUMBER(E190)),F190="",G190="",H190="",M190=""),"待补复盘信息",IF(COUNTIFS('更新日志'!$A$7:$A$306,J190,'更新日志'!$B$7:$B$306,B190,'更新日志'!$C$7:$C$306,A190)&lt;&gt;1,"待登记更新单","有效输入"))))))</x:f>
      </x:c>
    </x:row>
    <x:row r="191" ht="25" customHeight="1">
      <x:c r="A191" s="3"/>
      <x:c r="B191" s="3"/>
      <x:c r="C191" s="3"/>
      <x:c r="D191" s="25"/>
      <x:c r="E191" s="25"/>
      <x:c r="F191" s="3"/>
      <x:c r="G191" s="3"/>
      <x:c r="H191" s="3"/>
      <x:c r="I191" s="3"/>
      <x:c r="J191" s="3"/>
      <x:c r="K191" s="3"/>
      <x:c r="L191" s="20"/>
      <x:c r="M191" s="3"/>
      <x:c r="N191" s="19" t="str">
        <x:f>IF(A191="","",IF(COUNTIFS('复盘记录'!$A$7:$A$306,A191)&lt;&gt;1,"编号重复",IF(COUNTIFS('问题总览'!$A$7:$A$306,B191)&lt;&gt;1,"问题引用无效",IF(COUNTIFS('方案版本'!$A$7:$A$306,C191,'方案版本'!$B$7:$B$306,B191,'方案版本'!$L$7:$L$306,"已冻结")&lt;&gt;1,"方案引用无效",IF(OR(NOT(ISNUMBER(D191)),NOT(ISNUMBER(E191)),F191="",G191="",H191="",M191=""),"待补复盘信息",IF(COUNTIFS('更新日志'!$A$7:$A$306,J191,'更新日志'!$B$7:$B$306,B191,'更新日志'!$C$7:$C$306,A191)&lt;&gt;1,"待登记更新单","有效输入"))))))</x:f>
      </x:c>
    </x:row>
    <x:row r="192" ht="25" customHeight="1">
      <x:c r="A192" s="3"/>
      <x:c r="B192" s="3"/>
      <x:c r="C192" s="3"/>
      <x:c r="D192" s="25"/>
      <x:c r="E192" s="25"/>
      <x:c r="F192" s="3"/>
      <x:c r="G192" s="3"/>
      <x:c r="H192" s="3"/>
      <x:c r="I192" s="3"/>
      <x:c r="J192" s="3"/>
      <x:c r="K192" s="3"/>
      <x:c r="L192" s="20"/>
      <x:c r="M192" s="3"/>
      <x:c r="N192" s="19" t="str">
        <x:f>IF(A192="","",IF(COUNTIFS('复盘记录'!$A$7:$A$306,A192)&lt;&gt;1,"编号重复",IF(COUNTIFS('问题总览'!$A$7:$A$306,B192)&lt;&gt;1,"问题引用无效",IF(COUNTIFS('方案版本'!$A$7:$A$306,C192,'方案版本'!$B$7:$B$306,B192,'方案版本'!$L$7:$L$306,"已冻结")&lt;&gt;1,"方案引用无效",IF(OR(NOT(ISNUMBER(D192)),NOT(ISNUMBER(E192)),F192="",G192="",H192="",M192=""),"待补复盘信息",IF(COUNTIFS('更新日志'!$A$7:$A$306,J192,'更新日志'!$B$7:$B$306,B192,'更新日志'!$C$7:$C$306,A192)&lt;&gt;1,"待登记更新单","有效输入"))))))</x:f>
      </x:c>
    </x:row>
    <x:row r="193" ht="25" customHeight="1">
      <x:c r="A193" s="3"/>
      <x:c r="B193" s="3"/>
      <x:c r="C193" s="3"/>
      <x:c r="D193" s="25"/>
      <x:c r="E193" s="25"/>
      <x:c r="F193" s="3"/>
      <x:c r="G193" s="3"/>
      <x:c r="H193" s="3"/>
      <x:c r="I193" s="3"/>
      <x:c r="J193" s="3"/>
      <x:c r="K193" s="3"/>
      <x:c r="L193" s="20"/>
      <x:c r="M193" s="3"/>
      <x:c r="N193" s="19" t="str">
        <x:f>IF(A193="","",IF(COUNTIFS('复盘记录'!$A$7:$A$306,A193)&lt;&gt;1,"编号重复",IF(COUNTIFS('问题总览'!$A$7:$A$306,B193)&lt;&gt;1,"问题引用无效",IF(COUNTIFS('方案版本'!$A$7:$A$306,C193,'方案版本'!$B$7:$B$306,B193,'方案版本'!$L$7:$L$306,"已冻结")&lt;&gt;1,"方案引用无效",IF(OR(NOT(ISNUMBER(D193)),NOT(ISNUMBER(E193)),F193="",G193="",H193="",M193=""),"待补复盘信息",IF(COUNTIFS('更新日志'!$A$7:$A$306,J193,'更新日志'!$B$7:$B$306,B193,'更新日志'!$C$7:$C$306,A193)&lt;&gt;1,"待登记更新单","有效输入"))))))</x:f>
      </x:c>
    </x:row>
    <x:row r="194" ht="25" customHeight="1">
      <x:c r="A194" s="3"/>
      <x:c r="B194" s="3"/>
      <x:c r="C194" s="3"/>
      <x:c r="D194" s="25"/>
      <x:c r="E194" s="25"/>
      <x:c r="F194" s="3"/>
      <x:c r="G194" s="3"/>
      <x:c r="H194" s="3"/>
      <x:c r="I194" s="3"/>
      <x:c r="J194" s="3"/>
      <x:c r="K194" s="3"/>
      <x:c r="L194" s="20"/>
      <x:c r="M194" s="3"/>
      <x:c r="N194" s="19" t="str">
        <x:f>IF(A194="","",IF(COUNTIFS('复盘记录'!$A$7:$A$306,A194)&lt;&gt;1,"编号重复",IF(COUNTIFS('问题总览'!$A$7:$A$306,B194)&lt;&gt;1,"问题引用无效",IF(COUNTIFS('方案版本'!$A$7:$A$306,C194,'方案版本'!$B$7:$B$306,B194,'方案版本'!$L$7:$L$306,"已冻结")&lt;&gt;1,"方案引用无效",IF(OR(NOT(ISNUMBER(D194)),NOT(ISNUMBER(E194)),F194="",G194="",H194="",M194=""),"待补复盘信息",IF(COUNTIFS('更新日志'!$A$7:$A$306,J194,'更新日志'!$B$7:$B$306,B194,'更新日志'!$C$7:$C$306,A194)&lt;&gt;1,"待登记更新单","有效输入"))))))</x:f>
      </x:c>
    </x:row>
    <x:row r="195" ht="25" customHeight="1">
      <x:c r="A195" s="3"/>
      <x:c r="B195" s="3"/>
      <x:c r="C195" s="3"/>
      <x:c r="D195" s="25"/>
      <x:c r="E195" s="25"/>
      <x:c r="F195" s="3"/>
      <x:c r="G195" s="3"/>
      <x:c r="H195" s="3"/>
      <x:c r="I195" s="3"/>
      <x:c r="J195" s="3"/>
      <x:c r="K195" s="3"/>
      <x:c r="L195" s="20"/>
      <x:c r="M195" s="3"/>
      <x:c r="N195" s="19" t="str">
        <x:f>IF(A195="","",IF(COUNTIFS('复盘记录'!$A$7:$A$306,A195)&lt;&gt;1,"编号重复",IF(COUNTIFS('问题总览'!$A$7:$A$306,B195)&lt;&gt;1,"问题引用无效",IF(COUNTIFS('方案版本'!$A$7:$A$306,C195,'方案版本'!$B$7:$B$306,B195,'方案版本'!$L$7:$L$306,"已冻结")&lt;&gt;1,"方案引用无效",IF(OR(NOT(ISNUMBER(D195)),NOT(ISNUMBER(E195)),F195="",G195="",H195="",M195=""),"待补复盘信息",IF(COUNTIFS('更新日志'!$A$7:$A$306,J195,'更新日志'!$B$7:$B$306,B195,'更新日志'!$C$7:$C$306,A195)&lt;&gt;1,"待登记更新单","有效输入"))))))</x:f>
      </x:c>
    </x:row>
    <x:row r="196" ht="25" customHeight="1">
      <x:c r="A196" s="3"/>
      <x:c r="B196" s="3"/>
      <x:c r="C196" s="3"/>
      <x:c r="D196" s="25"/>
      <x:c r="E196" s="25"/>
      <x:c r="F196" s="3"/>
      <x:c r="G196" s="3"/>
      <x:c r="H196" s="3"/>
      <x:c r="I196" s="3"/>
      <x:c r="J196" s="3"/>
      <x:c r="K196" s="3"/>
      <x:c r="L196" s="20"/>
      <x:c r="M196" s="3"/>
      <x:c r="N196" s="19" t="str">
        <x:f>IF(A196="","",IF(COUNTIFS('复盘记录'!$A$7:$A$306,A196)&lt;&gt;1,"编号重复",IF(COUNTIFS('问题总览'!$A$7:$A$306,B196)&lt;&gt;1,"问题引用无效",IF(COUNTIFS('方案版本'!$A$7:$A$306,C196,'方案版本'!$B$7:$B$306,B196,'方案版本'!$L$7:$L$306,"已冻结")&lt;&gt;1,"方案引用无效",IF(OR(NOT(ISNUMBER(D196)),NOT(ISNUMBER(E196)),F196="",G196="",H196="",M196=""),"待补复盘信息",IF(COUNTIFS('更新日志'!$A$7:$A$306,J196,'更新日志'!$B$7:$B$306,B196,'更新日志'!$C$7:$C$306,A196)&lt;&gt;1,"待登记更新单","有效输入"))))))</x:f>
      </x:c>
    </x:row>
    <x:row r="197" ht="25" customHeight="1">
      <x:c r="A197" s="3"/>
      <x:c r="B197" s="3"/>
      <x:c r="C197" s="3"/>
      <x:c r="D197" s="25"/>
      <x:c r="E197" s="25"/>
      <x:c r="F197" s="3"/>
      <x:c r="G197" s="3"/>
      <x:c r="H197" s="3"/>
      <x:c r="I197" s="3"/>
      <x:c r="J197" s="3"/>
      <x:c r="K197" s="3"/>
      <x:c r="L197" s="20"/>
      <x:c r="M197" s="3"/>
      <x:c r="N197" s="19" t="str">
        <x:f>IF(A197="","",IF(COUNTIFS('复盘记录'!$A$7:$A$306,A197)&lt;&gt;1,"编号重复",IF(COUNTIFS('问题总览'!$A$7:$A$306,B197)&lt;&gt;1,"问题引用无效",IF(COUNTIFS('方案版本'!$A$7:$A$306,C197,'方案版本'!$B$7:$B$306,B197,'方案版本'!$L$7:$L$306,"已冻结")&lt;&gt;1,"方案引用无效",IF(OR(NOT(ISNUMBER(D197)),NOT(ISNUMBER(E197)),F197="",G197="",H197="",M197=""),"待补复盘信息",IF(COUNTIFS('更新日志'!$A$7:$A$306,J197,'更新日志'!$B$7:$B$306,B197,'更新日志'!$C$7:$C$306,A197)&lt;&gt;1,"待登记更新单","有效输入"))))))</x:f>
      </x:c>
    </x:row>
    <x:row r="198" ht="25" customHeight="1">
      <x:c r="A198" s="3"/>
      <x:c r="B198" s="3"/>
      <x:c r="C198" s="3"/>
      <x:c r="D198" s="25"/>
      <x:c r="E198" s="25"/>
      <x:c r="F198" s="3"/>
      <x:c r="G198" s="3"/>
      <x:c r="H198" s="3"/>
      <x:c r="I198" s="3"/>
      <x:c r="J198" s="3"/>
      <x:c r="K198" s="3"/>
      <x:c r="L198" s="20"/>
      <x:c r="M198" s="3"/>
      <x:c r="N198" s="19" t="str">
        <x:f>IF(A198="","",IF(COUNTIFS('复盘记录'!$A$7:$A$306,A198)&lt;&gt;1,"编号重复",IF(COUNTIFS('问题总览'!$A$7:$A$306,B198)&lt;&gt;1,"问题引用无效",IF(COUNTIFS('方案版本'!$A$7:$A$306,C198,'方案版本'!$B$7:$B$306,B198,'方案版本'!$L$7:$L$306,"已冻结")&lt;&gt;1,"方案引用无效",IF(OR(NOT(ISNUMBER(D198)),NOT(ISNUMBER(E198)),F198="",G198="",H198="",M198=""),"待补复盘信息",IF(COUNTIFS('更新日志'!$A$7:$A$306,J198,'更新日志'!$B$7:$B$306,B198,'更新日志'!$C$7:$C$306,A198)&lt;&gt;1,"待登记更新单","有效输入"))))))</x:f>
      </x:c>
    </x:row>
    <x:row r="199" ht="25" customHeight="1">
      <x:c r="A199" s="3"/>
      <x:c r="B199" s="3"/>
      <x:c r="C199" s="3"/>
      <x:c r="D199" s="25"/>
      <x:c r="E199" s="25"/>
      <x:c r="F199" s="3"/>
      <x:c r="G199" s="3"/>
      <x:c r="H199" s="3"/>
      <x:c r="I199" s="3"/>
      <x:c r="J199" s="3"/>
      <x:c r="K199" s="3"/>
      <x:c r="L199" s="20"/>
      <x:c r="M199" s="3"/>
      <x:c r="N199" s="19" t="str">
        <x:f>IF(A199="","",IF(COUNTIFS('复盘记录'!$A$7:$A$306,A199)&lt;&gt;1,"编号重复",IF(COUNTIFS('问题总览'!$A$7:$A$306,B199)&lt;&gt;1,"问题引用无效",IF(COUNTIFS('方案版本'!$A$7:$A$306,C199,'方案版本'!$B$7:$B$306,B199,'方案版本'!$L$7:$L$306,"已冻结")&lt;&gt;1,"方案引用无效",IF(OR(NOT(ISNUMBER(D199)),NOT(ISNUMBER(E199)),F199="",G199="",H199="",M199=""),"待补复盘信息",IF(COUNTIFS('更新日志'!$A$7:$A$306,J199,'更新日志'!$B$7:$B$306,B199,'更新日志'!$C$7:$C$306,A199)&lt;&gt;1,"待登记更新单","有效输入"))))))</x:f>
      </x:c>
    </x:row>
    <x:row r="200" ht="25" customHeight="1">
      <x:c r="A200" s="3"/>
      <x:c r="B200" s="3"/>
      <x:c r="C200" s="3"/>
      <x:c r="D200" s="25"/>
      <x:c r="E200" s="25"/>
      <x:c r="F200" s="3"/>
      <x:c r="G200" s="3"/>
      <x:c r="H200" s="3"/>
      <x:c r="I200" s="3"/>
      <x:c r="J200" s="3"/>
      <x:c r="K200" s="3"/>
      <x:c r="L200" s="20"/>
      <x:c r="M200" s="3"/>
      <x:c r="N200" s="19" t="str">
        <x:f>IF(A200="","",IF(COUNTIFS('复盘记录'!$A$7:$A$306,A200)&lt;&gt;1,"编号重复",IF(COUNTIFS('问题总览'!$A$7:$A$306,B200)&lt;&gt;1,"问题引用无效",IF(COUNTIFS('方案版本'!$A$7:$A$306,C200,'方案版本'!$B$7:$B$306,B200,'方案版本'!$L$7:$L$306,"已冻结")&lt;&gt;1,"方案引用无效",IF(OR(NOT(ISNUMBER(D200)),NOT(ISNUMBER(E200)),F200="",G200="",H200="",M200=""),"待补复盘信息",IF(COUNTIFS('更新日志'!$A$7:$A$306,J200,'更新日志'!$B$7:$B$306,B200,'更新日志'!$C$7:$C$306,A200)&lt;&gt;1,"待登记更新单","有效输入"))))))</x:f>
      </x:c>
    </x:row>
    <x:row r="201" ht="25" customHeight="1">
      <x:c r="A201" s="3"/>
      <x:c r="B201" s="3"/>
      <x:c r="C201" s="3"/>
      <x:c r="D201" s="25"/>
      <x:c r="E201" s="25"/>
      <x:c r="F201" s="3"/>
      <x:c r="G201" s="3"/>
      <x:c r="H201" s="3"/>
      <x:c r="I201" s="3"/>
      <x:c r="J201" s="3"/>
      <x:c r="K201" s="3"/>
      <x:c r="L201" s="20"/>
      <x:c r="M201" s="3"/>
      <x:c r="N201" s="19" t="str">
        <x:f>IF(A201="","",IF(COUNTIFS('复盘记录'!$A$7:$A$306,A201)&lt;&gt;1,"编号重复",IF(COUNTIFS('问题总览'!$A$7:$A$306,B201)&lt;&gt;1,"问题引用无效",IF(COUNTIFS('方案版本'!$A$7:$A$306,C201,'方案版本'!$B$7:$B$306,B201,'方案版本'!$L$7:$L$306,"已冻结")&lt;&gt;1,"方案引用无效",IF(OR(NOT(ISNUMBER(D201)),NOT(ISNUMBER(E201)),F201="",G201="",H201="",M201=""),"待补复盘信息",IF(COUNTIFS('更新日志'!$A$7:$A$306,J201,'更新日志'!$B$7:$B$306,B201,'更新日志'!$C$7:$C$306,A201)&lt;&gt;1,"待登记更新单","有效输入"))))))</x:f>
      </x:c>
    </x:row>
    <x:row r="202" ht="25" customHeight="1">
      <x:c r="A202" s="3"/>
      <x:c r="B202" s="3"/>
      <x:c r="C202" s="3"/>
      <x:c r="D202" s="25"/>
      <x:c r="E202" s="25"/>
      <x:c r="F202" s="3"/>
      <x:c r="G202" s="3"/>
      <x:c r="H202" s="3"/>
      <x:c r="I202" s="3"/>
      <x:c r="J202" s="3"/>
      <x:c r="K202" s="3"/>
      <x:c r="L202" s="20"/>
      <x:c r="M202" s="3"/>
      <x:c r="N202" s="19" t="str">
        <x:f>IF(A202="","",IF(COUNTIFS('复盘记录'!$A$7:$A$306,A202)&lt;&gt;1,"编号重复",IF(COUNTIFS('问题总览'!$A$7:$A$306,B202)&lt;&gt;1,"问题引用无效",IF(COUNTIFS('方案版本'!$A$7:$A$306,C202,'方案版本'!$B$7:$B$306,B202,'方案版本'!$L$7:$L$306,"已冻结")&lt;&gt;1,"方案引用无效",IF(OR(NOT(ISNUMBER(D202)),NOT(ISNUMBER(E202)),F202="",G202="",H202="",M202=""),"待补复盘信息",IF(COUNTIFS('更新日志'!$A$7:$A$306,J202,'更新日志'!$B$7:$B$306,B202,'更新日志'!$C$7:$C$306,A202)&lt;&gt;1,"待登记更新单","有效输入"))))))</x:f>
      </x:c>
    </x:row>
    <x:row r="203" ht="25" customHeight="1">
      <x:c r="A203" s="3"/>
      <x:c r="B203" s="3"/>
      <x:c r="C203" s="3"/>
      <x:c r="D203" s="25"/>
      <x:c r="E203" s="25"/>
      <x:c r="F203" s="3"/>
      <x:c r="G203" s="3"/>
      <x:c r="H203" s="3"/>
      <x:c r="I203" s="3"/>
      <x:c r="J203" s="3"/>
      <x:c r="K203" s="3"/>
      <x:c r="L203" s="20"/>
      <x:c r="M203" s="3"/>
      <x:c r="N203" s="19" t="str">
        <x:f>IF(A203="","",IF(COUNTIFS('复盘记录'!$A$7:$A$306,A203)&lt;&gt;1,"编号重复",IF(COUNTIFS('问题总览'!$A$7:$A$306,B203)&lt;&gt;1,"问题引用无效",IF(COUNTIFS('方案版本'!$A$7:$A$306,C203,'方案版本'!$B$7:$B$306,B203,'方案版本'!$L$7:$L$306,"已冻结")&lt;&gt;1,"方案引用无效",IF(OR(NOT(ISNUMBER(D203)),NOT(ISNUMBER(E203)),F203="",G203="",H203="",M203=""),"待补复盘信息",IF(COUNTIFS('更新日志'!$A$7:$A$306,J203,'更新日志'!$B$7:$B$306,B203,'更新日志'!$C$7:$C$306,A203)&lt;&gt;1,"待登记更新单","有效输入"))))))</x:f>
      </x:c>
    </x:row>
    <x:row r="204" ht="25" customHeight="1">
      <x:c r="A204" s="3"/>
      <x:c r="B204" s="3"/>
      <x:c r="C204" s="3"/>
      <x:c r="D204" s="25"/>
      <x:c r="E204" s="25"/>
      <x:c r="F204" s="3"/>
      <x:c r="G204" s="3"/>
      <x:c r="H204" s="3"/>
      <x:c r="I204" s="3"/>
      <x:c r="J204" s="3"/>
      <x:c r="K204" s="3"/>
      <x:c r="L204" s="20"/>
      <x:c r="M204" s="3"/>
      <x:c r="N204" s="19" t="str">
        <x:f>IF(A204="","",IF(COUNTIFS('复盘记录'!$A$7:$A$306,A204)&lt;&gt;1,"编号重复",IF(COUNTIFS('问题总览'!$A$7:$A$306,B204)&lt;&gt;1,"问题引用无效",IF(COUNTIFS('方案版本'!$A$7:$A$306,C204,'方案版本'!$B$7:$B$306,B204,'方案版本'!$L$7:$L$306,"已冻结")&lt;&gt;1,"方案引用无效",IF(OR(NOT(ISNUMBER(D204)),NOT(ISNUMBER(E204)),F204="",G204="",H204="",M204=""),"待补复盘信息",IF(COUNTIFS('更新日志'!$A$7:$A$306,J204,'更新日志'!$B$7:$B$306,B204,'更新日志'!$C$7:$C$306,A204)&lt;&gt;1,"待登记更新单","有效输入"))))))</x:f>
      </x:c>
    </x:row>
    <x:row r="205" ht="25" customHeight="1">
      <x:c r="A205" s="3"/>
      <x:c r="B205" s="3"/>
      <x:c r="C205" s="3"/>
      <x:c r="D205" s="25"/>
      <x:c r="E205" s="25"/>
      <x:c r="F205" s="3"/>
      <x:c r="G205" s="3"/>
      <x:c r="H205" s="3"/>
      <x:c r="I205" s="3"/>
      <x:c r="J205" s="3"/>
      <x:c r="K205" s="3"/>
      <x:c r="L205" s="20"/>
      <x:c r="M205" s="3"/>
      <x:c r="N205" s="19" t="str">
        <x:f>IF(A205="","",IF(COUNTIFS('复盘记录'!$A$7:$A$306,A205)&lt;&gt;1,"编号重复",IF(COUNTIFS('问题总览'!$A$7:$A$306,B205)&lt;&gt;1,"问题引用无效",IF(COUNTIFS('方案版本'!$A$7:$A$306,C205,'方案版本'!$B$7:$B$306,B205,'方案版本'!$L$7:$L$306,"已冻结")&lt;&gt;1,"方案引用无效",IF(OR(NOT(ISNUMBER(D205)),NOT(ISNUMBER(E205)),F205="",G205="",H205="",M205=""),"待补复盘信息",IF(COUNTIFS('更新日志'!$A$7:$A$306,J205,'更新日志'!$B$7:$B$306,B205,'更新日志'!$C$7:$C$306,A205)&lt;&gt;1,"待登记更新单","有效输入"))))))</x:f>
      </x:c>
    </x:row>
    <x:row r="206" ht="25" customHeight="1">
      <x:c r="A206" s="3"/>
      <x:c r="B206" s="3"/>
      <x:c r="C206" s="3"/>
      <x:c r="D206" s="25"/>
      <x:c r="E206" s="25"/>
      <x:c r="F206" s="3"/>
      <x:c r="G206" s="3"/>
      <x:c r="H206" s="3"/>
      <x:c r="I206" s="3"/>
      <x:c r="J206" s="3"/>
      <x:c r="K206" s="3"/>
      <x:c r="L206" s="20"/>
      <x:c r="M206" s="3"/>
      <x:c r="N206" s="19" t="str">
        <x:f>IF(A206="","",IF(COUNTIFS('复盘记录'!$A$7:$A$306,A206)&lt;&gt;1,"编号重复",IF(COUNTIFS('问题总览'!$A$7:$A$306,B206)&lt;&gt;1,"问题引用无效",IF(COUNTIFS('方案版本'!$A$7:$A$306,C206,'方案版本'!$B$7:$B$306,B206,'方案版本'!$L$7:$L$306,"已冻结")&lt;&gt;1,"方案引用无效",IF(OR(NOT(ISNUMBER(D206)),NOT(ISNUMBER(E206)),F206="",G206="",H206="",M206=""),"待补复盘信息",IF(COUNTIFS('更新日志'!$A$7:$A$306,J206,'更新日志'!$B$7:$B$306,B206,'更新日志'!$C$7:$C$306,A206)&lt;&gt;1,"待登记更新单","有效输入"))))))</x:f>
      </x:c>
    </x:row>
    <x:row r="207" ht="25" customHeight="1">
      <x:c r="A207" s="3"/>
      <x:c r="B207" s="3"/>
      <x:c r="C207" s="3"/>
      <x:c r="D207" s="25"/>
      <x:c r="E207" s="25"/>
      <x:c r="F207" s="3"/>
      <x:c r="G207" s="3"/>
      <x:c r="H207" s="3"/>
      <x:c r="I207" s="3"/>
      <x:c r="J207" s="3"/>
      <x:c r="K207" s="3"/>
      <x:c r="L207" s="20"/>
      <x:c r="M207" s="3"/>
      <x:c r="N207" s="19" t="str">
        <x:f>IF(A207="","",IF(COUNTIFS('复盘记录'!$A$7:$A$306,A207)&lt;&gt;1,"编号重复",IF(COUNTIFS('问题总览'!$A$7:$A$306,B207)&lt;&gt;1,"问题引用无效",IF(COUNTIFS('方案版本'!$A$7:$A$306,C207,'方案版本'!$B$7:$B$306,B207,'方案版本'!$L$7:$L$306,"已冻结")&lt;&gt;1,"方案引用无效",IF(OR(NOT(ISNUMBER(D207)),NOT(ISNUMBER(E207)),F207="",G207="",H207="",M207=""),"待补复盘信息",IF(COUNTIFS('更新日志'!$A$7:$A$306,J207,'更新日志'!$B$7:$B$306,B207,'更新日志'!$C$7:$C$306,A207)&lt;&gt;1,"待登记更新单","有效输入"))))))</x:f>
      </x:c>
    </x:row>
    <x:row r="208" ht="25" customHeight="1">
      <x:c r="A208" s="3"/>
      <x:c r="B208" s="3"/>
      <x:c r="C208" s="3"/>
      <x:c r="D208" s="25"/>
      <x:c r="E208" s="25"/>
      <x:c r="F208" s="3"/>
      <x:c r="G208" s="3"/>
      <x:c r="H208" s="3"/>
      <x:c r="I208" s="3"/>
      <x:c r="J208" s="3"/>
      <x:c r="K208" s="3"/>
      <x:c r="L208" s="20"/>
      <x:c r="M208" s="3"/>
      <x:c r="N208" s="19" t="str">
        <x:f>IF(A208="","",IF(COUNTIFS('复盘记录'!$A$7:$A$306,A208)&lt;&gt;1,"编号重复",IF(COUNTIFS('问题总览'!$A$7:$A$306,B208)&lt;&gt;1,"问题引用无效",IF(COUNTIFS('方案版本'!$A$7:$A$306,C208,'方案版本'!$B$7:$B$306,B208,'方案版本'!$L$7:$L$306,"已冻结")&lt;&gt;1,"方案引用无效",IF(OR(NOT(ISNUMBER(D208)),NOT(ISNUMBER(E208)),F208="",G208="",H208="",M208=""),"待补复盘信息",IF(COUNTIFS('更新日志'!$A$7:$A$306,J208,'更新日志'!$B$7:$B$306,B208,'更新日志'!$C$7:$C$306,A208)&lt;&gt;1,"待登记更新单","有效输入"))))))</x:f>
      </x:c>
    </x:row>
    <x:row r="209" ht="25" customHeight="1">
      <x:c r="A209" s="3"/>
      <x:c r="B209" s="3"/>
      <x:c r="C209" s="3"/>
      <x:c r="D209" s="25"/>
      <x:c r="E209" s="25"/>
      <x:c r="F209" s="3"/>
      <x:c r="G209" s="3"/>
      <x:c r="H209" s="3"/>
      <x:c r="I209" s="3"/>
      <x:c r="J209" s="3"/>
      <x:c r="K209" s="3"/>
      <x:c r="L209" s="20"/>
      <x:c r="M209" s="3"/>
      <x:c r="N209" s="19" t="str">
        <x:f>IF(A209="","",IF(COUNTIFS('复盘记录'!$A$7:$A$306,A209)&lt;&gt;1,"编号重复",IF(COUNTIFS('问题总览'!$A$7:$A$306,B209)&lt;&gt;1,"问题引用无效",IF(COUNTIFS('方案版本'!$A$7:$A$306,C209,'方案版本'!$B$7:$B$306,B209,'方案版本'!$L$7:$L$306,"已冻结")&lt;&gt;1,"方案引用无效",IF(OR(NOT(ISNUMBER(D209)),NOT(ISNUMBER(E209)),F209="",G209="",H209="",M209=""),"待补复盘信息",IF(COUNTIFS('更新日志'!$A$7:$A$306,J209,'更新日志'!$B$7:$B$306,B209,'更新日志'!$C$7:$C$306,A209)&lt;&gt;1,"待登记更新单","有效输入"))))))</x:f>
      </x:c>
    </x:row>
    <x:row r="210" ht="25" customHeight="1">
      <x:c r="A210" s="3"/>
      <x:c r="B210" s="3"/>
      <x:c r="C210" s="3"/>
      <x:c r="D210" s="25"/>
      <x:c r="E210" s="25"/>
      <x:c r="F210" s="3"/>
      <x:c r="G210" s="3"/>
      <x:c r="H210" s="3"/>
      <x:c r="I210" s="3"/>
      <x:c r="J210" s="3"/>
      <x:c r="K210" s="3"/>
      <x:c r="L210" s="20"/>
      <x:c r="M210" s="3"/>
      <x:c r="N210" s="19" t="str">
        <x:f>IF(A210="","",IF(COUNTIFS('复盘记录'!$A$7:$A$306,A210)&lt;&gt;1,"编号重复",IF(COUNTIFS('问题总览'!$A$7:$A$306,B210)&lt;&gt;1,"问题引用无效",IF(COUNTIFS('方案版本'!$A$7:$A$306,C210,'方案版本'!$B$7:$B$306,B210,'方案版本'!$L$7:$L$306,"已冻结")&lt;&gt;1,"方案引用无效",IF(OR(NOT(ISNUMBER(D210)),NOT(ISNUMBER(E210)),F210="",G210="",H210="",M210=""),"待补复盘信息",IF(COUNTIFS('更新日志'!$A$7:$A$306,J210,'更新日志'!$B$7:$B$306,B210,'更新日志'!$C$7:$C$306,A210)&lt;&gt;1,"待登记更新单","有效输入"))))))</x:f>
      </x:c>
    </x:row>
    <x:row r="211" ht="25" customHeight="1">
      <x:c r="A211" s="3"/>
      <x:c r="B211" s="3"/>
      <x:c r="C211" s="3"/>
      <x:c r="D211" s="25"/>
      <x:c r="E211" s="25"/>
      <x:c r="F211" s="3"/>
      <x:c r="G211" s="3"/>
      <x:c r="H211" s="3"/>
      <x:c r="I211" s="3"/>
      <x:c r="J211" s="3"/>
      <x:c r="K211" s="3"/>
      <x:c r="L211" s="20"/>
      <x:c r="M211" s="3"/>
      <x:c r="N211" s="19" t="str">
        <x:f>IF(A211="","",IF(COUNTIFS('复盘记录'!$A$7:$A$306,A211)&lt;&gt;1,"编号重复",IF(COUNTIFS('问题总览'!$A$7:$A$306,B211)&lt;&gt;1,"问题引用无效",IF(COUNTIFS('方案版本'!$A$7:$A$306,C211,'方案版本'!$B$7:$B$306,B211,'方案版本'!$L$7:$L$306,"已冻结")&lt;&gt;1,"方案引用无效",IF(OR(NOT(ISNUMBER(D211)),NOT(ISNUMBER(E211)),F211="",G211="",H211="",M211=""),"待补复盘信息",IF(COUNTIFS('更新日志'!$A$7:$A$306,J211,'更新日志'!$B$7:$B$306,B211,'更新日志'!$C$7:$C$306,A211)&lt;&gt;1,"待登记更新单","有效输入"))))))</x:f>
      </x:c>
    </x:row>
    <x:row r="212" ht="25" customHeight="1">
      <x:c r="A212" s="3"/>
      <x:c r="B212" s="3"/>
      <x:c r="C212" s="3"/>
      <x:c r="D212" s="25"/>
      <x:c r="E212" s="25"/>
      <x:c r="F212" s="3"/>
      <x:c r="G212" s="3"/>
      <x:c r="H212" s="3"/>
      <x:c r="I212" s="3"/>
      <x:c r="J212" s="3"/>
      <x:c r="K212" s="3"/>
      <x:c r="L212" s="20"/>
      <x:c r="M212" s="3"/>
      <x:c r="N212" s="19" t="str">
        <x:f>IF(A212="","",IF(COUNTIFS('复盘记录'!$A$7:$A$306,A212)&lt;&gt;1,"编号重复",IF(COUNTIFS('问题总览'!$A$7:$A$306,B212)&lt;&gt;1,"问题引用无效",IF(COUNTIFS('方案版本'!$A$7:$A$306,C212,'方案版本'!$B$7:$B$306,B212,'方案版本'!$L$7:$L$306,"已冻结")&lt;&gt;1,"方案引用无效",IF(OR(NOT(ISNUMBER(D212)),NOT(ISNUMBER(E212)),F212="",G212="",H212="",M212=""),"待补复盘信息",IF(COUNTIFS('更新日志'!$A$7:$A$306,J212,'更新日志'!$B$7:$B$306,B212,'更新日志'!$C$7:$C$306,A212)&lt;&gt;1,"待登记更新单","有效输入"))))))</x:f>
      </x:c>
    </x:row>
    <x:row r="213" ht="25" customHeight="1">
      <x:c r="A213" s="3"/>
      <x:c r="B213" s="3"/>
      <x:c r="C213" s="3"/>
      <x:c r="D213" s="25"/>
      <x:c r="E213" s="25"/>
      <x:c r="F213" s="3"/>
      <x:c r="G213" s="3"/>
      <x:c r="H213" s="3"/>
      <x:c r="I213" s="3"/>
      <x:c r="J213" s="3"/>
      <x:c r="K213" s="3"/>
      <x:c r="L213" s="20"/>
      <x:c r="M213" s="3"/>
      <x:c r="N213" s="19" t="str">
        <x:f>IF(A213="","",IF(COUNTIFS('复盘记录'!$A$7:$A$306,A213)&lt;&gt;1,"编号重复",IF(COUNTIFS('问题总览'!$A$7:$A$306,B213)&lt;&gt;1,"问题引用无效",IF(COUNTIFS('方案版本'!$A$7:$A$306,C213,'方案版本'!$B$7:$B$306,B213,'方案版本'!$L$7:$L$306,"已冻结")&lt;&gt;1,"方案引用无效",IF(OR(NOT(ISNUMBER(D213)),NOT(ISNUMBER(E213)),F213="",G213="",H213="",M213=""),"待补复盘信息",IF(COUNTIFS('更新日志'!$A$7:$A$306,J213,'更新日志'!$B$7:$B$306,B213,'更新日志'!$C$7:$C$306,A213)&lt;&gt;1,"待登记更新单","有效输入"))))))</x:f>
      </x:c>
    </x:row>
    <x:row r="214" ht="25" customHeight="1">
      <x:c r="A214" s="3"/>
      <x:c r="B214" s="3"/>
      <x:c r="C214" s="3"/>
      <x:c r="D214" s="25"/>
      <x:c r="E214" s="25"/>
      <x:c r="F214" s="3"/>
      <x:c r="G214" s="3"/>
      <x:c r="H214" s="3"/>
      <x:c r="I214" s="3"/>
      <x:c r="J214" s="3"/>
      <x:c r="K214" s="3"/>
      <x:c r="L214" s="20"/>
      <x:c r="M214" s="3"/>
      <x:c r="N214" s="19" t="str">
        <x:f>IF(A214="","",IF(COUNTIFS('复盘记录'!$A$7:$A$306,A214)&lt;&gt;1,"编号重复",IF(COUNTIFS('问题总览'!$A$7:$A$306,B214)&lt;&gt;1,"问题引用无效",IF(COUNTIFS('方案版本'!$A$7:$A$306,C214,'方案版本'!$B$7:$B$306,B214,'方案版本'!$L$7:$L$306,"已冻结")&lt;&gt;1,"方案引用无效",IF(OR(NOT(ISNUMBER(D214)),NOT(ISNUMBER(E214)),F214="",G214="",H214="",M214=""),"待补复盘信息",IF(COUNTIFS('更新日志'!$A$7:$A$306,J214,'更新日志'!$B$7:$B$306,B214,'更新日志'!$C$7:$C$306,A214)&lt;&gt;1,"待登记更新单","有效输入"))))))</x:f>
      </x:c>
    </x:row>
    <x:row r="215" ht="25" customHeight="1">
      <x:c r="A215" s="3"/>
      <x:c r="B215" s="3"/>
      <x:c r="C215" s="3"/>
      <x:c r="D215" s="25"/>
      <x:c r="E215" s="25"/>
      <x:c r="F215" s="3"/>
      <x:c r="G215" s="3"/>
      <x:c r="H215" s="3"/>
      <x:c r="I215" s="3"/>
      <x:c r="J215" s="3"/>
      <x:c r="K215" s="3"/>
      <x:c r="L215" s="20"/>
      <x:c r="M215" s="3"/>
      <x:c r="N215" s="19" t="str">
        <x:f>IF(A215="","",IF(COUNTIFS('复盘记录'!$A$7:$A$306,A215)&lt;&gt;1,"编号重复",IF(COUNTIFS('问题总览'!$A$7:$A$306,B215)&lt;&gt;1,"问题引用无效",IF(COUNTIFS('方案版本'!$A$7:$A$306,C215,'方案版本'!$B$7:$B$306,B215,'方案版本'!$L$7:$L$306,"已冻结")&lt;&gt;1,"方案引用无效",IF(OR(NOT(ISNUMBER(D215)),NOT(ISNUMBER(E215)),F215="",G215="",H215="",M215=""),"待补复盘信息",IF(COUNTIFS('更新日志'!$A$7:$A$306,J215,'更新日志'!$B$7:$B$306,B215,'更新日志'!$C$7:$C$306,A215)&lt;&gt;1,"待登记更新单","有效输入"))))))</x:f>
      </x:c>
    </x:row>
    <x:row r="216" ht="25" customHeight="1">
      <x:c r="A216" s="3"/>
      <x:c r="B216" s="3"/>
      <x:c r="C216" s="3"/>
      <x:c r="D216" s="25"/>
      <x:c r="E216" s="25"/>
      <x:c r="F216" s="3"/>
      <x:c r="G216" s="3"/>
      <x:c r="H216" s="3"/>
      <x:c r="I216" s="3"/>
      <x:c r="J216" s="3"/>
      <x:c r="K216" s="3"/>
      <x:c r="L216" s="20"/>
      <x:c r="M216" s="3"/>
      <x:c r="N216" s="19" t="str">
        <x:f>IF(A216="","",IF(COUNTIFS('复盘记录'!$A$7:$A$306,A216)&lt;&gt;1,"编号重复",IF(COUNTIFS('问题总览'!$A$7:$A$306,B216)&lt;&gt;1,"问题引用无效",IF(COUNTIFS('方案版本'!$A$7:$A$306,C216,'方案版本'!$B$7:$B$306,B216,'方案版本'!$L$7:$L$306,"已冻结")&lt;&gt;1,"方案引用无效",IF(OR(NOT(ISNUMBER(D216)),NOT(ISNUMBER(E216)),F216="",G216="",H216="",M216=""),"待补复盘信息",IF(COUNTIFS('更新日志'!$A$7:$A$306,J216,'更新日志'!$B$7:$B$306,B216,'更新日志'!$C$7:$C$306,A216)&lt;&gt;1,"待登记更新单","有效输入"))))))</x:f>
      </x:c>
    </x:row>
    <x:row r="217" ht="25" customHeight="1">
      <x:c r="A217" s="3"/>
      <x:c r="B217" s="3"/>
      <x:c r="C217" s="3"/>
      <x:c r="D217" s="25"/>
      <x:c r="E217" s="25"/>
      <x:c r="F217" s="3"/>
      <x:c r="G217" s="3"/>
      <x:c r="H217" s="3"/>
      <x:c r="I217" s="3"/>
      <x:c r="J217" s="3"/>
      <x:c r="K217" s="3"/>
      <x:c r="L217" s="20"/>
      <x:c r="M217" s="3"/>
      <x:c r="N217" s="19" t="str">
        <x:f>IF(A217="","",IF(COUNTIFS('复盘记录'!$A$7:$A$306,A217)&lt;&gt;1,"编号重复",IF(COUNTIFS('问题总览'!$A$7:$A$306,B217)&lt;&gt;1,"问题引用无效",IF(COUNTIFS('方案版本'!$A$7:$A$306,C217,'方案版本'!$B$7:$B$306,B217,'方案版本'!$L$7:$L$306,"已冻结")&lt;&gt;1,"方案引用无效",IF(OR(NOT(ISNUMBER(D217)),NOT(ISNUMBER(E217)),F217="",G217="",H217="",M217=""),"待补复盘信息",IF(COUNTIFS('更新日志'!$A$7:$A$306,J217,'更新日志'!$B$7:$B$306,B217,'更新日志'!$C$7:$C$306,A217)&lt;&gt;1,"待登记更新单","有效输入"))))))</x:f>
      </x:c>
    </x:row>
    <x:row r="218" ht="25" customHeight="1">
      <x:c r="A218" s="3"/>
      <x:c r="B218" s="3"/>
      <x:c r="C218" s="3"/>
      <x:c r="D218" s="25"/>
      <x:c r="E218" s="25"/>
      <x:c r="F218" s="3"/>
      <x:c r="G218" s="3"/>
      <x:c r="H218" s="3"/>
      <x:c r="I218" s="3"/>
      <x:c r="J218" s="3"/>
      <x:c r="K218" s="3"/>
      <x:c r="L218" s="20"/>
      <x:c r="M218" s="3"/>
      <x:c r="N218" s="19" t="str">
        <x:f>IF(A218="","",IF(COUNTIFS('复盘记录'!$A$7:$A$306,A218)&lt;&gt;1,"编号重复",IF(COUNTIFS('问题总览'!$A$7:$A$306,B218)&lt;&gt;1,"问题引用无效",IF(COUNTIFS('方案版本'!$A$7:$A$306,C218,'方案版本'!$B$7:$B$306,B218,'方案版本'!$L$7:$L$306,"已冻结")&lt;&gt;1,"方案引用无效",IF(OR(NOT(ISNUMBER(D218)),NOT(ISNUMBER(E218)),F218="",G218="",H218="",M218=""),"待补复盘信息",IF(COUNTIFS('更新日志'!$A$7:$A$306,J218,'更新日志'!$B$7:$B$306,B218,'更新日志'!$C$7:$C$306,A218)&lt;&gt;1,"待登记更新单","有效输入"))))))</x:f>
      </x:c>
    </x:row>
    <x:row r="219" ht="25" customHeight="1">
      <x:c r="A219" s="3"/>
      <x:c r="B219" s="3"/>
      <x:c r="C219" s="3"/>
      <x:c r="D219" s="25"/>
      <x:c r="E219" s="25"/>
      <x:c r="F219" s="3"/>
      <x:c r="G219" s="3"/>
      <x:c r="H219" s="3"/>
      <x:c r="I219" s="3"/>
      <x:c r="J219" s="3"/>
      <x:c r="K219" s="3"/>
      <x:c r="L219" s="20"/>
      <x:c r="M219" s="3"/>
      <x:c r="N219" s="19" t="str">
        <x:f>IF(A219="","",IF(COUNTIFS('复盘记录'!$A$7:$A$306,A219)&lt;&gt;1,"编号重复",IF(COUNTIFS('问题总览'!$A$7:$A$306,B219)&lt;&gt;1,"问题引用无效",IF(COUNTIFS('方案版本'!$A$7:$A$306,C219,'方案版本'!$B$7:$B$306,B219,'方案版本'!$L$7:$L$306,"已冻结")&lt;&gt;1,"方案引用无效",IF(OR(NOT(ISNUMBER(D219)),NOT(ISNUMBER(E219)),F219="",G219="",H219="",M219=""),"待补复盘信息",IF(COUNTIFS('更新日志'!$A$7:$A$306,J219,'更新日志'!$B$7:$B$306,B219,'更新日志'!$C$7:$C$306,A219)&lt;&gt;1,"待登记更新单","有效输入"))))))</x:f>
      </x:c>
    </x:row>
    <x:row r="220" ht="25" customHeight="1">
      <x:c r="A220" s="3"/>
      <x:c r="B220" s="3"/>
      <x:c r="C220" s="3"/>
      <x:c r="D220" s="25"/>
      <x:c r="E220" s="25"/>
      <x:c r="F220" s="3"/>
      <x:c r="G220" s="3"/>
      <x:c r="H220" s="3"/>
      <x:c r="I220" s="3"/>
      <x:c r="J220" s="3"/>
      <x:c r="K220" s="3"/>
      <x:c r="L220" s="20"/>
      <x:c r="M220" s="3"/>
      <x:c r="N220" s="19" t="str">
        <x:f>IF(A220="","",IF(COUNTIFS('复盘记录'!$A$7:$A$306,A220)&lt;&gt;1,"编号重复",IF(COUNTIFS('问题总览'!$A$7:$A$306,B220)&lt;&gt;1,"问题引用无效",IF(COUNTIFS('方案版本'!$A$7:$A$306,C220,'方案版本'!$B$7:$B$306,B220,'方案版本'!$L$7:$L$306,"已冻结")&lt;&gt;1,"方案引用无效",IF(OR(NOT(ISNUMBER(D220)),NOT(ISNUMBER(E220)),F220="",G220="",H220="",M220=""),"待补复盘信息",IF(COUNTIFS('更新日志'!$A$7:$A$306,J220,'更新日志'!$B$7:$B$306,B220,'更新日志'!$C$7:$C$306,A220)&lt;&gt;1,"待登记更新单","有效输入"))))))</x:f>
      </x:c>
    </x:row>
    <x:row r="221" ht="25" customHeight="1">
      <x:c r="A221" s="3"/>
      <x:c r="B221" s="3"/>
      <x:c r="C221" s="3"/>
      <x:c r="D221" s="25"/>
      <x:c r="E221" s="25"/>
      <x:c r="F221" s="3"/>
      <x:c r="G221" s="3"/>
      <x:c r="H221" s="3"/>
      <x:c r="I221" s="3"/>
      <x:c r="J221" s="3"/>
      <x:c r="K221" s="3"/>
      <x:c r="L221" s="20"/>
      <x:c r="M221" s="3"/>
      <x:c r="N221" s="19" t="str">
        <x:f>IF(A221="","",IF(COUNTIFS('复盘记录'!$A$7:$A$306,A221)&lt;&gt;1,"编号重复",IF(COUNTIFS('问题总览'!$A$7:$A$306,B221)&lt;&gt;1,"问题引用无效",IF(COUNTIFS('方案版本'!$A$7:$A$306,C221,'方案版本'!$B$7:$B$306,B221,'方案版本'!$L$7:$L$306,"已冻结")&lt;&gt;1,"方案引用无效",IF(OR(NOT(ISNUMBER(D221)),NOT(ISNUMBER(E221)),F221="",G221="",H221="",M221=""),"待补复盘信息",IF(COUNTIFS('更新日志'!$A$7:$A$306,J221,'更新日志'!$B$7:$B$306,B221,'更新日志'!$C$7:$C$306,A221)&lt;&gt;1,"待登记更新单","有效输入"))))))</x:f>
      </x:c>
    </x:row>
    <x:row r="222" ht="25" customHeight="1">
      <x:c r="A222" s="3"/>
      <x:c r="B222" s="3"/>
      <x:c r="C222" s="3"/>
      <x:c r="D222" s="25"/>
      <x:c r="E222" s="25"/>
      <x:c r="F222" s="3"/>
      <x:c r="G222" s="3"/>
      <x:c r="H222" s="3"/>
      <x:c r="I222" s="3"/>
      <x:c r="J222" s="3"/>
      <x:c r="K222" s="3"/>
      <x:c r="L222" s="20"/>
      <x:c r="M222" s="3"/>
      <x:c r="N222" s="19" t="str">
        <x:f>IF(A222="","",IF(COUNTIFS('复盘记录'!$A$7:$A$306,A222)&lt;&gt;1,"编号重复",IF(COUNTIFS('问题总览'!$A$7:$A$306,B222)&lt;&gt;1,"问题引用无效",IF(COUNTIFS('方案版本'!$A$7:$A$306,C222,'方案版本'!$B$7:$B$306,B222,'方案版本'!$L$7:$L$306,"已冻结")&lt;&gt;1,"方案引用无效",IF(OR(NOT(ISNUMBER(D222)),NOT(ISNUMBER(E222)),F222="",G222="",H222="",M222=""),"待补复盘信息",IF(COUNTIFS('更新日志'!$A$7:$A$306,J222,'更新日志'!$B$7:$B$306,B222,'更新日志'!$C$7:$C$306,A222)&lt;&gt;1,"待登记更新单","有效输入"))))))</x:f>
      </x:c>
    </x:row>
    <x:row r="223" ht="25" customHeight="1">
      <x:c r="A223" s="3"/>
      <x:c r="B223" s="3"/>
      <x:c r="C223" s="3"/>
      <x:c r="D223" s="25"/>
      <x:c r="E223" s="25"/>
      <x:c r="F223" s="3"/>
      <x:c r="G223" s="3"/>
      <x:c r="H223" s="3"/>
      <x:c r="I223" s="3"/>
      <x:c r="J223" s="3"/>
      <x:c r="K223" s="3"/>
      <x:c r="L223" s="20"/>
      <x:c r="M223" s="3"/>
      <x:c r="N223" s="19" t="str">
        <x:f>IF(A223="","",IF(COUNTIFS('复盘记录'!$A$7:$A$306,A223)&lt;&gt;1,"编号重复",IF(COUNTIFS('问题总览'!$A$7:$A$306,B223)&lt;&gt;1,"问题引用无效",IF(COUNTIFS('方案版本'!$A$7:$A$306,C223,'方案版本'!$B$7:$B$306,B223,'方案版本'!$L$7:$L$306,"已冻结")&lt;&gt;1,"方案引用无效",IF(OR(NOT(ISNUMBER(D223)),NOT(ISNUMBER(E223)),F223="",G223="",H223="",M223=""),"待补复盘信息",IF(COUNTIFS('更新日志'!$A$7:$A$306,J223,'更新日志'!$B$7:$B$306,B223,'更新日志'!$C$7:$C$306,A223)&lt;&gt;1,"待登记更新单","有效输入"))))))</x:f>
      </x:c>
    </x:row>
    <x:row r="224" ht="25" customHeight="1">
      <x:c r="A224" s="3"/>
      <x:c r="B224" s="3"/>
      <x:c r="C224" s="3"/>
      <x:c r="D224" s="25"/>
      <x:c r="E224" s="25"/>
      <x:c r="F224" s="3"/>
      <x:c r="G224" s="3"/>
      <x:c r="H224" s="3"/>
      <x:c r="I224" s="3"/>
      <x:c r="J224" s="3"/>
      <x:c r="K224" s="3"/>
      <x:c r="L224" s="20"/>
      <x:c r="M224" s="3"/>
      <x:c r="N224" s="19" t="str">
        <x:f>IF(A224="","",IF(COUNTIFS('复盘记录'!$A$7:$A$306,A224)&lt;&gt;1,"编号重复",IF(COUNTIFS('问题总览'!$A$7:$A$306,B224)&lt;&gt;1,"问题引用无效",IF(COUNTIFS('方案版本'!$A$7:$A$306,C224,'方案版本'!$B$7:$B$306,B224,'方案版本'!$L$7:$L$306,"已冻结")&lt;&gt;1,"方案引用无效",IF(OR(NOT(ISNUMBER(D224)),NOT(ISNUMBER(E224)),F224="",G224="",H224="",M224=""),"待补复盘信息",IF(COUNTIFS('更新日志'!$A$7:$A$306,J224,'更新日志'!$B$7:$B$306,B224,'更新日志'!$C$7:$C$306,A224)&lt;&gt;1,"待登记更新单","有效输入"))))))</x:f>
      </x:c>
    </x:row>
    <x:row r="225" ht="25" customHeight="1">
      <x:c r="A225" s="3"/>
      <x:c r="B225" s="3"/>
      <x:c r="C225" s="3"/>
      <x:c r="D225" s="25"/>
      <x:c r="E225" s="25"/>
      <x:c r="F225" s="3"/>
      <x:c r="G225" s="3"/>
      <x:c r="H225" s="3"/>
      <x:c r="I225" s="3"/>
      <x:c r="J225" s="3"/>
      <x:c r="K225" s="3"/>
      <x:c r="L225" s="20"/>
      <x:c r="M225" s="3"/>
      <x:c r="N225" s="19" t="str">
        <x:f>IF(A225="","",IF(COUNTIFS('复盘记录'!$A$7:$A$306,A225)&lt;&gt;1,"编号重复",IF(COUNTIFS('问题总览'!$A$7:$A$306,B225)&lt;&gt;1,"问题引用无效",IF(COUNTIFS('方案版本'!$A$7:$A$306,C225,'方案版本'!$B$7:$B$306,B225,'方案版本'!$L$7:$L$306,"已冻结")&lt;&gt;1,"方案引用无效",IF(OR(NOT(ISNUMBER(D225)),NOT(ISNUMBER(E225)),F225="",G225="",H225="",M225=""),"待补复盘信息",IF(COUNTIFS('更新日志'!$A$7:$A$306,J225,'更新日志'!$B$7:$B$306,B225,'更新日志'!$C$7:$C$306,A225)&lt;&gt;1,"待登记更新单","有效输入"))))))</x:f>
      </x:c>
    </x:row>
    <x:row r="226" ht="25" customHeight="1">
      <x:c r="A226" s="3"/>
      <x:c r="B226" s="3"/>
      <x:c r="C226" s="3"/>
      <x:c r="D226" s="25"/>
      <x:c r="E226" s="25"/>
      <x:c r="F226" s="3"/>
      <x:c r="G226" s="3"/>
      <x:c r="H226" s="3"/>
      <x:c r="I226" s="3"/>
      <x:c r="J226" s="3"/>
      <x:c r="K226" s="3"/>
      <x:c r="L226" s="20"/>
      <x:c r="M226" s="3"/>
      <x:c r="N226" s="19" t="str">
        <x:f>IF(A226="","",IF(COUNTIFS('复盘记录'!$A$7:$A$306,A226)&lt;&gt;1,"编号重复",IF(COUNTIFS('问题总览'!$A$7:$A$306,B226)&lt;&gt;1,"问题引用无效",IF(COUNTIFS('方案版本'!$A$7:$A$306,C226,'方案版本'!$B$7:$B$306,B226,'方案版本'!$L$7:$L$306,"已冻结")&lt;&gt;1,"方案引用无效",IF(OR(NOT(ISNUMBER(D226)),NOT(ISNUMBER(E226)),F226="",G226="",H226="",M226=""),"待补复盘信息",IF(COUNTIFS('更新日志'!$A$7:$A$306,J226,'更新日志'!$B$7:$B$306,B226,'更新日志'!$C$7:$C$306,A226)&lt;&gt;1,"待登记更新单","有效输入"))))))</x:f>
      </x:c>
    </x:row>
    <x:row r="227" ht="25" customHeight="1">
      <x:c r="A227" s="3"/>
      <x:c r="B227" s="3"/>
      <x:c r="C227" s="3"/>
      <x:c r="D227" s="25"/>
      <x:c r="E227" s="25"/>
      <x:c r="F227" s="3"/>
      <x:c r="G227" s="3"/>
      <x:c r="H227" s="3"/>
      <x:c r="I227" s="3"/>
      <x:c r="J227" s="3"/>
      <x:c r="K227" s="3"/>
      <x:c r="L227" s="20"/>
      <x:c r="M227" s="3"/>
      <x:c r="N227" s="19" t="str">
        <x:f>IF(A227="","",IF(COUNTIFS('复盘记录'!$A$7:$A$306,A227)&lt;&gt;1,"编号重复",IF(COUNTIFS('问题总览'!$A$7:$A$306,B227)&lt;&gt;1,"问题引用无效",IF(COUNTIFS('方案版本'!$A$7:$A$306,C227,'方案版本'!$B$7:$B$306,B227,'方案版本'!$L$7:$L$306,"已冻结")&lt;&gt;1,"方案引用无效",IF(OR(NOT(ISNUMBER(D227)),NOT(ISNUMBER(E227)),F227="",G227="",H227="",M227=""),"待补复盘信息",IF(COUNTIFS('更新日志'!$A$7:$A$306,J227,'更新日志'!$B$7:$B$306,B227,'更新日志'!$C$7:$C$306,A227)&lt;&gt;1,"待登记更新单","有效输入"))))))</x:f>
      </x:c>
    </x:row>
    <x:row r="228" ht="25" customHeight="1">
      <x:c r="A228" s="3"/>
      <x:c r="B228" s="3"/>
      <x:c r="C228" s="3"/>
      <x:c r="D228" s="25"/>
      <x:c r="E228" s="25"/>
      <x:c r="F228" s="3"/>
      <x:c r="G228" s="3"/>
      <x:c r="H228" s="3"/>
      <x:c r="I228" s="3"/>
      <x:c r="J228" s="3"/>
      <x:c r="K228" s="3"/>
      <x:c r="L228" s="20"/>
      <x:c r="M228" s="3"/>
      <x:c r="N228" s="19" t="str">
        <x:f>IF(A228="","",IF(COUNTIFS('复盘记录'!$A$7:$A$306,A228)&lt;&gt;1,"编号重复",IF(COUNTIFS('问题总览'!$A$7:$A$306,B228)&lt;&gt;1,"问题引用无效",IF(COUNTIFS('方案版本'!$A$7:$A$306,C228,'方案版本'!$B$7:$B$306,B228,'方案版本'!$L$7:$L$306,"已冻结")&lt;&gt;1,"方案引用无效",IF(OR(NOT(ISNUMBER(D228)),NOT(ISNUMBER(E228)),F228="",G228="",H228="",M228=""),"待补复盘信息",IF(COUNTIFS('更新日志'!$A$7:$A$306,J228,'更新日志'!$B$7:$B$306,B228,'更新日志'!$C$7:$C$306,A228)&lt;&gt;1,"待登记更新单","有效输入"))))))</x:f>
      </x:c>
    </x:row>
    <x:row r="229" ht="25" customHeight="1">
      <x:c r="A229" s="3"/>
      <x:c r="B229" s="3"/>
      <x:c r="C229" s="3"/>
      <x:c r="D229" s="25"/>
      <x:c r="E229" s="25"/>
      <x:c r="F229" s="3"/>
      <x:c r="G229" s="3"/>
      <x:c r="H229" s="3"/>
      <x:c r="I229" s="3"/>
      <x:c r="J229" s="3"/>
      <x:c r="K229" s="3"/>
      <x:c r="L229" s="20"/>
      <x:c r="M229" s="3"/>
      <x:c r="N229" s="19" t="str">
        <x:f>IF(A229="","",IF(COUNTIFS('复盘记录'!$A$7:$A$306,A229)&lt;&gt;1,"编号重复",IF(COUNTIFS('问题总览'!$A$7:$A$306,B229)&lt;&gt;1,"问题引用无效",IF(COUNTIFS('方案版本'!$A$7:$A$306,C229,'方案版本'!$B$7:$B$306,B229,'方案版本'!$L$7:$L$306,"已冻结")&lt;&gt;1,"方案引用无效",IF(OR(NOT(ISNUMBER(D229)),NOT(ISNUMBER(E229)),F229="",G229="",H229="",M229=""),"待补复盘信息",IF(COUNTIFS('更新日志'!$A$7:$A$306,J229,'更新日志'!$B$7:$B$306,B229,'更新日志'!$C$7:$C$306,A229)&lt;&gt;1,"待登记更新单","有效输入"))))))</x:f>
      </x:c>
    </x:row>
    <x:row r="230" ht="25" customHeight="1">
      <x:c r="A230" s="3"/>
      <x:c r="B230" s="3"/>
      <x:c r="C230" s="3"/>
      <x:c r="D230" s="25"/>
      <x:c r="E230" s="25"/>
      <x:c r="F230" s="3"/>
      <x:c r="G230" s="3"/>
      <x:c r="H230" s="3"/>
      <x:c r="I230" s="3"/>
      <x:c r="J230" s="3"/>
      <x:c r="K230" s="3"/>
      <x:c r="L230" s="20"/>
      <x:c r="M230" s="3"/>
      <x:c r="N230" s="19" t="str">
        <x:f>IF(A230="","",IF(COUNTIFS('复盘记录'!$A$7:$A$306,A230)&lt;&gt;1,"编号重复",IF(COUNTIFS('问题总览'!$A$7:$A$306,B230)&lt;&gt;1,"问题引用无效",IF(COUNTIFS('方案版本'!$A$7:$A$306,C230,'方案版本'!$B$7:$B$306,B230,'方案版本'!$L$7:$L$306,"已冻结")&lt;&gt;1,"方案引用无效",IF(OR(NOT(ISNUMBER(D230)),NOT(ISNUMBER(E230)),F230="",G230="",H230="",M230=""),"待补复盘信息",IF(COUNTIFS('更新日志'!$A$7:$A$306,J230,'更新日志'!$B$7:$B$306,B230,'更新日志'!$C$7:$C$306,A230)&lt;&gt;1,"待登记更新单","有效输入"))))))</x:f>
      </x:c>
    </x:row>
    <x:row r="231" ht="25" customHeight="1">
      <x:c r="A231" s="3"/>
      <x:c r="B231" s="3"/>
      <x:c r="C231" s="3"/>
      <x:c r="D231" s="25"/>
      <x:c r="E231" s="25"/>
      <x:c r="F231" s="3"/>
      <x:c r="G231" s="3"/>
      <x:c r="H231" s="3"/>
      <x:c r="I231" s="3"/>
      <x:c r="J231" s="3"/>
      <x:c r="K231" s="3"/>
      <x:c r="L231" s="20"/>
      <x:c r="M231" s="3"/>
      <x:c r="N231" s="19" t="str">
        <x:f>IF(A231="","",IF(COUNTIFS('复盘记录'!$A$7:$A$306,A231)&lt;&gt;1,"编号重复",IF(COUNTIFS('问题总览'!$A$7:$A$306,B231)&lt;&gt;1,"问题引用无效",IF(COUNTIFS('方案版本'!$A$7:$A$306,C231,'方案版本'!$B$7:$B$306,B231,'方案版本'!$L$7:$L$306,"已冻结")&lt;&gt;1,"方案引用无效",IF(OR(NOT(ISNUMBER(D231)),NOT(ISNUMBER(E231)),F231="",G231="",H231="",M231=""),"待补复盘信息",IF(COUNTIFS('更新日志'!$A$7:$A$306,J231,'更新日志'!$B$7:$B$306,B231,'更新日志'!$C$7:$C$306,A231)&lt;&gt;1,"待登记更新单","有效输入"))))))</x:f>
      </x:c>
    </x:row>
    <x:row r="232" ht="25" customHeight="1">
      <x:c r="A232" s="3"/>
      <x:c r="B232" s="3"/>
      <x:c r="C232" s="3"/>
      <x:c r="D232" s="25"/>
      <x:c r="E232" s="25"/>
      <x:c r="F232" s="3"/>
      <x:c r="G232" s="3"/>
      <x:c r="H232" s="3"/>
      <x:c r="I232" s="3"/>
      <x:c r="J232" s="3"/>
      <x:c r="K232" s="3"/>
      <x:c r="L232" s="20"/>
      <x:c r="M232" s="3"/>
      <x:c r="N232" s="19" t="str">
        <x:f>IF(A232="","",IF(COUNTIFS('复盘记录'!$A$7:$A$306,A232)&lt;&gt;1,"编号重复",IF(COUNTIFS('问题总览'!$A$7:$A$306,B232)&lt;&gt;1,"问题引用无效",IF(COUNTIFS('方案版本'!$A$7:$A$306,C232,'方案版本'!$B$7:$B$306,B232,'方案版本'!$L$7:$L$306,"已冻结")&lt;&gt;1,"方案引用无效",IF(OR(NOT(ISNUMBER(D232)),NOT(ISNUMBER(E232)),F232="",G232="",H232="",M232=""),"待补复盘信息",IF(COUNTIFS('更新日志'!$A$7:$A$306,J232,'更新日志'!$B$7:$B$306,B232,'更新日志'!$C$7:$C$306,A232)&lt;&gt;1,"待登记更新单","有效输入"))))))</x:f>
      </x:c>
    </x:row>
    <x:row r="233" ht="25" customHeight="1">
      <x:c r="A233" s="3"/>
      <x:c r="B233" s="3"/>
      <x:c r="C233" s="3"/>
      <x:c r="D233" s="25"/>
      <x:c r="E233" s="25"/>
      <x:c r="F233" s="3"/>
      <x:c r="G233" s="3"/>
      <x:c r="H233" s="3"/>
      <x:c r="I233" s="3"/>
      <x:c r="J233" s="3"/>
      <x:c r="K233" s="3"/>
      <x:c r="L233" s="20"/>
      <x:c r="M233" s="3"/>
      <x:c r="N233" s="19" t="str">
        <x:f>IF(A233="","",IF(COUNTIFS('复盘记录'!$A$7:$A$306,A233)&lt;&gt;1,"编号重复",IF(COUNTIFS('问题总览'!$A$7:$A$306,B233)&lt;&gt;1,"问题引用无效",IF(COUNTIFS('方案版本'!$A$7:$A$306,C233,'方案版本'!$B$7:$B$306,B233,'方案版本'!$L$7:$L$306,"已冻结")&lt;&gt;1,"方案引用无效",IF(OR(NOT(ISNUMBER(D233)),NOT(ISNUMBER(E233)),F233="",G233="",H233="",M233=""),"待补复盘信息",IF(COUNTIFS('更新日志'!$A$7:$A$306,J233,'更新日志'!$B$7:$B$306,B233,'更新日志'!$C$7:$C$306,A233)&lt;&gt;1,"待登记更新单","有效输入"))))))</x:f>
      </x:c>
    </x:row>
    <x:row r="234" ht="25" customHeight="1">
      <x:c r="A234" s="3"/>
      <x:c r="B234" s="3"/>
      <x:c r="C234" s="3"/>
      <x:c r="D234" s="25"/>
      <x:c r="E234" s="25"/>
      <x:c r="F234" s="3"/>
      <x:c r="G234" s="3"/>
      <x:c r="H234" s="3"/>
      <x:c r="I234" s="3"/>
      <x:c r="J234" s="3"/>
      <x:c r="K234" s="3"/>
      <x:c r="L234" s="20"/>
      <x:c r="M234" s="3"/>
      <x:c r="N234" s="19" t="str">
        <x:f>IF(A234="","",IF(COUNTIFS('复盘记录'!$A$7:$A$306,A234)&lt;&gt;1,"编号重复",IF(COUNTIFS('问题总览'!$A$7:$A$306,B234)&lt;&gt;1,"问题引用无效",IF(COUNTIFS('方案版本'!$A$7:$A$306,C234,'方案版本'!$B$7:$B$306,B234,'方案版本'!$L$7:$L$306,"已冻结")&lt;&gt;1,"方案引用无效",IF(OR(NOT(ISNUMBER(D234)),NOT(ISNUMBER(E234)),F234="",G234="",H234="",M234=""),"待补复盘信息",IF(COUNTIFS('更新日志'!$A$7:$A$306,J234,'更新日志'!$B$7:$B$306,B234,'更新日志'!$C$7:$C$306,A234)&lt;&gt;1,"待登记更新单","有效输入"))))))</x:f>
      </x:c>
    </x:row>
    <x:row r="235" ht="25" customHeight="1">
      <x:c r="A235" s="3"/>
      <x:c r="B235" s="3"/>
      <x:c r="C235" s="3"/>
      <x:c r="D235" s="25"/>
      <x:c r="E235" s="25"/>
      <x:c r="F235" s="3"/>
      <x:c r="G235" s="3"/>
      <x:c r="H235" s="3"/>
      <x:c r="I235" s="3"/>
      <x:c r="J235" s="3"/>
      <x:c r="K235" s="3"/>
      <x:c r="L235" s="20"/>
      <x:c r="M235" s="3"/>
      <x:c r="N235" s="19" t="str">
        <x:f>IF(A235="","",IF(COUNTIFS('复盘记录'!$A$7:$A$306,A235)&lt;&gt;1,"编号重复",IF(COUNTIFS('问题总览'!$A$7:$A$306,B235)&lt;&gt;1,"问题引用无效",IF(COUNTIFS('方案版本'!$A$7:$A$306,C235,'方案版本'!$B$7:$B$306,B235,'方案版本'!$L$7:$L$306,"已冻结")&lt;&gt;1,"方案引用无效",IF(OR(NOT(ISNUMBER(D235)),NOT(ISNUMBER(E235)),F235="",G235="",H235="",M235=""),"待补复盘信息",IF(COUNTIFS('更新日志'!$A$7:$A$306,J235,'更新日志'!$B$7:$B$306,B235,'更新日志'!$C$7:$C$306,A235)&lt;&gt;1,"待登记更新单","有效输入"))))))</x:f>
      </x:c>
    </x:row>
    <x:row r="236" ht="25" customHeight="1">
      <x:c r="A236" s="3"/>
      <x:c r="B236" s="3"/>
      <x:c r="C236" s="3"/>
      <x:c r="D236" s="25"/>
      <x:c r="E236" s="25"/>
      <x:c r="F236" s="3"/>
      <x:c r="G236" s="3"/>
      <x:c r="H236" s="3"/>
      <x:c r="I236" s="3"/>
      <x:c r="J236" s="3"/>
      <x:c r="K236" s="3"/>
      <x:c r="L236" s="20"/>
      <x:c r="M236" s="3"/>
      <x:c r="N236" s="19" t="str">
        <x:f>IF(A236="","",IF(COUNTIFS('复盘记录'!$A$7:$A$306,A236)&lt;&gt;1,"编号重复",IF(COUNTIFS('问题总览'!$A$7:$A$306,B236)&lt;&gt;1,"问题引用无效",IF(COUNTIFS('方案版本'!$A$7:$A$306,C236,'方案版本'!$B$7:$B$306,B236,'方案版本'!$L$7:$L$306,"已冻结")&lt;&gt;1,"方案引用无效",IF(OR(NOT(ISNUMBER(D236)),NOT(ISNUMBER(E236)),F236="",G236="",H236="",M236=""),"待补复盘信息",IF(COUNTIFS('更新日志'!$A$7:$A$306,J236,'更新日志'!$B$7:$B$306,B236,'更新日志'!$C$7:$C$306,A236)&lt;&gt;1,"待登记更新单","有效输入"))))))</x:f>
      </x:c>
    </x:row>
    <x:row r="237" ht="25" customHeight="1">
      <x:c r="A237" s="3"/>
      <x:c r="B237" s="3"/>
      <x:c r="C237" s="3"/>
      <x:c r="D237" s="25"/>
      <x:c r="E237" s="25"/>
      <x:c r="F237" s="3"/>
      <x:c r="G237" s="3"/>
      <x:c r="H237" s="3"/>
      <x:c r="I237" s="3"/>
      <x:c r="J237" s="3"/>
      <x:c r="K237" s="3"/>
      <x:c r="L237" s="20"/>
      <x:c r="M237" s="3"/>
      <x:c r="N237" s="19" t="str">
        <x:f>IF(A237="","",IF(COUNTIFS('复盘记录'!$A$7:$A$306,A237)&lt;&gt;1,"编号重复",IF(COUNTIFS('问题总览'!$A$7:$A$306,B237)&lt;&gt;1,"问题引用无效",IF(COUNTIFS('方案版本'!$A$7:$A$306,C237,'方案版本'!$B$7:$B$306,B237,'方案版本'!$L$7:$L$306,"已冻结")&lt;&gt;1,"方案引用无效",IF(OR(NOT(ISNUMBER(D237)),NOT(ISNUMBER(E237)),F237="",G237="",H237="",M237=""),"待补复盘信息",IF(COUNTIFS('更新日志'!$A$7:$A$306,J237,'更新日志'!$B$7:$B$306,B237,'更新日志'!$C$7:$C$306,A237)&lt;&gt;1,"待登记更新单","有效输入"))))))</x:f>
      </x:c>
    </x:row>
    <x:row r="238" ht="25" customHeight="1">
      <x:c r="A238" s="3"/>
      <x:c r="B238" s="3"/>
      <x:c r="C238" s="3"/>
      <x:c r="D238" s="25"/>
      <x:c r="E238" s="25"/>
      <x:c r="F238" s="3"/>
      <x:c r="G238" s="3"/>
      <x:c r="H238" s="3"/>
      <x:c r="I238" s="3"/>
      <x:c r="J238" s="3"/>
      <x:c r="K238" s="3"/>
      <x:c r="L238" s="20"/>
      <x:c r="M238" s="3"/>
      <x:c r="N238" s="19" t="str">
        <x:f>IF(A238="","",IF(COUNTIFS('复盘记录'!$A$7:$A$306,A238)&lt;&gt;1,"编号重复",IF(COUNTIFS('问题总览'!$A$7:$A$306,B238)&lt;&gt;1,"问题引用无效",IF(COUNTIFS('方案版本'!$A$7:$A$306,C238,'方案版本'!$B$7:$B$306,B238,'方案版本'!$L$7:$L$306,"已冻结")&lt;&gt;1,"方案引用无效",IF(OR(NOT(ISNUMBER(D238)),NOT(ISNUMBER(E238)),F238="",G238="",H238="",M238=""),"待补复盘信息",IF(COUNTIFS('更新日志'!$A$7:$A$306,J238,'更新日志'!$B$7:$B$306,B238,'更新日志'!$C$7:$C$306,A238)&lt;&gt;1,"待登记更新单","有效输入"))))))</x:f>
      </x:c>
    </x:row>
    <x:row r="239" ht="25" customHeight="1">
      <x:c r="A239" s="3"/>
      <x:c r="B239" s="3"/>
      <x:c r="C239" s="3"/>
      <x:c r="D239" s="25"/>
      <x:c r="E239" s="25"/>
      <x:c r="F239" s="3"/>
      <x:c r="G239" s="3"/>
      <x:c r="H239" s="3"/>
      <x:c r="I239" s="3"/>
      <x:c r="J239" s="3"/>
      <x:c r="K239" s="3"/>
      <x:c r="L239" s="20"/>
      <x:c r="M239" s="3"/>
      <x:c r="N239" s="19" t="str">
        <x:f>IF(A239="","",IF(COUNTIFS('复盘记录'!$A$7:$A$306,A239)&lt;&gt;1,"编号重复",IF(COUNTIFS('问题总览'!$A$7:$A$306,B239)&lt;&gt;1,"问题引用无效",IF(COUNTIFS('方案版本'!$A$7:$A$306,C239,'方案版本'!$B$7:$B$306,B239,'方案版本'!$L$7:$L$306,"已冻结")&lt;&gt;1,"方案引用无效",IF(OR(NOT(ISNUMBER(D239)),NOT(ISNUMBER(E239)),F239="",G239="",H239="",M239=""),"待补复盘信息",IF(COUNTIFS('更新日志'!$A$7:$A$306,J239,'更新日志'!$B$7:$B$306,B239,'更新日志'!$C$7:$C$306,A239)&lt;&gt;1,"待登记更新单","有效输入"))))))</x:f>
      </x:c>
    </x:row>
    <x:row r="240" ht="25" customHeight="1">
      <x:c r="A240" s="3"/>
      <x:c r="B240" s="3"/>
      <x:c r="C240" s="3"/>
      <x:c r="D240" s="25"/>
      <x:c r="E240" s="25"/>
      <x:c r="F240" s="3"/>
      <x:c r="G240" s="3"/>
      <x:c r="H240" s="3"/>
      <x:c r="I240" s="3"/>
      <x:c r="J240" s="3"/>
      <x:c r="K240" s="3"/>
      <x:c r="L240" s="20"/>
      <x:c r="M240" s="3"/>
      <x:c r="N240" s="19" t="str">
        <x:f>IF(A240="","",IF(COUNTIFS('复盘记录'!$A$7:$A$306,A240)&lt;&gt;1,"编号重复",IF(COUNTIFS('问题总览'!$A$7:$A$306,B240)&lt;&gt;1,"问题引用无效",IF(COUNTIFS('方案版本'!$A$7:$A$306,C240,'方案版本'!$B$7:$B$306,B240,'方案版本'!$L$7:$L$306,"已冻结")&lt;&gt;1,"方案引用无效",IF(OR(NOT(ISNUMBER(D240)),NOT(ISNUMBER(E240)),F240="",G240="",H240="",M240=""),"待补复盘信息",IF(COUNTIFS('更新日志'!$A$7:$A$306,J240,'更新日志'!$B$7:$B$306,B240,'更新日志'!$C$7:$C$306,A240)&lt;&gt;1,"待登记更新单","有效输入"))))))</x:f>
      </x:c>
    </x:row>
    <x:row r="241" ht="25" customHeight="1">
      <x:c r="A241" s="3"/>
      <x:c r="B241" s="3"/>
      <x:c r="C241" s="3"/>
      <x:c r="D241" s="25"/>
      <x:c r="E241" s="25"/>
      <x:c r="F241" s="3"/>
      <x:c r="G241" s="3"/>
      <x:c r="H241" s="3"/>
      <x:c r="I241" s="3"/>
      <x:c r="J241" s="3"/>
      <x:c r="K241" s="3"/>
      <x:c r="L241" s="20"/>
      <x:c r="M241" s="3"/>
      <x:c r="N241" s="19" t="str">
        <x:f>IF(A241="","",IF(COUNTIFS('复盘记录'!$A$7:$A$306,A241)&lt;&gt;1,"编号重复",IF(COUNTIFS('问题总览'!$A$7:$A$306,B241)&lt;&gt;1,"问题引用无效",IF(COUNTIFS('方案版本'!$A$7:$A$306,C241,'方案版本'!$B$7:$B$306,B241,'方案版本'!$L$7:$L$306,"已冻结")&lt;&gt;1,"方案引用无效",IF(OR(NOT(ISNUMBER(D241)),NOT(ISNUMBER(E241)),F241="",G241="",H241="",M241=""),"待补复盘信息",IF(COUNTIFS('更新日志'!$A$7:$A$306,J241,'更新日志'!$B$7:$B$306,B241,'更新日志'!$C$7:$C$306,A241)&lt;&gt;1,"待登记更新单","有效输入"))))))</x:f>
      </x:c>
    </x:row>
    <x:row r="242" ht="25" customHeight="1">
      <x:c r="A242" s="3"/>
      <x:c r="B242" s="3"/>
      <x:c r="C242" s="3"/>
      <x:c r="D242" s="25"/>
      <x:c r="E242" s="25"/>
      <x:c r="F242" s="3"/>
      <x:c r="G242" s="3"/>
      <x:c r="H242" s="3"/>
      <x:c r="I242" s="3"/>
      <x:c r="J242" s="3"/>
      <x:c r="K242" s="3"/>
      <x:c r="L242" s="20"/>
      <x:c r="M242" s="3"/>
      <x:c r="N242" s="19" t="str">
        <x:f>IF(A242="","",IF(COUNTIFS('复盘记录'!$A$7:$A$306,A242)&lt;&gt;1,"编号重复",IF(COUNTIFS('问题总览'!$A$7:$A$306,B242)&lt;&gt;1,"问题引用无效",IF(COUNTIFS('方案版本'!$A$7:$A$306,C242,'方案版本'!$B$7:$B$306,B242,'方案版本'!$L$7:$L$306,"已冻结")&lt;&gt;1,"方案引用无效",IF(OR(NOT(ISNUMBER(D242)),NOT(ISNUMBER(E242)),F242="",G242="",H242="",M242=""),"待补复盘信息",IF(COUNTIFS('更新日志'!$A$7:$A$306,J242,'更新日志'!$B$7:$B$306,B242,'更新日志'!$C$7:$C$306,A242)&lt;&gt;1,"待登记更新单","有效输入"))))))</x:f>
      </x:c>
    </x:row>
    <x:row r="243" ht="25" customHeight="1">
      <x:c r="A243" s="3"/>
      <x:c r="B243" s="3"/>
      <x:c r="C243" s="3"/>
      <x:c r="D243" s="25"/>
      <x:c r="E243" s="25"/>
      <x:c r="F243" s="3"/>
      <x:c r="G243" s="3"/>
      <x:c r="H243" s="3"/>
      <x:c r="I243" s="3"/>
      <x:c r="J243" s="3"/>
      <x:c r="K243" s="3"/>
      <x:c r="L243" s="20"/>
      <x:c r="M243" s="3"/>
      <x:c r="N243" s="19" t="str">
        <x:f>IF(A243="","",IF(COUNTIFS('复盘记录'!$A$7:$A$306,A243)&lt;&gt;1,"编号重复",IF(COUNTIFS('问题总览'!$A$7:$A$306,B243)&lt;&gt;1,"问题引用无效",IF(COUNTIFS('方案版本'!$A$7:$A$306,C243,'方案版本'!$B$7:$B$306,B243,'方案版本'!$L$7:$L$306,"已冻结")&lt;&gt;1,"方案引用无效",IF(OR(NOT(ISNUMBER(D243)),NOT(ISNUMBER(E243)),F243="",G243="",H243="",M243=""),"待补复盘信息",IF(COUNTIFS('更新日志'!$A$7:$A$306,J243,'更新日志'!$B$7:$B$306,B243,'更新日志'!$C$7:$C$306,A243)&lt;&gt;1,"待登记更新单","有效输入"))))))</x:f>
      </x:c>
    </x:row>
    <x:row r="244" ht="25" customHeight="1">
      <x:c r="A244" s="3"/>
      <x:c r="B244" s="3"/>
      <x:c r="C244" s="3"/>
      <x:c r="D244" s="25"/>
      <x:c r="E244" s="25"/>
      <x:c r="F244" s="3"/>
      <x:c r="G244" s="3"/>
      <x:c r="H244" s="3"/>
      <x:c r="I244" s="3"/>
      <x:c r="J244" s="3"/>
      <x:c r="K244" s="3"/>
      <x:c r="L244" s="20"/>
      <x:c r="M244" s="3"/>
      <x:c r="N244" s="19" t="str">
        <x:f>IF(A244="","",IF(COUNTIFS('复盘记录'!$A$7:$A$306,A244)&lt;&gt;1,"编号重复",IF(COUNTIFS('问题总览'!$A$7:$A$306,B244)&lt;&gt;1,"问题引用无效",IF(COUNTIFS('方案版本'!$A$7:$A$306,C244,'方案版本'!$B$7:$B$306,B244,'方案版本'!$L$7:$L$306,"已冻结")&lt;&gt;1,"方案引用无效",IF(OR(NOT(ISNUMBER(D244)),NOT(ISNUMBER(E244)),F244="",G244="",H244="",M244=""),"待补复盘信息",IF(COUNTIFS('更新日志'!$A$7:$A$306,J244,'更新日志'!$B$7:$B$306,B244,'更新日志'!$C$7:$C$306,A244)&lt;&gt;1,"待登记更新单","有效输入"))))))</x:f>
      </x:c>
    </x:row>
    <x:row r="245" ht="25" customHeight="1">
      <x:c r="A245" s="3"/>
      <x:c r="B245" s="3"/>
      <x:c r="C245" s="3"/>
      <x:c r="D245" s="25"/>
      <x:c r="E245" s="25"/>
      <x:c r="F245" s="3"/>
      <x:c r="G245" s="3"/>
      <x:c r="H245" s="3"/>
      <x:c r="I245" s="3"/>
      <x:c r="J245" s="3"/>
      <x:c r="K245" s="3"/>
      <x:c r="L245" s="20"/>
      <x:c r="M245" s="3"/>
      <x:c r="N245" s="19" t="str">
        <x:f>IF(A245="","",IF(COUNTIFS('复盘记录'!$A$7:$A$306,A245)&lt;&gt;1,"编号重复",IF(COUNTIFS('问题总览'!$A$7:$A$306,B245)&lt;&gt;1,"问题引用无效",IF(COUNTIFS('方案版本'!$A$7:$A$306,C245,'方案版本'!$B$7:$B$306,B245,'方案版本'!$L$7:$L$306,"已冻结")&lt;&gt;1,"方案引用无效",IF(OR(NOT(ISNUMBER(D245)),NOT(ISNUMBER(E245)),F245="",G245="",H245="",M245=""),"待补复盘信息",IF(COUNTIFS('更新日志'!$A$7:$A$306,J245,'更新日志'!$B$7:$B$306,B245,'更新日志'!$C$7:$C$306,A245)&lt;&gt;1,"待登记更新单","有效输入"))))))</x:f>
      </x:c>
    </x:row>
    <x:row r="246" ht="25" customHeight="1">
      <x:c r="A246" s="3"/>
      <x:c r="B246" s="3"/>
      <x:c r="C246" s="3"/>
      <x:c r="D246" s="25"/>
      <x:c r="E246" s="25"/>
      <x:c r="F246" s="3"/>
      <x:c r="G246" s="3"/>
      <x:c r="H246" s="3"/>
      <x:c r="I246" s="3"/>
      <x:c r="J246" s="3"/>
      <x:c r="K246" s="3"/>
      <x:c r="L246" s="20"/>
      <x:c r="M246" s="3"/>
      <x:c r="N246" s="19" t="str">
        <x:f>IF(A246="","",IF(COUNTIFS('复盘记录'!$A$7:$A$306,A246)&lt;&gt;1,"编号重复",IF(COUNTIFS('问题总览'!$A$7:$A$306,B246)&lt;&gt;1,"问题引用无效",IF(COUNTIFS('方案版本'!$A$7:$A$306,C246,'方案版本'!$B$7:$B$306,B246,'方案版本'!$L$7:$L$306,"已冻结")&lt;&gt;1,"方案引用无效",IF(OR(NOT(ISNUMBER(D246)),NOT(ISNUMBER(E246)),F246="",G246="",H246="",M246=""),"待补复盘信息",IF(COUNTIFS('更新日志'!$A$7:$A$306,J246,'更新日志'!$B$7:$B$306,B246,'更新日志'!$C$7:$C$306,A246)&lt;&gt;1,"待登记更新单","有效输入"))))))</x:f>
      </x:c>
    </x:row>
    <x:row r="247" ht="25" customHeight="1">
      <x:c r="A247" s="3"/>
      <x:c r="B247" s="3"/>
      <x:c r="C247" s="3"/>
      <x:c r="D247" s="25"/>
      <x:c r="E247" s="25"/>
      <x:c r="F247" s="3"/>
      <x:c r="G247" s="3"/>
      <x:c r="H247" s="3"/>
      <x:c r="I247" s="3"/>
      <x:c r="J247" s="3"/>
      <x:c r="K247" s="3"/>
      <x:c r="L247" s="20"/>
      <x:c r="M247" s="3"/>
      <x:c r="N247" s="19" t="str">
        <x:f>IF(A247="","",IF(COUNTIFS('复盘记录'!$A$7:$A$306,A247)&lt;&gt;1,"编号重复",IF(COUNTIFS('问题总览'!$A$7:$A$306,B247)&lt;&gt;1,"问题引用无效",IF(COUNTIFS('方案版本'!$A$7:$A$306,C247,'方案版本'!$B$7:$B$306,B247,'方案版本'!$L$7:$L$306,"已冻结")&lt;&gt;1,"方案引用无效",IF(OR(NOT(ISNUMBER(D247)),NOT(ISNUMBER(E247)),F247="",G247="",H247="",M247=""),"待补复盘信息",IF(COUNTIFS('更新日志'!$A$7:$A$306,J247,'更新日志'!$B$7:$B$306,B247,'更新日志'!$C$7:$C$306,A247)&lt;&gt;1,"待登记更新单","有效输入"))))))</x:f>
      </x:c>
    </x:row>
    <x:row r="248" ht="25" customHeight="1">
      <x:c r="A248" s="3"/>
      <x:c r="B248" s="3"/>
      <x:c r="C248" s="3"/>
      <x:c r="D248" s="25"/>
      <x:c r="E248" s="25"/>
      <x:c r="F248" s="3"/>
      <x:c r="G248" s="3"/>
      <x:c r="H248" s="3"/>
      <x:c r="I248" s="3"/>
      <x:c r="J248" s="3"/>
      <x:c r="K248" s="3"/>
      <x:c r="L248" s="20"/>
      <x:c r="M248" s="3"/>
      <x:c r="N248" s="19" t="str">
        <x:f>IF(A248="","",IF(COUNTIFS('复盘记录'!$A$7:$A$306,A248)&lt;&gt;1,"编号重复",IF(COUNTIFS('问题总览'!$A$7:$A$306,B248)&lt;&gt;1,"问题引用无效",IF(COUNTIFS('方案版本'!$A$7:$A$306,C248,'方案版本'!$B$7:$B$306,B248,'方案版本'!$L$7:$L$306,"已冻结")&lt;&gt;1,"方案引用无效",IF(OR(NOT(ISNUMBER(D248)),NOT(ISNUMBER(E248)),F248="",G248="",H248="",M248=""),"待补复盘信息",IF(COUNTIFS('更新日志'!$A$7:$A$306,J248,'更新日志'!$B$7:$B$306,B248,'更新日志'!$C$7:$C$306,A248)&lt;&gt;1,"待登记更新单","有效输入"))))))</x:f>
      </x:c>
    </x:row>
    <x:row r="249" ht="25" customHeight="1">
      <x:c r="A249" s="3"/>
      <x:c r="B249" s="3"/>
      <x:c r="C249" s="3"/>
      <x:c r="D249" s="25"/>
      <x:c r="E249" s="25"/>
      <x:c r="F249" s="3"/>
      <x:c r="G249" s="3"/>
      <x:c r="H249" s="3"/>
      <x:c r="I249" s="3"/>
      <x:c r="J249" s="3"/>
      <x:c r="K249" s="3"/>
      <x:c r="L249" s="20"/>
      <x:c r="M249" s="3"/>
      <x:c r="N249" s="19" t="str">
        <x:f>IF(A249="","",IF(COUNTIFS('复盘记录'!$A$7:$A$306,A249)&lt;&gt;1,"编号重复",IF(COUNTIFS('问题总览'!$A$7:$A$306,B249)&lt;&gt;1,"问题引用无效",IF(COUNTIFS('方案版本'!$A$7:$A$306,C249,'方案版本'!$B$7:$B$306,B249,'方案版本'!$L$7:$L$306,"已冻结")&lt;&gt;1,"方案引用无效",IF(OR(NOT(ISNUMBER(D249)),NOT(ISNUMBER(E249)),F249="",G249="",H249="",M249=""),"待补复盘信息",IF(COUNTIFS('更新日志'!$A$7:$A$306,J249,'更新日志'!$B$7:$B$306,B249,'更新日志'!$C$7:$C$306,A249)&lt;&gt;1,"待登记更新单","有效输入"))))))</x:f>
      </x:c>
    </x:row>
    <x:row r="250" ht="25" customHeight="1">
      <x:c r="A250" s="3"/>
      <x:c r="B250" s="3"/>
      <x:c r="C250" s="3"/>
      <x:c r="D250" s="25"/>
      <x:c r="E250" s="25"/>
      <x:c r="F250" s="3"/>
      <x:c r="G250" s="3"/>
      <x:c r="H250" s="3"/>
      <x:c r="I250" s="3"/>
      <x:c r="J250" s="3"/>
      <x:c r="K250" s="3"/>
      <x:c r="L250" s="20"/>
      <x:c r="M250" s="3"/>
      <x:c r="N250" s="19" t="str">
        <x:f>IF(A250="","",IF(COUNTIFS('复盘记录'!$A$7:$A$306,A250)&lt;&gt;1,"编号重复",IF(COUNTIFS('问题总览'!$A$7:$A$306,B250)&lt;&gt;1,"问题引用无效",IF(COUNTIFS('方案版本'!$A$7:$A$306,C250,'方案版本'!$B$7:$B$306,B250,'方案版本'!$L$7:$L$306,"已冻结")&lt;&gt;1,"方案引用无效",IF(OR(NOT(ISNUMBER(D250)),NOT(ISNUMBER(E250)),F250="",G250="",H250="",M250=""),"待补复盘信息",IF(COUNTIFS('更新日志'!$A$7:$A$306,J250,'更新日志'!$B$7:$B$306,B250,'更新日志'!$C$7:$C$306,A250)&lt;&gt;1,"待登记更新单","有效输入"))))))</x:f>
      </x:c>
    </x:row>
    <x:row r="251" ht="25" customHeight="1">
      <x:c r="A251" s="3"/>
      <x:c r="B251" s="3"/>
      <x:c r="C251" s="3"/>
      <x:c r="D251" s="25"/>
      <x:c r="E251" s="25"/>
      <x:c r="F251" s="3"/>
      <x:c r="G251" s="3"/>
      <x:c r="H251" s="3"/>
      <x:c r="I251" s="3"/>
      <x:c r="J251" s="3"/>
      <x:c r="K251" s="3"/>
      <x:c r="L251" s="20"/>
      <x:c r="M251" s="3"/>
      <x:c r="N251" s="19" t="str">
        <x:f>IF(A251="","",IF(COUNTIFS('复盘记录'!$A$7:$A$306,A251)&lt;&gt;1,"编号重复",IF(COUNTIFS('问题总览'!$A$7:$A$306,B251)&lt;&gt;1,"问题引用无效",IF(COUNTIFS('方案版本'!$A$7:$A$306,C251,'方案版本'!$B$7:$B$306,B251,'方案版本'!$L$7:$L$306,"已冻结")&lt;&gt;1,"方案引用无效",IF(OR(NOT(ISNUMBER(D251)),NOT(ISNUMBER(E251)),F251="",G251="",H251="",M251=""),"待补复盘信息",IF(COUNTIFS('更新日志'!$A$7:$A$306,J251,'更新日志'!$B$7:$B$306,B251,'更新日志'!$C$7:$C$306,A251)&lt;&gt;1,"待登记更新单","有效输入"))))))</x:f>
      </x:c>
    </x:row>
    <x:row r="252" ht="25" customHeight="1">
      <x:c r="A252" s="3"/>
      <x:c r="B252" s="3"/>
      <x:c r="C252" s="3"/>
      <x:c r="D252" s="25"/>
      <x:c r="E252" s="25"/>
      <x:c r="F252" s="3"/>
      <x:c r="G252" s="3"/>
      <x:c r="H252" s="3"/>
      <x:c r="I252" s="3"/>
      <x:c r="J252" s="3"/>
      <x:c r="K252" s="3"/>
      <x:c r="L252" s="20"/>
      <x:c r="M252" s="3"/>
      <x:c r="N252" s="19" t="str">
        <x:f>IF(A252="","",IF(COUNTIFS('复盘记录'!$A$7:$A$306,A252)&lt;&gt;1,"编号重复",IF(COUNTIFS('问题总览'!$A$7:$A$306,B252)&lt;&gt;1,"问题引用无效",IF(COUNTIFS('方案版本'!$A$7:$A$306,C252,'方案版本'!$B$7:$B$306,B252,'方案版本'!$L$7:$L$306,"已冻结")&lt;&gt;1,"方案引用无效",IF(OR(NOT(ISNUMBER(D252)),NOT(ISNUMBER(E252)),F252="",G252="",H252="",M252=""),"待补复盘信息",IF(COUNTIFS('更新日志'!$A$7:$A$306,J252,'更新日志'!$B$7:$B$306,B252,'更新日志'!$C$7:$C$306,A252)&lt;&gt;1,"待登记更新单","有效输入"))))))</x:f>
      </x:c>
    </x:row>
    <x:row r="253" ht="25" customHeight="1">
      <x:c r="A253" s="3"/>
      <x:c r="B253" s="3"/>
      <x:c r="C253" s="3"/>
      <x:c r="D253" s="25"/>
      <x:c r="E253" s="25"/>
      <x:c r="F253" s="3"/>
      <x:c r="G253" s="3"/>
      <x:c r="H253" s="3"/>
      <x:c r="I253" s="3"/>
      <x:c r="J253" s="3"/>
      <x:c r="K253" s="3"/>
      <x:c r="L253" s="20"/>
      <x:c r="M253" s="3"/>
      <x:c r="N253" s="19" t="str">
        <x:f>IF(A253="","",IF(COUNTIFS('复盘记录'!$A$7:$A$306,A253)&lt;&gt;1,"编号重复",IF(COUNTIFS('问题总览'!$A$7:$A$306,B253)&lt;&gt;1,"问题引用无效",IF(COUNTIFS('方案版本'!$A$7:$A$306,C253,'方案版本'!$B$7:$B$306,B253,'方案版本'!$L$7:$L$306,"已冻结")&lt;&gt;1,"方案引用无效",IF(OR(NOT(ISNUMBER(D253)),NOT(ISNUMBER(E253)),F253="",G253="",H253="",M253=""),"待补复盘信息",IF(COUNTIFS('更新日志'!$A$7:$A$306,J253,'更新日志'!$B$7:$B$306,B253,'更新日志'!$C$7:$C$306,A253)&lt;&gt;1,"待登记更新单","有效输入"))))))</x:f>
      </x:c>
    </x:row>
    <x:row r="254" ht="25" customHeight="1">
      <x:c r="A254" s="3"/>
      <x:c r="B254" s="3"/>
      <x:c r="C254" s="3"/>
      <x:c r="D254" s="25"/>
      <x:c r="E254" s="25"/>
      <x:c r="F254" s="3"/>
      <x:c r="G254" s="3"/>
      <x:c r="H254" s="3"/>
      <x:c r="I254" s="3"/>
      <x:c r="J254" s="3"/>
      <x:c r="K254" s="3"/>
      <x:c r="L254" s="20"/>
      <x:c r="M254" s="3"/>
      <x:c r="N254" s="19" t="str">
        <x:f>IF(A254="","",IF(COUNTIFS('复盘记录'!$A$7:$A$306,A254)&lt;&gt;1,"编号重复",IF(COUNTIFS('问题总览'!$A$7:$A$306,B254)&lt;&gt;1,"问题引用无效",IF(COUNTIFS('方案版本'!$A$7:$A$306,C254,'方案版本'!$B$7:$B$306,B254,'方案版本'!$L$7:$L$306,"已冻结")&lt;&gt;1,"方案引用无效",IF(OR(NOT(ISNUMBER(D254)),NOT(ISNUMBER(E254)),F254="",G254="",H254="",M254=""),"待补复盘信息",IF(COUNTIFS('更新日志'!$A$7:$A$306,J254,'更新日志'!$B$7:$B$306,B254,'更新日志'!$C$7:$C$306,A254)&lt;&gt;1,"待登记更新单","有效输入"))))))</x:f>
      </x:c>
    </x:row>
    <x:row r="255" ht="25" customHeight="1">
      <x:c r="A255" s="3"/>
      <x:c r="B255" s="3"/>
      <x:c r="C255" s="3"/>
      <x:c r="D255" s="25"/>
      <x:c r="E255" s="25"/>
      <x:c r="F255" s="3"/>
      <x:c r="G255" s="3"/>
      <x:c r="H255" s="3"/>
      <x:c r="I255" s="3"/>
      <x:c r="J255" s="3"/>
      <x:c r="K255" s="3"/>
      <x:c r="L255" s="20"/>
      <x:c r="M255" s="3"/>
      <x:c r="N255" s="19" t="str">
        <x:f>IF(A255="","",IF(COUNTIFS('复盘记录'!$A$7:$A$306,A255)&lt;&gt;1,"编号重复",IF(COUNTIFS('问题总览'!$A$7:$A$306,B255)&lt;&gt;1,"问题引用无效",IF(COUNTIFS('方案版本'!$A$7:$A$306,C255,'方案版本'!$B$7:$B$306,B255,'方案版本'!$L$7:$L$306,"已冻结")&lt;&gt;1,"方案引用无效",IF(OR(NOT(ISNUMBER(D255)),NOT(ISNUMBER(E255)),F255="",G255="",H255="",M255=""),"待补复盘信息",IF(COUNTIFS('更新日志'!$A$7:$A$306,J255,'更新日志'!$B$7:$B$306,B255,'更新日志'!$C$7:$C$306,A255)&lt;&gt;1,"待登记更新单","有效输入"))))))</x:f>
      </x:c>
    </x:row>
    <x:row r="256" ht="25" customHeight="1">
      <x:c r="A256" s="3"/>
      <x:c r="B256" s="3"/>
      <x:c r="C256" s="3"/>
      <x:c r="D256" s="25"/>
      <x:c r="E256" s="25"/>
      <x:c r="F256" s="3"/>
      <x:c r="G256" s="3"/>
      <x:c r="H256" s="3"/>
      <x:c r="I256" s="3"/>
      <x:c r="J256" s="3"/>
      <x:c r="K256" s="3"/>
      <x:c r="L256" s="20"/>
      <x:c r="M256" s="3"/>
      <x:c r="N256" s="19" t="str">
        <x:f>IF(A256="","",IF(COUNTIFS('复盘记录'!$A$7:$A$306,A256)&lt;&gt;1,"编号重复",IF(COUNTIFS('问题总览'!$A$7:$A$306,B256)&lt;&gt;1,"问题引用无效",IF(COUNTIFS('方案版本'!$A$7:$A$306,C256,'方案版本'!$B$7:$B$306,B256,'方案版本'!$L$7:$L$306,"已冻结")&lt;&gt;1,"方案引用无效",IF(OR(NOT(ISNUMBER(D256)),NOT(ISNUMBER(E256)),F256="",G256="",H256="",M256=""),"待补复盘信息",IF(COUNTIFS('更新日志'!$A$7:$A$306,J256,'更新日志'!$B$7:$B$306,B256,'更新日志'!$C$7:$C$306,A256)&lt;&gt;1,"待登记更新单","有效输入"))))))</x:f>
      </x:c>
    </x:row>
    <x:row r="257" ht="25" customHeight="1">
      <x:c r="A257" s="3"/>
      <x:c r="B257" s="3"/>
      <x:c r="C257" s="3"/>
      <x:c r="D257" s="25"/>
      <x:c r="E257" s="25"/>
      <x:c r="F257" s="3"/>
      <x:c r="G257" s="3"/>
      <x:c r="H257" s="3"/>
      <x:c r="I257" s="3"/>
      <x:c r="J257" s="3"/>
      <x:c r="K257" s="3"/>
      <x:c r="L257" s="20"/>
      <x:c r="M257" s="3"/>
      <x:c r="N257" s="19" t="str">
        <x:f>IF(A257="","",IF(COUNTIFS('复盘记录'!$A$7:$A$306,A257)&lt;&gt;1,"编号重复",IF(COUNTIFS('问题总览'!$A$7:$A$306,B257)&lt;&gt;1,"问题引用无效",IF(COUNTIFS('方案版本'!$A$7:$A$306,C257,'方案版本'!$B$7:$B$306,B257,'方案版本'!$L$7:$L$306,"已冻结")&lt;&gt;1,"方案引用无效",IF(OR(NOT(ISNUMBER(D257)),NOT(ISNUMBER(E257)),F257="",G257="",H257="",M257=""),"待补复盘信息",IF(COUNTIFS('更新日志'!$A$7:$A$306,J257,'更新日志'!$B$7:$B$306,B257,'更新日志'!$C$7:$C$306,A257)&lt;&gt;1,"待登记更新单","有效输入"))))))</x:f>
      </x:c>
    </x:row>
    <x:row r="258" ht="25" customHeight="1">
      <x:c r="A258" s="3"/>
      <x:c r="B258" s="3"/>
      <x:c r="C258" s="3"/>
      <x:c r="D258" s="25"/>
      <x:c r="E258" s="25"/>
      <x:c r="F258" s="3"/>
      <x:c r="G258" s="3"/>
      <x:c r="H258" s="3"/>
      <x:c r="I258" s="3"/>
      <x:c r="J258" s="3"/>
      <x:c r="K258" s="3"/>
      <x:c r="L258" s="20"/>
      <x:c r="M258" s="3"/>
      <x:c r="N258" s="19" t="str">
        <x:f>IF(A258="","",IF(COUNTIFS('复盘记录'!$A$7:$A$306,A258)&lt;&gt;1,"编号重复",IF(COUNTIFS('问题总览'!$A$7:$A$306,B258)&lt;&gt;1,"问题引用无效",IF(COUNTIFS('方案版本'!$A$7:$A$306,C258,'方案版本'!$B$7:$B$306,B258,'方案版本'!$L$7:$L$306,"已冻结")&lt;&gt;1,"方案引用无效",IF(OR(NOT(ISNUMBER(D258)),NOT(ISNUMBER(E258)),F258="",G258="",H258="",M258=""),"待补复盘信息",IF(COUNTIFS('更新日志'!$A$7:$A$306,J258,'更新日志'!$B$7:$B$306,B258,'更新日志'!$C$7:$C$306,A258)&lt;&gt;1,"待登记更新单","有效输入"))))))</x:f>
      </x:c>
    </x:row>
    <x:row r="259" ht="25" customHeight="1">
      <x:c r="A259" s="3"/>
      <x:c r="B259" s="3"/>
      <x:c r="C259" s="3"/>
      <x:c r="D259" s="25"/>
      <x:c r="E259" s="25"/>
      <x:c r="F259" s="3"/>
      <x:c r="G259" s="3"/>
      <x:c r="H259" s="3"/>
      <x:c r="I259" s="3"/>
      <x:c r="J259" s="3"/>
      <x:c r="K259" s="3"/>
      <x:c r="L259" s="20"/>
      <x:c r="M259" s="3"/>
      <x:c r="N259" s="19" t="str">
        <x:f>IF(A259="","",IF(COUNTIFS('复盘记录'!$A$7:$A$306,A259)&lt;&gt;1,"编号重复",IF(COUNTIFS('问题总览'!$A$7:$A$306,B259)&lt;&gt;1,"问题引用无效",IF(COUNTIFS('方案版本'!$A$7:$A$306,C259,'方案版本'!$B$7:$B$306,B259,'方案版本'!$L$7:$L$306,"已冻结")&lt;&gt;1,"方案引用无效",IF(OR(NOT(ISNUMBER(D259)),NOT(ISNUMBER(E259)),F259="",G259="",H259="",M259=""),"待补复盘信息",IF(COUNTIFS('更新日志'!$A$7:$A$306,J259,'更新日志'!$B$7:$B$306,B259,'更新日志'!$C$7:$C$306,A259)&lt;&gt;1,"待登记更新单","有效输入"))))))</x:f>
      </x:c>
    </x:row>
    <x:row r="260" ht="25" customHeight="1">
      <x:c r="A260" s="3"/>
      <x:c r="B260" s="3"/>
      <x:c r="C260" s="3"/>
      <x:c r="D260" s="25"/>
      <x:c r="E260" s="25"/>
      <x:c r="F260" s="3"/>
      <x:c r="G260" s="3"/>
      <x:c r="H260" s="3"/>
      <x:c r="I260" s="3"/>
      <x:c r="J260" s="3"/>
      <x:c r="K260" s="3"/>
      <x:c r="L260" s="20"/>
      <x:c r="M260" s="3"/>
      <x:c r="N260" s="19" t="str">
        <x:f>IF(A260="","",IF(COUNTIFS('复盘记录'!$A$7:$A$306,A260)&lt;&gt;1,"编号重复",IF(COUNTIFS('问题总览'!$A$7:$A$306,B260)&lt;&gt;1,"问题引用无效",IF(COUNTIFS('方案版本'!$A$7:$A$306,C260,'方案版本'!$B$7:$B$306,B260,'方案版本'!$L$7:$L$306,"已冻结")&lt;&gt;1,"方案引用无效",IF(OR(NOT(ISNUMBER(D260)),NOT(ISNUMBER(E260)),F260="",G260="",H260="",M260=""),"待补复盘信息",IF(COUNTIFS('更新日志'!$A$7:$A$306,J260,'更新日志'!$B$7:$B$306,B260,'更新日志'!$C$7:$C$306,A260)&lt;&gt;1,"待登记更新单","有效输入"))))))</x:f>
      </x:c>
    </x:row>
    <x:row r="261" ht="25" customHeight="1">
      <x:c r="A261" s="3"/>
      <x:c r="B261" s="3"/>
      <x:c r="C261" s="3"/>
      <x:c r="D261" s="25"/>
      <x:c r="E261" s="25"/>
      <x:c r="F261" s="3"/>
      <x:c r="G261" s="3"/>
      <x:c r="H261" s="3"/>
      <x:c r="I261" s="3"/>
      <x:c r="J261" s="3"/>
      <x:c r="K261" s="3"/>
      <x:c r="L261" s="20"/>
      <x:c r="M261" s="3"/>
      <x:c r="N261" s="19" t="str">
        <x:f>IF(A261="","",IF(COUNTIFS('复盘记录'!$A$7:$A$306,A261)&lt;&gt;1,"编号重复",IF(COUNTIFS('问题总览'!$A$7:$A$306,B261)&lt;&gt;1,"问题引用无效",IF(COUNTIFS('方案版本'!$A$7:$A$306,C261,'方案版本'!$B$7:$B$306,B261,'方案版本'!$L$7:$L$306,"已冻结")&lt;&gt;1,"方案引用无效",IF(OR(NOT(ISNUMBER(D261)),NOT(ISNUMBER(E261)),F261="",G261="",H261="",M261=""),"待补复盘信息",IF(COUNTIFS('更新日志'!$A$7:$A$306,J261,'更新日志'!$B$7:$B$306,B261,'更新日志'!$C$7:$C$306,A261)&lt;&gt;1,"待登记更新单","有效输入"))))))</x:f>
      </x:c>
    </x:row>
    <x:row r="262" ht="25" customHeight="1">
      <x:c r="A262" s="3"/>
      <x:c r="B262" s="3"/>
      <x:c r="C262" s="3"/>
      <x:c r="D262" s="25"/>
      <x:c r="E262" s="25"/>
      <x:c r="F262" s="3"/>
      <x:c r="G262" s="3"/>
      <x:c r="H262" s="3"/>
      <x:c r="I262" s="3"/>
      <x:c r="J262" s="3"/>
      <x:c r="K262" s="3"/>
      <x:c r="L262" s="20"/>
      <x:c r="M262" s="3"/>
      <x:c r="N262" s="19" t="str">
        <x:f>IF(A262="","",IF(COUNTIFS('复盘记录'!$A$7:$A$306,A262)&lt;&gt;1,"编号重复",IF(COUNTIFS('问题总览'!$A$7:$A$306,B262)&lt;&gt;1,"问题引用无效",IF(COUNTIFS('方案版本'!$A$7:$A$306,C262,'方案版本'!$B$7:$B$306,B262,'方案版本'!$L$7:$L$306,"已冻结")&lt;&gt;1,"方案引用无效",IF(OR(NOT(ISNUMBER(D262)),NOT(ISNUMBER(E262)),F262="",G262="",H262="",M262=""),"待补复盘信息",IF(COUNTIFS('更新日志'!$A$7:$A$306,J262,'更新日志'!$B$7:$B$306,B262,'更新日志'!$C$7:$C$306,A262)&lt;&gt;1,"待登记更新单","有效输入"))))))</x:f>
      </x:c>
    </x:row>
    <x:row r="263" ht="25" customHeight="1">
      <x:c r="A263" s="3"/>
      <x:c r="B263" s="3"/>
      <x:c r="C263" s="3"/>
      <x:c r="D263" s="25"/>
      <x:c r="E263" s="25"/>
      <x:c r="F263" s="3"/>
      <x:c r="G263" s="3"/>
      <x:c r="H263" s="3"/>
      <x:c r="I263" s="3"/>
      <x:c r="J263" s="3"/>
      <x:c r="K263" s="3"/>
      <x:c r="L263" s="20"/>
      <x:c r="M263" s="3"/>
      <x:c r="N263" s="19" t="str">
        <x:f>IF(A263="","",IF(COUNTIFS('复盘记录'!$A$7:$A$306,A263)&lt;&gt;1,"编号重复",IF(COUNTIFS('问题总览'!$A$7:$A$306,B263)&lt;&gt;1,"问题引用无效",IF(COUNTIFS('方案版本'!$A$7:$A$306,C263,'方案版本'!$B$7:$B$306,B263,'方案版本'!$L$7:$L$306,"已冻结")&lt;&gt;1,"方案引用无效",IF(OR(NOT(ISNUMBER(D263)),NOT(ISNUMBER(E263)),F263="",G263="",H263="",M263=""),"待补复盘信息",IF(COUNTIFS('更新日志'!$A$7:$A$306,J263,'更新日志'!$B$7:$B$306,B263,'更新日志'!$C$7:$C$306,A263)&lt;&gt;1,"待登记更新单","有效输入"))))))</x:f>
      </x:c>
    </x:row>
    <x:row r="264" ht="25" customHeight="1">
      <x:c r="A264" s="3"/>
      <x:c r="B264" s="3"/>
      <x:c r="C264" s="3"/>
      <x:c r="D264" s="25"/>
      <x:c r="E264" s="25"/>
      <x:c r="F264" s="3"/>
      <x:c r="G264" s="3"/>
      <x:c r="H264" s="3"/>
      <x:c r="I264" s="3"/>
      <x:c r="J264" s="3"/>
      <x:c r="K264" s="3"/>
      <x:c r="L264" s="20"/>
      <x:c r="M264" s="3"/>
      <x:c r="N264" s="19" t="str">
        <x:f>IF(A264="","",IF(COUNTIFS('复盘记录'!$A$7:$A$306,A264)&lt;&gt;1,"编号重复",IF(COUNTIFS('问题总览'!$A$7:$A$306,B264)&lt;&gt;1,"问题引用无效",IF(COUNTIFS('方案版本'!$A$7:$A$306,C264,'方案版本'!$B$7:$B$306,B264,'方案版本'!$L$7:$L$306,"已冻结")&lt;&gt;1,"方案引用无效",IF(OR(NOT(ISNUMBER(D264)),NOT(ISNUMBER(E264)),F264="",G264="",H264="",M264=""),"待补复盘信息",IF(COUNTIFS('更新日志'!$A$7:$A$306,J264,'更新日志'!$B$7:$B$306,B264,'更新日志'!$C$7:$C$306,A264)&lt;&gt;1,"待登记更新单","有效输入"))))))</x:f>
      </x:c>
    </x:row>
    <x:row r="265" ht="25" customHeight="1">
      <x:c r="A265" s="3"/>
      <x:c r="B265" s="3"/>
      <x:c r="C265" s="3"/>
      <x:c r="D265" s="25"/>
      <x:c r="E265" s="25"/>
      <x:c r="F265" s="3"/>
      <x:c r="G265" s="3"/>
      <x:c r="H265" s="3"/>
      <x:c r="I265" s="3"/>
      <x:c r="J265" s="3"/>
      <x:c r="K265" s="3"/>
      <x:c r="L265" s="20"/>
      <x:c r="M265" s="3"/>
      <x:c r="N265" s="19" t="str">
        <x:f>IF(A265="","",IF(COUNTIFS('复盘记录'!$A$7:$A$306,A265)&lt;&gt;1,"编号重复",IF(COUNTIFS('问题总览'!$A$7:$A$306,B265)&lt;&gt;1,"问题引用无效",IF(COUNTIFS('方案版本'!$A$7:$A$306,C265,'方案版本'!$B$7:$B$306,B265,'方案版本'!$L$7:$L$306,"已冻结")&lt;&gt;1,"方案引用无效",IF(OR(NOT(ISNUMBER(D265)),NOT(ISNUMBER(E265)),F265="",G265="",H265="",M265=""),"待补复盘信息",IF(COUNTIFS('更新日志'!$A$7:$A$306,J265,'更新日志'!$B$7:$B$306,B265,'更新日志'!$C$7:$C$306,A265)&lt;&gt;1,"待登记更新单","有效输入"))))))</x:f>
      </x:c>
    </x:row>
    <x:row r="266" ht="25" customHeight="1">
      <x:c r="A266" s="3"/>
      <x:c r="B266" s="3"/>
      <x:c r="C266" s="3"/>
      <x:c r="D266" s="25"/>
      <x:c r="E266" s="25"/>
      <x:c r="F266" s="3"/>
      <x:c r="G266" s="3"/>
      <x:c r="H266" s="3"/>
      <x:c r="I266" s="3"/>
      <x:c r="J266" s="3"/>
      <x:c r="K266" s="3"/>
      <x:c r="L266" s="20"/>
      <x:c r="M266" s="3"/>
      <x:c r="N266" s="19" t="str">
        <x:f>IF(A266="","",IF(COUNTIFS('复盘记录'!$A$7:$A$306,A266)&lt;&gt;1,"编号重复",IF(COUNTIFS('问题总览'!$A$7:$A$306,B266)&lt;&gt;1,"问题引用无效",IF(COUNTIFS('方案版本'!$A$7:$A$306,C266,'方案版本'!$B$7:$B$306,B266,'方案版本'!$L$7:$L$306,"已冻结")&lt;&gt;1,"方案引用无效",IF(OR(NOT(ISNUMBER(D266)),NOT(ISNUMBER(E266)),F266="",G266="",H266="",M266=""),"待补复盘信息",IF(COUNTIFS('更新日志'!$A$7:$A$306,J266,'更新日志'!$B$7:$B$306,B266,'更新日志'!$C$7:$C$306,A266)&lt;&gt;1,"待登记更新单","有效输入"))))))</x:f>
      </x:c>
    </x:row>
    <x:row r="267" ht="25" customHeight="1">
      <x:c r="A267" s="3"/>
      <x:c r="B267" s="3"/>
      <x:c r="C267" s="3"/>
      <x:c r="D267" s="25"/>
      <x:c r="E267" s="25"/>
      <x:c r="F267" s="3"/>
      <x:c r="G267" s="3"/>
      <x:c r="H267" s="3"/>
      <x:c r="I267" s="3"/>
      <x:c r="J267" s="3"/>
      <x:c r="K267" s="3"/>
      <x:c r="L267" s="20"/>
      <x:c r="M267" s="3"/>
      <x:c r="N267" s="19" t="str">
        <x:f>IF(A267="","",IF(COUNTIFS('复盘记录'!$A$7:$A$306,A267)&lt;&gt;1,"编号重复",IF(COUNTIFS('问题总览'!$A$7:$A$306,B267)&lt;&gt;1,"问题引用无效",IF(COUNTIFS('方案版本'!$A$7:$A$306,C267,'方案版本'!$B$7:$B$306,B267,'方案版本'!$L$7:$L$306,"已冻结")&lt;&gt;1,"方案引用无效",IF(OR(NOT(ISNUMBER(D267)),NOT(ISNUMBER(E267)),F267="",G267="",H267="",M267=""),"待补复盘信息",IF(COUNTIFS('更新日志'!$A$7:$A$306,J267,'更新日志'!$B$7:$B$306,B267,'更新日志'!$C$7:$C$306,A267)&lt;&gt;1,"待登记更新单","有效输入"))))))</x:f>
      </x:c>
    </x:row>
    <x:row r="268" ht="25" customHeight="1">
      <x:c r="A268" s="3"/>
      <x:c r="B268" s="3"/>
      <x:c r="C268" s="3"/>
      <x:c r="D268" s="25"/>
      <x:c r="E268" s="25"/>
      <x:c r="F268" s="3"/>
      <x:c r="G268" s="3"/>
      <x:c r="H268" s="3"/>
      <x:c r="I268" s="3"/>
      <x:c r="J268" s="3"/>
      <x:c r="K268" s="3"/>
      <x:c r="L268" s="20"/>
      <x:c r="M268" s="3"/>
      <x:c r="N268" s="19" t="str">
        <x:f>IF(A268="","",IF(COUNTIFS('复盘记录'!$A$7:$A$306,A268)&lt;&gt;1,"编号重复",IF(COUNTIFS('问题总览'!$A$7:$A$306,B268)&lt;&gt;1,"问题引用无效",IF(COUNTIFS('方案版本'!$A$7:$A$306,C268,'方案版本'!$B$7:$B$306,B268,'方案版本'!$L$7:$L$306,"已冻结")&lt;&gt;1,"方案引用无效",IF(OR(NOT(ISNUMBER(D268)),NOT(ISNUMBER(E268)),F268="",G268="",H268="",M268=""),"待补复盘信息",IF(COUNTIFS('更新日志'!$A$7:$A$306,J268,'更新日志'!$B$7:$B$306,B268,'更新日志'!$C$7:$C$306,A268)&lt;&gt;1,"待登记更新单","有效输入"))))))</x:f>
      </x:c>
    </x:row>
    <x:row r="269" ht="25" customHeight="1">
      <x:c r="A269" s="3"/>
      <x:c r="B269" s="3"/>
      <x:c r="C269" s="3"/>
      <x:c r="D269" s="25"/>
      <x:c r="E269" s="25"/>
      <x:c r="F269" s="3"/>
      <x:c r="G269" s="3"/>
      <x:c r="H269" s="3"/>
      <x:c r="I269" s="3"/>
      <x:c r="J269" s="3"/>
      <x:c r="K269" s="3"/>
      <x:c r="L269" s="20"/>
      <x:c r="M269" s="3"/>
      <x:c r="N269" s="19" t="str">
        <x:f>IF(A269="","",IF(COUNTIFS('复盘记录'!$A$7:$A$306,A269)&lt;&gt;1,"编号重复",IF(COUNTIFS('问题总览'!$A$7:$A$306,B269)&lt;&gt;1,"问题引用无效",IF(COUNTIFS('方案版本'!$A$7:$A$306,C269,'方案版本'!$B$7:$B$306,B269,'方案版本'!$L$7:$L$306,"已冻结")&lt;&gt;1,"方案引用无效",IF(OR(NOT(ISNUMBER(D269)),NOT(ISNUMBER(E269)),F269="",G269="",H269="",M269=""),"待补复盘信息",IF(COUNTIFS('更新日志'!$A$7:$A$306,J269,'更新日志'!$B$7:$B$306,B269,'更新日志'!$C$7:$C$306,A269)&lt;&gt;1,"待登记更新单","有效输入"))))))</x:f>
      </x:c>
    </x:row>
    <x:row r="270" ht="25" customHeight="1">
      <x:c r="A270" s="3"/>
      <x:c r="B270" s="3"/>
      <x:c r="C270" s="3"/>
      <x:c r="D270" s="25"/>
      <x:c r="E270" s="25"/>
      <x:c r="F270" s="3"/>
      <x:c r="G270" s="3"/>
      <x:c r="H270" s="3"/>
      <x:c r="I270" s="3"/>
      <x:c r="J270" s="3"/>
      <x:c r="K270" s="3"/>
      <x:c r="L270" s="20"/>
      <x:c r="M270" s="3"/>
      <x:c r="N270" s="19" t="str">
        <x:f>IF(A270="","",IF(COUNTIFS('复盘记录'!$A$7:$A$306,A270)&lt;&gt;1,"编号重复",IF(COUNTIFS('问题总览'!$A$7:$A$306,B270)&lt;&gt;1,"问题引用无效",IF(COUNTIFS('方案版本'!$A$7:$A$306,C270,'方案版本'!$B$7:$B$306,B270,'方案版本'!$L$7:$L$306,"已冻结")&lt;&gt;1,"方案引用无效",IF(OR(NOT(ISNUMBER(D270)),NOT(ISNUMBER(E270)),F270="",G270="",H270="",M270=""),"待补复盘信息",IF(COUNTIFS('更新日志'!$A$7:$A$306,J270,'更新日志'!$B$7:$B$306,B270,'更新日志'!$C$7:$C$306,A270)&lt;&gt;1,"待登记更新单","有效输入"))))))</x:f>
      </x:c>
    </x:row>
    <x:row r="271" ht="25" customHeight="1">
      <x:c r="A271" s="3"/>
      <x:c r="B271" s="3"/>
      <x:c r="C271" s="3"/>
      <x:c r="D271" s="25"/>
      <x:c r="E271" s="25"/>
      <x:c r="F271" s="3"/>
      <x:c r="G271" s="3"/>
      <x:c r="H271" s="3"/>
      <x:c r="I271" s="3"/>
      <x:c r="J271" s="3"/>
      <x:c r="K271" s="3"/>
      <x:c r="L271" s="20"/>
      <x:c r="M271" s="3"/>
      <x:c r="N271" s="19" t="str">
        <x:f>IF(A271="","",IF(COUNTIFS('复盘记录'!$A$7:$A$306,A271)&lt;&gt;1,"编号重复",IF(COUNTIFS('问题总览'!$A$7:$A$306,B271)&lt;&gt;1,"问题引用无效",IF(COUNTIFS('方案版本'!$A$7:$A$306,C271,'方案版本'!$B$7:$B$306,B271,'方案版本'!$L$7:$L$306,"已冻结")&lt;&gt;1,"方案引用无效",IF(OR(NOT(ISNUMBER(D271)),NOT(ISNUMBER(E271)),F271="",G271="",H271="",M271=""),"待补复盘信息",IF(COUNTIFS('更新日志'!$A$7:$A$306,J271,'更新日志'!$B$7:$B$306,B271,'更新日志'!$C$7:$C$306,A271)&lt;&gt;1,"待登记更新单","有效输入"))))))</x:f>
      </x:c>
    </x:row>
    <x:row r="272" ht="25" customHeight="1">
      <x:c r="A272" s="3"/>
      <x:c r="B272" s="3"/>
      <x:c r="C272" s="3"/>
      <x:c r="D272" s="25"/>
      <x:c r="E272" s="25"/>
      <x:c r="F272" s="3"/>
      <x:c r="G272" s="3"/>
      <x:c r="H272" s="3"/>
      <x:c r="I272" s="3"/>
      <x:c r="J272" s="3"/>
      <x:c r="K272" s="3"/>
      <x:c r="L272" s="20"/>
      <x:c r="M272" s="3"/>
      <x:c r="N272" s="19" t="str">
        <x:f>IF(A272="","",IF(COUNTIFS('复盘记录'!$A$7:$A$306,A272)&lt;&gt;1,"编号重复",IF(COUNTIFS('问题总览'!$A$7:$A$306,B272)&lt;&gt;1,"问题引用无效",IF(COUNTIFS('方案版本'!$A$7:$A$306,C272,'方案版本'!$B$7:$B$306,B272,'方案版本'!$L$7:$L$306,"已冻结")&lt;&gt;1,"方案引用无效",IF(OR(NOT(ISNUMBER(D272)),NOT(ISNUMBER(E272)),F272="",G272="",H272="",M272=""),"待补复盘信息",IF(COUNTIFS('更新日志'!$A$7:$A$306,J272,'更新日志'!$B$7:$B$306,B272,'更新日志'!$C$7:$C$306,A272)&lt;&gt;1,"待登记更新单","有效输入"))))))</x:f>
      </x:c>
    </x:row>
    <x:row r="273" ht="25" customHeight="1">
      <x:c r="A273" s="3"/>
      <x:c r="B273" s="3"/>
      <x:c r="C273" s="3"/>
      <x:c r="D273" s="25"/>
      <x:c r="E273" s="25"/>
      <x:c r="F273" s="3"/>
      <x:c r="G273" s="3"/>
      <x:c r="H273" s="3"/>
      <x:c r="I273" s="3"/>
      <x:c r="J273" s="3"/>
      <x:c r="K273" s="3"/>
      <x:c r="L273" s="20"/>
      <x:c r="M273" s="3"/>
      <x:c r="N273" s="19" t="str">
        <x:f>IF(A273="","",IF(COUNTIFS('复盘记录'!$A$7:$A$306,A273)&lt;&gt;1,"编号重复",IF(COUNTIFS('问题总览'!$A$7:$A$306,B273)&lt;&gt;1,"问题引用无效",IF(COUNTIFS('方案版本'!$A$7:$A$306,C273,'方案版本'!$B$7:$B$306,B273,'方案版本'!$L$7:$L$306,"已冻结")&lt;&gt;1,"方案引用无效",IF(OR(NOT(ISNUMBER(D273)),NOT(ISNUMBER(E273)),F273="",G273="",H273="",M273=""),"待补复盘信息",IF(COUNTIFS('更新日志'!$A$7:$A$306,J273,'更新日志'!$B$7:$B$306,B273,'更新日志'!$C$7:$C$306,A273)&lt;&gt;1,"待登记更新单","有效输入"))))))</x:f>
      </x:c>
    </x:row>
    <x:row r="274" ht="25" customHeight="1">
      <x:c r="A274" s="3"/>
      <x:c r="B274" s="3"/>
      <x:c r="C274" s="3"/>
      <x:c r="D274" s="25"/>
      <x:c r="E274" s="25"/>
      <x:c r="F274" s="3"/>
      <x:c r="G274" s="3"/>
      <x:c r="H274" s="3"/>
      <x:c r="I274" s="3"/>
      <x:c r="J274" s="3"/>
      <x:c r="K274" s="3"/>
      <x:c r="L274" s="20"/>
      <x:c r="M274" s="3"/>
      <x:c r="N274" s="19" t="str">
        <x:f>IF(A274="","",IF(COUNTIFS('复盘记录'!$A$7:$A$306,A274)&lt;&gt;1,"编号重复",IF(COUNTIFS('问题总览'!$A$7:$A$306,B274)&lt;&gt;1,"问题引用无效",IF(COUNTIFS('方案版本'!$A$7:$A$306,C274,'方案版本'!$B$7:$B$306,B274,'方案版本'!$L$7:$L$306,"已冻结")&lt;&gt;1,"方案引用无效",IF(OR(NOT(ISNUMBER(D274)),NOT(ISNUMBER(E274)),F274="",G274="",H274="",M274=""),"待补复盘信息",IF(COUNTIFS('更新日志'!$A$7:$A$306,J274,'更新日志'!$B$7:$B$306,B274,'更新日志'!$C$7:$C$306,A274)&lt;&gt;1,"待登记更新单","有效输入"))))))</x:f>
      </x:c>
    </x:row>
    <x:row r="275" ht="25" customHeight="1">
      <x:c r="A275" s="3"/>
      <x:c r="B275" s="3"/>
      <x:c r="C275" s="3"/>
      <x:c r="D275" s="25"/>
      <x:c r="E275" s="25"/>
      <x:c r="F275" s="3"/>
      <x:c r="G275" s="3"/>
      <x:c r="H275" s="3"/>
      <x:c r="I275" s="3"/>
      <x:c r="J275" s="3"/>
      <x:c r="K275" s="3"/>
      <x:c r="L275" s="20"/>
      <x:c r="M275" s="3"/>
      <x:c r="N275" s="19" t="str">
        <x:f>IF(A275="","",IF(COUNTIFS('复盘记录'!$A$7:$A$306,A275)&lt;&gt;1,"编号重复",IF(COUNTIFS('问题总览'!$A$7:$A$306,B275)&lt;&gt;1,"问题引用无效",IF(COUNTIFS('方案版本'!$A$7:$A$306,C275,'方案版本'!$B$7:$B$306,B275,'方案版本'!$L$7:$L$306,"已冻结")&lt;&gt;1,"方案引用无效",IF(OR(NOT(ISNUMBER(D275)),NOT(ISNUMBER(E275)),F275="",G275="",H275="",M275=""),"待补复盘信息",IF(COUNTIFS('更新日志'!$A$7:$A$306,J275,'更新日志'!$B$7:$B$306,B275,'更新日志'!$C$7:$C$306,A275)&lt;&gt;1,"待登记更新单","有效输入"))))))</x:f>
      </x:c>
    </x:row>
    <x:row r="276" ht="25" customHeight="1">
      <x:c r="A276" s="3"/>
      <x:c r="B276" s="3"/>
      <x:c r="C276" s="3"/>
      <x:c r="D276" s="25"/>
      <x:c r="E276" s="25"/>
      <x:c r="F276" s="3"/>
      <x:c r="G276" s="3"/>
      <x:c r="H276" s="3"/>
      <x:c r="I276" s="3"/>
      <x:c r="J276" s="3"/>
      <x:c r="K276" s="3"/>
      <x:c r="L276" s="20"/>
      <x:c r="M276" s="3"/>
      <x:c r="N276" s="19" t="str">
        <x:f>IF(A276="","",IF(COUNTIFS('复盘记录'!$A$7:$A$306,A276)&lt;&gt;1,"编号重复",IF(COUNTIFS('问题总览'!$A$7:$A$306,B276)&lt;&gt;1,"问题引用无效",IF(COUNTIFS('方案版本'!$A$7:$A$306,C276,'方案版本'!$B$7:$B$306,B276,'方案版本'!$L$7:$L$306,"已冻结")&lt;&gt;1,"方案引用无效",IF(OR(NOT(ISNUMBER(D276)),NOT(ISNUMBER(E276)),F276="",G276="",H276="",M276=""),"待补复盘信息",IF(COUNTIFS('更新日志'!$A$7:$A$306,J276,'更新日志'!$B$7:$B$306,B276,'更新日志'!$C$7:$C$306,A276)&lt;&gt;1,"待登记更新单","有效输入"))))))</x:f>
      </x:c>
    </x:row>
    <x:row r="277" ht="25" customHeight="1">
      <x:c r="A277" s="3"/>
      <x:c r="B277" s="3"/>
      <x:c r="C277" s="3"/>
      <x:c r="D277" s="25"/>
      <x:c r="E277" s="25"/>
      <x:c r="F277" s="3"/>
      <x:c r="G277" s="3"/>
      <x:c r="H277" s="3"/>
      <x:c r="I277" s="3"/>
      <x:c r="J277" s="3"/>
      <x:c r="K277" s="3"/>
      <x:c r="L277" s="20"/>
      <x:c r="M277" s="3"/>
      <x:c r="N277" s="19" t="str">
        <x:f>IF(A277="","",IF(COUNTIFS('复盘记录'!$A$7:$A$306,A277)&lt;&gt;1,"编号重复",IF(COUNTIFS('问题总览'!$A$7:$A$306,B277)&lt;&gt;1,"问题引用无效",IF(COUNTIFS('方案版本'!$A$7:$A$306,C277,'方案版本'!$B$7:$B$306,B277,'方案版本'!$L$7:$L$306,"已冻结")&lt;&gt;1,"方案引用无效",IF(OR(NOT(ISNUMBER(D277)),NOT(ISNUMBER(E277)),F277="",G277="",H277="",M277=""),"待补复盘信息",IF(COUNTIFS('更新日志'!$A$7:$A$306,J277,'更新日志'!$B$7:$B$306,B277,'更新日志'!$C$7:$C$306,A277)&lt;&gt;1,"待登记更新单","有效输入"))))))</x:f>
      </x:c>
    </x:row>
    <x:row r="278" ht="25" customHeight="1">
      <x:c r="A278" s="3"/>
      <x:c r="B278" s="3"/>
      <x:c r="C278" s="3"/>
      <x:c r="D278" s="25"/>
      <x:c r="E278" s="25"/>
      <x:c r="F278" s="3"/>
      <x:c r="G278" s="3"/>
      <x:c r="H278" s="3"/>
      <x:c r="I278" s="3"/>
      <x:c r="J278" s="3"/>
      <x:c r="K278" s="3"/>
      <x:c r="L278" s="20"/>
      <x:c r="M278" s="3"/>
      <x:c r="N278" s="19" t="str">
        <x:f>IF(A278="","",IF(COUNTIFS('复盘记录'!$A$7:$A$306,A278)&lt;&gt;1,"编号重复",IF(COUNTIFS('问题总览'!$A$7:$A$306,B278)&lt;&gt;1,"问题引用无效",IF(COUNTIFS('方案版本'!$A$7:$A$306,C278,'方案版本'!$B$7:$B$306,B278,'方案版本'!$L$7:$L$306,"已冻结")&lt;&gt;1,"方案引用无效",IF(OR(NOT(ISNUMBER(D278)),NOT(ISNUMBER(E278)),F278="",G278="",H278="",M278=""),"待补复盘信息",IF(COUNTIFS('更新日志'!$A$7:$A$306,J278,'更新日志'!$B$7:$B$306,B278,'更新日志'!$C$7:$C$306,A278)&lt;&gt;1,"待登记更新单","有效输入"))))))</x:f>
      </x:c>
    </x:row>
    <x:row r="279" ht="25" customHeight="1">
      <x:c r="A279" s="3"/>
      <x:c r="B279" s="3"/>
      <x:c r="C279" s="3"/>
      <x:c r="D279" s="25"/>
      <x:c r="E279" s="25"/>
      <x:c r="F279" s="3"/>
      <x:c r="G279" s="3"/>
      <x:c r="H279" s="3"/>
      <x:c r="I279" s="3"/>
      <x:c r="J279" s="3"/>
      <x:c r="K279" s="3"/>
      <x:c r="L279" s="20"/>
      <x:c r="M279" s="3"/>
      <x:c r="N279" s="19" t="str">
        <x:f>IF(A279="","",IF(COUNTIFS('复盘记录'!$A$7:$A$306,A279)&lt;&gt;1,"编号重复",IF(COUNTIFS('问题总览'!$A$7:$A$306,B279)&lt;&gt;1,"问题引用无效",IF(COUNTIFS('方案版本'!$A$7:$A$306,C279,'方案版本'!$B$7:$B$306,B279,'方案版本'!$L$7:$L$306,"已冻结")&lt;&gt;1,"方案引用无效",IF(OR(NOT(ISNUMBER(D279)),NOT(ISNUMBER(E279)),F279="",G279="",H279="",M279=""),"待补复盘信息",IF(COUNTIFS('更新日志'!$A$7:$A$306,J279,'更新日志'!$B$7:$B$306,B279,'更新日志'!$C$7:$C$306,A279)&lt;&gt;1,"待登记更新单","有效输入"))))))</x:f>
      </x:c>
    </x:row>
    <x:row r="280" ht="25" customHeight="1">
      <x:c r="A280" s="3"/>
      <x:c r="B280" s="3"/>
      <x:c r="C280" s="3"/>
      <x:c r="D280" s="25"/>
      <x:c r="E280" s="25"/>
      <x:c r="F280" s="3"/>
      <x:c r="G280" s="3"/>
      <x:c r="H280" s="3"/>
      <x:c r="I280" s="3"/>
      <x:c r="J280" s="3"/>
      <x:c r="K280" s="3"/>
      <x:c r="L280" s="20"/>
      <x:c r="M280" s="3"/>
      <x:c r="N280" s="19" t="str">
        <x:f>IF(A280="","",IF(COUNTIFS('复盘记录'!$A$7:$A$306,A280)&lt;&gt;1,"编号重复",IF(COUNTIFS('问题总览'!$A$7:$A$306,B280)&lt;&gt;1,"问题引用无效",IF(COUNTIFS('方案版本'!$A$7:$A$306,C280,'方案版本'!$B$7:$B$306,B280,'方案版本'!$L$7:$L$306,"已冻结")&lt;&gt;1,"方案引用无效",IF(OR(NOT(ISNUMBER(D280)),NOT(ISNUMBER(E280)),F280="",G280="",H280="",M280=""),"待补复盘信息",IF(COUNTIFS('更新日志'!$A$7:$A$306,J280,'更新日志'!$B$7:$B$306,B280,'更新日志'!$C$7:$C$306,A280)&lt;&gt;1,"待登记更新单","有效输入"))))))</x:f>
      </x:c>
    </x:row>
    <x:row r="281" ht="25" customHeight="1">
      <x:c r="A281" s="3"/>
      <x:c r="B281" s="3"/>
      <x:c r="C281" s="3"/>
      <x:c r="D281" s="25"/>
      <x:c r="E281" s="25"/>
      <x:c r="F281" s="3"/>
      <x:c r="G281" s="3"/>
      <x:c r="H281" s="3"/>
      <x:c r="I281" s="3"/>
      <x:c r="J281" s="3"/>
      <x:c r="K281" s="3"/>
      <x:c r="L281" s="20"/>
      <x:c r="M281" s="3"/>
      <x:c r="N281" s="19" t="str">
        <x:f>IF(A281="","",IF(COUNTIFS('复盘记录'!$A$7:$A$306,A281)&lt;&gt;1,"编号重复",IF(COUNTIFS('问题总览'!$A$7:$A$306,B281)&lt;&gt;1,"问题引用无效",IF(COUNTIFS('方案版本'!$A$7:$A$306,C281,'方案版本'!$B$7:$B$306,B281,'方案版本'!$L$7:$L$306,"已冻结")&lt;&gt;1,"方案引用无效",IF(OR(NOT(ISNUMBER(D281)),NOT(ISNUMBER(E281)),F281="",G281="",H281="",M281=""),"待补复盘信息",IF(COUNTIFS('更新日志'!$A$7:$A$306,J281,'更新日志'!$B$7:$B$306,B281,'更新日志'!$C$7:$C$306,A281)&lt;&gt;1,"待登记更新单","有效输入"))))))</x:f>
      </x:c>
    </x:row>
    <x:row r="282" ht="25" customHeight="1">
      <x:c r="A282" s="3"/>
      <x:c r="B282" s="3"/>
      <x:c r="C282" s="3"/>
      <x:c r="D282" s="25"/>
      <x:c r="E282" s="25"/>
      <x:c r="F282" s="3"/>
      <x:c r="G282" s="3"/>
      <x:c r="H282" s="3"/>
      <x:c r="I282" s="3"/>
      <x:c r="J282" s="3"/>
      <x:c r="K282" s="3"/>
      <x:c r="L282" s="20"/>
      <x:c r="M282" s="3"/>
      <x:c r="N282" s="19" t="str">
        <x:f>IF(A282="","",IF(COUNTIFS('复盘记录'!$A$7:$A$306,A282)&lt;&gt;1,"编号重复",IF(COUNTIFS('问题总览'!$A$7:$A$306,B282)&lt;&gt;1,"问题引用无效",IF(COUNTIFS('方案版本'!$A$7:$A$306,C282,'方案版本'!$B$7:$B$306,B282,'方案版本'!$L$7:$L$306,"已冻结")&lt;&gt;1,"方案引用无效",IF(OR(NOT(ISNUMBER(D282)),NOT(ISNUMBER(E282)),F282="",G282="",H282="",M282=""),"待补复盘信息",IF(COUNTIFS('更新日志'!$A$7:$A$306,J282,'更新日志'!$B$7:$B$306,B282,'更新日志'!$C$7:$C$306,A282)&lt;&gt;1,"待登记更新单","有效输入"))))))</x:f>
      </x:c>
    </x:row>
    <x:row r="283" ht="25" customHeight="1">
      <x:c r="A283" s="3"/>
      <x:c r="B283" s="3"/>
      <x:c r="C283" s="3"/>
      <x:c r="D283" s="25"/>
      <x:c r="E283" s="25"/>
      <x:c r="F283" s="3"/>
      <x:c r="G283" s="3"/>
      <x:c r="H283" s="3"/>
      <x:c r="I283" s="3"/>
      <x:c r="J283" s="3"/>
      <x:c r="K283" s="3"/>
      <x:c r="L283" s="20"/>
      <x:c r="M283" s="3"/>
      <x:c r="N283" s="19" t="str">
        <x:f>IF(A283="","",IF(COUNTIFS('复盘记录'!$A$7:$A$306,A283)&lt;&gt;1,"编号重复",IF(COUNTIFS('问题总览'!$A$7:$A$306,B283)&lt;&gt;1,"问题引用无效",IF(COUNTIFS('方案版本'!$A$7:$A$306,C283,'方案版本'!$B$7:$B$306,B283,'方案版本'!$L$7:$L$306,"已冻结")&lt;&gt;1,"方案引用无效",IF(OR(NOT(ISNUMBER(D283)),NOT(ISNUMBER(E283)),F283="",G283="",H283="",M283=""),"待补复盘信息",IF(COUNTIFS('更新日志'!$A$7:$A$306,J283,'更新日志'!$B$7:$B$306,B283,'更新日志'!$C$7:$C$306,A283)&lt;&gt;1,"待登记更新单","有效输入"))))))</x:f>
      </x:c>
    </x:row>
    <x:row r="284" ht="25" customHeight="1">
      <x:c r="A284" s="3"/>
      <x:c r="B284" s="3"/>
      <x:c r="C284" s="3"/>
      <x:c r="D284" s="25"/>
      <x:c r="E284" s="25"/>
      <x:c r="F284" s="3"/>
      <x:c r="G284" s="3"/>
      <x:c r="H284" s="3"/>
      <x:c r="I284" s="3"/>
      <x:c r="J284" s="3"/>
      <x:c r="K284" s="3"/>
      <x:c r="L284" s="20"/>
      <x:c r="M284" s="3"/>
      <x:c r="N284" s="19" t="str">
        <x:f>IF(A284="","",IF(COUNTIFS('复盘记录'!$A$7:$A$306,A284)&lt;&gt;1,"编号重复",IF(COUNTIFS('问题总览'!$A$7:$A$306,B284)&lt;&gt;1,"问题引用无效",IF(COUNTIFS('方案版本'!$A$7:$A$306,C284,'方案版本'!$B$7:$B$306,B284,'方案版本'!$L$7:$L$306,"已冻结")&lt;&gt;1,"方案引用无效",IF(OR(NOT(ISNUMBER(D284)),NOT(ISNUMBER(E284)),F284="",G284="",H284="",M284=""),"待补复盘信息",IF(COUNTIFS('更新日志'!$A$7:$A$306,J284,'更新日志'!$B$7:$B$306,B284,'更新日志'!$C$7:$C$306,A284)&lt;&gt;1,"待登记更新单","有效输入"))))))</x:f>
      </x:c>
    </x:row>
    <x:row r="285" ht="25" customHeight="1">
      <x:c r="A285" s="3"/>
      <x:c r="B285" s="3"/>
      <x:c r="C285" s="3"/>
      <x:c r="D285" s="25"/>
      <x:c r="E285" s="25"/>
      <x:c r="F285" s="3"/>
      <x:c r="G285" s="3"/>
      <x:c r="H285" s="3"/>
      <x:c r="I285" s="3"/>
      <x:c r="J285" s="3"/>
      <x:c r="K285" s="3"/>
      <x:c r="L285" s="20"/>
      <x:c r="M285" s="3"/>
      <x:c r="N285" s="19" t="str">
        <x:f>IF(A285="","",IF(COUNTIFS('复盘记录'!$A$7:$A$306,A285)&lt;&gt;1,"编号重复",IF(COUNTIFS('问题总览'!$A$7:$A$306,B285)&lt;&gt;1,"问题引用无效",IF(COUNTIFS('方案版本'!$A$7:$A$306,C285,'方案版本'!$B$7:$B$306,B285,'方案版本'!$L$7:$L$306,"已冻结")&lt;&gt;1,"方案引用无效",IF(OR(NOT(ISNUMBER(D285)),NOT(ISNUMBER(E285)),F285="",G285="",H285="",M285=""),"待补复盘信息",IF(COUNTIFS('更新日志'!$A$7:$A$306,J285,'更新日志'!$B$7:$B$306,B285,'更新日志'!$C$7:$C$306,A285)&lt;&gt;1,"待登记更新单","有效输入"))))))</x:f>
      </x:c>
    </x:row>
    <x:row r="286" ht="25" customHeight="1">
      <x:c r="A286" s="3"/>
      <x:c r="B286" s="3"/>
      <x:c r="C286" s="3"/>
      <x:c r="D286" s="25"/>
      <x:c r="E286" s="25"/>
      <x:c r="F286" s="3"/>
      <x:c r="G286" s="3"/>
      <x:c r="H286" s="3"/>
      <x:c r="I286" s="3"/>
      <x:c r="J286" s="3"/>
      <x:c r="K286" s="3"/>
      <x:c r="L286" s="20"/>
      <x:c r="M286" s="3"/>
      <x:c r="N286" s="19" t="str">
        <x:f>IF(A286="","",IF(COUNTIFS('复盘记录'!$A$7:$A$306,A286)&lt;&gt;1,"编号重复",IF(COUNTIFS('问题总览'!$A$7:$A$306,B286)&lt;&gt;1,"问题引用无效",IF(COUNTIFS('方案版本'!$A$7:$A$306,C286,'方案版本'!$B$7:$B$306,B286,'方案版本'!$L$7:$L$306,"已冻结")&lt;&gt;1,"方案引用无效",IF(OR(NOT(ISNUMBER(D286)),NOT(ISNUMBER(E286)),F286="",G286="",H286="",M286=""),"待补复盘信息",IF(COUNTIFS('更新日志'!$A$7:$A$306,J286,'更新日志'!$B$7:$B$306,B286,'更新日志'!$C$7:$C$306,A286)&lt;&gt;1,"待登记更新单","有效输入"))))))</x:f>
      </x:c>
    </x:row>
    <x:row r="287" ht="25" customHeight="1">
      <x:c r="A287" s="3"/>
      <x:c r="B287" s="3"/>
      <x:c r="C287" s="3"/>
      <x:c r="D287" s="25"/>
      <x:c r="E287" s="25"/>
      <x:c r="F287" s="3"/>
      <x:c r="G287" s="3"/>
      <x:c r="H287" s="3"/>
      <x:c r="I287" s="3"/>
      <x:c r="J287" s="3"/>
      <x:c r="K287" s="3"/>
      <x:c r="L287" s="20"/>
      <x:c r="M287" s="3"/>
      <x:c r="N287" s="19" t="str">
        <x:f>IF(A287="","",IF(COUNTIFS('复盘记录'!$A$7:$A$306,A287)&lt;&gt;1,"编号重复",IF(COUNTIFS('问题总览'!$A$7:$A$306,B287)&lt;&gt;1,"问题引用无效",IF(COUNTIFS('方案版本'!$A$7:$A$306,C287,'方案版本'!$B$7:$B$306,B287,'方案版本'!$L$7:$L$306,"已冻结")&lt;&gt;1,"方案引用无效",IF(OR(NOT(ISNUMBER(D287)),NOT(ISNUMBER(E287)),F287="",G287="",H287="",M287=""),"待补复盘信息",IF(COUNTIFS('更新日志'!$A$7:$A$306,J287,'更新日志'!$B$7:$B$306,B287,'更新日志'!$C$7:$C$306,A287)&lt;&gt;1,"待登记更新单","有效输入"))))))</x:f>
      </x:c>
    </x:row>
    <x:row r="288" ht="25" customHeight="1">
      <x:c r="A288" s="3"/>
      <x:c r="B288" s="3"/>
      <x:c r="C288" s="3"/>
      <x:c r="D288" s="25"/>
      <x:c r="E288" s="25"/>
      <x:c r="F288" s="3"/>
      <x:c r="G288" s="3"/>
      <x:c r="H288" s="3"/>
      <x:c r="I288" s="3"/>
      <x:c r="J288" s="3"/>
      <x:c r="K288" s="3"/>
      <x:c r="L288" s="20"/>
      <x:c r="M288" s="3"/>
      <x:c r="N288" s="19" t="str">
        <x:f>IF(A288="","",IF(COUNTIFS('复盘记录'!$A$7:$A$306,A288)&lt;&gt;1,"编号重复",IF(COUNTIFS('问题总览'!$A$7:$A$306,B288)&lt;&gt;1,"问题引用无效",IF(COUNTIFS('方案版本'!$A$7:$A$306,C288,'方案版本'!$B$7:$B$306,B288,'方案版本'!$L$7:$L$306,"已冻结")&lt;&gt;1,"方案引用无效",IF(OR(NOT(ISNUMBER(D288)),NOT(ISNUMBER(E288)),F288="",G288="",H288="",M288=""),"待补复盘信息",IF(COUNTIFS('更新日志'!$A$7:$A$306,J288,'更新日志'!$B$7:$B$306,B288,'更新日志'!$C$7:$C$306,A288)&lt;&gt;1,"待登记更新单","有效输入"))))))</x:f>
      </x:c>
    </x:row>
    <x:row r="289" ht="25" customHeight="1">
      <x:c r="A289" s="3"/>
      <x:c r="B289" s="3"/>
      <x:c r="C289" s="3"/>
      <x:c r="D289" s="25"/>
      <x:c r="E289" s="25"/>
      <x:c r="F289" s="3"/>
      <x:c r="G289" s="3"/>
      <x:c r="H289" s="3"/>
      <x:c r="I289" s="3"/>
      <x:c r="J289" s="3"/>
      <x:c r="K289" s="3"/>
      <x:c r="L289" s="20"/>
      <x:c r="M289" s="3"/>
      <x:c r="N289" s="19" t="str">
        <x:f>IF(A289="","",IF(COUNTIFS('复盘记录'!$A$7:$A$306,A289)&lt;&gt;1,"编号重复",IF(COUNTIFS('问题总览'!$A$7:$A$306,B289)&lt;&gt;1,"问题引用无效",IF(COUNTIFS('方案版本'!$A$7:$A$306,C289,'方案版本'!$B$7:$B$306,B289,'方案版本'!$L$7:$L$306,"已冻结")&lt;&gt;1,"方案引用无效",IF(OR(NOT(ISNUMBER(D289)),NOT(ISNUMBER(E289)),F289="",G289="",H289="",M289=""),"待补复盘信息",IF(COUNTIFS('更新日志'!$A$7:$A$306,J289,'更新日志'!$B$7:$B$306,B289,'更新日志'!$C$7:$C$306,A289)&lt;&gt;1,"待登记更新单","有效输入"))))))</x:f>
      </x:c>
    </x:row>
    <x:row r="290" ht="25" customHeight="1">
      <x:c r="A290" s="3"/>
      <x:c r="B290" s="3"/>
      <x:c r="C290" s="3"/>
      <x:c r="D290" s="25"/>
      <x:c r="E290" s="25"/>
      <x:c r="F290" s="3"/>
      <x:c r="G290" s="3"/>
      <x:c r="H290" s="3"/>
      <x:c r="I290" s="3"/>
      <x:c r="J290" s="3"/>
      <x:c r="K290" s="3"/>
      <x:c r="L290" s="20"/>
      <x:c r="M290" s="3"/>
      <x:c r="N290" s="19" t="str">
        <x:f>IF(A290="","",IF(COUNTIFS('复盘记录'!$A$7:$A$306,A290)&lt;&gt;1,"编号重复",IF(COUNTIFS('问题总览'!$A$7:$A$306,B290)&lt;&gt;1,"问题引用无效",IF(COUNTIFS('方案版本'!$A$7:$A$306,C290,'方案版本'!$B$7:$B$306,B290,'方案版本'!$L$7:$L$306,"已冻结")&lt;&gt;1,"方案引用无效",IF(OR(NOT(ISNUMBER(D290)),NOT(ISNUMBER(E290)),F290="",G290="",H290="",M290=""),"待补复盘信息",IF(COUNTIFS('更新日志'!$A$7:$A$306,J290,'更新日志'!$B$7:$B$306,B290,'更新日志'!$C$7:$C$306,A290)&lt;&gt;1,"待登记更新单","有效输入"))))))</x:f>
      </x:c>
    </x:row>
    <x:row r="291" ht="25" customHeight="1">
      <x:c r="A291" s="3"/>
      <x:c r="B291" s="3"/>
      <x:c r="C291" s="3"/>
      <x:c r="D291" s="25"/>
      <x:c r="E291" s="25"/>
      <x:c r="F291" s="3"/>
      <x:c r="G291" s="3"/>
      <x:c r="H291" s="3"/>
      <x:c r="I291" s="3"/>
      <x:c r="J291" s="3"/>
      <x:c r="K291" s="3"/>
      <x:c r="L291" s="20"/>
      <x:c r="M291" s="3"/>
      <x:c r="N291" s="19" t="str">
        <x:f>IF(A291="","",IF(COUNTIFS('复盘记录'!$A$7:$A$306,A291)&lt;&gt;1,"编号重复",IF(COUNTIFS('问题总览'!$A$7:$A$306,B291)&lt;&gt;1,"问题引用无效",IF(COUNTIFS('方案版本'!$A$7:$A$306,C291,'方案版本'!$B$7:$B$306,B291,'方案版本'!$L$7:$L$306,"已冻结")&lt;&gt;1,"方案引用无效",IF(OR(NOT(ISNUMBER(D291)),NOT(ISNUMBER(E291)),F291="",G291="",H291="",M291=""),"待补复盘信息",IF(COUNTIFS('更新日志'!$A$7:$A$306,J291,'更新日志'!$B$7:$B$306,B291,'更新日志'!$C$7:$C$306,A291)&lt;&gt;1,"待登记更新单","有效输入"))))))</x:f>
      </x:c>
    </x:row>
    <x:row r="292" ht="25" customHeight="1">
      <x:c r="A292" s="3"/>
      <x:c r="B292" s="3"/>
      <x:c r="C292" s="3"/>
      <x:c r="D292" s="25"/>
      <x:c r="E292" s="25"/>
      <x:c r="F292" s="3"/>
      <x:c r="G292" s="3"/>
      <x:c r="H292" s="3"/>
      <x:c r="I292" s="3"/>
      <x:c r="J292" s="3"/>
      <x:c r="K292" s="3"/>
      <x:c r="L292" s="20"/>
      <x:c r="M292" s="3"/>
      <x:c r="N292" s="19" t="str">
        <x:f>IF(A292="","",IF(COUNTIFS('复盘记录'!$A$7:$A$306,A292)&lt;&gt;1,"编号重复",IF(COUNTIFS('问题总览'!$A$7:$A$306,B292)&lt;&gt;1,"问题引用无效",IF(COUNTIFS('方案版本'!$A$7:$A$306,C292,'方案版本'!$B$7:$B$306,B292,'方案版本'!$L$7:$L$306,"已冻结")&lt;&gt;1,"方案引用无效",IF(OR(NOT(ISNUMBER(D292)),NOT(ISNUMBER(E292)),F292="",G292="",H292="",M292=""),"待补复盘信息",IF(COUNTIFS('更新日志'!$A$7:$A$306,J292,'更新日志'!$B$7:$B$306,B292,'更新日志'!$C$7:$C$306,A292)&lt;&gt;1,"待登记更新单","有效输入"))))))</x:f>
      </x:c>
    </x:row>
    <x:row r="293" ht="25" customHeight="1">
      <x:c r="A293" s="3"/>
      <x:c r="B293" s="3"/>
      <x:c r="C293" s="3"/>
      <x:c r="D293" s="25"/>
      <x:c r="E293" s="25"/>
      <x:c r="F293" s="3"/>
      <x:c r="G293" s="3"/>
      <x:c r="H293" s="3"/>
      <x:c r="I293" s="3"/>
      <x:c r="J293" s="3"/>
      <x:c r="K293" s="3"/>
      <x:c r="L293" s="20"/>
      <x:c r="M293" s="3"/>
      <x:c r="N293" s="19" t="str">
        <x:f>IF(A293="","",IF(COUNTIFS('复盘记录'!$A$7:$A$306,A293)&lt;&gt;1,"编号重复",IF(COUNTIFS('问题总览'!$A$7:$A$306,B293)&lt;&gt;1,"问题引用无效",IF(COUNTIFS('方案版本'!$A$7:$A$306,C293,'方案版本'!$B$7:$B$306,B293,'方案版本'!$L$7:$L$306,"已冻结")&lt;&gt;1,"方案引用无效",IF(OR(NOT(ISNUMBER(D293)),NOT(ISNUMBER(E293)),F293="",G293="",H293="",M293=""),"待补复盘信息",IF(COUNTIFS('更新日志'!$A$7:$A$306,J293,'更新日志'!$B$7:$B$306,B293,'更新日志'!$C$7:$C$306,A293)&lt;&gt;1,"待登记更新单","有效输入"))))))</x:f>
      </x:c>
    </x:row>
    <x:row r="294" ht="25" customHeight="1">
      <x:c r="A294" s="3"/>
      <x:c r="B294" s="3"/>
      <x:c r="C294" s="3"/>
      <x:c r="D294" s="25"/>
      <x:c r="E294" s="25"/>
      <x:c r="F294" s="3"/>
      <x:c r="G294" s="3"/>
      <x:c r="H294" s="3"/>
      <x:c r="I294" s="3"/>
      <x:c r="J294" s="3"/>
      <x:c r="K294" s="3"/>
      <x:c r="L294" s="20"/>
      <x:c r="M294" s="3"/>
      <x:c r="N294" s="19" t="str">
        <x:f>IF(A294="","",IF(COUNTIFS('复盘记录'!$A$7:$A$306,A294)&lt;&gt;1,"编号重复",IF(COUNTIFS('问题总览'!$A$7:$A$306,B294)&lt;&gt;1,"问题引用无效",IF(COUNTIFS('方案版本'!$A$7:$A$306,C294,'方案版本'!$B$7:$B$306,B294,'方案版本'!$L$7:$L$306,"已冻结")&lt;&gt;1,"方案引用无效",IF(OR(NOT(ISNUMBER(D294)),NOT(ISNUMBER(E294)),F294="",G294="",H294="",M294=""),"待补复盘信息",IF(COUNTIFS('更新日志'!$A$7:$A$306,J294,'更新日志'!$B$7:$B$306,B294,'更新日志'!$C$7:$C$306,A294)&lt;&gt;1,"待登记更新单","有效输入"))))))</x:f>
      </x:c>
    </x:row>
    <x:row r="295" ht="25" customHeight="1">
      <x:c r="A295" s="3"/>
      <x:c r="B295" s="3"/>
      <x:c r="C295" s="3"/>
      <x:c r="D295" s="25"/>
      <x:c r="E295" s="25"/>
      <x:c r="F295" s="3"/>
      <x:c r="G295" s="3"/>
      <x:c r="H295" s="3"/>
      <x:c r="I295" s="3"/>
      <x:c r="J295" s="3"/>
      <x:c r="K295" s="3"/>
      <x:c r="L295" s="20"/>
      <x:c r="M295" s="3"/>
      <x:c r="N295" s="19" t="str">
        <x:f>IF(A295="","",IF(COUNTIFS('复盘记录'!$A$7:$A$306,A295)&lt;&gt;1,"编号重复",IF(COUNTIFS('问题总览'!$A$7:$A$306,B295)&lt;&gt;1,"问题引用无效",IF(COUNTIFS('方案版本'!$A$7:$A$306,C295,'方案版本'!$B$7:$B$306,B295,'方案版本'!$L$7:$L$306,"已冻结")&lt;&gt;1,"方案引用无效",IF(OR(NOT(ISNUMBER(D295)),NOT(ISNUMBER(E295)),F295="",G295="",H295="",M295=""),"待补复盘信息",IF(COUNTIFS('更新日志'!$A$7:$A$306,J295,'更新日志'!$B$7:$B$306,B295,'更新日志'!$C$7:$C$306,A295)&lt;&gt;1,"待登记更新单","有效输入"))))))</x:f>
      </x:c>
    </x:row>
    <x:row r="296" ht="25" customHeight="1">
      <x:c r="A296" s="3"/>
      <x:c r="B296" s="3"/>
      <x:c r="C296" s="3"/>
      <x:c r="D296" s="25"/>
      <x:c r="E296" s="25"/>
      <x:c r="F296" s="3"/>
      <x:c r="G296" s="3"/>
      <x:c r="H296" s="3"/>
      <x:c r="I296" s="3"/>
      <x:c r="J296" s="3"/>
      <x:c r="K296" s="3"/>
      <x:c r="L296" s="20"/>
      <x:c r="M296" s="3"/>
      <x:c r="N296" s="19" t="str">
        <x:f>IF(A296="","",IF(COUNTIFS('复盘记录'!$A$7:$A$306,A296)&lt;&gt;1,"编号重复",IF(COUNTIFS('问题总览'!$A$7:$A$306,B296)&lt;&gt;1,"问题引用无效",IF(COUNTIFS('方案版本'!$A$7:$A$306,C296,'方案版本'!$B$7:$B$306,B296,'方案版本'!$L$7:$L$306,"已冻结")&lt;&gt;1,"方案引用无效",IF(OR(NOT(ISNUMBER(D296)),NOT(ISNUMBER(E296)),F296="",G296="",H296="",M296=""),"待补复盘信息",IF(COUNTIFS('更新日志'!$A$7:$A$306,J296,'更新日志'!$B$7:$B$306,B296,'更新日志'!$C$7:$C$306,A296)&lt;&gt;1,"待登记更新单","有效输入"))))))</x:f>
      </x:c>
    </x:row>
    <x:row r="297" ht="25" customHeight="1">
      <x:c r="A297" s="3"/>
      <x:c r="B297" s="3"/>
      <x:c r="C297" s="3"/>
      <x:c r="D297" s="25"/>
      <x:c r="E297" s="25"/>
      <x:c r="F297" s="3"/>
      <x:c r="G297" s="3"/>
      <x:c r="H297" s="3"/>
      <x:c r="I297" s="3"/>
      <x:c r="J297" s="3"/>
      <x:c r="K297" s="3"/>
      <x:c r="L297" s="20"/>
      <x:c r="M297" s="3"/>
      <x:c r="N297" s="19" t="str">
        <x:f>IF(A297="","",IF(COUNTIFS('复盘记录'!$A$7:$A$306,A297)&lt;&gt;1,"编号重复",IF(COUNTIFS('问题总览'!$A$7:$A$306,B297)&lt;&gt;1,"问题引用无效",IF(COUNTIFS('方案版本'!$A$7:$A$306,C297,'方案版本'!$B$7:$B$306,B297,'方案版本'!$L$7:$L$306,"已冻结")&lt;&gt;1,"方案引用无效",IF(OR(NOT(ISNUMBER(D297)),NOT(ISNUMBER(E297)),F297="",G297="",H297="",M297=""),"待补复盘信息",IF(COUNTIFS('更新日志'!$A$7:$A$306,J297,'更新日志'!$B$7:$B$306,B297,'更新日志'!$C$7:$C$306,A297)&lt;&gt;1,"待登记更新单","有效输入"))))))</x:f>
      </x:c>
    </x:row>
    <x:row r="298" ht="25" customHeight="1">
      <x:c r="A298" s="3"/>
      <x:c r="B298" s="3"/>
      <x:c r="C298" s="3"/>
      <x:c r="D298" s="25"/>
      <x:c r="E298" s="25"/>
      <x:c r="F298" s="3"/>
      <x:c r="G298" s="3"/>
      <x:c r="H298" s="3"/>
      <x:c r="I298" s="3"/>
      <x:c r="J298" s="3"/>
      <x:c r="K298" s="3"/>
      <x:c r="L298" s="20"/>
      <x:c r="M298" s="3"/>
      <x:c r="N298" s="19" t="str">
        <x:f>IF(A298="","",IF(COUNTIFS('复盘记录'!$A$7:$A$306,A298)&lt;&gt;1,"编号重复",IF(COUNTIFS('问题总览'!$A$7:$A$306,B298)&lt;&gt;1,"问题引用无效",IF(COUNTIFS('方案版本'!$A$7:$A$306,C298,'方案版本'!$B$7:$B$306,B298,'方案版本'!$L$7:$L$306,"已冻结")&lt;&gt;1,"方案引用无效",IF(OR(NOT(ISNUMBER(D298)),NOT(ISNUMBER(E298)),F298="",G298="",H298="",M298=""),"待补复盘信息",IF(COUNTIFS('更新日志'!$A$7:$A$306,J298,'更新日志'!$B$7:$B$306,B298,'更新日志'!$C$7:$C$306,A298)&lt;&gt;1,"待登记更新单","有效输入"))))))</x:f>
      </x:c>
    </x:row>
    <x:row r="299" ht="25" customHeight="1">
      <x:c r="A299" s="3"/>
      <x:c r="B299" s="3"/>
      <x:c r="C299" s="3"/>
      <x:c r="D299" s="25"/>
      <x:c r="E299" s="25"/>
      <x:c r="F299" s="3"/>
      <x:c r="G299" s="3"/>
      <x:c r="H299" s="3"/>
      <x:c r="I299" s="3"/>
      <x:c r="J299" s="3"/>
      <x:c r="K299" s="3"/>
      <x:c r="L299" s="20"/>
      <x:c r="M299" s="3"/>
      <x:c r="N299" s="19" t="str">
        <x:f>IF(A299="","",IF(COUNTIFS('复盘记录'!$A$7:$A$306,A299)&lt;&gt;1,"编号重复",IF(COUNTIFS('问题总览'!$A$7:$A$306,B299)&lt;&gt;1,"问题引用无效",IF(COUNTIFS('方案版本'!$A$7:$A$306,C299,'方案版本'!$B$7:$B$306,B299,'方案版本'!$L$7:$L$306,"已冻结")&lt;&gt;1,"方案引用无效",IF(OR(NOT(ISNUMBER(D299)),NOT(ISNUMBER(E299)),F299="",G299="",H299="",M299=""),"待补复盘信息",IF(COUNTIFS('更新日志'!$A$7:$A$306,J299,'更新日志'!$B$7:$B$306,B299,'更新日志'!$C$7:$C$306,A299)&lt;&gt;1,"待登记更新单","有效输入"))))))</x:f>
      </x:c>
    </x:row>
    <x:row r="300" ht="25" customHeight="1">
      <x:c r="A300" s="3"/>
      <x:c r="B300" s="3"/>
      <x:c r="C300" s="3"/>
      <x:c r="D300" s="25"/>
      <x:c r="E300" s="25"/>
      <x:c r="F300" s="3"/>
      <x:c r="G300" s="3"/>
      <x:c r="H300" s="3"/>
      <x:c r="I300" s="3"/>
      <x:c r="J300" s="3"/>
      <x:c r="K300" s="3"/>
      <x:c r="L300" s="20"/>
      <x:c r="M300" s="3"/>
      <x:c r="N300" s="19" t="str">
        <x:f>IF(A300="","",IF(COUNTIFS('复盘记录'!$A$7:$A$306,A300)&lt;&gt;1,"编号重复",IF(COUNTIFS('问题总览'!$A$7:$A$306,B300)&lt;&gt;1,"问题引用无效",IF(COUNTIFS('方案版本'!$A$7:$A$306,C300,'方案版本'!$B$7:$B$306,B300,'方案版本'!$L$7:$L$306,"已冻结")&lt;&gt;1,"方案引用无效",IF(OR(NOT(ISNUMBER(D300)),NOT(ISNUMBER(E300)),F300="",G300="",H300="",M300=""),"待补复盘信息",IF(COUNTIFS('更新日志'!$A$7:$A$306,J300,'更新日志'!$B$7:$B$306,B300,'更新日志'!$C$7:$C$306,A300)&lt;&gt;1,"待登记更新单","有效输入"))))))</x:f>
      </x:c>
    </x:row>
    <x:row r="301" ht="25" customHeight="1">
      <x:c r="A301" s="3"/>
      <x:c r="B301" s="3"/>
      <x:c r="C301" s="3"/>
      <x:c r="D301" s="25"/>
      <x:c r="E301" s="25"/>
      <x:c r="F301" s="3"/>
      <x:c r="G301" s="3"/>
      <x:c r="H301" s="3"/>
      <x:c r="I301" s="3"/>
      <x:c r="J301" s="3"/>
      <x:c r="K301" s="3"/>
      <x:c r="L301" s="20"/>
      <x:c r="M301" s="3"/>
      <x:c r="N301" s="19" t="str">
        <x:f>IF(A301="","",IF(COUNTIFS('复盘记录'!$A$7:$A$306,A301)&lt;&gt;1,"编号重复",IF(COUNTIFS('问题总览'!$A$7:$A$306,B301)&lt;&gt;1,"问题引用无效",IF(COUNTIFS('方案版本'!$A$7:$A$306,C301,'方案版本'!$B$7:$B$306,B301,'方案版本'!$L$7:$L$306,"已冻结")&lt;&gt;1,"方案引用无效",IF(OR(NOT(ISNUMBER(D301)),NOT(ISNUMBER(E301)),F301="",G301="",H301="",M301=""),"待补复盘信息",IF(COUNTIFS('更新日志'!$A$7:$A$306,J301,'更新日志'!$B$7:$B$306,B301,'更新日志'!$C$7:$C$306,A301)&lt;&gt;1,"待登记更新单","有效输入"))))))</x:f>
      </x:c>
    </x:row>
    <x:row r="302" ht="25" customHeight="1">
      <x:c r="A302" s="3"/>
      <x:c r="B302" s="3"/>
      <x:c r="C302" s="3"/>
      <x:c r="D302" s="25"/>
      <x:c r="E302" s="25"/>
      <x:c r="F302" s="3"/>
      <x:c r="G302" s="3"/>
      <x:c r="H302" s="3"/>
      <x:c r="I302" s="3"/>
      <x:c r="J302" s="3"/>
      <x:c r="K302" s="3"/>
      <x:c r="L302" s="20"/>
      <x:c r="M302" s="3"/>
      <x:c r="N302" s="19" t="str">
        <x:f>IF(A302="","",IF(COUNTIFS('复盘记录'!$A$7:$A$306,A302)&lt;&gt;1,"编号重复",IF(COUNTIFS('问题总览'!$A$7:$A$306,B302)&lt;&gt;1,"问题引用无效",IF(COUNTIFS('方案版本'!$A$7:$A$306,C302,'方案版本'!$B$7:$B$306,B302,'方案版本'!$L$7:$L$306,"已冻结")&lt;&gt;1,"方案引用无效",IF(OR(NOT(ISNUMBER(D302)),NOT(ISNUMBER(E302)),F302="",G302="",H302="",M302=""),"待补复盘信息",IF(COUNTIFS('更新日志'!$A$7:$A$306,J302,'更新日志'!$B$7:$B$306,B302,'更新日志'!$C$7:$C$306,A302)&lt;&gt;1,"待登记更新单","有效输入"))))))</x:f>
      </x:c>
    </x:row>
    <x:row r="303" ht="25" customHeight="1">
      <x:c r="A303" s="3"/>
      <x:c r="B303" s="3"/>
      <x:c r="C303" s="3"/>
      <x:c r="D303" s="25"/>
      <x:c r="E303" s="25"/>
      <x:c r="F303" s="3"/>
      <x:c r="G303" s="3"/>
      <x:c r="H303" s="3"/>
      <x:c r="I303" s="3"/>
      <x:c r="J303" s="3"/>
      <x:c r="K303" s="3"/>
      <x:c r="L303" s="20"/>
      <x:c r="M303" s="3"/>
      <x:c r="N303" s="19" t="str">
        <x:f>IF(A303="","",IF(COUNTIFS('复盘记录'!$A$7:$A$306,A303)&lt;&gt;1,"编号重复",IF(COUNTIFS('问题总览'!$A$7:$A$306,B303)&lt;&gt;1,"问题引用无效",IF(COUNTIFS('方案版本'!$A$7:$A$306,C303,'方案版本'!$B$7:$B$306,B303,'方案版本'!$L$7:$L$306,"已冻结")&lt;&gt;1,"方案引用无效",IF(OR(NOT(ISNUMBER(D303)),NOT(ISNUMBER(E303)),F303="",G303="",H303="",M303=""),"待补复盘信息",IF(COUNTIFS('更新日志'!$A$7:$A$306,J303,'更新日志'!$B$7:$B$306,B303,'更新日志'!$C$7:$C$306,A303)&lt;&gt;1,"待登记更新单","有效输入"))))))</x:f>
      </x:c>
    </x:row>
    <x:row r="304" ht="25" customHeight="1">
      <x:c r="A304" s="3"/>
      <x:c r="B304" s="3"/>
      <x:c r="C304" s="3"/>
      <x:c r="D304" s="25"/>
      <x:c r="E304" s="25"/>
      <x:c r="F304" s="3"/>
      <x:c r="G304" s="3"/>
      <x:c r="H304" s="3"/>
      <x:c r="I304" s="3"/>
      <x:c r="J304" s="3"/>
      <x:c r="K304" s="3"/>
      <x:c r="L304" s="20"/>
      <x:c r="M304" s="3"/>
      <x:c r="N304" s="19" t="str">
        <x:f>IF(A304="","",IF(COUNTIFS('复盘记录'!$A$7:$A$306,A304)&lt;&gt;1,"编号重复",IF(COUNTIFS('问题总览'!$A$7:$A$306,B304)&lt;&gt;1,"问题引用无效",IF(COUNTIFS('方案版本'!$A$7:$A$306,C304,'方案版本'!$B$7:$B$306,B304,'方案版本'!$L$7:$L$306,"已冻结")&lt;&gt;1,"方案引用无效",IF(OR(NOT(ISNUMBER(D304)),NOT(ISNUMBER(E304)),F304="",G304="",H304="",M304=""),"待补复盘信息",IF(COUNTIFS('更新日志'!$A$7:$A$306,J304,'更新日志'!$B$7:$B$306,B304,'更新日志'!$C$7:$C$306,A304)&lt;&gt;1,"待登记更新单","有效输入"))))))</x:f>
      </x:c>
    </x:row>
    <x:row r="305" ht="25" customHeight="1">
      <x:c r="A305" s="3"/>
      <x:c r="B305" s="3"/>
      <x:c r="C305" s="3"/>
      <x:c r="D305" s="25"/>
      <x:c r="E305" s="25"/>
      <x:c r="F305" s="3"/>
      <x:c r="G305" s="3"/>
      <x:c r="H305" s="3"/>
      <x:c r="I305" s="3"/>
      <x:c r="J305" s="3"/>
      <x:c r="K305" s="3"/>
      <x:c r="L305" s="20"/>
      <x:c r="M305" s="3"/>
      <x:c r="N305" s="19" t="str">
        <x:f>IF(A305="","",IF(COUNTIFS('复盘记录'!$A$7:$A$306,A305)&lt;&gt;1,"编号重复",IF(COUNTIFS('问题总览'!$A$7:$A$306,B305)&lt;&gt;1,"问题引用无效",IF(COUNTIFS('方案版本'!$A$7:$A$306,C305,'方案版本'!$B$7:$B$306,B305,'方案版本'!$L$7:$L$306,"已冻结")&lt;&gt;1,"方案引用无效",IF(OR(NOT(ISNUMBER(D305)),NOT(ISNUMBER(E305)),F305="",G305="",H305="",M305=""),"待补复盘信息",IF(COUNTIFS('更新日志'!$A$7:$A$306,J305,'更新日志'!$B$7:$B$306,B305,'更新日志'!$C$7:$C$306,A305)&lt;&gt;1,"待登记更新单","有效输入"))))))</x:f>
      </x:c>
    </x:row>
    <x:row r="306" ht="25" customHeight="1">
      <x:c r="A306" s="3"/>
      <x:c r="B306" s="3"/>
      <x:c r="C306" s="3"/>
      <x:c r="D306" s="25"/>
      <x:c r="E306" s="25"/>
      <x:c r="F306" s="3"/>
      <x:c r="G306" s="3"/>
      <x:c r="H306" s="3"/>
      <x:c r="I306" s="3"/>
      <x:c r="J306" s="3"/>
      <x:c r="K306" s="3"/>
      <x:c r="L306" s="20"/>
      <x:c r="M306" s="3"/>
      <x:c r="N306" s="19" t="str">
        <x:f>IF(A306="","",IF(COUNTIFS('复盘记录'!$A$7:$A$306,A306)&lt;&gt;1,"编号重复",IF(COUNTIFS('问题总览'!$A$7:$A$306,B306)&lt;&gt;1,"问题引用无效",IF(COUNTIFS('方案版本'!$A$7:$A$306,C306,'方案版本'!$B$7:$B$306,B306,'方案版本'!$L$7:$L$306,"已冻结")&lt;&gt;1,"方案引用无效",IF(OR(NOT(ISNUMBER(D306)),NOT(ISNUMBER(E306)),F306="",G306="",H306="",M306=""),"待补复盘信息",IF(COUNTIFS('更新日志'!$A$7:$A$306,J306,'更新日志'!$B$7:$B$306,B306,'更新日志'!$C$7:$C$306,A306)&lt;&gt;1,"待登记更新单","有效输入"))))))</x:f>
      </x:c>
    </x:row>
  </x:sheetData>
  <x:conditionalFormatting sqref="N7:N306">
    <x:cfRule type="expression" dxfId="5" priority="1">
      <x:formula>AND($A7&lt;&gt;"",N7&lt;&gt;"有效输入")</x:formula>
    </x:cfRule>
  </x:conditionalFormatting>
  <x:dataValidations count="3">
    <x:dataValidation type="list" sqref="F7:F306">
      <x:formula1>"达成,未达成,部分达成,未到期,无法判定"</x:formula1>
    </x:dataValidation>
    <x:dataValidation type="list" sqref="H7:H306">
      <x:formula1>"观察变化,机制支持,有限因果支持,证据不足"</x:formula1>
    </x:dataValidation>
    <x:dataValidation type="list" sqref="K7:K306">
      <x:formula1>"观察,探针,蓄势,维持,加码,撤回"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363e09a8e414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0" hidden="0" customWidth="1"/>
    <x:col min="8" max="8" width="29" hidden="0" customWidth="1"/>
    <x:col min="9" max="9" width="29" hidden="0" customWidth="1"/>
    <x:col min="10" max="10" width="23" hidden="0" customWidth="1"/>
    <x:col min="11" max="11" width="20" hidden="0" customWidth="1"/>
    <x:col min="12" max="12" width="23" hidden="0" customWidth="1"/>
    <x:col min="13" max="13" width="29" hidden="0" customWidth="1"/>
    <x:col min="14" max="14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6" t="str">
        <x:v>更新日志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5" customHeight="1">
      <x:c r="A3" s="18" t="str">
        <x:v>每行一份更新单。更新内容在正文逐项展开；保留不变也登记理由和下一验证。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更新ID</x:v>
      </x:c>
      <x:c r="B6" s="13" t="str">
        <x:v>问题ID</x:v>
      </x:c>
      <x:c r="C6" s="13" t="str">
        <x:v>触发复盘ID</x:v>
      </x:c>
      <x:c r="D6" s="13" t="str">
        <x:v>更新对象</x:v>
      </x:c>
      <x:c r="E6" s="13" t="str">
        <x:v>旧值或旧版本</x:v>
      </x:c>
      <x:c r="F6" s="13" t="str">
        <x:v>新值或新版本</x:v>
      </x:c>
      <x:c r="G6" s="13" t="str">
        <x:v>采纳状态</x:v>
      </x:c>
      <x:c r="H6" s="13" t="str">
        <x:v>理由</x:v>
      </x:c>
      <x:c r="I6" s="13" t="str">
        <x:v>依据OB引用</x:v>
      </x:c>
      <x:c r="J6" s="13" t="str">
        <x:v>生效时间</x:v>
      </x:c>
      <x:c r="K6" s="13" t="str">
        <x:v>决定人</x:v>
      </x:c>
      <x:c r="L6" s="13" t="str">
        <x:v>下次验证</x:v>
      </x:c>
      <x:c r="M6" s="13" t="str">
        <x:v>更新文件</x:v>
      </x:c>
      <x:c r="N6" s="14" t="str">
        <x:v>输入检查</x:v>
      </x:c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3"/>
      <x:c r="J7" s="25"/>
      <x:c r="K7" s="3"/>
      <x:c r="L7" s="20"/>
      <x:c r="M7" s="3"/>
      <x:c r="N7" s="19" t="str">
        <x:f>IF(A7="","",IF(COUNTIFS('更新日志'!$A$7:$A$306,A7)&lt;&gt;1,"编号重复",IF(COUNTIFS('问题总览'!$A$7:$A$306,B7)&lt;&gt;1,"问题引用无效",IF(COUNTIFS('复盘记录'!$A$7:$A$306,C7,'复盘记录'!$B$7:$B$306,B7)&lt;&gt;1,"复盘引用无效",IF(OR(D7="",E7="",F7="",G7="",H7="",M7=""),"待补更新信息",IF(AND(OR(G7="已采纳",G7="保留不变"),OR(NOT(ISNUMBER(J7)),K7="")),"待补采用依据","有效输入"))))))</x:f>
      </x:c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25"/>
      <x:c r="K8" s="3"/>
      <x:c r="L8" s="20"/>
      <x:c r="M8" s="3"/>
      <x:c r="N8" s="19" t="str">
        <x:f>IF(A8="","",IF(COUNTIFS('更新日志'!$A$7:$A$306,A8)&lt;&gt;1,"编号重复",IF(COUNTIFS('问题总览'!$A$7:$A$306,B8)&lt;&gt;1,"问题引用无效",IF(COUNTIFS('复盘记录'!$A$7:$A$306,C8,'复盘记录'!$B$7:$B$306,B8)&lt;&gt;1,"复盘引用无效",IF(OR(D8="",E8="",F8="",G8="",H8="",M8=""),"待补更新信息",IF(AND(OR(G8="已采纳",G8="保留不变"),OR(NOT(ISNUMBER(J8)),K8="")),"待补采用依据","有效输入"))))))</x:f>
      </x:c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25"/>
      <x:c r="K9" s="3"/>
      <x:c r="L9" s="20"/>
      <x:c r="M9" s="3"/>
      <x:c r="N9" s="19" t="str">
        <x:f>IF(A9="","",IF(COUNTIFS('更新日志'!$A$7:$A$306,A9)&lt;&gt;1,"编号重复",IF(COUNTIFS('问题总览'!$A$7:$A$306,B9)&lt;&gt;1,"问题引用无效",IF(COUNTIFS('复盘记录'!$A$7:$A$306,C9,'复盘记录'!$B$7:$B$306,B9)&lt;&gt;1,"复盘引用无效",IF(OR(D9="",E9="",F9="",G9="",H9="",M9=""),"待补更新信息",IF(AND(OR(G9="已采纳",G9="保留不变"),OR(NOT(ISNUMBER(J9)),K9="")),"待补采用依据","有效输入"))))))</x:f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25"/>
      <x:c r="K10" s="3"/>
      <x:c r="L10" s="20"/>
      <x:c r="M10" s="3"/>
      <x:c r="N10" s="19" t="str">
        <x:f>IF(A10="","",IF(COUNTIFS('更新日志'!$A$7:$A$306,A10)&lt;&gt;1,"编号重复",IF(COUNTIFS('问题总览'!$A$7:$A$306,B10)&lt;&gt;1,"问题引用无效",IF(COUNTIFS('复盘记录'!$A$7:$A$306,C10,'复盘记录'!$B$7:$B$306,B10)&lt;&gt;1,"复盘引用无效",IF(OR(D10="",E10="",F10="",G10="",H10="",M10=""),"待补更新信息",IF(AND(OR(G10="已采纳",G10="保留不变"),OR(NOT(ISNUMBER(J10)),K10="")),"待补采用依据","有效输入"))))))</x:f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25"/>
      <x:c r="K11" s="3"/>
      <x:c r="L11" s="20"/>
      <x:c r="M11" s="3"/>
      <x:c r="N11" s="19" t="str">
        <x:f>IF(A11="","",IF(COUNTIFS('更新日志'!$A$7:$A$306,A11)&lt;&gt;1,"编号重复",IF(COUNTIFS('问题总览'!$A$7:$A$306,B11)&lt;&gt;1,"问题引用无效",IF(COUNTIFS('复盘记录'!$A$7:$A$306,C11,'复盘记录'!$B$7:$B$306,B11)&lt;&gt;1,"复盘引用无效",IF(OR(D11="",E11="",F11="",G11="",H11="",M11=""),"待补更新信息",IF(AND(OR(G11="已采纳",G11="保留不变"),OR(NOT(ISNUMBER(J11)),K11="")),"待补采用依据","有效输入"))))))</x:f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25"/>
      <x:c r="K12" s="3"/>
      <x:c r="L12" s="20"/>
      <x:c r="M12" s="3"/>
      <x:c r="N12" s="19" t="str">
        <x:f>IF(A12="","",IF(COUNTIFS('更新日志'!$A$7:$A$306,A12)&lt;&gt;1,"编号重复",IF(COUNTIFS('问题总览'!$A$7:$A$306,B12)&lt;&gt;1,"问题引用无效",IF(COUNTIFS('复盘记录'!$A$7:$A$306,C12,'复盘记录'!$B$7:$B$306,B12)&lt;&gt;1,"复盘引用无效",IF(OR(D12="",E12="",F12="",G12="",H12="",M12=""),"待补更新信息",IF(AND(OR(G12="已采纳",G12="保留不变"),OR(NOT(ISNUMBER(J12)),K12="")),"待补采用依据","有效输入"))))))</x:f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25"/>
      <x:c r="K13" s="3"/>
      <x:c r="L13" s="20"/>
      <x:c r="M13" s="3"/>
      <x:c r="N13" s="19" t="str">
        <x:f>IF(A13="","",IF(COUNTIFS('更新日志'!$A$7:$A$306,A13)&lt;&gt;1,"编号重复",IF(COUNTIFS('问题总览'!$A$7:$A$306,B13)&lt;&gt;1,"问题引用无效",IF(COUNTIFS('复盘记录'!$A$7:$A$306,C13,'复盘记录'!$B$7:$B$306,B13)&lt;&gt;1,"复盘引用无效",IF(OR(D13="",E13="",F13="",G13="",H13="",M13=""),"待补更新信息",IF(AND(OR(G13="已采纳",G13="保留不变"),OR(NOT(ISNUMBER(J13)),K13="")),"待补采用依据","有效输入"))))))</x:f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25"/>
      <x:c r="K14" s="3"/>
      <x:c r="L14" s="20"/>
      <x:c r="M14" s="3"/>
      <x:c r="N14" s="19" t="str">
        <x:f>IF(A14="","",IF(COUNTIFS('更新日志'!$A$7:$A$306,A14)&lt;&gt;1,"编号重复",IF(COUNTIFS('问题总览'!$A$7:$A$306,B14)&lt;&gt;1,"问题引用无效",IF(COUNTIFS('复盘记录'!$A$7:$A$306,C14,'复盘记录'!$B$7:$B$306,B14)&lt;&gt;1,"复盘引用无效",IF(OR(D14="",E14="",F14="",G14="",H14="",M14=""),"待补更新信息",IF(AND(OR(G14="已采纳",G14="保留不变"),OR(NOT(ISNUMBER(J14)),K14="")),"待补采用依据","有效输入"))))))</x:f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25"/>
      <x:c r="K15" s="3"/>
      <x:c r="L15" s="20"/>
      <x:c r="M15" s="3"/>
      <x:c r="N15" s="19" t="str">
        <x:f>IF(A15="","",IF(COUNTIFS('更新日志'!$A$7:$A$306,A15)&lt;&gt;1,"编号重复",IF(COUNTIFS('问题总览'!$A$7:$A$306,B15)&lt;&gt;1,"问题引用无效",IF(COUNTIFS('复盘记录'!$A$7:$A$306,C15,'复盘记录'!$B$7:$B$306,B15)&lt;&gt;1,"复盘引用无效",IF(OR(D15="",E15="",F15="",G15="",H15="",M15=""),"待补更新信息",IF(AND(OR(G15="已采纳",G15="保留不变"),OR(NOT(ISNUMBER(J15)),K15="")),"待补采用依据","有效输入"))))))</x:f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25"/>
      <x:c r="K16" s="3"/>
      <x:c r="L16" s="20"/>
      <x:c r="M16" s="3"/>
      <x:c r="N16" s="19" t="str">
        <x:f>IF(A16="","",IF(COUNTIFS('更新日志'!$A$7:$A$306,A16)&lt;&gt;1,"编号重复",IF(COUNTIFS('问题总览'!$A$7:$A$306,B16)&lt;&gt;1,"问题引用无效",IF(COUNTIFS('复盘记录'!$A$7:$A$306,C16,'复盘记录'!$B$7:$B$306,B16)&lt;&gt;1,"复盘引用无效",IF(OR(D16="",E16="",F16="",G16="",H16="",M16=""),"待补更新信息",IF(AND(OR(G16="已采纳",G16="保留不变"),OR(NOT(ISNUMBER(J16)),K16="")),"待补采用依据","有效输入"))))))</x:f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25"/>
      <x:c r="K17" s="3"/>
      <x:c r="L17" s="20"/>
      <x:c r="M17" s="3"/>
      <x:c r="N17" s="19" t="str">
        <x:f>IF(A17="","",IF(COUNTIFS('更新日志'!$A$7:$A$306,A17)&lt;&gt;1,"编号重复",IF(COUNTIFS('问题总览'!$A$7:$A$306,B17)&lt;&gt;1,"问题引用无效",IF(COUNTIFS('复盘记录'!$A$7:$A$306,C17,'复盘记录'!$B$7:$B$306,B17)&lt;&gt;1,"复盘引用无效",IF(OR(D17="",E17="",F17="",G17="",H17="",M17=""),"待补更新信息",IF(AND(OR(G17="已采纳",G17="保留不变"),OR(NOT(ISNUMBER(J17)),K17="")),"待补采用依据","有效输入"))))))</x:f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25"/>
      <x:c r="K18" s="3"/>
      <x:c r="L18" s="20"/>
      <x:c r="M18" s="3"/>
      <x:c r="N18" s="19" t="str">
        <x:f>IF(A18="","",IF(COUNTIFS('更新日志'!$A$7:$A$306,A18)&lt;&gt;1,"编号重复",IF(COUNTIFS('问题总览'!$A$7:$A$306,B18)&lt;&gt;1,"问题引用无效",IF(COUNTIFS('复盘记录'!$A$7:$A$306,C18,'复盘记录'!$B$7:$B$306,B18)&lt;&gt;1,"复盘引用无效",IF(OR(D18="",E18="",F18="",G18="",H18="",M18=""),"待补更新信息",IF(AND(OR(G18="已采纳",G18="保留不变"),OR(NOT(ISNUMBER(J18)),K18="")),"待补采用依据","有效输入")))))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25"/>
      <x:c r="K19" s="3"/>
      <x:c r="L19" s="20"/>
      <x:c r="M19" s="3"/>
      <x:c r="N19" s="19" t="str">
        <x:f>IF(A19="","",IF(COUNTIFS('更新日志'!$A$7:$A$306,A19)&lt;&gt;1,"编号重复",IF(COUNTIFS('问题总览'!$A$7:$A$306,B19)&lt;&gt;1,"问题引用无效",IF(COUNTIFS('复盘记录'!$A$7:$A$306,C19,'复盘记录'!$B$7:$B$306,B19)&lt;&gt;1,"复盘引用无效",IF(OR(D19="",E19="",F19="",G19="",H19="",M19=""),"待补更新信息",IF(AND(OR(G19="已采纳",G19="保留不变"),OR(NOT(ISNUMBER(J19)),K19="")),"待补采用依据","有效输入"))))))</x:f>
      </x:c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25"/>
      <x:c r="K20" s="3"/>
      <x:c r="L20" s="20"/>
      <x:c r="M20" s="3"/>
      <x:c r="N20" s="19" t="str">
        <x:f>IF(A20="","",IF(COUNTIFS('更新日志'!$A$7:$A$306,A20)&lt;&gt;1,"编号重复",IF(COUNTIFS('问题总览'!$A$7:$A$306,B20)&lt;&gt;1,"问题引用无效",IF(COUNTIFS('复盘记录'!$A$7:$A$306,C20,'复盘记录'!$B$7:$B$306,B20)&lt;&gt;1,"复盘引用无效",IF(OR(D20="",E20="",F20="",G20="",H20="",M20=""),"待补更新信息",IF(AND(OR(G20="已采纳",G20="保留不变"),OR(NOT(ISNUMBER(J20)),K20="")),"待补采用依据","有效输入"))))))</x:f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25"/>
      <x:c r="K21" s="3"/>
      <x:c r="L21" s="20"/>
      <x:c r="M21" s="3"/>
      <x:c r="N21" s="19" t="str">
        <x:f>IF(A21="","",IF(COUNTIFS('更新日志'!$A$7:$A$306,A21)&lt;&gt;1,"编号重复",IF(COUNTIFS('问题总览'!$A$7:$A$306,B21)&lt;&gt;1,"问题引用无效",IF(COUNTIFS('复盘记录'!$A$7:$A$306,C21,'复盘记录'!$B$7:$B$306,B21)&lt;&gt;1,"复盘引用无效",IF(OR(D21="",E21="",F21="",G21="",H21="",M21=""),"待补更新信息",IF(AND(OR(G21="已采纳",G21="保留不变"),OR(NOT(ISNUMBER(J21)),K21="")),"待补采用依据","有效输入"))))))</x:f>
      </x:c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25"/>
      <x:c r="K22" s="3"/>
      <x:c r="L22" s="20"/>
      <x:c r="M22" s="3"/>
      <x:c r="N22" s="19" t="str">
        <x:f>IF(A22="","",IF(COUNTIFS('更新日志'!$A$7:$A$306,A22)&lt;&gt;1,"编号重复",IF(COUNTIFS('问题总览'!$A$7:$A$306,B22)&lt;&gt;1,"问题引用无效",IF(COUNTIFS('复盘记录'!$A$7:$A$306,C22,'复盘记录'!$B$7:$B$306,B22)&lt;&gt;1,"复盘引用无效",IF(OR(D22="",E22="",F22="",G22="",H22="",M22=""),"待补更新信息",IF(AND(OR(G22="已采纳",G22="保留不变"),OR(NOT(ISNUMBER(J22)),K22="")),"待补采用依据","有效输入"))))))</x:f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25"/>
      <x:c r="K23" s="3"/>
      <x:c r="L23" s="20"/>
      <x:c r="M23" s="3"/>
      <x:c r="N23" s="19" t="str">
        <x:f>IF(A23="","",IF(COUNTIFS('更新日志'!$A$7:$A$306,A23)&lt;&gt;1,"编号重复",IF(COUNTIFS('问题总览'!$A$7:$A$306,B23)&lt;&gt;1,"问题引用无效",IF(COUNTIFS('复盘记录'!$A$7:$A$306,C23,'复盘记录'!$B$7:$B$306,B23)&lt;&gt;1,"复盘引用无效",IF(OR(D23="",E23="",F23="",G23="",H23="",M23=""),"待补更新信息",IF(AND(OR(G23="已采纳",G23="保留不变"),OR(NOT(ISNUMBER(J23)),K23="")),"待补采用依据","有效输入"))))))</x:f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25"/>
      <x:c r="K24" s="3"/>
      <x:c r="L24" s="20"/>
      <x:c r="M24" s="3"/>
      <x:c r="N24" s="19" t="str">
        <x:f>IF(A24="","",IF(COUNTIFS('更新日志'!$A$7:$A$306,A24)&lt;&gt;1,"编号重复",IF(COUNTIFS('问题总览'!$A$7:$A$306,B24)&lt;&gt;1,"问题引用无效",IF(COUNTIFS('复盘记录'!$A$7:$A$306,C24,'复盘记录'!$B$7:$B$306,B24)&lt;&gt;1,"复盘引用无效",IF(OR(D24="",E24="",F24="",G24="",H24="",M24=""),"待补更新信息",IF(AND(OR(G24="已采纳",G24="保留不变"),OR(NOT(ISNUMBER(J24)),K24="")),"待补采用依据","有效输入"))))))</x:f>
      </x:c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25"/>
      <x:c r="K25" s="3"/>
      <x:c r="L25" s="20"/>
      <x:c r="M25" s="3"/>
      <x:c r="N25" s="19" t="str">
        <x:f>IF(A25="","",IF(COUNTIFS('更新日志'!$A$7:$A$306,A25)&lt;&gt;1,"编号重复",IF(COUNTIFS('问题总览'!$A$7:$A$306,B25)&lt;&gt;1,"问题引用无效",IF(COUNTIFS('复盘记录'!$A$7:$A$306,C25,'复盘记录'!$B$7:$B$306,B25)&lt;&gt;1,"复盘引用无效",IF(OR(D25="",E25="",F25="",G25="",H25="",M25=""),"待补更新信息",IF(AND(OR(G25="已采纳",G25="保留不变"),OR(NOT(ISNUMBER(J25)),K25="")),"待补采用依据","有效输入"))))))</x:f>
      </x:c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25"/>
      <x:c r="K26" s="3"/>
      <x:c r="L26" s="20"/>
      <x:c r="M26" s="3"/>
      <x:c r="N26" s="19" t="str">
        <x:f>IF(A26="","",IF(COUNTIFS('更新日志'!$A$7:$A$306,A26)&lt;&gt;1,"编号重复",IF(COUNTIFS('问题总览'!$A$7:$A$306,B26)&lt;&gt;1,"问题引用无效",IF(COUNTIFS('复盘记录'!$A$7:$A$306,C26,'复盘记录'!$B$7:$B$306,B26)&lt;&gt;1,"复盘引用无效",IF(OR(D26="",E26="",F26="",G26="",H26="",M26=""),"待补更新信息",IF(AND(OR(G26="已采纳",G26="保留不变"),OR(NOT(ISNUMBER(J26)),K26="")),"待补采用依据","有效输入"))))))</x:f>
      </x:c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25"/>
      <x:c r="K27" s="3"/>
      <x:c r="L27" s="20"/>
      <x:c r="M27" s="3"/>
      <x:c r="N27" s="19" t="str">
        <x:f>IF(A27="","",IF(COUNTIFS('更新日志'!$A$7:$A$306,A27)&lt;&gt;1,"编号重复",IF(COUNTIFS('问题总览'!$A$7:$A$306,B27)&lt;&gt;1,"问题引用无效",IF(COUNTIFS('复盘记录'!$A$7:$A$306,C27,'复盘记录'!$B$7:$B$306,B27)&lt;&gt;1,"复盘引用无效",IF(OR(D27="",E27="",F27="",G27="",H27="",M27=""),"待补更新信息",IF(AND(OR(G27="已采纳",G27="保留不变"),OR(NOT(ISNUMBER(J27)),K27="")),"待补采用依据","有效输入"))))))</x:f>
      </x:c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25"/>
      <x:c r="K28" s="3"/>
      <x:c r="L28" s="20"/>
      <x:c r="M28" s="3"/>
      <x:c r="N28" s="19" t="str">
        <x:f>IF(A28="","",IF(COUNTIFS('更新日志'!$A$7:$A$306,A28)&lt;&gt;1,"编号重复",IF(COUNTIFS('问题总览'!$A$7:$A$306,B28)&lt;&gt;1,"问题引用无效",IF(COUNTIFS('复盘记录'!$A$7:$A$306,C28,'复盘记录'!$B$7:$B$306,B28)&lt;&gt;1,"复盘引用无效",IF(OR(D28="",E28="",F28="",G28="",H28="",M28=""),"待补更新信息",IF(AND(OR(G28="已采纳",G28="保留不变"),OR(NOT(ISNUMBER(J28)),K28="")),"待补采用依据","有效输入"))))))</x:f>
      </x:c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25"/>
      <x:c r="K29" s="3"/>
      <x:c r="L29" s="20"/>
      <x:c r="M29" s="3"/>
      <x:c r="N29" s="19" t="str">
        <x:f>IF(A29="","",IF(COUNTIFS('更新日志'!$A$7:$A$306,A29)&lt;&gt;1,"编号重复",IF(COUNTIFS('问题总览'!$A$7:$A$306,B29)&lt;&gt;1,"问题引用无效",IF(COUNTIFS('复盘记录'!$A$7:$A$306,C29,'复盘记录'!$B$7:$B$306,B29)&lt;&gt;1,"复盘引用无效",IF(OR(D29="",E29="",F29="",G29="",H29="",M29=""),"待补更新信息",IF(AND(OR(G29="已采纳",G29="保留不变"),OR(NOT(ISNUMBER(J29)),K29="")),"待补采用依据","有效输入"))))))</x:f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25"/>
      <x:c r="K30" s="3"/>
      <x:c r="L30" s="20"/>
      <x:c r="M30" s="3"/>
      <x:c r="N30" s="19" t="str">
        <x:f>IF(A30="","",IF(COUNTIFS('更新日志'!$A$7:$A$306,A30)&lt;&gt;1,"编号重复",IF(COUNTIFS('问题总览'!$A$7:$A$306,B30)&lt;&gt;1,"问题引用无效",IF(COUNTIFS('复盘记录'!$A$7:$A$306,C30,'复盘记录'!$B$7:$B$306,B30)&lt;&gt;1,"复盘引用无效",IF(OR(D30="",E30="",F30="",G30="",H30="",M30=""),"待补更新信息",IF(AND(OR(G30="已采纳",G30="保留不变"),OR(NOT(ISNUMBER(J30)),K30="")),"待补采用依据","有效输入"))))))</x:f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25"/>
      <x:c r="K31" s="3"/>
      <x:c r="L31" s="20"/>
      <x:c r="M31" s="3"/>
      <x:c r="N31" s="19" t="str">
        <x:f>IF(A31="","",IF(COUNTIFS('更新日志'!$A$7:$A$306,A31)&lt;&gt;1,"编号重复",IF(COUNTIFS('问题总览'!$A$7:$A$306,B31)&lt;&gt;1,"问题引用无效",IF(COUNTIFS('复盘记录'!$A$7:$A$306,C31,'复盘记录'!$B$7:$B$306,B31)&lt;&gt;1,"复盘引用无效",IF(OR(D31="",E31="",F31="",G31="",H31="",M31=""),"待补更新信息",IF(AND(OR(G31="已采纳",G31="保留不变"),OR(NOT(ISNUMBER(J31)),K31="")),"待补采用依据","有效输入"))))))</x:f>
      </x:c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25"/>
      <x:c r="K32" s="3"/>
      <x:c r="L32" s="20"/>
      <x:c r="M32" s="3"/>
      <x:c r="N32" s="19" t="str">
        <x:f>IF(A32="","",IF(COUNTIFS('更新日志'!$A$7:$A$306,A32)&lt;&gt;1,"编号重复",IF(COUNTIFS('问题总览'!$A$7:$A$306,B32)&lt;&gt;1,"问题引用无效",IF(COUNTIFS('复盘记录'!$A$7:$A$306,C32,'复盘记录'!$B$7:$B$306,B32)&lt;&gt;1,"复盘引用无效",IF(OR(D32="",E32="",F32="",G32="",H32="",M32=""),"待补更新信息",IF(AND(OR(G32="已采纳",G32="保留不变"),OR(NOT(ISNUMBER(J32)),K32="")),"待补采用依据","有效输入"))))))</x:f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25"/>
      <x:c r="K33" s="3"/>
      <x:c r="L33" s="20"/>
      <x:c r="M33" s="3"/>
      <x:c r="N33" s="19" t="str">
        <x:f>IF(A33="","",IF(COUNTIFS('更新日志'!$A$7:$A$306,A33)&lt;&gt;1,"编号重复",IF(COUNTIFS('问题总览'!$A$7:$A$306,B33)&lt;&gt;1,"问题引用无效",IF(COUNTIFS('复盘记录'!$A$7:$A$306,C33,'复盘记录'!$B$7:$B$306,B33)&lt;&gt;1,"复盘引用无效",IF(OR(D33="",E33="",F33="",G33="",H33="",M33=""),"待补更新信息",IF(AND(OR(G33="已采纳",G33="保留不变"),OR(NOT(ISNUMBER(J33)),K33="")),"待补采用依据","有效输入"))))))</x:f>
      </x:c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25"/>
      <x:c r="K34" s="3"/>
      <x:c r="L34" s="20"/>
      <x:c r="M34" s="3"/>
      <x:c r="N34" s="19" t="str">
        <x:f>IF(A34="","",IF(COUNTIFS('更新日志'!$A$7:$A$306,A34)&lt;&gt;1,"编号重复",IF(COUNTIFS('问题总览'!$A$7:$A$306,B34)&lt;&gt;1,"问题引用无效",IF(COUNTIFS('复盘记录'!$A$7:$A$306,C34,'复盘记录'!$B$7:$B$306,B34)&lt;&gt;1,"复盘引用无效",IF(OR(D34="",E34="",F34="",G34="",H34="",M34=""),"待补更新信息",IF(AND(OR(G34="已采纳",G34="保留不变"),OR(NOT(ISNUMBER(J34)),K34="")),"待补采用依据","有效输入"))))))</x:f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25"/>
      <x:c r="K35" s="3"/>
      <x:c r="L35" s="20"/>
      <x:c r="M35" s="3"/>
      <x:c r="N35" s="19" t="str">
        <x:f>IF(A35="","",IF(COUNTIFS('更新日志'!$A$7:$A$306,A35)&lt;&gt;1,"编号重复",IF(COUNTIFS('问题总览'!$A$7:$A$306,B35)&lt;&gt;1,"问题引用无效",IF(COUNTIFS('复盘记录'!$A$7:$A$306,C35,'复盘记录'!$B$7:$B$306,B35)&lt;&gt;1,"复盘引用无效",IF(OR(D35="",E35="",F35="",G35="",H35="",M35=""),"待补更新信息",IF(AND(OR(G35="已采纳",G35="保留不变"),OR(NOT(ISNUMBER(J35)),K35="")),"待补采用依据","有效输入"))))))</x:f>
      </x:c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25"/>
      <x:c r="K36" s="3"/>
      <x:c r="L36" s="20"/>
      <x:c r="M36" s="3"/>
      <x:c r="N36" s="19" t="str">
        <x:f>IF(A36="","",IF(COUNTIFS('更新日志'!$A$7:$A$306,A36)&lt;&gt;1,"编号重复",IF(COUNTIFS('问题总览'!$A$7:$A$306,B36)&lt;&gt;1,"问题引用无效",IF(COUNTIFS('复盘记录'!$A$7:$A$306,C36,'复盘记录'!$B$7:$B$306,B36)&lt;&gt;1,"复盘引用无效",IF(OR(D36="",E36="",F36="",G36="",H36="",M36=""),"待补更新信息",IF(AND(OR(G36="已采纳",G36="保留不变"),OR(NOT(ISNUMBER(J36)),K36="")),"待补采用依据","有效输入"))))))</x:f>
      </x:c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25"/>
      <x:c r="K37" s="3"/>
      <x:c r="L37" s="20"/>
      <x:c r="M37" s="3"/>
      <x:c r="N37" s="19" t="str">
        <x:f>IF(A37="","",IF(COUNTIFS('更新日志'!$A$7:$A$306,A37)&lt;&gt;1,"编号重复",IF(COUNTIFS('问题总览'!$A$7:$A$306,B37)&lt;&gt;1,"问题引用无效",IF(COUNTIFS('复盘记录'!$A$7:$A$306,C37,'复盘记录'!$B$7:$B$306,B37)&lt;&gt;1,"复盘引用无效",IF(OR(D37="",E37="",F37="",G37="",H37="",M37=""),"待补更新信息",IF(AND(OR(G37="已采纳",G37="保留不变"),OR(NOT(ISNUMBER(J37)),K37="")),"待补采用依据","有效输入"))))))</x:f>
      </x:c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25"/>
      <x:c r="K38" s="3"/>
      <x:c r="L38" s="20"/>
      <x:c r="M38" s="3"/>
      <x:c r="N38" s="19" t="str">
        <x:f>IF(A38="","",IF(COUNTIFS('更新日志'!$A$7:$A$306,A38)&lt;&gt;1,"编号重复",IF(COUNTIFS('问题总览'!$A$7:$A$306,B38)&lt;&gt;1,"问题引用无效",IF(COUNTIFS('复盘记录'!$A$7:$A$306,C38,'复盘记录'!$B$7:$B$306,B38)&lt;&gt;1,"复盘引用无效",IF(OR(D38="",E38="",F38="",G38="",H38="",M38=""),"待补更新信息",IF(AND(OR(G38="已采纳",G38="保留不变"),OR(NOT(ISNUMBER(J38)),K38="")),"待补采用依据","有效输入"))))))</x:f>
      </x:c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25"/>
      <x:c r="K39" s="3"/>
      <x:c r="L39" s="20"/>
      <x:c r="M39" s="3"/>
      <x:c r="N39" s="19" t="str">
        <x:f>IF(A39="","",IF(COUNTIFS('更新日志'!$A$7:$A$306,A39)&lt;&gt;1,"编号重复",IF(COUNTIFS('问题总览'!$A$7:$A$306,B39)&lt;&gt;1,"问题引用无效",IF(COUNTIFS('复盘记录'!$A$7:$A$306,C39,'复盘记录'!$B$7:$B$306,B39)&lt;&gt;1,"复盘引用无效",IF(OR(D39="",E39="",F39="",G39="",H39="",M39=""),"待补更新信息",IF(AND(OR(G39="已采纳",G39="保留不变"),OR(NOT(ISNUMBER(J39)),K39="")),"待补采用依据","有效输入"))))))</x:f>
      </x:c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25"/>
      <x:c r="K40" s="3"/>
      <x:c r="L40" s="20"/>
      <x:c r="M40" s="3"/>
      <x:c r="N40" s="19" t="str">
        <x:f>IF(A40="","",IF(COUNTIFS('更新日志'!$A$7:$A$306,A40)&lt;&gt;1,"编号重复",IF(COUNTIFS('问题总览'!$A$7:$A$306,B40)&lt;&gt;1,"问题引用无效",IF(COUNTIFS('复盘记录'!$A$7:$A$306,C40,'复盘记录'!$B$7:$B$306,B40)&lt;&gt;1,"复盘引用无效",IF(OR(D40="",E40="",F40="",G40="",H40="",M40=""),"待补更新信息",IF(AND(OR(G40="已采纳",G40="保留不变"),OR(NOT(ISNUMBER(J40)),K40="")),"待补采用依据","有效输入"))))))</x:f>
      </x:c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25"/>
      <x:c r="K41" s="3"/>
      <x:c r="L41" s="20"/>
      <x:c r="M41" s="3"/>
      <x:c r="N41" s="19" t="str">
        <x:f>IF(A41="","",IF(COUNTIFS('更新日志'!$A$7:$A$306,A41)&lt;&gt;1,"编号重复",IF(COUNTIFS('问题总览'!$A$7:$A$306,B41)&lt;&gt;1,"问题引用无效",IF(COUNTIFS('复盘记录'!$A$7:$A$306,C41,'复盘记录'!$B$7:$B$306,B41)&lt;&gt;1,"复盘引用无效",IF(OR(D41="",E41="",F41="",G41="",H41="",M41=""),"待补更新信息",IF(AND(OR(G41="已采纳",G41="保留不变"),OR(NOT(ISNUMBER(J41)),K41="")),"待补采用依据","有效输入"))))))</x:f>
      </x:c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25"/>
      <x:c r="K42" s="3"/>
      <x:c r="L42" s="20"/>
      <x:c r="M42" s="3"/>
      <x:c r="N42" s="19" t="str">
        <x:f>IF(A42="","",IF(COUNTIFS('更新日志'!$A$7:$A$306,A42)&lt;&gt;1,"编号重复",IF(COUNTIFS('问题总览'!$A$7:$A$306,B42)&lt;&gt;1,"问题引用无效",IF(COUNTIFS('复盘记录'!$A$7:$A$306,C42,'复盘记录'!$B$7:$B$306,B42)&lt;&gt;1,"复盘引用无效",IF(OR(D42="",E42="",F42="",G42="",H42="",M42=""),"待补更新信息",IF(AND(OR(G42="已采纳",G42="保留不变"),OR(NOT(ISNUMBER(J42)),K42="")),"待补采用依据","有效输入"))))))</x:f>
      </x:c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25"/>
      <x:c r="K43" s="3"/>
      <x:c r="L43" s="20"/>
      <x:c r="M43" s="3"/>
      <x:c r="N43" s="19" t="str">
        <x:f>IF(A43="","",IF(COUNTIFS('更新日志'!$A$7:$A$306,A43)&lt;&gt;1,"编号重复",IF(COUNTIFS('问题总览'!$A$7:$A$306,B43)&lt;&gt;1,"问题引用无效",IF(COUNTIFS('复盘记录'!$A$7:$A$306,C43,'复盘记录'!$B$7:$B$306,B43)&lt;&gt;1,"复盘引用无效",IF(OR(D43="",E43="",F43="",G43="",H43="",M43=""),"待补更新信息",IF(AND(OR(G43="已采纳",G43="保留不变"),OR(NOT(ISNUMBER(J43)),K43="")),"待补采用依据","有效输入"))))))</x:f>
      </x:c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25"/>
      <x:c r="K44" s="3"/>
      <x:c r="L44" s="20"/>
      <x:c r="M44" s="3"/>
      <x:c r="N44" s="19" t="str">
        <x:f>IF(A44="","",IF(COUNTIFS('更新日志'!$A$7:$A$306,A44)&lt;&gt;1,"编号重复",IF(COUNTIFS('问题总览'!$A$7:$A$306,B44)&lt;&gt;1,"问题引用无效",IF(COUNTIFS('复盘记录'!$A$7:$A$306,C44,'复盘记录'!$B$7:$B$306,B44)&lt;&gt;1,"复盘引用无效",IF(OR(D44="",E44="",F44="",G44="",H44="",M44=""),"待补更新信息",IF(AND(OR(G44="已采纳",G44="保留不变"),OR(NOT(ISNUMBER(J44)),K44="")),"待补采用依据","有效输入"))))))</x:f>
      </x:c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25"/>
      <x:c r="K45" s="3"/>
      <x:c r="L45" s="20"/>
      <x:c r="M45" s="3"/>
      <x:c r="N45" s="19" t="str">
        <x:f>IF(A45="","",IF(COUNTIFS('更新日志'!$A$7:$A$306,A45)&lt;&gt;1,"编号重复",IF(COUNTIFS('问题总览'!$A$7:$A$306,B45)&lt;&gt;1,"问题引用无效",IF(COUNTIFS('复盘记录'!$A$7:$A$306,C45,'复盘记录'!$B$7:$B$306,B45)&lt;&gt;1,"复盘引用无效",IF(OR(D45="",E45="",F45="",G45="",H45="",M45=""),"待补更新信息",IF(AND(OR(G45="已采纳",G45="保留不变"),OR(NOT(ISNUMBER(J45)),K45="")),"待补采用依据","有效输入"))))))</x:f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25"/>
      <x:c r="K46" s="3"/>
      <x:c r="L46" s="20"/>
      <x:c r="M46" s="3"/>
      <x:c r="N46" s="19" t="str">
        <x:f>IF(A46="","",IF(COUNTIFS('更新日志'!$A$7:$A$306,A46)&lt;&gt;1,"编号重复",IF(COUNTIFS('问题总览'!$A$7:$A$306,B46)&lt;&gt;1,"问题引用无效",IF(COUNTIFS('复盘记录'!$A$7:$A$306,C46,'复盘记录'!$B$7:$B$306,B46)&lt;&gt;1,"复盘引用无效",IF(OR(D46="",E46="",F46="",G46="",H46="",M46=""),"待补更新信息",IF(AND(OR(G46="已采纳",G46="保留不变"),OR(NOT(ISNUMBER(J46)),K46="")),"待补采用依据","有效输入"))))))</x:f>
      </x:c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25"/>
      <x:c r="K47" s="3"/>
      <x:c r="L47" s="20"/>
      <x:c r="M47" s="3"/>
      <x:c r="N47" s="19" t="str">
        <x:f>IF(A47="","",IF(COUNTIFS('更新日志'!$A$7:$A$306,A47)&lt;&gt;1,"编号重复",IF(COUNTIFS('问题总览'!$A$7:$A$306,B47)&lt;&gt;1,"问题引用无效",IF(COUNTIFS('复盘记录'!$A$7:$A$306,C47,'复盘记录'!$B$7:$B$306,B47)&lt;&gt;1,"复盘引用无效",IF(OR(D47="",E47="",F47="",G47="",H47="",M47=""),"待补更新信息",IF(AND(OR(G47="已采纳",G47="保留不变"),OR(NOT(ISNUMBER(J47)),K47="")),"待补采用依据","有效输入"))))))</x:f>
      </x:c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25"/>
      <x:c r="K48" s="3"/>
      <x:c r="L48" s="20"/>
      <x:c r="M48" s="3"/>
      <x:c r="N48" s="19" t="str">
        <x:f>IF(A48="","",IF(COUNTIFS('更新日志'!$A$7:$A$306,A48)&lt;&gt;1,"编号重复",IF(COUNTIFS('问题总览'!$A$7:$A$306,B48)&lt;&gt;1,"问题引用无效",IF(COUNTIFS('复盘记录'!$A$7:$A$306,C48,'复盘记录'!$B$7:$B$306,B48)&lt;&gt;1,"复盘引用无效",IF(OR(D48="",E48="",F48="",G48="",H48="",M48=""),"待补更新信息",IF(AND(OR(G48="已采纳",G48="保留不变"),OR(NOT(ISNUMBER(J48)),K48="")),"待补采用依据","有效输入"))))))</x:f>
      </x:c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25"/>
      <x:c r="K49" s="3"/>
      <x:c r="L49" s="20"/>
      <x:c r="M49" s="3"/>
      <x:c r="N49" s="19" t="str">
        <x:f>IF(A49="","",IF(COUNTIFS('更新日志'!$A$7:$A$306,A49)&lt;&gt;1,"编号重复",IF(COUNTIFS('问题总览'!$A$7:$A$306,B49)&lt;&gt;1,"问题引用无效",IF(COUNTIFS('复盘记录'!$A$7:$A$306,C49,'复盘记录'!$B$7:$B$306,B49)&lt;&gt;1,"复盘引用无效",IF(OR(D49="",E49="",F49="",G49="",H49="",M49=""),"待补更新信息",IF(AND(OR(G49="已采纳",G49="保留不变"),OR(NOT(ISNUMBER(J49)),K49="")),"待补采用依据","有效输入"))))))</x:f>
      </x:c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25"/>
      <x:c r="K50" s="3"/>
      <x:c r="L50" s="20"/>
      <x:c r="M50" s="3"/>
      <x:c r="N50" s="19" t="str">
        <x:f>IF(A50="","",IF(COUNTIFS('更新日志'!$A$7:$A$306,A50)&lt;&gt;1,"编号重复",IF(COUNTIFS('问题总览'!$A$7:$A$306,B50)&lt;&gt;1,"问题引用无效",IF(COUNTIFS('复盘记录'!$A$7:$A$306,C50,'复盘记录'!$B$7:$B$306,B50)&lt;&gt;1,"复盘引用无效",IF(OR(D50="",E50="",F50="",G50="",H50="",M50=""),"待补更新信息",IF(AND(OR(G50="已采纳",G50="保留不变"),OR(NOT(ISNUMBER(J50)),K50="")),"待补采用依据","有效输入"))))))</x:f>
      </x:c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25"/>
      <x:c r="K51" s="3"/>
      <x:c r="L51" s="20"/>
      <x:c r="M51" s="3"/>
      <x:c r="N51" s="19" t="str">
        <x:f>IF(A51="","",IF(COUNTIFS('更新日志'!$A$7:$A$306,A51)&lt;&gt;1,"编号重复",IF(COUNTIFS('问题总览'!$A$7:$A$306,B51)&lt;&gt;1,"问题引用无效",IF(COUNTIFS('复盘记录'!$A$7:$A$306,C51,'复盘记录'!$B$7:$B$306,B51)&lt;&gt;1,"复盘引用无效",IF(OR(D51="",E51="",F51="",G51="",H51="",M51=""),"待补更新信息",IF(AND(OR(G51="已采纳",G51="保留不变"),OR(NOT(ISNUMBER(J51)),K51="")),"待补采用依据","有效输入"))))))</x:f>
      </x:c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25"/>
      <x:c r="K52" s="3"/>
      <x:c r="L52" s="20"/>
      <x:c r="M52" s="3"/>
      <x:c r="N52" s="19" t="str">
        <x:f>IF(A52="","",IF(COUNTIFS('更新日志'!$A$7:$A$306,A52)&lt;&gt;1,"编号重复",IF(COUNTIFS('问题总览'!$A$7:$A$306,B52)&lt;&gt;1,"问题引用无效",IF(COUNTIFS('复盘记录'!$A$7:$A$306,C52,'复盘记录'!$B$7:$B$306,B52)&lt;&gt;1,"复盘引用无效",IF(OR(D52="",E52="",F52="",G52="",H52="",M52=""),"待补更新信息",IF(AND(OR(G52="已采纳",G52="保留不变"),OR(NOT(ISNUMBER(J52)),K52="")),"待补采用依据","有效输入"))))))</x:f>
      </x:c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25"/>
      <x:c r="K53" s="3"/>
      <x:c r="L53" s="20"/>
      <x:c r="M53" s="3"/>
      <x:c r="N53" s="19" t="str">
        <x:f>IF(A53="","",IF(COUNTIFS('更新日志'!$A$7:$A$306,A53)&lt;&gt;1,"编号重复",IF(COUNTIFS('问题总览'!$A$7:$A$306,B53)&lt;&gt;1,"问题引用无效",IF(COUNTIFS('复盘记录'!$A$7:$A$306,C53,'复盘记录'!$B$7:$B$306,B53)&lt;&gt;1,"复盘引用无效",IF(OR(D53="",E53="",F53="",G53="",H53="",M53=""),"待补更新信息",IF(AND(OR(G53="已采纳",G53="保留不变"),OR(NOT(ISNUMBER(J53)),K53="")),"待补采用依据","有效输入"))))))</x:f>
      </x:c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25"/>
      <x:c r="K54" s="3"/>
      <x:c r="L54" s="20"/>
      <x:c r="M54" s="3"/>
      <x:c r="N54" s="19" t="str">
        <x:f>IF(A54="","",IF(COUNTIFS('更新日志'!$A$7:$A$306,A54)&lt;&gt;1,"编号重复",IF(COUNTIFS('问题总览'!$A$7:$A$306,B54)&lt;&gt;1,"问题引用无效",IF(COUNTIFS('复盘记录'!$A$7:$A$306,C54,'复盘记录'!$B$7:$B$306,B54)&lt;&gt;1,"复盘引用无效",IF(OR(D54="",E54="",F54="",G54="",H54="",M54=""),"待补更新信息",IF(AND(OR(G54="已采纳",G54="保留不变"),OR(NOT(ISNUMBER(J54)),K54="")),"待补采用依据","有效输入"))))))</x:f>
      </x:c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25"/>
      <x:c r="K55" s="3"/>
      <x:c r="L55" s="20"/>
      <x:c r="M55" s="3"/>
      <x:c r="N55" s="19" t="str">
        <x:f>IF(A55="","",IF(COUNTIFS('更新日志'!$A$7:$A$306,A55)&lt;&gt;1,"编号重复",IF(COUNTIFS('问题总览'!$A$7:$A$306,B55)&lt;&gt;1,"问题引用无效",IF(COUNTIFS('复盘记录'!$A$7:$A$306,C55,'复盘记录'!$B$7:$B$306,B55)&lt;&gt;1,"复盘引用无效",IF(OR(D55="",E55="",F55="",G55="",H55="",M55=""),"待补更新信息",IF(AND(OR(G55="已采纳",G55="保留不变"),OR(NOT(ISNUMBER(J55)),K55="")),"待补采用依据","有效输入"))))))</x:f>
      </x:c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25"/>
      <x:c r="K56" s="3"/>
      <x:c r="L56" s="20"/>
      <x:c r="M56" s="3"/>
      <x:c r="N56" s="19" t="str">
        <x:f>IF(A56="","",IF(COUNTIFS('更新日志'!$A$7:$A$306,A56)&lt;&gt;1,"编号重复",IF(COUNTIFS('问题总览'!$A$7:$A$306,B56)&lt;&gt;1,"问题引用无效",IF(COUNTIFS('复盘记录'!$A$7:$A$306,C56,'复盘记录'!$B$7:$B$306,B56)&lt;&gt;1,"复盘引用无效",IF(OR(D56="",E56="",F56="",G56="",H56="",M56=""),"待补更新信息",IF(AND(OR(G56="已采纳",G56="保留不变"),OR(NOT(ISNUMBER(J56)),K56="")),"待补采用依据","有效输入")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25"/>
      <x:c r="K57" s="3"/>
      <x:c r="L57" s="20"/>
      <x:c r="M57" s="3"/>
      <x:c r="N57" s="19" t="str">
        <x:f>IF(A57="","",IF(COUNTIFS('更新日志'!$A$7:$A$306,A57)&lt;&gt;1,"编号重复",IF(COUNTIFS('问题总览'!$A$7:$A$306,B57)&lt;&gt;1,"问题引用无效",IF(COUNTIFS('复盘记录'!$A$7:$A$306,C57,'复盘记录'!$B$7:$B$306,B57)&lt;&gt;1,"复盘引用无效",IF(OR(D57="",E57="",F57="",G57="",H57="",M57=""),"待补更新信息",IF(AND(OR(G57="已采纳",G57="保留不变"),OR(NOT(ISNUMBER(J57)),K57="")),"待补采用依据","有效输入"))))))</x:f>
      </x:c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25"/>
      <x:c r="K58" s="3"/>
      <x:c r="L58" s="20"/>
      <x:c r="M58" s="3"/>
      <x:c r="N58" s="19" t="str">
        <x:f>IF(A58="","",IF(COUNTIFS('更新日志'!$A$7:$A$306,A58)&lt;&gt;1,"编号重复",IF(COUNTIFS('问题总览'!$A$7:$A$306,B58)&lt;&gt;1,"问题引用无效",IF(COUNTIFS('复盘记录'!$A$7:$A$306,C58,'复盘记录'!$B$7:$B$306,B58)&lt;&gt;1,"复盘引用无效",IF(OR(D58="",E58="",F58="",G58="",H58="",M58=""),"待补更新信息",IF(AND(OR(G58="已采纳",G58="保留不变"),OR(NOT(ISNUMBER(J58)),K58="")),"待补采用依据","有效输入"))))))</x:f>
      </x:c>
    </x:row>
    <x:row r="59" ht="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25"/>
      <x:c r="K59" s="3"/>
      <x:c r="L59" s="20"/>
      <x:c r="M59" s="3"/>
      <x:c r="N59" s="19" t="str">
        <x:f>IF(A59="","",IF(COUNTIFS('更新日志'!$A$7:$A$306,A59)&lt;&gt;1,"编号重复",IF(COUNTIFS('问题总览'!$A$7:$A$306,B59)&lt;&gt;1,"问题引用无效",IF(COUNTIFS('复盘记录'!$A$7:$A$306,C59,'复盘记录'!$B$7:$B$306,B59)&lt;&gt;1,"复盘引用无效",IF(OR(D59="",E59="",F59="",G59="",H59="",M59=""),"待补更新信息",IF(AND(OR(G59="已采纳",G59="保留不变"),OR(NOT(ISNUMBER(J59)),K59="")),"待补采用依据","有效输入"))))))</x:f>
      </x:c>
    </x:row>
    <x:row r="60" ht="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25"/>
      <x:c r="K60" s="3"/>
      <x:c r="L60" s="20"/>
      <x:c r="M60" s="3"/>
      <x:c r="N60" s="19" t="str">
        <x:f>IF(A60="","",IF(COUNTIFS('更新日志'!$A$7:$A$306,A60)&lt;&gt;1,"编号重复",IF(COUNTIFS('问题总览'!$A$7:$A$306,B60)&lt;&gt;1,"问题引用无效",IF(COUNTIFS('复盘记录'!$A$7:$A$306,C60,'复盘记录'!$B$7:$B$306,B60)&lt;&gt;1,"复盘引用无效",IF(OR(D60="",E60="",F60="",G60="",H60="",M60=""),"待补更新信息",IF(AND(OR(G60="已采纳",G60="保留不变"),OR(NOT(ISNUMBER(J60)),K60="")),"待补采用依据","有效输入"))))))</x:f>
      </x:c>
    </x:row>
    <x:row r="61" ht="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25"/>
      <x:c r="K61" s="3"/>
      <x:c r="L61" s="20"/>
      <x:c r="M61" s="3"/>
      <x:c r="N61" s="19" t="str">
        <x:f>IF(A61="","",IF(COUNTIFS('更新日志'!$A$7:$A$306,A61)&lt;&gt;1,"编号重复",IF(COUNTIFS('问题总览'!$A$7:$A$306,B61)&lt;&gt;1,"问题引用无效",IF(COUNTIFS('复盘记录'!$A$7:$A$306,C61,'复盘记录'!$B$7:$B$306,B61)&lt;&gt;1,"复盘引用无效",IF(OR(D61="",E61="",F61="",G61="",H61="",M61=""),"待补更新信息",IF(AND(OR(G61="已采纳",G61="保留不变"),OR(NOT(ISNUMBER(J61)),K61="")),"待补采用依据","有效输入"))))))</x:f>
      </x:c>
    </x:row>
    <x:row r="62" ht="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25"/>
      <x:c r="K62" s="3"/>
      <x:c r="L62" s="20"/>
      <x:c r="M62" s="3"/>
      <x:c r="N62" s="19" t="str">
        <x:f>IF(A62="","",IF(COUNTIFS('更新日志'!$A$7:$A$306,A62)&lt;&gt;1,"编号重复",IF(COUNTIFS('问题总览'!$A$7:$A$306,B62)&lt;&gt;1,"问题引用无效",IF(COUNTIFS('复盘记录'!$A$7:$A$306,C62,'复盘记录'!$B$7:$B$306,B62)&lt;&gt;1,"复盘引用无效",IF(OR(D62="",E62="",F62="",G62="",H62="",M62=""),"待补更新信息",IF(AND(OR(G62="已采纳",G62="保留不变"),OR(NOT(ISNUMBER(J62)),K62="")),"待补采用依据","有效输入"))))))</x:f>
      </x:c>
    </x:row>
    <x:row r="63" ht="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25"/>
      <x:c r="K63" s="3"/>
      <x:c r="L63" s="20"/>
      <x:c r="M63" s="3"/>
      <x:c r="N63" s="19" t="str">
        <x:f>IF(A63="","",IF(COUNTIFS('更新日志'!$A$7:$A$306,A63)&lt;&gt;1,"编号重复",IF(COUNTIFS('问题总览'!$A$7:$A$306,B63)&lt;&gt;1,"问题引用无效",IF(COUNTIFS('复盘记录'!$A$7:$A$306,C63,'复盘记录'!$B$7:$B$306,B63)&lt;&gt;1,"复盘引用无效",IF(OR(D63="",E63="",F63="",G63="",H63="",M63=""),"待补更新信息",IF(AND(OR(G63="已采纳",G63="保留不变"),OR(NOT(ISNUMBER(J63)),K63="")),"待补采用依据","有效输入"))))))</x:f>
      </x:c>
    </x:row>
    <x:row r="64" ht="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25"/>
      <x:c r="K64" s="3"/>
      <x:c r="L64" s="20"/>
      <x:c r="M64" s="3"/>
      <x:c r="N64" s="19" t="str">
        <x:f>IF(A64="","",IF(COUNTIFS('更新日志'!$A$7:$A$306,A64)&lt;&gt;1,"编号重复",IF(COUNTIFS('问题总览'!$A$7:$A$306,B64)&lt;&gt;1,"问题引用无效",IF(COUNTIFS('复盘记录'!$A$7:$A$306,C64,'复盘记录'!$B$7:$B$306,B64)&lt;&gt;1,"复盘引用无效",IF(OR(D64="",E64="",F64="",G64="",H64="",M64=""),"待补更新信息",IF(AND(OR(G64="已采纳",G64="保留不变"),OR(NOT(ISNUMBER(J64)),K64="")),"待补采用依据","有效输入"))))))</x:f>
      </x:c>
    </x:row>
    <x:row r="65" ht="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25"/>
      <x:c r="K65" s="3"/>
      <x:c r="L65" s="20"/>
      <x:c r="M65" s="3"/>
      <x:c r="N65" s="19" t="str">
        <x:f>IF(A65="","",IF(COUNTIFS('更新日志'!$A$7:$A$306,A65)&lt;&gt;1,"编号重复",IF(COUNTIFS('问题总览'!$A$7:$A$306,B65)&lt;&gt;1,"问题引用无效",IF(COUNTIFS('复盘记录'!$A$7:$A$306,C65,'复盘记录'!$B$7:$B$306,B65)&lt;&gt;1,"复盘引用无效",IF(OR(D65="",E65="",F65="",G65="",H65="",M65=""),"待补更新信息",IF(AND(OR(G65="已采纳",G65="保留不变"),OR(NOT(ISNUMBER(J65)),K65="")),"待补采用依据","有效输入"))))))</x:f>
      </x:c>
    </x:row>
    <x:row r="66" ht="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25"/>
      <x:c r="K66" s="3"/>
      <x:c r="L66" s="20"/>
      <x:c r="M66" s="3"/>
      <x:c r="N66" s="19" t="str">
        <x:f>IF(A66="","",IF(COUNTIFS('更新日志'!$A$7:$A$306,A66)&lt;&gt;1,"编号重复",IF(COUNTIFS('问题总览'!$A$7:$A$306,B66)&lt;&gt;1,"问题引用无效",IF(COUNTIFS('复盘记录'!$A$7:$A$306,C66,'复盘记录'!$B$7:$B$306,B66)&lt;&gt;1,"复盘引用无效",IF(OR(D66="",E66="",F66="",G66="",H66="",M66=""),"待补更新信息",IF(AND(OR(G66="已采纳",G66="保留不变"),OR(NOT(ISNUMBER(J66)),K66="")),"待补采用依据","有效输入"))))))</x:f>
      </x:c>
    </x:row>
    <x:row r="67" ht="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25"/>
      <x:c r="K67" s="3"/>
      <x:c r="L67" s="20"/>
      <x:c r="M67" s="3"/>
      <x:c r="N67" s="19" t="str">
        <x:f>IF(A67="","",IF(COUNTIFS('更新日志'!$A$7:$A$306,A67)&lt;&gt;1,"编号重复",IF(COUNTIFS('问题总览'!$A$7:$A$306,B67)&lt;&gt;1,"问题引用无效",IF(COUNTIFS('复盘记录'!$A$7:$A$306,C67,'复盘记录'!$B$7:$B$306,B67)&lt;&gt;1,"复盘引用无效",IF(OR(D67="",E67="",F67="",G67="",H67="",M67=""),"待补更新信息",IF(AND(OR(G67="已采纳",G67="保留不变"),OR(NOT(ISNUMBER(J67)),K67="")),"待补采用依据","有效输入"))))))</x:f>
      </x:c>
    </x:row>
    <x:row r="68" ht="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25"/>
      <x:c r="K68" s="3"/>
      <x:c r="L68" s="20"/>
      <x:c r="M68" s="3"/>
      <x:c r="N68" s="19" t="str">
        <x:f>IF(A68="","",IF(COUNTIFS('更新日志'!$A$7:$A$306,A68)&lt;&gt;1,"编号重复",IF(COUNTIFS('问题总览'!$A$7:$A$306,B68)&lt;&gt;1,"问题引用无效",IF(COUNTIFS('复盘记录'!$A$7:$A$306,C68,'复盘记录'!$B$7:$B$306,B68)&lt;&gt;1,"复盘引用无效",IF(OR(D68="",E68="",F68="",G68="",H68="",M68=""),"待补更新信息",IF(AND(OR(G68="已采纳",G68="保留不变"),OR(NOT(ISNUMBER(J68)),K68="")),"待补采用依据","有效输入"))))))</x:f>
      </x:c>
    </x:row>
    <x:row r="69" ht="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25"/>
      <x:c r="K69" s="3"/>
      <x:c r="L69" s="20"/>
      <x:c r="M69" s="3"/>
      <x:c r="N69" s="19" t="str">
        <x:f>IF(A69="","",IF(COUNTIFS('更新日志'!$A$7:$A$306,A69)&lt;&gt;1,"编号重复",IF(COUNTIFS('问题总览'!$A$7:$A$306,B69)&lt;&gt;1,"问题引用无效",IF(COUNTIFS('复盘记录'!$A$7:$A$306,C69,'复盘记录'!$B$7:$B$306,B69)&lt;&gt;1,"复盘引用无效",IF(OR(D69="",E69="",F69="",G69="",H69="",M69=""),"待补更新信息",IF(AND(OR(G69="已采纳",G69="保留不变"),OR(NOT(ISNUMBER(J69)),K69="")),"待补采用依据","有效输入"))))))</x:f>
      </x:c>
    </x:row>
    <x:row r="70" ht="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25"/>
      <x:c r="K70" s="3"/>
      <x:c r="L70" s="20"/>
      <x:c r="M70" s="3"/>
      <x:c r="N70" s="19" t="str">
        <x:f>IF(A70="","",IF(COUNTIFS('更新日志'!$A$7:$A$306,A70)&lt;&gt;1,"编号重复",IF(COUNTIFS('问题总览'!$A$7:$A$306,B70)&lt;&gt;1,"问题引用无效",IF(COUNTIFS('复盘记录'!$A$7:$A$306,C70,'复盘记录'!$B$7:$B$306,B70)&lt;&gt;1,"复盘引用无效",IF(OR(D70="",E70="",F70="",G70="",H70="",M70=""),"待补更新信息",IF(AND(OR(G70="已采纳",G70="保留不变"),OR(NOT(ISNUMBER(J70)),K70="")),"待补采用依据","有效输入"))))))</x:f>
      </x:c>
    </x:row>
    <x:row r="71" ht="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25"/>
      <x:c r="K71" s="3"/>
      <x:c r="L71" s="20"/>
      <x:c r="M71" s="3"/>
      <x:c r="N71" s="19" t="str">
        <x:f>IF(A71="","",IF(COUNTIFS('更新日志'!$A$7:$A$306,A71)&lt;&gt;1,"编号重复",IF(COUNTIFS('问题总览'!$A$7:$A$306,B71)&lt;&gt;1,"问题引用无效",IF(COUNTIFS('复盘记录'!$A$7:$A$306,C71,'复盘记录'!$B$7:$B$306,B71)&lt;&gt;1,"复盘引用无效",IF(OR(D71="",E71="",F71="",G71="",H71="",M71=""),"待补更新信息",IF(AND(OR(G71="已采纳",G71="保留不变"),OR(NOT(ISNUMBER(J71)),K71="")),"待补采用依据","有效输入"))))))</x:f>
      </x:c>
    </x:row>
    <x:row r="72" ht="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25"/>
      <x:c r="K72" s="3"/>
      <x:c r="L72" s="20"/>
      <x:c r="M72" s="3"/>
      <x:c r="N72" s="19" t="str">
        <x:f>IF(A72="","",IF(COUNTIFS('更新日志'!$A$7:$A$306,A72)&lt;&gt;1,"编号重复",IF(COUNTIFS('问题总览'!$A$7:$A$306,B72)&lt;&gt;1,"问题引用无效",IF(COUNTIFS('复盘记录'!$A$7:$A$306,C72,'复盘记录'!$B$7:$B$306,B72)&lt;&gt;1,"复盘引用无效",IF(OR(D72="",E72="",F72="",G72="",H72="",M72=""),"待补更新信息",IF(AND(OR(G72="已采纳",G72="保留不变"),OR(NOT(ISNUMBER(J72)),K72="")),"待补采用依据","有效输入"))))))</x:f>
      </x:c>
    </x:row>
    <x:row r="73" ht="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25"/>
      <x:c r="K73" s="3"/>
      <x:c r="L73" s="20"/>
      <x:c r="M73" s="3"/>
      <x:c r="N73" s="19" t="str">
        <x:f>IF(A73="","",IF(COUNTIFS('更新日志'!$A$7:$A$306,A73)&lt;&gt;1,"编号重复",IF(COUNTIFS('问题总览'!$A$7:$A$306,B73)&lt;&gt;1,"问题引用无效",IF(COUNTIFS('复盘记录'!$A$7:$A$306,C73,'复盘记录'!$B$7:$B$306,B73)&lt;&gt;1,"复盘引用无效",IF(OR(D73="",E73="",F73="",G73="",H73="",M73=""),"待补更新信息",IF(AND(OR(G73="已采纳",G73="保留不变"),OR(NOT(ISNUMBER(J73)),K73="")),"待补采用依据","有效输入"))))))</x:f>
      </x:c>
    </x:row>
    <x:row r="74" ht="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25"/>
      <x:c r="K74" s="3"/>
      <x:c r="L74" s="20"/>
      <x:c r="M74" s="3"/>
      <x:c r="N74" s="19" t="str">
        <x:f>IF(A74="","",IF(COUNTIFS('更新日志'!$A$7:$A$306,A74)&lt;&gt;1,"编号重复",IF(COUNTIFS('问题总览'!$A$7:$A$306,B74)&lt;&gt;1,"问题引用无效",IF(COUNTIFS('复盘记录'!$A$7:$A$306,C74,'复盘记录'!$B$7:$B$306,B74)&lt;&gt;1,"复盘引用无效",IF(OR(D74="",E74="",F74="",G74="",H74="",M74=""),"待补更新信息",IF(AND(OR(G74="已采纳",G74="保留不变"),OR(NOT(ISNUMBER(J74)),K74="")),"待补采用依据","有效输入"))))))</x:f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25"/>
      <x:c r="K75" s="3"/>
      <x:c r="L75" s="20"/>
      <x:c r="M75" s="3"/>
      <x:c r="N75" s="19" t="str">
        <x:f>IF(A75="","",IF(COUNTIFS('更新日志'!$A$7:$A$306,A75)&lt;&gt;1,"编号重复",IF(COUNTIFS('问题总览'!$A$7:$A$306,B75)&lt;&gt;1,"问题引用无效",IF(COUNTIFS('复盘记录'!$A$7:$A$306,C75,'复盘记录'!$B$7:$B$306,B75)&lt;&gt;1,"复盘引用无效",IF(OR(D75="",E75="",F75="",G75="",H75="",M75=""),"待补更新信息",IF(AND(OR(G75="已采纳",G75="保留不变"),OR(NOT(ISNUMBER(J75)),K75="")),"待补采用依据","有效输入"))))))</x:f>
      </x:c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25"/>
      <x:c r="K76" s="3"/>
      <x:c r="L76" s="20"/>
      <x:c r="M76" s="3"/>
      <x:c r="N76" s="19" t="str">
        <x:f>IF(A76="","",IF(COUNTIFS('更新日志'!$A$7:$A$306,A76)&lt;&gt;1,"编号重复",IF(COUNTIFS('问题总览'!$A$7:$A$306,B76)&lt;&gt;1,"问题引用无效",IF(COUNTIFS('复盘记录'!$A$7:$A$306,C76,'复盘记录'!$B$7:$B$306,B76)&lt;&gt;1,"复盘引用无效",IF(OR(D76="",E76="",F76="",G76="",H76="",M76=""),"待补更新信息",IF(AND(OR(G76="已采纳",G76="保留不变"),OR(NOT(ISNUMBER(J76)),K76="")),"待补采用依据","有效输入"))))))</x:f>
      </x:c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25"/>
      <x:c r="K77" s="3"/>
      <x:c r="L77" s="20"/>
      <x:c r="M77" s="3"/>
      <x:c r="N77" s="19" t="str">
        <x:f>IF(A77="","",IF(COUNTIFS('更新日志'!$A$7:$A$306,A77)&lt;&gt;1,"编号重复",IF(COUNTIFS('问题总览'!$A$7:$A$306,B77)&lt;&gt;1,"问题引用无效",IF(COUNTIFS('复盘记录'!$A$7:$A$306,C77,'复盘记录'!$B$7:$B$306,B77)&lt;&gt;1,"复盘引用无效",IF(OR(D77="",E77="",F77="",G77="",H77="",M77=""),"待补更新信息",IF(AND(OR(G77="已采纳",G77="保留不变"),OR(NOT(ISNUMBER(J77)),K77="")),"待补采用依据","有效输入"))))))</x:f>
      </x:c>
    </x:row>
    <x:row r="78" ht="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25"/>
      <x:c r="K78" s="3"/>
      <x:c r="L78" s="20"/>
      <x:c r="M78" s="3"/>
      <x:c r="N78" s="19" t="str">
        <x:f>IF(A78="","",IF(COUNTIFS('更新日志'!$A$7:$A$306,A78)&lt;&gt;1,"编号重复",IF(COUNTIFS('问题总览'!$A$7:$A$306,B78)&lt;&gt;1,"问题引用无效",IF(COUNTIFS('复盘记录'!$A$7:$A$306,C78,'复盘记录'!$B$7:$B$306,B78)&lt;&gt;1,"复盘引用无效",IF(OR(D78="",E78="",F78="",G78="",H78="",M78=""),"待补更新信息",IF(AND(OR(G78="已采纳",G78="保留不变"),OR(NOT(ISNUMBER(J78)),K78="")),"待补采用依据","有效输入"))))))</x:f>
      </x:c>
    </x:row>
    <x:row r="79" ht="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25"/>
      <x:c r="K79" s="3"/>
      <x:c r="L79" s="20"/>
      <x:c r="M79" s="3"/>
      <x:c r="N79" s="19" t="str">
        <x:f>IF(A79="","",IF(COUNTIFS('更新日志'!$A$7:$A$306,A79)&lt;&gt;1,"编号重复",IF(COUNTIFS('问题总览'!$A$7:$A$306,B79)&lt;&gt;1,"问题引用无效",IF(COUNTIFS('复盘记录'!$A$7:$A$306,C79,'复盘记录'!$B$7:$B$306,B79)&lt;&gt;1,"复盘引用无效",IF(OR(D79="",E79="",F79="",G79="",H79="",M79=""),"待补更新信息",IF(AND(OR(G79="已采纳",G79="保留不变"),OR(NOT(ISNUMBER(J79)),K79="")),"待补采用依据","有效输入"))))))</x:f>
      </x:c>
    </x:row>
    <x:row r="80" ht="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25"/>
      <x:c r="K80" s="3"/>
      <x:c r="L80" s="20"/>
      <x:c r="M80" s="3"/>
      <x:c r="N80" s="19" t="str">
        <x:f>IF(A80="","",IF(COUNTIFS('更新日志'!$A$7:$A$306,A80)&lt;&gt;1,"编号重复",IF(COUNTIFS('问题总览'!$A$7:$A$306,B80)&lt;&gt;1,"问题引用无效",IF(COUNTIFS('复盘记录'!$A$7:$A$306,C80,'复盘记录'!$B$7:$B$306,B80)&lt;&gt;1,"复盘引用无效",IF(OR(D80="",E80="",F80="",G80="",H80="",M80=""),"待补更新信息",IF(AND(OR(G80="已采纳",G80="保留不变"),OR(NOT(ISNUMBER(J80)),K80="")),"待补采用依据","有效输入"))))))</x:f>
      </x:c>
    </x:row>
    <x:row r="81" ht="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25"/>
      <x:c r="K81" s="3"/>
      <x:c r="L81" s="20"/>
      <x:c r="M81" s="3"/>
      <x:c r="N81" s="19" t="str">
        <x:f>IF(A81="","",IF(COUNTIFS('更新日志'!$A$7:$A$306,A81)&lt;&gt;1,"编号重复",IF(COUNTIFS('问题总览'!$A$7:$A$306,B81)&lt;&gt;1,"问题引用无效",IF(COUNTIFS('复盘记录'!$A$7:$A$306,C81,'复盘记录'!$B$7:$B$306,B81)&lt;&gt;1,"复盘引用无效",IF(OR(D81="",E81="",F81="",G81="",H81="",M81=""),"待补更新信息",IF(AND(OR(G81="已采纳",G81="保留不变"),OR(NOT(ISNUMBER(J81)),K81="")),"待补采用依据","有效输入"))))))</x:f>
      </x:c>
    </x:row>
    <x:row r="82" ht="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25"/>
      <x:c r="K82" s="3"/>
      <x:c r="L82" s="20"/>
      <x:c r="M82" s="3"/>
      <x:c r="N82" s="19" t="str">
        <x:f>IF(A82="","",IF(COUNTIFS('更新日志'!$A$7:$A$306,A82)&lt;&gt;1,"编号重复",IF(COUNTIFS('问题总览'!$A$7:$A$306,B82)&lt;&gt;1,"问题引用无效",IF(COUNTIFS('复盘记录'!$A$7:$A$306,C82,'复盘记录'!$B$7:$B$306,B82)&lt;&gt;1,"复盘引用无效",IF(OR(D82="",E82="",F82="",G82="",H82="",M82=""),"待补更新信息",IF(AND(OR(G82="已采纳",G82="保留不变"),OR(NOT(ISNUMBER(J82)),K82="")),"待补采用依据","有效输入"))))))</x:f>
      </x:c>
    </x:row>
    <x:row r="83" ht="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25"/>
      <x:c r="K83" s="3"/>
      <x:c r="L83" s="20"/>
      <x:c r="M83" s="3"/>
      <x:c r="N83" s="19" t="str">
        <x:f>IF(A83="","",IF(COUNTIFS('更新日志'!$A$7:$A$306,A83)&lt;&gt;1,"编号重复",IF(COUNTIFS('问题总览'!$A$7:$A$306,B83)&lt;&gt;1,"问题引用无效",IF(COUNTIFS('复盘记录'!$A$7:$A$306,C83,'复盘记录'!$B$7:$B$306,B83)&lt;&gt;1,"复盘引用无效",IF(OR(D83="",E83="",F83="",G83="",H83="",M83=""),"待补更新信息",IF(AND(OR(G83="已采纳",G83="保留不变"),OR(NOT(ISNUMBER(J83)),K83="")),"待补采用依据","有效输入"))))))</x:f>
      </x:c>
    </x:row>
    <x:row r="84" ht="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25"/>
      <x:c r="K84" s="3"/>
      <x:c r="L84" s="20"/>
      <x:c r="M84" s="3"/>
      <x:c r="N84" s="19" t="str">
        <x:f>IF(A84="","",IF(COUNTIFS('更新日志'!$A$7:$A$306,A84)&lt;&gt;1,"编号重复",IF(COUNTIFS('问题总览'!$A$7:$A$306,B84)&lt;&gt;1,"问题引用无效",IF(COUNTIFS('复盘记录'!$A$7:$A$306,C84,'复盘记录'!$B$7:$B$306,B84)&lt;&gt;1,"复盘引用无效",IF(OR(D84="",E84="",F84="",G84="",H84="",M84=""),"待补更新信息",IF(AND(OR(G84="已采纳",G84="保留不变"),OR(NOT(ISNUMBER(J84)),K84="")),"待补采用依据","有效输入"))))))</x:f>
      </x:c>
    </x:row>
    <x:row r="85" ht="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25"/>
      <x:c r="K85" s="3"/>
      <x:c r="L85" s="20"/>
      <x:c r="M85" s="3"/>
      <x:c r="N85" s="19" t="str">
        <x:f>IF(A85="","",IF(COUNTIFS('更新日志'!$A$7:$A$306,A85)&lt;&gt;1,"编号重复",IF(COUNTIFS('问题总览'!$A$7:$A$306,B85)&lt;&gt;1,"问题引用无效",IF(COUNTIFS('复盘记录'!$A$7:$A$306,C85,'复盘记录'!$B$7:$B$306,B85)&lt;&gt;1,"复盘引用无效",IF(OR(D85="",E85="",F85="",G85="",H85="",M85=""),"待补更新信息",IF(AND(OR(G85="已采纳",G85="保留不变"),OR(NOT(ISNUMBER(J85)),K85="")),"待补采用依据","有效输入"))))))</x:f>
      </x:c>
    </x:row>
    <x:row r="86" ht="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25"/>
      <x:c r="K86" s="3"/>
      <x:c r="L86" s="20"/>
      <x:c r="M86" s="3"/>
      <x:c r="N86" s="19" t="str">
        <x:f>IF(A86="","",IF(COUNTIFS('更新日志'!$A$7:$A$306,A86)&lt;&gt;1,"编号重复",IF(COUNTIFS('问题总览'!$A$7:$A$306,B86)&lt;&gt;1,"问题引用无效",IF(COUNTIFS('复盘记录'!$A$7:$A$306,C86,'复盘记录'!$B$7:$B$306,B86)&lt;&gt;1,"复盘引用无效",IF(OR(D86="",E86="",F86="",G86="",H86="",M86=""),"待补更新信息",IF(AND(OR(G86="已采纳",G86="保留不变"),OR(NOT(ISNUMBER(J86)),K86="")),"待补采用依据","有效输入"))))))</x:f>
      </x:c>
    </x:row>
    <x:row r="87" ht="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25"/>
      <x:c r="K87" s="3"/>
      <x:c r="L87" s="20"/>
      <x:c r="M87" s="3"/>
      <x:c r="N87" s="19" t="str">
        <x:f>IF(A87="","",IF(COUNTIFS('更新日志'!$A$7:$A$306,A87)&lt;&gt;1,"编号重复",IF(COUNTIFS('问题总览'!$A$7:$A$306,B87)&lt;&gt;1,"问题引用无效",IF(COUNTIFS('复盘记录'!$A$7:$A$306,C87,'复盘记录'!$B$7:$B$306,B87)&lt;&gt;1,"复盘引用无效",IF(OR(D87="",E87="",F87="",G87="",H87="",M87=""),"待补更新信息",IF(AND(OR(G87="已采纳",G87="保留不变"),OR(NOT(ISNUMBER(J87)),K87="")),"待补采用依据","有效输入"))))))</x:f>
      </x:c>
    </x:row>
    <x:row r="88" ht="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25"/>
      <x:c r="K88" s="3"/>
      <x:c r="L88" s="20"/>
      <x:c r="M88" s="3"/>
      <x:c r="N88" s="19" t="str">
        <x:f>IF(A88="","",IF(COUNTIFS('更新日志'!$A$7:$A$306,A88)&lt;&gt;1,"编号重复",IF(COUNTIFS('问题总览'!$A$7:$A$306,B88)&lt;&gt;1,"问题引用无效",IF(COUNTIFS('复盘记录'!$A$7:$A$306,C88,'复盘记录'!$B$7:$B$306,B88)&lt;&gt;1,"复盘引用无效",IF(OR(D88="",E88="",F88="",G88="",H88="",M88=""),"待补更新信息",IF(AND(OR(G88="已采纳",G88="保留不变"),OR(NOT(ISNUMBER(J88)),K88="")),"待补采用依据","有效输入"))))))</x:f>
      </x:c>
    </x:row>
    <x:row r="89" ht="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25"/>
      <x:c r="K89" s="3"/>
      <x:c r="L89" s="20"/>
      <x:c r="M89" s="3"/>
      <x:c r="N89" s="19" t="str">
        <x:f>IF(A89="","",IF(COUNTIFS('更新日志'!$A$7:$A$306,A89)&lt;&gt;1,"编号重复",IF(COUNTIFS('问题总览'!$A$7:$A$306,B89)&lt;&gt;1,"问题引用无效",IF(COUNTIFS('复盘记录'!$A$7:$A$306,C89,'复盘记录'!$B$7:$B$306,B89)&lt;&gt;1,"复盘引用无效",IF(OR(D89="",E89="",F89="",G89="",H89="",M89=""),"待补更新信息",IF(AND(OR(G89="已采纳",G89="保留不变"),OR(NOT(ISNUMBER(J89)),K89="")),"待补采用依据","有效输入"))))))</x:f>
      </x:c>
    </x:row>
    <x:row r="90" ht="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25"/>
      <x:c r="K90" s="3"/>
      <x:c r="L90" s="20"/>
      <x:c r="M90" s="3"/>
      <x:c r="N90" s="19" t="str">
        <x:f>IF(A90="","",IF(COUNTIFS('更新日志'!$A$7:$A$306,A90)&lt;&gt;1,"编号重复",IF(COUNTIFS('问题总览'!$A$7:$A$306,B90)&lt;&gt;1,"问题引用无效",IF(COUNTIFS('复盘记录'!$A$7:$A$306,C90,'复盘记录'!$B$7:$B$306,B90)&lt;&gt;1,"复盘引用无效",IF(OR(D90="",E90="",F90="",G90="",H90="",M90=""),"待补更新信息",IF(AND(OR(G90="已采纳",G90="保留不变"),OR(NOT(ISNUMBER(J90)),K90="")),"待补采用依据","有效输入"))))))</x:f>
      </x:c>
    </x:row>
    <x:row r="91" ht="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25"/>
      <x:c r="K91" s="3"/>
      <x:c r="L91" s="20"/>
      <x:c r="M91" s="3"/>
      <x:c r="N91" s="19" t="str">
        <x:f>IF(A91="","",IF(COUNTIFS('更新日志'!$A$7:$A$306,A91)&lt;&gt;1,"编号重复",IF(COUNTIFS('问题总览'!$A$7:$A$306,B91)&lt;&gt;1,"问题引用无效",IF(COUNTIFS('复盘记录'!$A$7:$A$306,C91,'复盘记录'!$B$7:$B$306,B91)&lt;&gt;1,"复盘引用无效",IF(OR(D91="",E91="",F91="",G91="",H91="",M91=""),"待补更新信息",IF(AND(OR(G91="已采纳",G91="保留不变"),OR(NOT(ISNUMBER(J91)),K91="")),"待补采用依据","有效输入"))))))</x:f>
      </x:c>
    </x:row>
    <x:row r="92" ht="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25"/>
      <x:c r="K92" s="3"/>
      <x:c r="L92" s="20"/>
      <x:c r="M92" s="3"/>
      <x:c r="N92" s="19" t="str">
        <x:f>IF(A92="","",IF(COUNTIFS('更新日志'!$A$7:$A$306,A92)&lt;&gt;1,"编号重复",IF(COUNTIFS('问题总览'!$A$7:$A$306,B92)&lt;&gt;1,"问题引用无效",IF(COUNTIFS('复盘记录'!$A$7:$A$306,C92,'复盘记录'!$B$7:$B$306,B92)&lt;&gt;1,"复盘引用无效",IF(OR(D92="",E92="",F92="",G92="",H92="",M92=""),"待补更新信息",IF(AND(OR(G92="已采纳",G92="保留不变"),OR(NOT(ISNUMBER(J92)),K92="")),"待补采用依据","有效输入"))))))</x:f>
      </x:c>
    </x:row>
    <x:row r="93" ht="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25"/>
      <x:c r="K93" s="3"/>
      <x:c r="L93" s="20"/>
      <x:c r="M93" s="3"/>
      <x:c r="N93" s="19" t="str">
        <x:f>IF(A93="","",IF(COUNTIFS('更新日志'!$A$7:$A$306,A93)&lt;&gt;1,"编号重复",IF(COUNTIFS('问题总览'!$A$7:$A$306,B93)&lt;&gt;1,"问题引用无效",IF(COUNTIFS('复盘记录'!$A$7:$A$306,C93,'复盘记录'!$B$7:$B$306,B93)&lt;&gt;1,"复盘引用无效",IF(OR(D93="",E93="",F93="",G93="",H93="",M93=""),"待补更新信息",IF(AND(OR(G93="已采纳",G93="保留不变"),OR(NOT(ISNUMBER(J93)),K93="")),"待补采用依据","有效输入"))))))</x:f>
      </x:c>
    </x:row>
    <x:row r="94" ht="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25"/>
      <x:c r="K94" s="3"/>
      <x:c r="L94" s="20"/>
      <x:c r="M94" s="3"/>
      <x:c r="N94" s="19" t="str">
        <x:f>IF(A94="","",IF(COUNTIFS('更新日志'!$A$7:$A$306,A94)&lt;&gt;1,"编号重复",IF(COUNTIFS('问题总览'!$A$7:$A$306,B94)&lt;&gt;1,"问题引用无效",IF(COUNTIFS('复盘记录'!$A$7:$A$306,C94,'复盘记录'!$B$7:$B$306,B94)&lt;&gt;1,"复盘引用无效",IF(OR(D94="",E94="",F94="",G94="",H94="",M94=""),"待补更新信息",IF(AND(OR(G94="已采纳",G94="保留不变"),OR(NOT(ISNUMBER(J94)),K94="")),"待补采用依据","有效输入"))))))</x:f>
      </x:c>
    </x:row>
    <x:row r="95" ht="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25"/>
      <x:c r="K95" s="3"/>
      <x:c r="L95" s="20"/>
      <x:c r="M95" s="3"/>
      <x:c r="N95" s="19" t="str">
        <x:f>IF(A95="","",IF(COUNTIFS('更新日志'!$A$7:$A$306,A95)&lt;&gt;1,"编号重复",IF(COUNTIFS('问题总览'!$A$7:$A$306,B95)&lt;&gt;1,"问题引用无效",IF(COUNTIFS('复盘记录'!$A$7:$A$306,C95,'复盘记录'!$B$7:$B$306,B95)&lt;&gt;1,"复盘引用无效",IF(OR(D95="",E95="",F95="",G95="",H95="",M95=""),"待补更新信息",IF(AND(OR(G95="已采纳",G95="保留不变"),OR(NOT(ISNUMBER(J95)),K95="")),"待补采用依据","有效输入"))))))</x:f>
      </x:c>
    </x:row>
    <x:row r="96" ht="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25"/>
      <x:c r="K96" s="3"/>
      <x:c r="L96" s="20"/>
      <x:c r="M96" s="3"/>
      <x:c r="N96" s="19" t="str">
        <x:f>IF(A96="","",IF(COUNTIFS('更新日志'!$A$7:$A$306,A96)&lt;&gt;1,"编号重复",IF(COUNTIFS('问题总览'!$A$7:$A$306,B96)&lt;&gt;1,"问题引用无效",IF(COUNTIFS('复盘记录'!$A$7:$A$306,C96,'复盘记录'!$B$7:$B$306,B96)&lt;&gt;1,"复盘引用无效",IF(OR(D96="",E96="",F96="",G96="",H96="",M96=""),"待补更新信息",IF(AND(OR(G96="已采纳",G96="保留不变"),OR(NOT(ISNUMBER(J96)),K96="")),"待补采用依据","有效输入"))))))</x:f>
      </x:c>
    </x:row>
    <x:row r="97" ht="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25"/>
      <x:c r="K97" s="3"/>
      <x:c r="L97" s="20"/>
      <x:c r="M97" s="3"/>
      <x:c r="N97" s="19" t="str">
        <x:f>IF(A97="","",IF(COUNTIFS('更新日志'!$A$7:$A$306,A97)&lt;&gt;1,"编号重复",IF(COUNTIFS('问题总览'!$A$7:$A$306,B97)&lt;&gt;1,"问题引用无效",IF(COUNTIFS('复盘记录'!$A$7:$A$306,C97,'复盘记录'!$B$7:$B$306,B97)&lt;&gt;1,"复盘引用无效",IF(OR(D97="",E97="",F97="",G97="",H97="",M97=""),"待补更新信息",IF(AND(OR(G97="已采纳",G97="保留不变"),OR(NOT(ISNUMBER(J97)),K97="")),"待补采用依据","有效输入"))))))</x:f>
      </x:c>
    </x:row>
    <x:row r="98" ht="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25"/>
      <x:c r="K98" s="3"/>
      <x:c r="L98" s="20"/>
      <x:c r="M98" s="3"/>
      <x:c r="N98" s="19" t="str">
        <x:f>IF(A98="","",IF(COUNTIFS('更新日志'!$A$7:$A$306,A98)&lt;&gt;1,"编号重复",IF(COUNTIFS('问题总览'!$A$7:$A$306,B98)&lt;&gt;1,"问题引用无效",IF(COUNTIFS('复盘记录'!$A$7:$A$306,C98,'复盘记录'!$B$7:$B$306,B98)&lt;&gt;1,"复盘引用无效",IF(OR(D98="",E98="",F98="",G98="",H98="",M98=""),"待补更新信息",IF(AND(OR(G98="已采纳",G98="保留不变"),OR(NOT(ISNUMBER(J98)),K98="")),"待补采用依据","有效输入"))))))</x:f>
      </x:c>
    </x:row>
    <x:row r="99" ht="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25"/>
      <x:c r="K99" s="3"/>
      <x:c r="L99" s="20"/>
      <x:c r="M99" s="3"/>
      <x:c r="N99" s="19" t="str">
        <x:f>IF(A99="","",IF(COUNTIFS('更新日志'!$A$7:$A$306,A99)&lt;&gt;1,"编号重复",IF(COUNTIFS('问题总览'!$A$7:$A$306,B99)&lt;&gt;1,"问题引用无效",IF(COUNTIFS('复盘记录'!$A$7:$A$306,C99,'复盘记录'!$B$7:$B$306,B99)&lt;&gt;1,"复盘引用无效",IF(OR(D99="",E99="",F99="",G99="",H99="",M99=""),"待补更新信息",IF(AND(OR(G99="已采纳",G99="保留不变"),OR(NOT(ISNUMBER(J99)),K99="")),"待补采用依据","有效输入"))))))</x:f>
      </x:c>
    </x:row>
    <x:row r="100" ht="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25"/>
      <x:c r="K100" s="3"/>
      <x:c r="L100" s="20"/>
      <x:c r="M100" s="3"/>
      <x:c r="N100" s="19" t="str">
        <x:f>IF(A100="","",IF(COUNTIFS('更新日志'!$A$7:$A$306,A100)&lt;&gt;1,"编号重复",IF(COUNTIFS('问题总览'!$A$7:$A$306,B100)&lt;&gt;1,"问题引用无效",IF(COUNTIFS('复盘记录'!$A$7:$A$306,C100,'复盘记录'!$B$7:$B$306,B100)&lt;&gt;1,"复盘引用无效",IF(OR(D100="",E100="",F100="",G100="",H100="",M100=""),"待补更新信息",IF(AND(OR(G100="已采纳",G100="保留不变"),OR(NOT(ISNUMBER(J100)),K100="")),"待补采用依据","有效输入"))))))</x:f>
      </x:c>
    </x:row>
    <x:row r="101" ht="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25"/>
      <x:c r="K101" s="3"/>
      <x:c r="L101" s="20"/>
      <x:c r="M101" s="3"/>
      <x:c r="N101" s="19" t="str">
        <x:f>IF(A101="","",IF(COUNTIFS('更新日志'!$A$7:$A$306,A101)&lt;&gt;1,"编号重复",IF(COUNTIFS('问题总览'!$A$7:$A$306,B101)&lt;&gt;1,"问题引用无效",IF(COUNTIFS('复盘记录'!$A$7:$A$306,C101,'复盘记录'!$B$7:$B$306,B101)&lt;&gt;1,"复盘引用无效",IF(OR(D101="",E101="",F101="",G101="",H101="",M101=""),"待补更新信息",IF(AND(OR(G101="已采纳",G101="保留不变"),OR(NOT(ISNUMBER(J101)),K101="")),"待补采用依据","有效输入"))))))</x:f>
      </x:c>
    </x:row>
    <x:row r="102" ht="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25"/>
      <x:c r="K102" s="3"/>
      <x:c r="L102" s="20"/>
      <x:c r="M102" s="3"/>
      <x:c r="N102" s="19" t="str">
        <x:f>IF(A102="","",IF(COUNTIFS('更新日志'!$A$7:$A$306,A102)&lt;&gt;1,"编号重复",IF(COUNTIFS('问题总览'!$A$7:$A$306,B102)&lt;&gt;1,"问题引用无效",IF(COUNTIFS('复盘记录'!$A$7:$A$306,C102,'复盘记录'!$B$7:$B$306,B102)&lt;&gt;1,"复盘引用无效",IF(OR(D102="",E102="",F102="",G102="",H102="",M102=""),"待补更新信息",IF(AND(OR(G102="已采纳",G102="保留不变"),OR(NOT(ISNUMBER(J102)),K102="")),"待补采用依据","有效输入"))))))</x:f>
      </x:c>
    </x:row>
    <x:row r="103" ht="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25"/>
      <x:c r="K103" s="3"/>
      <x:c r="L103" s="20"/>
      <x:c r="M103" s="3"/>
      <x:c r="N103" s="19" t="str">
        <x:f>IF(A103="","",IF(COUNTIFS('更新日志'!$A$7:$A$306,A103)&lt;&gt;1,"编号重复",IF(COUNTIFS('问题总览'!$A$7:$A$306,B103)&lt;&gt;1,"问题引用无效",IF(COUNTIFS('复盘记录'!$A$7:$A$306,C103,'复盘记录'!$B$7:$B$306,B103)&lt;&gt;1,"复盘引用无效",IF(OR(D103="",E103="",F103="",G103="",H103="",M103=""),"待补更新信息",IF(AND(OR(G103="已采纳",G103="保留不变"),OR(NOT(ISNUMBER(J103)),K103="")),"待补采用依据","有效输入"))))))</x:f>
      </x:c>
    </x:row>
    <x:row r="104" ht="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25"/>
      <x:c r="K104" s="3"/>
      <x:c r="L104" s="20"/>
      <x:c r="M104" s="3"/>
      <x:c r="N104" s="19" t="str">
        <x:f>IF(A104="","",IF(COUNTIFS('更新日志'!$A$7:$A$306,A104)&lt;&gt;1,"编号重复",IF(COUNTIFS('问题总览'!$A$7:$A$306,B104)&lt;&gt;1,"问题引用无效",IF(COUNTIFS('复盘记录'!$A$7:$A$306,C104,'复盘记录'!$B$7:$B$306,B104)&lt;&gt;1,"复盘引用无效",IF(OR(D104="",E104="",F104="",G104="",H104="",M104=""),"待补更新信息",IF(AND(OR(G104="已采纳",G104="保留不变"),OR(NOT(ISNUMBER(J104)),K104="")),"待补采用依据","有效输入"))))))</x:f>
      </x:c>
    </x:row>
    <x:row r="105" ht="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25"/>
      <x:c r="K105" s="3"/>
      <x:c r="L105" s="20"/>
      <x:c r="M105" s="3"/>
      <x:c r="N105" s="19" t="str">
        <x:f>IF(A105="","",IF(COUNTIFS('更新日志'!$A$7:$A$306,A105)&lt;&gt;1,"编号重复",IF(COUNTIFS('问题总览'!$A$7:$A$306,B105)&lt;&gt;1,"问题引用无效",IF(COUNTIFS('复盘记录'!$A$7:$A$306,C105,'复盘记录'!$B$7:$B$306,B105)&lt;&gt;1,"复盘引用无效",IF(OR(D105="",E105="",F105="",G105="",H105="",M105=""),"待补更新信息",IF(AND(OR(G105="已采纳",G105="保留不变"),OR(NOT(ISNUMBER(J105)),K105="")),"待补采用依据","有效输入"))))))</x:f>
      </x:c>
    </x:row>
    <x:row r="106" ht="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25"/>
      <x:c r="K106" s="3"/>
      <x:c r="L106" s="20"/>
      <x:c r="M106" s="3"/>
      <x:c r="N106" s="19" t="str">
        <x:f>IF(A106="","",IF(COUNTIFS('更新日志'!$A$7:$A$306,A106)&lt;&gt;1,"编号重复",IF(COUNTIFS('问题总览'!$A$7:$A$306,B106)&lt;&gt;1,"问题引用无效",IF(COUNTIFS('复盘记录'!$A$7:$A$306,C106,'复盘记录'!$B$7:$B$306,B106)&lt;&gt;1,"复盘引用无效",IF(OR(D106="",E106="",F106="",G106="",H106="",M106=""),"待补更新信息",IF(AND(OR(G106="已采纳",G106="保留不变"),OR(NOT(ISNUMBER(J106)),K106="")),"待补采用依据","有效输入"))))))</x:f>
      </x:c>
    </x:row>
    <x:row r="107" ht="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25"/>
      <x:c r="K107" s="3"/>
      <x:c r="L107" s="20"/>
      <x:c r="M107" s="3"/>
      <x:c r="N107" s="19" t="str">
        <x:f>IF(A107="","",IF(COUNTIFS('更新日志'!$A$7:$A$306,A107)&lt;&gt;1,"编号重复",IF(COUNTIFS('问题总览'!$A$7:$A$306,B107)&lt;&gt;1,"问题引用无效",IF(COUNTIFS('复盘记录'!$A$7:$A$306,C107,'复盘记录'!$B$7:$B$306,B107)&lt;&gt;1,"复盘引用无效",IF(OR(D107="",E107="",F107="",G107="",H107="",M107=""),"待补更新信息",IF(AND(OR(G107="已采纳",G107="保留不变"),OR(NOT(ISNUMBER(J107)),K107="")),"待补采用依据","有效输入"))))))</x:f>
      </x:c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25"/>
      <x:c r="K108" s="3"/>
      <x:c r="L108" s="20"/>
      <x:c r="M108" s="3"/>
      <x:c r="N108" s="19" t="str">
        <x:f>IF(A108="","",IF(COUNTIFS('更新日志'!$A$7:$A$306,A108)&lt;&gt;1,"编号重复",IF(COUNTIFS('问题总览'!$A$7:$A$306,B108)&lt;&gt;1,"问题引用无效",IF(COUNTIFS('复盘记录'!$A$7:$A$306,C108,'复盘记录'!$B$7:$B$306,B108)&lt;&gt;1,"复盘引用无效",IF(OR(D108="",E108="",F108="",G108="",H108="",M108=""),"待补更新信息",IF(AND(OR(G108="已采纳",G108="保留不变"),OR(NOT(ISNUMBER(J108)),K108="")),"待补采用依据","有效输入"))))))</x:f>
      </x:c>
    </x:row>
    <x:row r="109" ht="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25"/>
      <x:c r="K109" s="3"/>
      <x:c r="L109" s="20"/>
      <x:c r="M109" s="3"/>
      <x:c r="N109" s="19" t="str">
        <x:f>IF(A109="","",IF(COUNTIFS('更新日志'!$A$7:$A$306,A109)&lt;&gt;1,"编号重复",IF(COUNTIFS('问题总览'!$A$7:$A$306,B109)&lt;&gt;1,"问题引用无效",IF(COUNTIFS('复盘记录'!$A$7:$A$306,C109,'复盘记录'!$B$7:$B$306,B109)&lt;&gt;1,"复盘引用无效",IF(OR(D109="",E109="",F109="",G109="",H109="",M109=""),"待补更新信息",IF(AND(OR(G109="已采纳",G109="保留不变"),OR(NOT(ISNUMBER(J109)),K109="")),"待补采用依据","有效输入"))))))</x:f>
      </x:c>
    </x:row>
    <x:row r="110" ht="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25"/>
      <x:c r="K110" s="3"/>
      <x:c r="L110" s="20"/>
      <x:c r="M110" s="3"/>
      <x:c r="N110" s="19" t="str">
        <x:f>IF(A110="","",IF(COUNTIFS('更新日志'!$A$7:$A$306,A110)&lt;&gt;1,"编号重复",IF(COUNTIFS('问题总览'!$A$7:$A$306,B110)&lt;&gt;1,"问题引用无效",IF(COUNTIFS('复盘记录'!$A$7:$A$306,C110,'复盘记录'!$B$7:$B$306,B110)&lt;&gt;1,"复盘引用无效",IF(OR(D110="",E110="",F110="",G110="",H110="",M110=""),"待补更新信息",IF(AND(OR(G110="已采纳",G110="保留不变"),OR(NOT(ISNUMBER(J110)),K110="")),"待补采用依据","有效输入"))))))</x:f>
      </x:c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25"/>
      <x:c r="K111" s="3"/>
      <x:c r="L111" s="20"/>
      <x:c r="M111" s="3"/>
      <x:c r="N111" s="19" t="str">
        <x:f>IF(A111="","",IF(COUNTIFS('更新日志'!$A$7:$A$306,A111)&lt;&gt;1,"编号重复",IF(COUNTIFS('问题总览'!$A$7:$A$306,B111)&lt;&gt;1,"问题引用无效",IF(COUNTIFS('复盘记录'!$A$7:$A$306,C111,'复盘记录'!$B$7:$B$306,B111)&lt;&gt;1,"复盘引用无效",IF(OR(D111="",E111="",F111="",G111="",H111="",M111=""),"待补更新信息",IF(AND(OR(G111="已采纳",G111="保留不变"),OR(NOT(ISNUMBER(J111)),K111="")),"待补采用依据","有效输入"))))))</x:f>
      </x:c>
    </x:row>
    <x:row r="112" ht="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25"/>
      <x:c r="K112" s="3"/>
      <x:c r="L112" s="20"/>
      <x:c r="M112" s="3"/>
      <x:c r="N112" s="19" t="str">
        <x:f>IF(A112="","",IF(COUNTIFS('更新日志'!$A$7:$A$306,A112)&lt;&gt;1,"编号重复",IF(COUNTIFS('问题总览'!$A$7:$A$306,B112)&lt;&gt;1,"问题引用无效",IF(COUNTIFS('复盘记录'!$A$7:$A$306,C112,'复盘记录'!$B$7:$B$306,B112)&lt;&gt;1,"复盘引用无效",IF(OR(D112="",E112="",F112="",G112="",H112="",M112=""),"待补更新信息",IF(AND(OR(G112="已采纳",G112="保留不变"),OR(NOT(ISNUMBER(J112)),K112="")),"待补采用依据","有效输入"))))))</x:f>
      </x:c>
    </x:row>
    <x:row r="113" ht="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25"/>
      <x:c r="K113" s="3"/>
      <x:c r="L113" s="20"/>
      <x:c r="M113" s="3"/>
      <x:c r="N113" s="19" t="str">
        <x:f>IF(A113="","",IF(COUNTIFS('更新日志'!$A$7:$A$306,A113)&lt;&gt;1,"编号重复",IF(COUNTIFS('问题总览'!$A$7:$A$306,B113)&lt;&gt;1,"问题引用无效",IF(COUNTIFS('复盘记录'!$A$7:$A$306,C113,'复盘记录'!$B$7:$B$306,B113)&lt;&gt;1,"复盘引用无效",IF(OR(D113="",E113="",F113="",G113="",H113="",M113=""),"待补更新信息",IF(AND(OR(G113="已采纳",G113="保留不变"),OR(NOT(ISNUMBER(J113)),K113="")),"待补采用依据","有效输入"))))))</x:f>
      </x:c>
    </x:row>
    <x:row r="114" ht="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25"/>
      <x:c r="K114" s="3"/>
      <x:c r="L114" s="20"/>
      <x:c r="M114" s="3"/>
      <x:c r="N114" s="19" t="str">
        <x:f>IF(A114="","",IF(COUNTIFS('更新日志'!$A$7:$A$306,A114)&lt;&gt;1,"编号重复",IF(COUNTIFS('问题总览'!$A$7:$A$306,B114)&lt;&gt;1,"问题引用无效",IF(COUNTIFS('复盘记录'!$A$7:$A$306,C114,'复盘记录'!$B$7:$B$306,B114)&lt;&gt;1,"复盘引用无效",IF(OR(D114="",E114="",F114="",G114="",H114="",M114=""),"待补更新信息",IF(AND(OR(G114="已采纳",G114="保留不变"),OR(NOT(ISNUMBER(J114)),K114="")),"待补采用依据","有效输入"))))))</x:f>
      </x:c>
    </x:row>
    <x:row r="115" ht="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25"/>
      <x:c r="K115" s="3"/>
      <x:c r="L115" s="20"/>
      <x:c r="M115" s="3"/>
      <x:c r="N115" s="19" t="str">
        <x:f>IF(A115="","",IF(COUNTIFS('更新日志'!$A$7:$A$306,A115)&lt;&gt;1,"编号重复",IF(COUNTIFS('问题总览'!$A$7:$A$306,B115)&lt;&gt;1,"问题引用无效",IF(COUNTIFS('复盘记录'!$A$7:$A$306,C115,'复盘记录'!$B$7:$B$306,B115)&lt;&gt;1,"复盘引用无效",IF(OR(D115="",E115="",F115="",G115="",H115="",M115=""),"待补更新信息",IF(AND(OR(G115="已采纳",G115="保留不变"),OR(NOT(ISNUMBER(J115)),K115="")),"待补采用依据","有效输入"))))))</x:f>
      </x:c>
    </x:row>
    <x:row r="116" ht="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25"/>
      <x:c r="K116" s="3"/>
      <x:c r="L116" s="20"/>
      <x:c r="M116" s="3"/>
      <x:c r="N116" s="19" t="str">
        <x:f>IF(A116="","",IF(COUNTIFS('更新日志'!$A$7:$A$306,A116)&lt;&gt;1,"编号重复",IF(COUNTIFS('问题总览'!$A$7:$A$306,B116)&lt;&gt;1,"问题引用无效",IF(COUNTIFS('复盘记录'!$A$7:$A$306,C116,'复盘记录'!$B$7:$B$306,B116)&lt;&gt;1,"复盘引用无效",IF(OR(D116="",E116="",F116="",G116="",H116="",M116=""),"待补更新信息",IF(AND(OR(G116="已采纳",G116="保留不变"),OR(NOT(ISNUMBER(J116)),K116="")),"待补采用依据","有效输入"))))))</x:f>
      </x:c>
    </x:row>
    <x:row r="117" ht="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25"/>
      <x:c r="K117" s="3"/>
      <x:c r="L117" s="20"/>
      <x:c r="M117" s="3"/>
      <x:c r="N117" s="19" t="str">
        <x:f>IF(A117="","",IF(COUNTIFS('更新日志'!$A$7:$A$306,A117)&lt;&gt;1,"编号重复",IF(COUNTIFS('问题总览'!$A$7:$A$306,B117)&lt;&gt;1,"问题引用无效",IF(COUNTIFS('复盘记录'!$A$7:$A$306,C117,'复盘记录'!$B$7:$B$306,B117)&lt;&gt;1,"复盘引用无效",IF(OR(D117="",E117="",F117="",G117="",H117="",M117=""),"待补更新信息",IF(AND(OR(G117="已采纳",G117="保留不变"),OR(NOT(ISNUMBER(J117)),K117="")),"待补采用依据","有效输入"))))))</x:f>
      </x:c>
    </x:row>
    <x:row r="118" ht="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25"/>
      <x:c r="K118" s="3"/>
      <x:c r="L118" s="20"/>
      <x:c r="M118" s="3"/>
      <x:c r="N118" s="19" t="str">
        <x:f>IF(A118="","",IF(COUNTIFS('更新日志'!$A$7:$A$306,A118)&lt;&gt;1,"编号重复",IF(COUNTIFS('问题总览'!$A$7:$A$306,B118)&lt;&gt;1,"问题引用无效",IF(COUNTIFS('复盘记录'!$A$7:$A$306,C118,'复盘记录'!$B$7:$B$306,B118)&lt;&gt;1,"复盘引用无效",IF(OR(D118="",E118="",F118="",G118="",H118="",M118=""),"待补更新信息",IF(AND(OR(G118="已采纳",G118="保留不变"),OR(NOT(ISNUMBER(J118)),K118="")),"待补采用依据","有效输入"))))))</x:f>
      </x:c>
    </x:row>
    <x:row r="119" ht="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25"/>
      <x:c r="K119" s="3"/>
      <x:c r="L119" s="20"/>
      <x:c r="M119" s="3"/>
      <x:c r="N119" s="19" t="str">
        <x:f>IF(A119="","",IF(COUNTIFS('更新日志'!$A$7:$A$306,A119)&lt;&gt;1,"编号重复",IF(COUNTIFS('问题总览'!$A$7:$A$306,B119)&lt;&gt;1,"问题引用无效",IF(COUNTIFS('复盘记录'!$A$7:$A$306,C119,'复盘记录'!$B$7:$B$306,B119)&lt;&gt;1,"复盘引用无效",IF(OR(D119="",E119="",F119="",G119="",H119="",M119=""),"待补更新信息",IF(AND(OR(G119="已采纳",G119="保留不变"),OR(NOT(ISNUMBER(J119)),K119="")),"待补采用依据","有效输入"))))))</x:f>
      </x:c>
    </x:row>
    <x:row r="120" ht="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25"/>
      <x:c r="K120" s="3"/>
      <x:c r="L120" s="20"/>
      <x:c r="M120" s="3"/>
      <x:c r="N120" s="19" t="str">
        <x:f>IF(A120="","",IF(COUNTIFS('更新日志'!$A$7:$A$306,A120)&lt;&gt;1,"编号重复",IF(COUNTIFS('问题总览'!$A$7:$A$306,B120)&lt;&gt;1,"问题引用无效",IF(COUNTIFS('复盘记录'!$A$7:$A$306,C120,'复盘记录'!$B$7:$B$306,B120)&lt;&gt;1,"复盘引用无效",IF(OR(D120="",E120="",F120="",G120="",H120="",M120=""),"待补更新信息",IF(AND(OR(G120="已采纳",G120="保留不变"),OR(NOT(ISNUMBER(J120)),K120="")),"待补采用依据","有效输入"))))))</x:f>
      </x:c>
    </x:row>
    <x:row r="121" ht="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25"/>
      <x:c r="K121" s="3"/>
      <x:c r="L121" s="20"/>
      <x:c r="M121" s="3"/>
      <x:c r="N121" s="19" t="str">
        <x:f>IF(A121="","",IF(COUNTIFS('更新日志'!$A$7:$A$306,A121)&lt;&gt;1,"编号重复",IF(COUNTIFS('问题总览'!$A$7:$A$306,B121)&lt;&gt;1,"问题引用无效",IF(COUNTIFS('复盘记录'!$A$7:$A$306,C121,'复盘记录'!$B$7:$B$306,B121)&lt;&gt;1,"复盘引用无效",IF(OR(D121="",E121="",F121="",G121="",H121="",M121=""),"待补更新信息",IF(AND(OR(G121="已采纳",G121="保留不变"),OR(NOT(ISNUMBER(J121)),K121="")),"待补采用依据","有效输入"))))))</x:f>
      </x:c>
    </x:row>
    <x:row r="122" ht="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25"/>
      <x:c r="K122" s="3"/>
      <x:c r="L122" s="20"/>
      <x:c r="M122" s="3"/>
      <x:c r="N122" s="19" t="str">
        <x:f>IF(A122="","",IF(COUNTIFS('更新日志'!$A$7:$A$306,A122)&lt;&gt;1,"编号重复",IF(COUNTIFS('问题总览'!$A$7:$A$306,B122)&lt;&gt;1,"问题引用无效",IF(COUNTIFS('复盘记录'!$A$7:$A$306,C122,'复盘记录'!$B$7:$B$306,B122)&lt;&gt;1,"复盘引用无效",IF(OR(D122="",E122="",F122="",G122="",H122="",M122=""),"待补更新信息",IF(AND(OR(G122="已采纳",G122="保留不变"),OR(NOT(ISNUMBER(J122)),K122="")),"待补采用依据","有效输入"))))))</x:f>
      </x:c>
    </x:row>
    <x:row r="123" ht="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25"/>
      <x:c r="K123" s="3"/>
      <x:c r="L123" s="20"/>
      <x:c r="M123" s="3"/>
      <x:c r="N123" s="19" t="str">
        <x:f>IF(A123="","",IF(COUNTIFS('更新日志'!$A$7:$A$306,A123)&lt;&gt;1,"编号重复",IF(COUNTIFS('问题总览'!$A$7:$A$306,B123)&lt;&gt;1,"问题引用无效",IF(COUNTIFS('复盘记录'!$A$7:$A$306,C123,'复盘记录'!$B$7:$B$306,B123)&lt;&gt;1,"复盘引用无效",IF(OR(D123="",E123="",F123="",G123="",H123="",M123=""),"待补更新信息",IF(AND(OR(G123="已采纳",G123="保留不变"),OR(NOT(ISNUMBER(J123)),K123="")),"待补采用依据","有效输入"))))))</x:f>
      </x:c>
    </x:row>
    <x:row r="124" ht="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25"/>
      <x:c r="K124" s="3"/>
      <x:c r="L124" s="20"/>
      <x:c r="M124" s="3"/>
      <x:c r="N124" s="19" t="str">
        <x:f>IF(A124="","",IF(COUNTIFS('更新日志'!$A$7:$A$306,A124)&lt;&gt;1,"编号重复",IF(COUNTIFS('问题总览'!$A$7:$A$306,B124)&lt;&gt;1,"问题引用无效",IF(COUNTIFS('复盘记录'!$A$7:$A$306,C124,'复盘记录'!$B$7:$B$306,B124)&lt;&gt;1,"复盘引用无效",IF(OR(D124="",E124="",F124="",G124="",H124="",M124=""),"待补更新信息",IF(AND(OR(G124="已采纳",G124="保留不变"),OR(NOT(ISNUMBER(J124)),K124="")),"待补采用依据","有效输入"))))))</x:f>
      </x:c>
    </x:row>
    <x:row r="125" ht="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25"/>
      <x:c r="K125" s="3"/>
      <x:c r="L125" s="20"/>
      <x:c r="M125" s="3"/>
      <x:c r="N125" s="19" t="str">
        <x:f>IF(A125="","",IF(COUNTIFS('更新日志'!$A$7:$A$306,A125)&lt;&gt;1,"编号重复",IF(COUNTIFS('问题总览'!$A$7:$A$306,B125)&lt;&gt;1,"问题引用无效",IF(COUNTIFS('复盘记录'!$A$7:$A$306,C125,'复盘记录'!$B$7:$B$306,B125)&lt;&gt;1,"复盘引用无效",IF(OR(D125="",E125="",F125="",G125="",H125="",M125=""),"待补更新信息",IF(AND(OR(G125="已采纳",G125="保留不变"),OR(NOT(ISNUMBER(J125)),K125="")),"待补采用依据","有效输入"))))))</x:f>
      </x:c>
    </x:row>
    <x:row r="126" ht="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25"/>
      <x:c r="K126" s="3"/>
      <x:c r="L126" s="20"/>
      <x:c r="M126" s="3"/>
      <x:c r="N126" s="19" t="str">
        <x:f>IF(A126="","",IF(COUNTIFS('更新日志'!$A$7:$A$306,A126)&lt;&gt;1,"编号重复",IF(COUNTIFS('问题总览'!$A$7:$A$306,B126)&lt;&gt;1,"问题引用无效",IF(COUNTIFS('复盘记录'!$A$7:$A$306,C126,'复盘记录'!$B$7:$B$306,B126)&lt;&gt;1,"复盘引用无效",IF(OR(D126="",E126="",F126="",G126="",H126="",M126=""),"待补更新信息",IF(AND(OR(G126="已采纳",G126="保留不变"),OR(NOT(ISNUMBER(J126)),K126="")),"待补采用依据","有效输入"))))))</x:f>
      </x:c>
    </x:row>
    <x:row r="127" ht="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25"/>
      <x:c r="K127" s="3"/>
      <x:c r="L127" s="20"/>
      <x:c r="M127" s="3"/>
      <x:c r="N127" s="19" t="str">
        <x:f>IF(A127="","",IF(COUNTIFS('更新日志'!$A$7:$A$306,A127)&lt;&gt;1,"编号重复",IF(COUNTIFS('问题总览'!$A$7:$A$306,B127)&lt;&gt;1,"问题引用无效",IF(COUNTIFS('复盘记录'!$A$7:$A$306,C127,'复盘记录'!$B$7:$B$306,B127)&lt;&gt;1,"复盘引用无效",IF(OR(D127="",E127="",F127="",G127="",H127="",M127=""),"待补更新信息",IF(AND(OR(G127="已采纳",G127="保留不变"),OR(NOT(ISNUMBER(J127)),K127="")),"待补采用依据","有效输入"))))))</x:f>
      </x:c>
    </x:row>
    <x:row r="128" ht="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25"/>
      <x:c r="K128" s="3"/>
      <x:c r="L128" s="20"/>
      <x:c r="M128" s="3"/>
      <x:c r="N128" s="19" t="str">
        <x:f>IF(A128="","",IF(COUNTIFS('更新日志'!$A$7:$A$306,A128)&lt;&gt;1,"编号重复",IF(COUNTIFS('问题总览'!$A$7:$A$306,B128)&lt;&gt;1,"问题引用无效",IF(COUNTIFS('复盘记录'!$A$7:$A$306,C128,'复盘记录'!$B$7:$B$306,B128)&lt;&gt;1,"复盘引用无效",IF(OR(D128="",E128="",F128="",G128="",H128="",M128=""),"待补更新信息",IF(AND(OR(G128="已采纳",G128="保留不变"),OR(NOT(ISNUMBER(J128)),K128="")),"待补采用依据","有效输入"))))))</x:f>
      </x:c>
    </x:row>
    <x:row r="129" ht="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25"/>
      <x:c r="K129" s="3"/>
      <x:c r="L129" s="20"/>
      <x:c r="M129" s="3"/>
      <x:c r="N129" s="19" t="str">
        <x:f>IF(A129="","",IF(COUNTIFS('更新日志'!$A$7:$A$306,A129)&lt;&gt;1,"编号重复",IF(COUNTIFS('问题总览'!$A$7:$A$306,B129)&lt;&gt;1,"问题引用无效",IF(COUNTIFS('复盘记录'!$A$7:$A$306,C129,'复盘记录'!$B$7:$B$306,B129)&lt;&gt;1,"复盘引用无效",IF(OR(D129="",E129="",F129="",G129="",H129="",M129=""),"待补更新信息",IF(AND(OR(G129="已采纳",G129="保留不变"),OR(NOT(ISNUMBER(J129)),K129="")),"待补采用依据","有效输入"))))))</x:f>
      </x:c>
    </x:row>
    <x:row r="130" ht="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25"/>
      <x:c r="K130" s="3"/>
      <x:c r="L130" s="20"/>
      <x:c r="M130" s="3"/>
      <x:c r="N130" s="19" t="str">
        <x:f>IF(A130="","",IF(COUNTIFS('更新日志'!$A$7:$A$306,A130)&lt;&gt;1,"编号重复",IF(COUNTIFS('问题总览'!$A$7:$A$306,B130)&lt;&gt;1,"问题引用无效",IF(COUNTIFS('复盘记录'!$A$7:$A$306,C130,'复盘记录'!$B$7:$B$306,B130)&lt;&gt;1,"复盘引用无效",IF(OR(D130="",E130="",F130="",G130="",H130="",M130=""),"待补更新信息",IF(AND(OR(G130="已采纳",G130="保留不变"),OR(NOT(ISNUMBER(J130)),K130="")),"待补采用依据","有效输入"))))))</x:f>
      </x:c>
    </x:row>
    <x:row r="131" ht="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25"/>
      <x:c r="K131" s="3"/>
      <x:c r="L131" s="20"/>
      <x:c r="M131" s="3"/>
      <x:c r="N131" s="19" t="str">
        <x:f>IF(A131="","",IF(COUNTIFS('更新日志'!$A$7:$A$306,A131)&lt;&gt;1,"编号重复",IF(COUNTIFS('问题总览'!$A$7:$A$306,B131)&lt;&gt;1,"问题引用无效",IF(COUNTIFS('复盘记录'!$A$7:$A$306,C131,'复盘记录'!$B$7:$B$306,B131)&lt;&gt;1,"复盘引用无效",IF(OR(D131="",E131="",F131="",G131="",H131="",M131=""),"待补更新信息",IF(AND(OR(G131="已采纳",G131="保留不变"),OR(NOT(ISNUMBER(J131)),K131="")),"待补采用依据","有效输入"))))))</x:f>
      </x:c>
    </x:row>
    <x:row r="132" ht="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25"/>
      <x:c r="K132" s="3"/>
      <x:c r="L132" s="20"/>
      <x:c r="M132" s="3"/>
      <x:c r="N132" s="19" t="str">
        <x:f>IF(A132="","",IF(COUNTIFS('更新日志'!$A$7:$A$306,A132)&lt;&gt;1,"编号重复",IF(COUNTIFS('问题总览'!$A$7:$A$306,B132)&lt;&gt;1,"问题引用无效",IF(COUNTIFS('复盘记录'!$A$7:$A$306,C132,'复盘记录'!$B$7:$B$306,B132)&lt;&gt;1,"复盘引用无效",IF(OR(D132="",E132="",F132="",G132="",H132="",M132=""),"待补更新信息",IF(AND(OR(G132="已采纳",G132="保留不变"),OR(NOT(ISNUMBER(J132)),K132="")),"待补采用依据","有效输入"))))))</x:f>
      </x:c>
    </x:row>
    <x:row r="133" ht="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25"/>
      <x:c r="K133" s="3"/>
      <x:c r="L133" s="20"/>
      <x:c r="M133" s="3"/>
      <x:c r="N133" s="19" t="str">
        <x:f>IF(A133="","",IF(COUNTIFS('更新日志'!$A$7:$A$306,A133)&lt;&gt;1,"编号重复",IF(COUNTIFS('问题总览'!$A$7:$A$306,B133)&lt;&gt;1,"问题引用无效",IF(COUNTIFS('复盘记录'!$A$7:$A$306,C133,'复盘记录'!$B$7:$B$306,B133)&lt;&gt;1,"复盘引用无效",IF(OR(D133="",E133="",F133="",G133="",H133="",M133=""),"待补更新信息",IF(AND(OR(G133="已采纳",G133="保留不变"),OR(NOT(ISNUMBER(J133)),K133="")),"待补采用依据","有效输入"))))))</x:f>
      </x:c>
    </x:row>
    <x:row r="134" ht="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25"/>
      <x:c r="K134" s="3"/>
      <x:c r="L134" s="20"/>
      <x:c r="M134" s="3"/>
      <x:c r="N134" s="19" t="str">
        <x:f>IF(A134="","",IF(COUNTIFS('更新日志'!$A$7:$A$306,A134)&lt;&gt;1,"编号重复",IF(COUNTIFS('问题总览'!$A$7:$A$306,B134)&lt;&gt;1,"问题引用无效",IF(COUNTIFS('复盘记录'!$A$7:$A$306,C134,'复盘记录'!$B$7:$B$306,B134)&lt;&gt;1,"复盘引用无效",IF(OR(D134="",E134="",F134="",G134="",H134="",M134=""),"待补更新信息",IF(AND(OR(G134="已采纳",G134="保留不变"),OR(NOT(ISNUMBER(J134)),K134="")),"待补采用依据","有效输入"))))))</x:f>
      </x:c>
    </x:row>
    <x:row r="135" ht="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25"/>
      <x:c r="K135" s="3"/>
      <x:c r="L135" s="20"/>
      <x:c r="M135" s="3"/>
      <x:c r="N135" s="19" t="str">
        <x:f>IF(A135="","",IF(COUNTIFS('更新日志'!$A$7:$A$306,A135)&lt;&gt;1,"编号重复",IF(COUNTIFS('问题总览'!$A$7:$A$306,B135)&lt;&gt;1,"问题引用无效",IF(COUNTIFS('复盘记录'!$A$7:$A$306,C135,'复盘记录'!$B$7:$B$306,B135)&lt;&gt;1,"复盘引用无效",IF(OR(D135="",E135="",F135="",G135="",H135="",M135=""),"待补更新信息",IF(AND(OR(G135="已采纳",G135="保留不变"),OR(NOT(ISNUMBER(J135)),K135="")),"待补采用依据","有效输入"))))))</x:f>
      </x:c>
    </x:row>
    <x:row r="136" ht="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25"/>
      <x:c r="K136" s="3"/>
      <x:c r="L136" s="20"/>
      <x:c r="M136" s="3"/>
      <x:c r="N136" s="19" t="str">
        <x:f>IF(A136="","",IF(COUNTIFS('更新日志'!$A$7:$A$306,A136)&lt;&gt;1,"编号重复",IF(COUNTIFS('问题总览'!$A$7:$A$306,B136)&lt;&gt;1,"问题引用无效",IF(COUNTIFS('复盘记录'!$A$7:$A$306,C136,'复盘记录'!$B$7:$B$306,B136)&lt;&gt;1,"复盘引用无效",IF(OR(D136="",E136="",F136="",G136="",H136="",M136=""),"待补更新信息",IF(AND(OR(G136="已采纳",G136="保留不变"),OR(NOT(ISNUMBER(J136)),K136="")),"待补采用依据","有效输入"))))))</x:f>
      </x:c>
    </x:row>
    <x:row r="137" ht="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25"/>
      <x:c r="K137" s="3"/>
      <x:c r="L137" s="20"/>
      <x:c r="M137" s="3"/>
      <x:c r="N137" s="19" t="str">
        <x:f>IF(A137="","",IF(COUNTIFS('更新日志'!$A$7:$A$306,A137)&lt;&gt;1,"编号重复",IF(COUNTIFS('问题总览'!$A$7:$A$306,B137)&lt;&gt;1,"问题引用无效",IF(COUNTIFS('复盘记录'!$A$7:$A$306,C137,'复盘记录'!$B$7:$B$306,B137)&lt;&gt;1,"复盘引用无效",IF(OR(D137="",E137="",F137="",G137="",H137="",M137=""),"待补更新信息",IF(AND(OR(G137="已采纳",G137="保留不变"),OR(NOT(ISNUMBER(J137)),K137="")),"待补采用依据","有效输入"))))))</x:f>
      </x:c>
    </x:row>
    <x:row r="138" ht="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25"/>
      <x:c r="K138" s="3"/>
      <x:c r="L138" s="20"/>
      <x:c r="M138" s="3"/>
      <x:c r="N138" s="19" t="str">
        <x:f>IF(A138="","",IF(COUNTIFS('更新日志'!$A$7:$A$306,A138)&lt;&gt;1,"编号重复",IF(COUNTIFS('问题总览'!$A$7:$A$306,B138)&lt;&gt;1,"问题引用无效",IF(COUNTIFS('复盘记录'!$A$7:$A$306,C138,'复盘记录'!$B$7:$B$306,B138)&lt;&gt;1,"复盘引用无效",IF(OR(D138="",E138="",F138="",G138="",H138="",M138=""),"待补更新信息",IF(AND(OR(G138="已采纳",G138="保留不变"),OR(NOT(ISNUMBER(J138)),K138="")),"待补采用依据","有效输入"))))))</x:f>
      </x:c>
    </x:row>
    <x:row r="139" ht="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25"/>
      <x:c r="K139" s="3"/>
      <x:c r="L139" s="20"/>
      <x:c r="M139" s="3"/>
      <x:c r="N139" s="19" t="str">
        <x:f>IF(A139="","",IF(COUNTIFS('更新日志'!$A$7:$A$306,A139)&lt;&gt;1,"编号重复",IF(COUNTIFS('问题总览'!$A$7:$A$306,B139)&lt;&gt;1,"问题引用无效",IF(COUNTIFS('复盘记录'!$A$7:$A$306,C139,'复盘记录'!$B$7:$B$306,B139)&lt;&gt;1,"复盘引用无效",IF(OR(D139="",E139="",F139="",G139="",H139="",M139=""),"待补更新信息",IF(AND(OR(G139="已采纳",G139="保留不变"),OR(NOT(ISNUMBER(J139)),K139="")),"待补采用依据","有效输入"))))))</x:f>
      </x:c>
    </x:row>
    <x:row r="140" ht="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25"/>
      <x:c r="K140" s="3"/>
      <x:c r="L140" s="20"/>
      <x:c r="M140" s="3"/>
      <x:c r="N140" s="19" t="str">
        <x:f>IF(A140="","",IF(COUNTIFS('更新日志'!$A$7:$A$306,A140)&lt;&gt;1,"编号重复",IF(COUNTIFS('问题总览'!$A$7:$A$306,B140)&lt;&gt;1,"问题引用无效",IF(COUNTIFS('复盘记录'!$A$7:$A$306,C140,'复盘记录'!$B$7:$B$306,B140)&lt;&gt;1,"复盘引用无效",IF(OR(D140="",E140="",F140="",G140="",H140="",M140=""),"待补更新信息",IF(AND(OR(G140="已采纳",G140="保留不变"),OR(NOT(ISNUMBER(J140)),K140="")),"待补采用依据","有效输入"))))))</x:f>
      </x:c>
    </x:row>
    <x:row r="141" ht="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25"/>
      <x:c r="K141" s="3"/>
      <x:c r="L141" s="20"/>
      <x:c r="M141" s="3"/>
      <x:c r="N141" s="19" t="str">
        <x:f>IF(A141="","",IF(COUNTIFS('更新日志'!$A$7:$A$306,A141)&lt;&gt;1,"编号重复",IF(COUNTIFS('问题总览'!$A$7:$A$306,B141)&lt;&gt;1,"问题引用无效",IF(COUNTIFS('复盘记录'!$A$7:$A$306,C141,'复盘记录'!$B$7:$B$306,B141)&lt;&gt;1,"复盘引用无效",IF(OR(D141="",E141="",F141="",G141="",H141="",M141=""),"待补更新信息",IF(AND(OR(G141="已采纳",G141="保留不变"),OR(NOT(ISNUMBER(J141)),K141="")),"待补采用依据","有效输入"))))))</x:f>
      </x:c>
    </x:row>
    <x:row r="142" ht="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25"/>
      <x:c r="K142" s="3"/>
      <x:c r="L142" s="20"/>
      <x:c r="M142" s="3"/>
      <x:c r="N142" s="19" t="str">
        <x:f>IF(A142="","",IF(COUNTIFS('更新日志'!$A$7:$A$306,A142)&lt;&gt;1,"编号重复",IF(COUNTIFS('问题总览'!$A$7:$A$306,B142)&lt;&gt;1,"问题引用无效",IF(COUNTIFS('复盘记录'!$A$7:$A$306,C142,'复盘记录'!$B$7:$B$306,B142)&lt;&gt;1,"复盘引用无效",IF(OR(D142="",E142="",F142="",G142="",H142="",M142=""),"待补更新信息",IF(AND(OR(G142="已采纳",G142="保留不变"),OR(NOT(ISNUMBER(J142)),K142="")),"待补采用依据","有效输入"))))))</x:f>
      </x:c>
    </x:row>
    <x:row r="143" ht="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25"/>
      <x:c r="K143" s="3"/>
      <x:c r="L143" s="20"/>
      <x:c r="M143" s="3"/>
      <x:c r="N143" s="19" t="str">
        <x:f>IF(A143="","",IF(COUNTIFS('更新日志'!$A$7:$A$306,A143)&lt;&gt;1,"编号重复",IF(COUNTIFS('问题总览'!$A$7:$A$306,B143)&lt;&gt;1,"问题引用无效",IF(COUNTIFS('复盘记录'!$A$7:$A$306,C143,'复盘记录'!$B$7:$B$306,B143)&lt;&gt;1,"复盘引用无效",IF(OR(D143="",E143="",F143="",G143="",H143="",M143=""),"待补更新信息",IF(AND(OR(G143="已采纳",G143="保留不变"),OR(NOT(ISNUMBER(J143)),K143="")),"待补采用依据","有效输入"))))))</x:f>
      </x:c>
    </x:row>
    <x:row r="144" ht="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25"/>
      <x:c r="K144" s="3"/>
      <x:c r="L144" s="20"/>
      <x:c r="M144" s="3"/>
      <x:c r="N144" s="19" t="str">
        <x:f>IF(A144="","",IF(COUNTIFS('更新日志'!$A$7:$A$306,A144)&lt;&gt;1,"编号重复",IF(COUNTIFS('问题总览'!$A$7:$A$306,B144)&lt;&gt;1,"问题引用无效",IF(COUNTIFS('复盘记录'!$A$7:$A$306,C144,'复盘记录'!$B$7:$B$306,B144)&lt;&gt;1,"复盘引用无效",IF(OR(D144="",E144="",F144="",G144="",H144="",M144=""),"待补更新信息",IF(AND(OR(G144="已采纳",G144="保留不变"),OR(NOT(ISNUMBER(J144)),K144="")),"待补采用依据","有效输入"))))))</x:f>
      </x:c>
    </x:row>
    <x:row r="145" ht="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25"/>
      <x:c r="K145" s="3"/>
      <x:c r="L145" s="20"/>
      <x:c r="M145" s="3"/>
      <x:c r="N145" s="19" t="str">
        <x:f>IF(A145="","",IF(COUNTIFS('更新日志'!$A$7:$A$306,A145)&lt;&gt;1,"编号重复",IF(COUNTIFS('问题总览'!$A$7:$A$306,B145)&lt;&gt;1,"问题引用无效",IF(COUNTIFS('复盘记录'!$A$7:$A$306,C145,'复盘记录'!$B$7:$B$306,B145)&lt;&gt;1,"复盘引用无效",IF(OR(D145="",E145="",F145="",G145="",H145="",M145=""),"待补更新信息",IF(AND(OR(G145="已采纳",G145="保留不变"),OR(NOT(ISNUMBER(J145)),K145="")),"待补采用依据","有效输入"))))))</x:f>
      </x:c>
    </x:row>
    <x:row r="146" ht="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25"/>
      <x:c r="K146" s="3"/>
      <x:c r="L146" s="20"/>
      <x:c r="M146" s="3"/>
      <x:c r="N146" s="19" t="str">
        <x:f>IF(A146="","",IF(COUNTIFS('更新日志'!$A$7:$A$306,A146)&lt;&gt;1,"编号重复",IF(COUNTIFS('问题总览'!$A$7:$A$306,B146)&lt;&gt;1,"问题引用无效",IF(COUNTIFS('复盘记录'!$A$7:$A$306,C146,'复盘记录'!$B$7:$B$306,B146)&lt;&gt;1,"复盘引用无效",IF(OR(D146="",E146="",F146="",G146="",H146="",M146=""),"待补更新信息",IF(AND(OR(G146="已采纳",G146="保留不变"),OR(NOT(ISNUMBER(J146)),K146="")),"待补采用依据","有效输入"))))))</x:f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25"/>
      <x:c r="K147" s="3"/>
      <x:c r="L147" s="20"/>
      <x:c r="M147" s="3"/>
      <x:c r="N147" s="19" t="str">
        <x:f>IF(A147="","",IF(COUNTIFS('更新日志'!$A$7:$A$306,A147)&lt;&gt;1,"编号重复",IF(COUNTIFS('问题总览'!$A$7:$A$306,B147)&lt;&gt;1,"问题引用无效",IF(COUNTIFS('复盘记录'!$A$7:$A$306,C147,'复盘记录'!$B$7:$B$306,B147)&lt;&gt;1,"复盘引用无效",IF(OR(D147="",E147="",F147="",G147="",H147="",M147=""),"待补更新信息",IF(AND(OR(G147="已采纳",G147="保留不变"),OR(NOT(ISNUMBER(J147)),K147="")),"待补采用依据","有效输入"))))))</x:f>
      </x:c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25"/>
      <x:c r="K148" s="3"/>
      <x:c r="L148" s="20"/>
      <x:c r="M148" s="3"/>
      <x:c r="N148" s="19" t="str">
        <x:f>IF(A148="","",IF(COUNTIFS('更新日志'!$A$7:$A$306,A148)&lt;&gt;1,"编号重复",IF(COUNTIFS('问题总览'!$A$7:$A$306,B148)&lt;&gt;1,"问题引用无效",IF(COUNTIFS('复盘记录'!$A$7:$A$306,C148,'复盘记录'!$B$7:$B$306,B148)&lt;&gt;1,"复盘引用无效",IF(OR(D148="",E148="",F148="",G148="",H148="",M148=""),"待补更新信息",IF(AND(OR(G148="已采纳",G148="保留不变"),OR(NOT(ISNUMBER(J148)),K148="")),"待补采用依据","有效输入"))))))</x:f>
      </x:c>
    </x:row>
    <x:row r="149" ht="2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25"/>
      <x:c r="K149" s="3"/>
      <x:c r="L149" s="20"/>
      <x:c r="M149" s="3"/>
      <x:c r="N149" s="19" t="str">
        <x:f>IF(A149="","",IF(COUNTIFS('更新日志'!$A$7:$A$306,A149)&lt;&gt;1,"编号重复",IF(COUNTIFS('问题总览'!$A$7:$A$306,B149)&lt;&gt;1,"问题引用无效",IF(COUNTIFS('复盘记录'!$A$7:$A$306,C149,'复盘记录'!$B$7:$B$306,B149)&lt;&gt;1,"复盘引用无效",IF(OR(D149="",E149="",F149="",G149="",H149="",M149=""),"待补更新信息",IF(AND(OR(G149="已采纳",G149="保留不变"),OR(NOT(ISNUMBER(J149)),K149="")),"待补采用依据","有效输入"))))))</x:f>
      </x:c>
    </x:row>
    <x:row r="150" ht="2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25"/>
      <x:c r="K150" s="3"/>
      <x:c r="L150" s="20"/>
      <x:c r="M150" s="3"/>
      <x:c r="N150" s="19" t="str">
        <x:f>IF(A150="","",IF(COUNTIFS('更新日志'!$A$7:$A$306,A150)&lt;&gt;1,"编号重复",IF(COUNTIFS('问题总览'!$A$7:$A$306,B150)&lt;&gt;1,"问题引用无效",IF(COUNTIFS('复盘记录'!$A$7:$A$306,C150,'复盘记录'!$B$7:$B$306,B150)&lt;&gt;1,"复盘引用无效",IF(OR(D150="",E150="",F150="",G150="",H150="",M150=""),"待补更新信息",IF(AND(OR(G150="已采纳",G150="保留不变"),OR(NOT(ISNUMBER(J150)),K150="")),"待补采用依据","有效输入"))))))</x:f>
      </x:c>
    </x:row>
    <x:row r="151" ht="2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25"/>
      <x:c r="K151" s="3"/>
      <x:c r="L151" s="20"/>
      <x:c r="M151" s="3"/>
      <x:c r="N151" s="19" t="str">
        <x:f>IF(A151="","",IF(COUNTIFS('更新日志'!$A$7:$A$306,A151)&lt;&gt;1,"编号重复",IF(COUNTIFS('问题总览'!$A$7:$A$306,B151)&lt;&gt;1,"问题引用无效",IF(COUNTIFS('复盘记录'!$A$7:$A$306,C151,'复盘记录'!$B$7:$B$306,B151)&lt;&gt;1,"复盘引用无效",IF(OR(D151="",E151="",F151="",G151="",H151="",M151=""),"待补更新信息",IF(AND(OR(G151="已采纳",G151="保留不变"),OR(NOT(ISNUMBER(J151)),K151="")),"待补采用依据","有效输入"))))))</x:f>
      </x:c>
    </x:row>
    <x:row r="152" ht="2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25"/>
      <x:c r="K152" s="3"/>
      <x:c r="L152" s="20"/>
      <x:c r="M152" s="3"/>
      <x:c r="N152" s="19" t="str">
        <x:f>IF(A152="","",IF(COUNTIFS('更新日志'!$A$7:$A$306,A152)&lt;&gt;1,"编号重复",IF(COUNTIFS('问题总览'!$A$7:$A$306,B152)&lt;&gt;1,"问题引用无效",IF(COUNTIFS('复盘记录'!$A$7:$A$306,C152,'复盘记录'!$B$7:$B$306,B152)&lt;&gt;1,"复盘引用无效",IF(OR(D152="",E152="",F152="",G152="",H152="",M152=""),"待补更新信息",IF(AND(OR(G152="已采纳",G152="保留不变"),OR(NOT(ISNUMBER(J152)),K152="")),"待补采用依据","有效输入"))))))</x:f>
      </x:c>
    </x:row>
    <x:row r="153" ht="2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25"/>
      <x:c r="K153" s="3"/>
      <x:c r="L153" s="20"/>
      <x:c r="M153" s="3"/>
      <x:c r="N153" s="19" t="str">
        <x:f>IF(A153="","",IF(COUNTIFS('更新日志'!$A$7:$A$306,A153)&lt;&gt;1,"编号重复",IF(COUNTIFS('问题总览'!$A$7:$A$306,B153)&lt;&gt;1,"问题引用无效",IF(COUNTIFS('复盘记录'!$A$7:$A$306,C153,'复盘记录'!$B$7:$B$306,B153)&lt;&gt;1,"复盘引用无效",IF(OR(D153="",E153="",F153="",G153="",H153="",M153=""),"待补更新信息",IF(AND(OR(G153="已采纳",G153="保留不变"),OR(NOT(ISNUMBER(J153)),K153="")),"待补采用依据","有效输入"))))))</x:f>
      </x:c>
    </x:row>
    <x:row r="154" ht="2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25"/>
      <x:c r="K154" s="3"/>
      <x:c r="L154" s="20"/>
      <x:c r="M154" s="3"/>
      <x:c r="N154" s="19" t="str">
        <x:f>IF(A154="","",IF(COUNTIFS('更新日志'!$A$7:$A$306,A154)&lt;&gt;1,"编号重复",IF(COUNTIFS('问题总览'!$A$7:$A$306,B154)&lt;&gt;1,"问题引用无效",IF(COUNTIFS('复盘记录'!$A$7:$A$306,C154,'复盘记录'!$B$7:$B$306,B154)&lt;&gt;1,"复盘引用无效",IF(OR(D154="",E154="",F154="",G154="",H154="",M154=""),"待补更新信息",IF(AND(OR(G154="已采纳",G154="保留不变"),OR(NOT(ISNUMBER(J154)),K154="")),"待补采用依据","有效输入"))))))</x:f>
      </x:c>
    </x:row>
    <x:row r="155" ht="2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25"/>
      <x:c r="K155" s="3"/>
      <x:c r="L155" s="20"/>
      <x:c r="M155" s="3"/>
      <x:c r="N155" s="19" t="str">
        <x:f>IF(A155="","",IF(COUNTIFS('更新日志'!$A$7:$A$306,A155)&lt;&gt;1,"编号重复",IF(COUNTIFS('问题总览'!$A$7:$A$306,B155)&lt;&gt;1,"问题引用无效",IF(COUNTIFS('复盘记录'!$A$7:$A$306,C155,'复盘记录'!$B$7:$B$306,B155)&lt;&gt;1,"复盘引用无效",IF(OR(D155="",E155="",F155="",G155="",H155="",M155=""),"待补更新信息",IF(AND(OR(G155="已采纳",G155="保留不变"),OR(NOT(ISNUMBER(J155)),K155="")),"待补采用依据","有效输入"))))))</x:f>
      </x:c>
    </x:row>
    <x:row r="156" ht="2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25"/>
      <x:c r="K156" s="3"/>
      <x:c r="L156" s="20"/>
      <x:c r="M156" s="3"/>
      <x:c r="N156" s="19" t="str">
        <x:f>IF(A156="","",IF(COUNTIFS('更新日志'!$A$7:$A$306,A156)&lt;&gt;1,"编号重复",IF(COUNTIFS('问题总览'!$A$7:$A$306,B156)&lt;&gt;1,"问题引用无效",IF(COUNTIFS('复盘记录'!$A$7:$A$306,C156,'复盘记录'!$B$7:$B$306,B156)&lt;&gt;1,"复盘引用无效",IF(OR(D156="",E156="",F156="",G156="",H156="",M156=""),"待补更新信息",IF(AND(OR(G156="已采纳",G156="保留不变"),OR(NOT(ISNUMBER(J156)),K156="")),"待补采用依据","有效输入"))))))</x:f>
      </x:c>
    </x:row>
    <x:row r="157" ht="2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25"/>
      <x:c r="K157" s="3"/>
      <x:c r="L157" s="20"/>
      <x:c r="M157" s="3"/>
      <x:c r="N157" s="19" t="str">
        <x:f>IF(A157="","",IF(COUNTIFS('更新日志'!$A$7:$A$306,A157)&lt;&gt;1,"编号重复",IF(COUNTIFS('问题总览'!$A$7:$A$306,B157)&lt;&gt;1,"问题引用无效",IF(COUNTIFS('复盘记录'!$A$7:$A$306,C157,'复盘记录'!$B$7:$B$306,B157)&lt;&gt;1,"复盘引用无效",IF(OR(D157="",E157="",F157="",G157="",H157="",M157=""),"待补更新信息",IF(AND(OR(G157="已采纳",G157="保留不变"),OR(NOT(ISNUMBER(J157)),K157="")),"待补采用依据","有效输入"))))))</x:f>
      </x:c>
    </x:row>
    <x:row r="158" ht="2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25"/>
      <x:c r="K158" s="3"/>
      <x:c r="L158" s="20"/>
      <x:c r="M158" s="3"/>
      <x:c r="N158" s="19" t="str">
        <x:f>IF(A158="","",IF(COUNTIFS('更新日志'!$A$7:$A$306,A158)&lt;&gt;1,"编号重复",IF(COUNTIFS('问题总览'!$A$7:$A$306,B158)&lt;&gt;1,"问题引用无效",IF(COUNTIFS('复盘记录'!$A$7:$A$306,C158,'复盘记录'!$B$7:$B$306,B158)&lt;&gt;1,"复盘引用无效",IF(OR(D158="",E158="",F158="",G158="",H158="",M158=""),"待补更新信息",IF(AND(OR(G158="已采纳",G158="保留不变"),OR(NOT(ISNUMBER(J158)),K158="")),"待补采用依据","有效输入"))))))</x:f>
      </x:c>
    </x:row>
    <x:row r="159" ht="2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25"/>
      <x:c r="K159" s="3"/>
      <x:c r="L159" s="20"/>
      <x:c r="M159" s="3"/>
      <x:c r="N159" s="19" t="str">
        <x:f>IF(A159="","",IF(COUNTIFS('更新日志'!$A$7:$A$306,A159)&lt;&gt;1,"编号重复",IF(COUNTIFS('问题总览'!$A$7:$A$306,B159)&lt;&gt;1,"问题引用无效",IF(COUNTIFS('复盘记录'!$A$7:$A$306,C159,'复盘记录'!$B$7:$B$306,B159)&lt;&gt;1,"复盘引用无效",IF(OR(D159="",E159="",F159="",G159="",H159="",M159=""),"待补更新信息",IF(AND(OR(G159="已采纳",G159="保留不变"),OR(NOT(ISNUMBER(J159)),K159="")),"待补采用依据","有效输入"))))))</x:f>
      </x:c>
    </x:row>
    <x:row r="160" ht="2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25"/>
      <x:c r="K160" s="3"/>
      <x:c r="L160" s="20"/>
      <x:c r="M160" s="3"/>
      <x:c r="N160" s="19" t="str">
        <x:f>IF(A160="","",IF(COUNTIFS('更新日志'!$A$7:$A$306,A160)&lt;&gt;1,"编号重复",IF(COUNTIFS('问题总览'!$A$7:$A$306,B160)&lt;&gt;1,"问题引用无效",IF(COUNTIFS('复盘记录'!$A$7:$A$306,C160,'复盘记录'!$B$7:$B$306,B160)&lt;&gt;1,"复盘引用无效",IF(OR(D160="",E160="",F160="",G160="",H160="",M160=""),"待补更新信息",IF(AND(OR(G160="已采纳",G160="保留不变"),OR(NOT(ISNUMBER(J160)),K160="")),"待补采用依据","有效输入"))))))</x:f>
      </x:c>
    </x:row>
    <x:row r="161" ht="2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25"/>
      <x:c r="K161" s="3"/>
      <x:c r="L161" s="20"/>
      <x:c r="M161" s="3"/>
      <x:c r="N161" s="19" t="str">
        <x:f>IF(A161="","",IF(COUNTIFS('更新日志'!$A$7:$A$306,A161)&lt;&gt;1,"编号重复",IF(COUNTIFS('问题总览'!$A$7:$A$306,B161)&lt;&gt;1,"问题引用无效",IF(COUNTIFS('复盘记录'!$A$7:$A$306,C161,'复盘记录'!$B$7:$B$306,B161)&lt;&gt;1,"复盘引用无效",IF(OR(D161="",E161="",F161="",G161="",H161="",M161=""),"待补更新信息",IF(AND(OR(G161="已采纳",G161="保留不变"),OR(NOT(ISNUMBER(J161)),K161="")),"待补采用依据","有效输入"))))))</x:f>
      </x:c>
    </x:row>
    <x:row r="162" ht="2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25"/>
      <x:c r="K162" s="3"/>
      <x:c r="L162" s="20"/>
      <x:c r="M162" s="3"/>
      <x:c r="N162" s="19" t="str">
        <x:f>IF(A162="","",IF(COUNTIFS('更新日志'!$A$7:$A$306,A162)&lt;&gt;1,"编号重复",IF(COUNTIFS('问题总览'!$A$7:$A$306,B162)&lt;&gt;1,"问题引用无效",IF(COUNTIFS('复盘记录'!$A$7:$A$306,C162,'复盘记录'!$B$7:$B$306,B162)&lt;&gt;1,"复盘引用无效",IF(OR(D162="",E162="",F162="",G162="",H162="",M162=""),"待补更新信息",IF(AND(OR(G162="已采纳",G162="保留不变"),OR(NOT(ISNUMBER(J162)),K162="")),"待补采用依据","有效输入"))))))</x:f>
      </x:c>
    </x:row>
    <x:row r="163" ht="2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25"/>
      <x:c r="K163" s="3"/>
      <x:c r="L163" s="20"/>
      <x:c r="M163" s="3"/>
      <x:c r="N163" s="19" t="str">
        <x:f>IF(A163="","",IF(COUNTIFS('更新日志'!$A$7:$A$306,A163)&lt;&gt;1,"编号重复",IF(COUNTIFS('问题总览'!$A$7:$A$306,B163)&lt;&gt;1,"问题引用无效",IF(COUNTIFS('复盘记录'!$A$7:$A$306,C163,'复盘记录'!$B$7:$B$306,B163)&lt;&gt;1,"复盘引用无效",IF(OR(D163="",E163="",F163="",G163="",H163="",M163=""),"待补更新信息",IF(AND(OR(G163="已采纳",G163="保留不变"),OR(NOT(ISNUMBER(J163)),K163="")),"待补采用依据","有效输入"))))))</x:f>
      </x:c>
    </x:row>
    <x:row r="164" ht="2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25"/>
      <x:c r="K164" s="3"/>
      <x:c r="L164" s="20"/>
      <x:c r="M164" s="3"/>
      <x:c r="N164" s="19" t="str">
        <x:f>IF(A164="","",IF(COUNTIFS('更新日志'!$A$7:$A$306,A164)&lt;&gt;1,"编号重复",IF(COUNTIFS('问题总览'!$A$7:$A$306,B164)&lt;&gt;1,"问题引用无效",IF(COUNTIFS('复盘记录'!$A$7:$A$306,C164,'复盘记录'!$B$7:$B$306,B164)&lt;&gt;1,"复盘引用无效",IF(OR(D164="",E164="",F164="",G164="",H164="",M164=""),"待补更新信息",IF(AND(OR(G164="已采纳",G164="保留不变"),OR(NOT(ISNUMBER(J164)),K164="")),"待补采用依据","有效输入"))))))</x:f>
      </x:c>
    </x:row>
    <x:row r="165" ht="2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25"/>
      <x:c r="K165" s="3"/>
      <x:c r="L165" s="20"/>
      <x:c r="M165" s="3"/>
      <x:c r="N165" s="19" t="str">
        <x:f>IF(A165="","",IF(COUNTIFS('更新日志'!$A$7:$A$306,A165)&lt;&gt;1,"编号重复",IF(COUNTIFS('问题总览'!$A$7:$A$306,B165)&lt;&gt;1,"问题引用无效",IF(COUNTIFS('复盘记录'!$A$7:$A$306,C165,'复盘记录'!$B$7:$B$306,B165)&lt;&gt;1,"复盘引用无效",IF(OR(D165="",E165="",F165="",G165="",H165="",M165=""),"待补更新信息",IF(AND(OR(G165="已采纳",G165="保留不变"),OR(NOT(ISNUMBER(J165)),K165="")),"待补采用依据","有效输入"))))))</x:f>
      </x:c>
    </x:row>
    <x:row r="166" ht="2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25"/>
      <x:c r="K166" s="3"/>
      <x:c r="L166" s="20"/>
      <x:c r="M166" s="3"/>
      <x:c r="N166" s="19" t="str">
        <x:f>IF(A166="","",IF(COUNTIFS('更新日志'!$A$7:$A$306,A166)&lt;&gt;1,"编号重复",IF(COUNTIFS('问题总览'!$A$7:$A$306,B166)&lt;&gt;1,"问题引用无效",IF(COUNTIFS('复盘记录'!$A$7:$A$306,C166,'复盘记录'!$B$7:$B$306,B166)&lt;&gt;1,"复盘引用无效",IF(OR(D166="",E166="",F166="",G166="",H166="",M166=""),"待补更新信息",IF(AND(OR(G166="已采纳",G166="保留不变"),OR(NOT(ISNUMBER(J166)),K166="")),"待补采用依据","有效输入"))))))</x:f>
      </x:c>
    </x:row>
    <x:row r="167" ht="2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25"/>
      <x:c r="K167" s="3"/>
      <x:c r="L167" s="20"/>
      <x:c r="M167" s="3"/>
      <x:c r="N167" s="19" t="str">
        <x:f>IF(A167="","",IF(COUNTIFS('更新日志'!$A$7:$A$306,A167)&lt;&gt;1,"编号重复",IF(COUNTIFS('问题总览'!$A$7:$A$306,B167)&lt;&gt;1,"问题引用无效",IF(COUNTIFS('复盘记录'!$A$7:$A$306,C167,'复盘记录'!$B$7:$B$306,B167)&lt;&gt;1,"复盘引用无效",IF(OR(D167="",E167="",F167="",G167="",H167="",M167=""),"待补更新信息",IF(AND(OR(G167="已采纳",G167="保留不变"),OR(NOT(ISNUMBER(J167)),K167="")),"待补采用依据","有效输入"))))))</x:f>
      </x:c>
    </x:row>
    <x:row r="168" ht="2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25"/>
      <x:c r="K168" s="3"/>
      <x:c r="L168" s="20"/>
      <x:c r="M168" s="3"/>
      <x:c r="N168" s="19" t="str">
        <x:f>IF(A168="","",IF(COUNTIFS('更新日志'!$A$7:$A$306,A168)&lt;&gt;1,"编号重复",IF(COUNTIFS('问题总览'!$A$7:$A$306,B168)&lt;&gt;1,"问题引用无效",IF(COUNTIFS('复盘记录'!$A$7:$A$306,C168,'复盘记录'!$B$7:$B$306,B168)&lt;&gt;1,"复盘引用无效",IF(OR(D168="",E168="",F168="",G168="",H168="",M168=""),"待补更新信息",IF(AND(OR(G168="已采纳",G168="保留不变"),OR(NOT(ISNUMBER(J168)),K168="")),"待补采用依据","有效输入"))))))</x:f>
      </x:c>
    </x:row>
    <x:row r="169" ht="2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25"/>
      <x:c r="K169" s="3"/>
      <x:c r="L169" s="20"/>
      <x:c r="M169" s="3"/>
      <x:c r="N169" s="19" t="str">
        <x:f>IF(A169="","",IF(COUNTIFS('更新日志'!$A$7:$A$306,A169)&lt;&gt;1,"编号重复",IF(COUNTIFS('问题总览'!$A$7:$A$306,B169)&lt;&gt;1,"问题引用无效",IF(COUNTIFS('复盘记录'!$A$7:$A$306,C169,'复盘记录'!$B$7:$B$306,B169)&lt;&gt;1,"复盘引用无效",IF(OR(D169="",E169="",F169="",G169="",H169="",M169=""),"待补更新信息",IF(AND(OR(G169="已采纳",G169="保留不变"),OR(NOT(ISNUMBER(J169)),K169="")),"待补采用依据","有效输入"))))))</x:f>
      </x:c>
    </x:row>
    <x:row r="170" ht="2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25"/>
      <x:c r="K170" s="3"/>
      <x:c r="L170" s="20"/>
      <x:c r="M170" s="3"/>
      <x:c r="N170" s="19" t="str">
        <x:f>IF(A170="","",IF(COUNTIFS('更新日志'!$A$7:$A$306,A170)&lt;&gt;1,"编号重复",IF(COUNTIFS('问题总览'!$A$7:$A$306,B170)&lt;&gt;1,"问题引用无效",IF(COUNTIFS('复盘记录'!$A$7:$A$306,C170,'复盘记录'!$B$7:$B$306,B170)&lt;&gt;1,"复盘引用无效",IF(OR(D170="",E170="",F170="",G170="",H170="",M170=""),"待补更新信息",IF(AND(OR(G170="已采纳",G170="保留不变"),OR(NOT(ISNUMBER(J170)),K170="")),"待补采用依据","有效输入"))))))</x:f>
      </x:c>
    </x:row>
    <x:row r="171" ht="2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25"/>
      <x:c r="K171" s="3"/>
      <x:c r="L171" s="20"/>
      <x:c r="M171" s="3"/>
      <x:c r="N171" s="19" t="str">
        <x:f>IF(A171="","",IF(COUNTIFS('更新日志'!$A$7:$A$306,A171)&lt;&gt;1,"编号重复",IF(COUNTIFS('问题总览'!$A$7:$A$306,B171)&lt;&gt;1,"问题引用无效",IF(COUNTIFS('复盘记录'!$A$7:$A$306,C171,'复盘记录'!$B$7:$B$306,B171)&lt;&gt;1,"复盘引用无效",IF(OR(D171="",E171="",F171="",G171="",H171="",M171=""),"待补更新信息",IF(AND(OR(G171="已采纳",G171="保留不变"),OR(NOT(ISNUMBER(J171)),K171="")),"待补采用依据","有效输入"))))))</x:f>
      </x:c>
    </x:row>
    <x:row r="172" ht="2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25"/>
      <x:c r="K172" s="3"/>
      <x:c r="L172" s="20"/>
      <x:c r="M172" s="3"/>
      <x:c r="N172" s="19" t="str">
        <x:f>IF(A172="","",IF(COUNTIFS('更新日志'!$A$7:$A$306,A172)&lt;&gt;1,"编号重复",IF(COUNTIFS('问题总览'!$A$7:$A$306,B172)&lt;&gt;1,"问题引用无效",IF(COUNTIFS('复盘记录'!$A$7:$A$306,C172,'复盘记录'!$B$7:$B$306,B172)&lt;&gt;1,"复盘引用无效",IF(OR(D172="",E172="",F172="",G172="",H172="",M172=""),"待补更新信息",IF(AND(OR(G172="已采纳",G172="保留不变"),OR(NOT(ISNUMBER(J172)),K172="")),"待补采用依据","有效输入"))))))</x:f>
      </x:c>
    </x:row>
    <x:row r="173" ht="2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25"/>
      <x:c r="K173" s="3"/>
      <x:c r="L173" s="20"/>
      <x:c r="M173" s="3"/>
      <x:c r="N173" s="19" t="str">
        <x:f>IF(A173="","",IF(COUNTIFS('更新日志'!$A$7:$A$306,A173)&lt;&gt;1,"编号重复",IF(COUNTIFS('问题总览'!$A$7:$A$306,B173)&lt;&gt;1,"问题引用无效",IF(COUNTIFS('复盘记录'!$A$7:$A$306,C173,'复盘记录'!$B$7:$B$306,B173)&lt;&gt;1,"复盘引用无效",IF(OR(D173="",E173="",F173="",G173="",H173="",M173=""),"待补更新信息",IF(AND(OR(G173="已采纳",G173="保留不变"),OR(NOT(ISNUMBER(J173)),K173="")),"待补采用依据","有效输入"))))))</x:f>
      </x:c>
    </x:row>
    <x:row r="174" ht="2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25"/>
      <x:c r="K174" s="3"/>
      <x:c r="L174" s="20"/>
      <x:c r="M174" s="3"/>
      <x:c r="N174" s="19" t="str">
        <x:f>IF(A174="","",IF(COUNTIFS('更新日志'!$A$7:$A$306,A174)&lt;&gt;1,"编号重复",IF(COUNTIFS('问题总览'!$A$7:$A$306,B174)&lt;&gt;1,"问题引用无效",IF(COUNTIFS('复盘记录'!$A$7:$A$306,C174,'复盘记录'!$B$7:$B$306,B174)&lt;&gt;1,"复盘引用无效",IF(OR(D174="",E174="",F174="",G174="",H174="",M174=""),"待补更新信息",IF(AND(OR(G174="已采纳",G174="保留不变"),OR(NOT(ISNUMBER(J174)),K174="")),"待补采用依据","有效输入"))))))</x:f>
      </x:c>
    </x:row>
    <x:row r="175" ht="2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25"/>
      <x:c r="K175" s="3"/>
      <x:c r="L175" s="20"/>
      <x:c r="M175" s="3"/>
      <x:c r="N175" s="19" t="str">
        <x:f>IF(A175="","",IF(COUNTIFS('更新日志'!$A$7:$A$306,A175)&lt;&gt;1,"编号重复",IF(COUNTIFS('问题总览'!$A$7:$A$306,B175)&lt;&gt;1,"问题引用无效",IF(COUNTIFS('复盘记录'!$A$7:$A$306,C175,'复盘记录'!$B$7:$B$306,B175)&lt;&gt;1,"复盘引用无效",IF(OR(D175="",E175="",F175="",G175="",H175="",M175=""),"待补更新信息",IF(AND(OR(G175="已采纳",G175="保留不变"),OR(NOT(ISNUMBER(J175)),K175="")),"待补采用依据","有效输入"))))))</x:f>
      </x:c>
    </x:row>
    <x:row r="176" ht="2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25"/>
      <x:c r="K176" s="3"/>
      <x:c r="L176" s="20"/>
      <x:c r="M176" s="3"/>
      <x:c r="N176" s="19" t="str">
        <x:f>IF(A176="","",IF(COUNTIFS('更新日志'!$A$7:$A$306,A176)&lt;&gt;1,"编号重复",IF(COUNTIFS('问题总览'!$A$7:$A$306,B176)&lt;&gt;1,"问题引用无效",IF(COUNTIFS('复盘记录'!$A$7:$A$306,C176,'复盘记录'!$B$7:$B$306,B176)&lt;&gt;1,"复盘引用无效",IF(OR(D176="",E176="",F176="",G176="",H176="",M176=""),"待补更新信息",IF(AND(OR(G176="已采纳",G176="保留不变"),OR(NOT(ISNUMBER(J176)),K176="")),"待补采用依据","有效输入"))))))</x:f>
      </x:c>
    </x:row>
    <x:row r="177" ht="2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25"/>
      <x:c r="K177" s="3"/>
      <x:c r="L177" s="20"/>
      <x:c r="M177" s="3"/>
      <x:c r="N177" s="19" t="str">
        <x:f>IF(A177="","",IF(COUNTIFS('更新日志'!$A$7:$A$306,A177)&lt;&gt;1,"编号重复",IF(COUNTIFS('问题总览'!$A$7:$A$306,B177)&lt;&gt;1,"问题引用无效",IF(COUNTIFS('复盘记录'!$A$7:$A$306,C177,'复盘记录'!$B$7:$B$306,B177)&lt;&gt;1,"复盘引用无效",IF(OR(D177="",E177="",F177="",G177="",H177="",M177=""),"待补更新信息",IF(AND(OR(G177="已采纳",G177="保留不变"),OR(NOT(ISNUMBER(J177)),K177="")),"待补采用依据","有效输入"))))))</x:f>
      </x:c>
    </x:row>
    <x:row r="178" ht="2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25"/>
      <x:c r="K178" s="3"/>
      <x:c r="L178" s="20"/>
      <x:c r="M178" s="3"/>
      <x:c r="N178" s="19" t="str">
        <x:f>IF(A178="","",IF(COUNTIFS('更新日志'!$A$7:$A$306,A178)&lt;&gt;1,"编号重复",IF(COUNTIFS('问题总览'!$A$7:$A$306,B178)&lt;&gt;1,"问题引用无效",IF(COUNTIFS('复盘记录'!$A$7:$A$306,C178,'复盘记录'!$B$7:$B$306,B178)&lt;&gt;1,"复盘引用无效",IF(OR(D178="",E178="",F178="",G178="",H178="",M178=""),"待补更新信息",IF(AND(OR(G178="已采纳",G178="保留不变"),OR(NOT(ISNUMBER(J178)),K178="")),"待补采用依据","有效输入"))))))</x:f>
      </x:c>
    </x:row>
    <x:row r="179" ht="2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25"/>
      <x:c r="K179" s="3"/>
      <x:c r="L179" s="20"/>
      <x:c r="M179" s="3"/>
      <x:c r="N179" s="19" t="str">
        <x:f>IF(A179="","",IF(COUNTIFS('更新日志'!$A$7:$A$306,A179)&lt;&gt;1,"编号重复",IF(COUNTIFS('问题总览'!$A$7:$A$306,B179)&lt;&gt;1,"问题引用无效",IF(COUNTIFS('复盘记录'!$A$7:$A$306,C179,'复盘记录'!$B$7:$B$306,B179)&lt;&gt;1,"复盘引用无效",IF(OR(D179="",E179="",F179="",G179="",H179="",M179=""),"待补更新信息",IF(AND(OR(G179="已采纳",G179="保留不变"),OR(NOT(ISNUMBER(J179)),K179="")),"待补采用依据","有效输入"))))))</x:f>
      </x:c>
    </x:row>
    <x:row r="180" ht="2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25"/>
      <x:c r="K180" s="3"/>
      <x:c r="L180" s="20"/>
      <x:c r="M180" s="3"/>
      <x:c r="N180" s="19" t="str">
        <x:f>IF(A180="","",IF(COUNTIFS('更新日志'!$A$7:$A$306,A180)&lt;&gt;1,"编号重复",IF(COUNTIFS('问题总览'!$A$7:$A$306,B180)&lt;&gt;1,"问题引用无效",IF(COUNTIFS('复盘记录'!$A$7:$A$306,C180,'复盘记录'!$B$7:$B$306,B180)&lt;&gt;1,"复盘引用无效",IF(OR(D180="",E180="",F180="",G180="",H180="",M180=""),"待补更新信息",IF(AND(OR(G180="已采纳",G180="保留不变"),OR(NOT(ISNUMBER(J180)),K180="")),"待补采用依据","有效输入"))))))</x:f>
      </x:c>
    </x:row>
    <x:row r="181" ht="2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25"/>
      <x:c r="K181" s="3"/>
      <x:c r="L181" s="20"/>
      <x:c r="M181" s="3"/>
      <x:c r="N181" s="19" t="str">
        <x:f>IF(A181="","",IF(COUNTIFS('更新日志'!$A$7:$A$306,A181)&lt;&gt;1,"编号重复",IF(COUNTIFS('问题总览'!$A$7:$A$306,B181)&lt;&gt;1,"问题引用无效",IF(COUNTIFS('复盘记录'!$A$7:$A$306,C181,'复盘记录'!$B$7:$B$306,B181)&lt;&gt;1,"复盘引用无效",IF(OR(D181="",E181="",F181="",G181="",H181="",M181=""),"待补更新信息",IF(AND(OR(G181="已采纳",G181="保留不变"),OR(NOT(ISNUMBER(J181)),K181="")),"待补采用依据","有效输入"))))))</x:f>
      </x:c>
    </x:row>
    <x:row r="182" ht="2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25"/>
      <x:c r="K182" s="3"/>
      <x:c r="L182" s="20"/>
      <x:c r="M182" s="3"/>
      <x:c r="N182" s="19" t="str">
        <x:f>IF(A182="","",IF(COUNTIFS('更新日志'!$A$7:$A$306,A182)&lt;&gt;1,"编号重复",IF(COUNTIFS('问题总览'!$A$7:$A$306,B182)&lt;&gt;1,"问题引用无效",IF(COUNTIFS('复盘记录'!$A$7:$A$306,C182,'复盘记录'!$B$7:$B$306,B182)&lt;&gt;1,"复盘引用无效",IF(OR(D182="",E182="",F182="",G182="",H182="",M182=""),"待补更新信息",IF(AND(OR(G182="已采纳",G182="保留不变"),OR(NOT(ISNUMBER(J182)),K182="")),"待补采用依据","有效输入"))))))</x:f>
      </x:c>
    </x:row>
    <x:row r="183" ht="2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25"/>
      <x:c r="K183" s="3"/>
      <x:c r="L183" s="20"/>
      <x:c r="M183" s="3"/>
      <x:c r="N183" s="19" t="str">
        <x:f>IF(A183="","",IF(COUNTIFS('更新日志'!$A$7:$A$306,A183)&lt;&gt;1,"编号重复",IF(COUNTIFS('问题总览'!$A$7:$A$306,B183)&lt;&gt;1,"问题引用无效",IF(COUNTIFS('复盘记录'!$A$7:$A$306,C183,'复盘记录'!$B$7:$B$306,B183)&lt;&gt;1,"复盘引用无效",IF(OR(D183="",E183="",F183="",G183="",H183="",M183=""),"待补更新信息",IF(AND(OR(G183="已采纳",G183="保留不变"),OR(NOT(ISNUMBER(J183)),K183="")),"待补采用依据","有效输入"))))))</x:f>
      </x:c>
    </x:row>
    <x:row r="184" ht="2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25"/>
      <x:c r="K184" s="3"/>
      <x:c r="L184" s="20"/>
      <x:c r="M184" s="3"/>
      <x:c r="N184" s="19" t="str">
        <x:f>IF(A184="","",IF(COUNTIFS('更新日志'!$A$7:$A$306,A184)&lt;&gt;1,"编号重复",IF(COUNTIFS('问题总览'!$A$7:$A$306,B184)&lt;&gt;1,"问题引用无效",IF(COUNTIFS('复盘记录'!$A$7:$A$306,C184,'复盘记录'!$B$7:$B$306,B184)&lt;&gt;1,"复盘引用无效",IF(OR(D184="",E184="",F184="",G184="",H184="",M184=""),"待补更新信息",IF(AND(OR(G184="已采纳",G184="保留不变"),OR(NOT(ISNUMBER(J184)),K184="")),"待补采用依据","有效输入"))))))</x:f>
      </x:c>
    </x:row>
    <x:row r="185" ht="2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25"/>
      <x:c r="K185" s="3"/>
      <x:c r="L185" s="20"/>
      <x:c r="M185" s="3"/>
      <x:c r="N185" s="19" t="str">
        <x:f>IF(A185="","",IF(COUNTIFS('更新日志'!$A$7:$A$306,A185)&lt;&gt;1,"编号重复",IF(COUNTIFS('问题总览'!$A$7:$A$306,B185)&lt;&gt;1,"问题引用无效",IF(COUNTIFS('复盘记录'!$A$7:$A$306,C185,'复盘记录'!$B$7:$B$306,B185)&lt;&gt;1,"复盘引用无效",IF(OR(D185="",E185="",F185="",G185="",H185="",M185=""),"待补更新信息",IF(AND(OR(G185="已采纳",G185="保留不变"),OR(NOT(ISNUMBER(J185)),K185="")),"待补采用依据","有效输入"))))))</x:f>
      </x:c>
    </x:row>
    <x:row r="186" ht="2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25"/>
      <x:c r="K186" s="3"/>
      <x:c r="L186" s="20"/>
      <x:c r="M186" s="3"/>
      <x:c r="N186" s="19" t="str">
        <x:f>IF(A186="","",IF(COUNTIFS('更新日志'!$A$7:$A$306,A186)&lt;&gt;1,"编号重复",IF(COUNTIFS('问题总览'!$A$7:$A$306,B186)&lt;&gt;1,"问题引用无效",IF(COUNTIFS('复盘记录'!$A$7:$A$306,C186,'复盘记录'!$B$7:$B$306,B186)&lt;&gt;1,"复盘引用无效",IF(OR(D186="",E186="",F186="",G186="",H186="",M186=""),"待补更新信息",IF(AND(OR(G186="已采纳",G186="保留不变"),OR(NOT(ISNUMBER(J186)),K186="")),"待补采用依据","有效输入"))))))</x:f>
      </x:c>
    </x:row>
    <x:row r="187" ht="2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25"/>
      <x:c r="K187" s="3"/>
      <x:c r="L187" s="20"/>
      <x:c r="M187" s="3"/>
      <x:c r="N187" s="19" t="str">
        <x:f>IF(A187="","",IF(COUNTIFS('更新日志'!$A$7:$A$306,A187)&lt;&gt;1,"编号重复",IF(COUNTIFS('问题总览'!$A$7:$A$306,B187)&lt;&gt;1,"问题引用无效",IF(COUNTIFS('复盘记录'!$A$7:$A$306,C187,'复盘记录'!$B$7:$B$306,B187)&lt;&gt;1,"复盘引用无效",IF(OR(D187="",E187="",F187="",G187="",H187="",M187=""),"待补更新信息",IF(AND(OR(G187="已采纳",G187="保留不变"),OR(NOT(ISNUMBER(J187)),K187="")),"待补采用依据","有效输入"))))))</x:f>
      </x:c>
    </x:row>
    <x:row r="188" ht="2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25"/>
      <x:c r="K188" s="3"/>
      <x:c r="L188" s="20"/>
      <x:c r="M188" s="3"/>
      <x:c r="N188" s="19" t="str">
        <x:f>IF(A188="","",IF(COUNTIFS('更新日志'!$A$7:$A$306,A188)&lt;&gt;1,"编号重复",IF(COUNTIFS('问题总览'!$A$7:$A$306,B188)&lt;&gt;1,"问题引用无效",IF(COUNTIFS('复盘记录'!$A$7:$A$306,C188,'复盘记录'!$B$7:$B$306,B188)&lt;&gt;1,"复盘引用无效",IF(OR(D188="",E188="",F188="",G188="",H188="",M188=""),"待补更新信息",IF(AND(OR(G188="已采纳",G188="保留不变"),OR(NOT(ISNUMBER(J188)),K188="")),"待补采用依据","有效输入"))))))</x:f>
      </x:c>
    </x:row>
    <x:row r="189" ht="2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25"/>
      <x:c r="K189" s="3"/>
      <x:c r="L189" s="20"/>
      <x:c r="M189" s="3"/>
      <x:c r="N189" s="19" t="str">
        <x:f>IF(A189="","",IF(COUNTIFS('更新日志'!$A$7:$A$306,A189)&lt;&gt;1,"编号重复",IF(COUNTIFS('问题总览'!$A$7:$A$306,B189)&lt;&gt;1,"问题引用无效",IF(COUNTIFS('复盘记录'!$A$7:$A$306,C189,'复盘记录'!$B$7:$B$306,B189)&lt;&gt;1,"复盘引用无效",IF(OR(D189="",E189="",F189="",G189="",H189="",M189=""),"待补更新信息",IF(AND(OR(G189="已采纳",G189="保留不变"),OR(NOT(ISNUMBER(J189)),K189="")),"待补采用依据","有效输入"))))))</x:f>
      </x:c>
    </x:row>
    <x:row r="190" ht="2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25"/>
      <x:c r="K190" s="3"/>
      <x:c r="L190" s="20"/>
      <x:c r="M190" s="3"/>
      <x:c r="N190" s="19" t="str">
        <x:f>IF(A190="","",IF(COUNTIFS('更新日志'!$A$7:$A$306,A190)&lt;&gt;1,"编号重复",IF(COUNTIFS('问题总览'!$A$7:$A$306,B190)&lt;&gt;1,"问题引用无效",IF(COUNTIFS('复盘记录'!$A$7:$A$306,C190,'复盘记录'!$B$7:$B$306,B190)&lt;&gt;1,"复盘引用无效",IF(OR(D190="",E190="",F190="",G190="",H190="",M190=""),"待补更新信息",IF(AND(OR(G190="已采纳",G190="保留不变"),OR(NOT(ISNUMBER(J190)),K190="")),"待补采用依据","有效输入"))))))</x:f>
      </x:c>
    </x:row>
    <x:row r="191" ht="2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25"/>
      <x:c r="K191" s="3"/>
      <x:c r="L191" s="20"/>
      <x:c r="M191" s="3"/>
      <x:c r="N191" s="19" t="str">
        <x:f>IF(A191="","",IF(COUNTIFS('更新日志'!$A$7:$A$306,A191)&lt;&gt;1,"编号重复",IF(COUNTIFS('问题总览'!$A$7:$A$306,B191)&lt;&gt;1,"问题引用无效",IF(COUNTIFS('复盘记录'!$A$7:$A$306,C191,'复盘记录'!$B$7:$B$306,B191)&lt;&gt;1,"复盘引用无效",IF(OR(D191="",E191="",F191="",G191="",H191="",M191=""),"待补更新信息",IF(AND(OR(G191="已采纳",G191="保留不变"),OR(NOT(ISNUMBER(J191)),K191="")),"待补采用依据","有效输入"))))))</x:f>
      </x:c>
    </x:row>
    <x:row r="192" ht="2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25"/>
      <x:c r="K192" s="3"/>
      <x:c r="L192" s="20"/>
      <x:c r="M192" s="3"/>
      <x:c r="N192" s="19" t="str">
        <x:f>IF(A192="","",IF(COUNTIFS('更新日志'!$A$7:$A$306,A192)&lt;&gt;1,"编号重复",IF(COUNTIFS('问题总览'!$A$7:$A$306,B192)&lt;&gt;1,"问题引用无效",IF(COUNTIFS('复盘记录'!$A$7:$A$306,C192,'复盘记录'!$B$7:$B$306,B192)&lt;&gt;1,"复盘引用无效",IF(OR(D192="",E192="",F192="",G192="",H192="",M192=""),"待补更新信息",IF(AND(OR(G192="已采纳",G192="保留不变"),OR(NOT(ISNUMBER(J192)),K192="")),"待补采用依据","有效输入"))))))</x:f>
      </x:c>
    </x:row>
    <x:row r="193" ht="2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25"/>
      <x:c r="K193" s="3"/>
      <x:c r="L193" s="20"/>
      <x:c r="M193" s="3"/>
      <x:c r="N193" s="19" t="str">
        <x:f>IF(A193="","",IF(COUNTIFS('更新日志'!$A$7:$A$306,A193)&lt;&gt;1,"编号重复",IF(COUNTIFS('问题总览'!$A$7:$A$306,B193)&lt;&gt;1,"问题引用无效",IF(COUNTIFS('复盘记录'!$A$7:$A$306,C193,'复盘记录'!$B$7:$B$306,B193)&lt;&gt;1,"复盘引用无效",IF(OR(D193="",E193="",F193="",G193="",H193="",M193=""),"待补更新信息",IF(AND(OR(G193="已采纳",G193="保留不变"),OR(NOT(ISNUMBER(J193)),K193="")),"待补采用依据","有效输入"))))))</x:f>
      </x:c>
    </x:row>
    <x:row r="194" ht="2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25"/>
      <x:c r="K194" s="3"/>
      <x:c r="L194" s="20"/>
      <x:c r="M194" s="3"/>
      <x:c r="N194" s="19" t="str">
        <x:f>IF(A194="","",IF(COUNTIFS('更新日志'!$A$7:$A$306,A194)&lt;&gt;1,"编号重复",IF(COUNTIFS('问题总览'!$A$7:$A$306,B194)&lt;&gt;1,"问题引用无效",IF(COUNTIFS('复盘记录'!$A$7:$A$306,C194,'复盘记录'!$B$7:$B$306,B194)&lt;&gt;1,"复盘引用无效",IF(OR(D194="",E194="",F194="",G194="",H194="",M194=""),"待补更新信息",IF(AND(OR(G194="已采纳",G194="保留不变"),OR(NOT(ISNUMBER(J194)),K194="")),"待补采用依据","有效输入"))))))</x:f>
      </x:c>
    </x:row>
    <x:row r="195" ht="2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25"/>
      <x:c r="K195" s="3"/>
      <x:c r="L195" s="20"/>
      <x:c r="M195" s="3"/>
      <x:c r="N195" s="19" t="str">
        <x:f>IF(A195="","",IF(COUNTIFS('更新日志'!$A$7:$A$306,A195)&lt;&gt;1,"编号重复",IF(COUNTIFS('问题总览'!$A$7:$A$306,B195)&lt;&gt;1,"问题引用无效",IF(COUNTIFS('复盘记录'!$A$7:$A$306,C195,'复盘记录'!$B$7:$B$306,B195)&lt;&gt;1,"复盘引用无效",IF(OR(D195="",E195="",F195="",G195="",H195="",M195=""),"待补更新信息",IF(AND(OR(G195="已采纳",G195="保留不变"),OR(NOT(ISNUMBER(J195)),K195="")),"待补采用依据","有效输入"))))))</x:f>
      </x:c>
    </x:row>
    <x:row r="196" ht="2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25"/>
      <x:c r="K196" s="3"/>
      <x:c r="L196" s="20"/>
      <x:c r="M196" s="3"/>
      <x:c r="N196" s="19" t="str">
        <x:f>IF(A196="","",IF(COUNTIFS('更新日志'!$A$7:$A$306,A196)&lt;&gt;1,"编号重复",IF(COUNTIFS('问题总览'!$A$7:$A$306,B196)&lt;&gt;1,"问题引用无效",IF(COUNTIFS('复盘记录'!$A$7:$A$306,C196,'复盘记录'!$B$7:$B$306,B196)&lt;&gt;1,"复盘引用无效",IF(OR(D196="",E196="",F196="",G196="",H196="",M196=""),"待补更新信息",IF(AND(OR(G196="已采纳",G196="保留不变"),OR(NOT(ISNUMBER(J196)),K196="")),"待补采用依据","有效输入"))))))</x:f>
      </x:c>
    </x:row>
    <x:row r="197" ht="2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25"/>
      <x:c r="K197" s="3"/>
      <x:c r="L197" s="20"/>
      <x:c r="M197" s="3"/>
      <x:c r="N197" s="19" t="str">
        <x:f>IF(A197="","",IF(COUNTIFS('更新日志'!$A$7:$A$306,A197)&lt;&gt;1,"编号重复",IF(COUNTIFS('问题总览'!$A$7:$A$306,B197)&lt;&gt;1,"问题引用无效",IF(COUNTIFS('复盘记录'!$A$7:$A$306,C197,'复盘记录'!$B$7:$B$306,B197)&lt;&gt;1,"复盘引用无效",IF(OR(D197="",E197="",F197="",G197="",H197="",M197=""),"待补更新信息",IF(AND(OR(G197="已采纳",G197="保留不变"),OR(NOT(ISNUMBER(J197)),K197="")),"待补采用依据","有效输入"))))))</x:f>
      </x:c>
    </x:row>
    <x:row r="198" ht="2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25"/>
      <x:c r="K198" s="3"/>
      <x:c r="L198" s="20"/>
      <x:c r="M198" s="3"/>
      <x:c r="N198" s="19" t="str">
        <x:f>IF(A198="","",IF(COUNTIFS('更新日志'!$A$7:$A$306,A198)&lt;&gt;1,"编号重复",IF(COUNTIFS('问题总览'!$A$7:$A$306,B198)&lt;&gt;1,"问题引用无效",IF(COUNTIFS('复盘记录'!$A$7:$A$306,C198,'复盘记录'!$B$7:$B$306,B198)&lt;&gt;1,"复盘引用无效",IF(OR(D198="",E198="",F198="",G198="",H198="",M198=""),"待补更新信息",IF(AND(OR(G198="已采纳",G198="保留不变"),OR(NOT(ISNUMBER(J198)),K198="")),"待补采用依据","有效输入"))))))</x:f>
      </x:c>
    </x:row>
    <x:row r="199" ht="2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25"/>
      <x:c r="K199" s="3"/>
      <x:c r="L199" s="20"/>
      <x:c r="M199" s="3"/>
      <x:c r="N199" s="19" t="str">
        <x:f>IF(A199="","",IF(COUNTIFS('更新日志'!$A$7:$A$306,A199)&lt;&gt;1,"编号重复",IF(COUNTIFS('问题总览'!$A$7:$A$306,B199)&lt;&gt;1,"问题引用无效",IF(COUNTIFS('复盘记录'!$A$7:$A$306,C199,'复盘记录'!$B$7:$B$306,B199)&lt;&gt;1,"复盘引用无效",IF(OR(D199="",E199="",F199="",G199="",H199="",M199=""),"待补更新信息",IF(AND(OR(G199="已采纳",G199="保留不变"),OR(NOT(ISNUMBER(J199)),K199="")),"待补采用依据","有效输入"))))))</x:f>
      </x:c>
    </x:row>
    <x:row r="200" ht="2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25"/>
      <x:c r="K200" s="3"/>
      <x:c r="L200" s="20"/>
      <x:c r="M200" s="3"/>
      <x:c r="N200" s="19" t="str">
        <x:f>IF(A200="","",IF(COUNTIFS('更新日志'!$A$7:$A$306,A200)&lt;&gt;1,"编号重复",IF(COUNTIFS('问题总览'!$A$7:$A$306,B200)&lt;&gt;1,"问题引用无效",IF(COUNTIFS('复盘记录'!$A$7:$A$306,C200,'复盘记录'!$B$7:$B$306,B200)&lt;&gt;1,"复盘引用无效",IF(OR(D200="",E200="",F200="",G200="",H200="",M200=""),"待补更新信息",IF(AND(OR(G200="已采纳",G200="保留不变"),OR(NOT(ISNUMBER(J200)),K200="")),"待补采用依据","有效输入"))))))</x:f>
      </x:c>
    </x:row>
    <x:row r="201" ht="2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25"/>
      <x:c r="K201" s="3"/>
      <x:c r="L201" s="20"/>
      <x:c r="M201" s="3"/>
      <x:c r="N201" s="19" t="str">
        <x:f>IF(A201="","",IF(COUNTIFS('更新日志'!$A$7:$A$306,A201)&lt;&gt;1,"编号重复",IF(COUNTIFS('问题总览'!$A$7:$A$306,B201)&lt;&gt;1,"问题引用无效",IF(COUNTIFS('复盘记录'!$A$7:$A$306,C201,'复盘记录'!$B$7:$B$306,B201)&lt;&gt;1,"复盘引用无效",IF(OR(D201="",E201="",F201="",G201="",H201="",M201=""),"待补更新信息",IF(AND(OR(G201="已采纳",G201="保留不变"),OR(NOT(ISNUMBER(J201)),K201="")),"待补采用依据","有效输入"))))))</x:f>
      </x:c>
    </x:row>
    <x:row r="202" ht="2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25"/>
      <x:c r="K202" s="3"/>
      <x:c r="L202" s="20"/>
      <x:c r="M202" s="3"/>
      <x:c r="N202" s="19" t="str">
        <x:f>IF(A202="","",IF(COUNTIFS('更新日志'!$A$7:$A$306,A202)&lt;&gt;1,"编号重复",IF(COUNTIFS('问题总览'!$A$7:$A$306,B202)&lt;&gt;1,"问题引用无效",IF(COUNTIFS('复盘记录'!$A$7:$A$306,C202,'复盘记录'!$B$7:$B$306,B202)&lt;&gt;1,"复盘引用无效",IF(OR(D202="",E202="",F202="",G202="",H202="",M202=""),"待补更新信息",IF(AND(OR(G202="已采纳",G202="保留不变"),OR(NOT(ISNUMBER(J202)),K202="")),"待补采用依据","有效输入"))))))</x:f>
      </x:c>
    </x:row>
    <x:row r="203" ht="2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25"/>
      <x:c r="K203" s="3"/>
      <x:c r="L203" s="20"/>
      <x:c r="M203" s="3"/>
      <x:c r="N203" s="19" t="str">
        <x:f>IF(A203="","",IF(COUNTIFS('更新日志'!$A$7:$A$306,A203)&lt;&gt;1,"编号重复",IF(COUNTIFS('问题总览'!$A$7:$A$306,B203)&lt;&gt;1,"问题引用无效",IF(COUNTIFS('复盘记录'!$A$7:$A$306,C203,'复盘记录'!$B$7:$B$306,B203)&lt;&gt;1,"复盘引用无效",IF(OR(D203="",E203="",F203="",G203="",H203="",M203=""),"待补更新信息",IF(AND(OR(G203="已采纳",G203="保留不变"),OR(NOT(ISNUMBER(J203)),K203="")),"待补采用依据","有效输入"))))))</x:f>
      </x:c>
    </x:row>
    <x:row r="204" ht="2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25"/>
      <x:c r="K204" s="3"/>
      <x:c r="L204" s="20"/>
      <x:c r="M204" s="3"/>
      <x:c r="N204" s="19" t="str">
        <x:f>IF(A204="","",IF(COUNTIFS('更新日志'!$A$7:$A$306,A204)&lt;&gt;1,"编号重复",IF(COUNTIFS('问题总览'!$A$7:$A$306,B204)&lt;&gt;1,"问题引用无效",IF(COUNTIFS('复盘记录'!$A$7:$A$306,C204,'复盘记录'!$B$7:$B$306,B204)&lt;&gt;1,"复盘引用无效",IF(OR(D204="",E204="",F204="",G204="",H204="",M204=""),"待补更新信息",IF(AND(OR(G204="已采纳",G204="保留不变"),OR(NOT(ISNUMBER(J204)),K204="")),"待补采用依据","有效输入"))))))</x:f>
      </x:c>
    </x:row>
    <x:row r="205" ht="2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25"/>
      <x:c r="K205" s="3"/>
      <x:c r="L205" s="20"/>
      <x:c r="M205" s="3"/>
      <x:c r="N205" s="19" t="str">
        <x:f>IF(A205="","",IF(COUNTIFS('更新日志'!$A$7:$A$306,A205)&lt;&gt;1,"编号重复",IF(COUNTIFS('问题总览'!$A$7:$A$306,B205)&lt;&gt;1,"问题引用无效",IF(COUNTIFS('复盘记录'!$A$7:$A$306,C205,'复盘记录'!$B$7:$B$306,B205)&lt;&gt;1,"复盘引用无效",IF(OR(D205="",E205="",F205="",G205="",H205="",M205=""),"待补更新信息",IF(AND(OR(G205="已采纳",G205="保留不变"),OR(NOT(ISNUMBER(J205)),K205="")),"待补采用依据","有效输入"))))))</x:f>
      </x:c>
    </x:row>
    <x:row r="206" ht="2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25"/>
      <x:c r="K206" s="3"/>
      <x:c r="L206" s="20"/>
      <x:c r="M206" s="3"/>
      <x:c r="N206" s="19" t="str">
        <x:f>IF(A206="","",IF(COUNTIFS('更新日志'!$A$7:$A$306,A206)&lt;&gt;1,"编号重复",IF(COUNTIFS('问题总览'!$A$7:$A$306,B206)&lt;&gt;1,"问题引用无效",IF(COUNTIFS('复盘记录'!$A$7:$A$306,C206,'复盘记录'!$B$7:$B$306,B206)&lt;&gt;1,"复盘引用无效",IF(OR(D206="",E206="",F206="",G206="",H206="",M206=""),"待补更新信息",IF(AND(OR(G206="已采纳",G206="保留不变"),OR(NOT(ISNUMBER(J206)),K206="")),"待补采用依据","有效输入"))))))</x:f>
      </x:c>
    </x:row>
    <x:row r="207" ht="2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25"/>
      <x:c r="K207" s="3"/>
      <x:c r="L207" s="20"/>
      <x:c r="M207" s="3"/>
      <x:c r="N207" s="19" t="str">
        <x:f>IF(A207="","",IF(COUNTIFS('更新日志'!$A$7:$A$306,A207)&lt;&gt;1,"编号重复",IF(COUNTIFS('问题总览'!$A$7:$A$306,B207)&lt;&gt;1,"问题引用无效",IF(COUNTIFS('复盘记录'!$A$7:$A$306,C207,'复盘记录'!$B$7:$B$306,B207)&lt;&gt;1,"复盘引用无效",IF(OR(D207="",E207="",F207="",G207="",H207="",M207=""),"待补更新信息",IF(AND(OR(G207="已采纳",G207="保留不变"),OR(NOT(ISNUMBER(J207)),K207="")),"待补采用依据","有效输入"))))))</x:f>
      </x:c>
    </x:row>
    <x:row r="208" ht="2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25"/>
      <x:c r="K208" s="3"/>
      <x:c r="L208" s="20"/>
      <x:c r="M208" s="3"/>
      <x:c r="N208" s="19" t="str">
        <x:f>IF(A208="","",IF(COUNTIFS('更新日志'!$A$7:$A$306,A208)&lt;&gt;1,"编号重复",IF(COUNTIFS('问题总览'!$A$7:$A$306,B208)&lt;&gt;1,"问题引用无效",IF(COUNTIFS('复盘记录'!$A$7:$A$306,C208,'复盘记录'!$B$7:$B$306,B208)&lt;&gt;1,"复盘引用无效",IF(OR(D208="",E208="",F208="",G208="",H208="",M208=""),"待补更新信息",IF(AND(OR(G208="已采纳",G208="保留不变"),OR(NOT(ISNUMBER(J208)),K208="")),"待补采用依据","有效输入"))))))</x:f>
      </x:c>
    </x:row>
    <x:row r="209" ht="2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25"/>
      <x:c r="K209" s="3"/>
      <x:c r="L209" s="20"/>
      <x:c r="M209" s="3"/>
      <x:c r="N209" s="19" t="str">
        <x:f>IF(A209="","",IF(COUNTIFS('更新日志'!$A$7:$A$306,A209)&lt;&gt;1,"编号重复",IF(COUNTIFS('问题总览'!$A$7:$A$306,B209)&lt;&gt;1,"问题引用无效",IF(COUNTIFS('复盘记录'!$A$7:$A$306,C209,'复盘记录'!$B$7:$B$306,B209)&lt;&gt;1,"复盘引用无效",IF(OR(D209="",E209="",F209="",G209="",H209="",M209=""),"待补更新信息",IF(AND(OR(G209="已采纳",G209="保留不变"),OR(NOT(ISNUMBER(J209)),K209="")),"待补采用依据","有效输入"))))))</x:f>
      </x:c>
    </x:row>
    <x:row r="210" ht="2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25"/>
      <x:c r="K210" s="3"/>
      <x:c r="L210" s="20"/>
      <x:c r="M210" s="3"/>
      <x:c r="N210" s="19" t="str">
        <x:f>IF(A210="","",IF(COUNTIFS('更新日志'!$A$7:$A$306,A210)&lt;&gt;1,"编号重复",IF(COUNTIFS('问题总览'!$A$7:$A$306,B210)&lt;&gt;1,"问题引用无效",IF(COUNTIFS('复盘记录'!$A$7:$A$306,C210,'复盘记录'!$B$7:$B$306,B210)&lt;&gt;1,"复盘引用无效",IF(OR(D210="",E210="",F210="",G210="",H210="",M210=""),"待补更新信息",IF(AND(OR(G210="已采纳",G210="保留不变"),OR(NOT(ISNUMBER(J210)),K210="")),"待补采用依据","有效输入"))))))</x:f>
      </x:c>
    </x:row>
    <x:row r="211" ht="2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25"/>
      <x:c r="K211" s="3"/>
      <x:c r="L211" s="20"/>
      <x:c r="M211" s="3"/>
      <x:c r="N211" s="19" t="str">
        <x:f>IF(A211="","",IF(COUNTIFS('更新日志'!$A$7:$A$306,A211)&lt;&gt;1,"编号重复",IF(COUNTIFS('问题总览'!$A$7:$A$306,B211)&lt;&gt;1,"问题引用无效",IF(COUNTIFS('复盘记录'!$A$7:$A$306,C211,'复盘记录'!$B$7:$B$306,B211)&lt;&gt;1,"复盘引用无效",IF(OR(D211="",E211="",F211="",G211="",H211="",M211=""),"待补更新信息",IF(AND(OR(G211="已采纳",G211="保留不变"),OR(NOT(ISNUMBER(J211)),K211="")),"待补采用依据","有效输入"))))))</x:f>
      </x:c>
    </x:row>
    <x:row r="212" ht="2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25"/>
      <x:c r="K212" s="3"/>
      <x:c r="L212" s="20"/>
      <x:c r="M212" s="3"/>
      <x:c r="N212" s="19" t="str">
        <x:f>IF(A212="","",IF(COUNTIFS('更新日志'!$A$7:$A$306,A212)&lt;&gt;1,"编号重复",IF(COUNTIFS('问题总览'!$A$7:$A$306,B212)&lt;&gt;1,"问题引用无效",IF(COUNTIFS('复盘记录'!$A$7:$A$306,C212,'复盘记录'!$B$7:$B$306,B212)&lt;&gt;1,"复盘引用无效",IF(OR(D212="",E212="",F212="",G212="",H212="",M212=""),"待补更新信息",IF(AND(OR(G212="已采纳",G212="保留不变"),OR(NOT(ISNUMBER(J212)),K212="")),"待补采用依据","有效输入"))))))</x:f>
      </x:c>
    </x:row>
    <x:row r="213" ht="2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25"/>
      <x:c r="K213" s="3"/>
      <x:c r="L213" s="20"/>
      <x:c r="M213" s="3"/>
      <x:c r="N213" s="19" t="str">
        <x:f>IF(A213="","",IF(COUNTIFS('更新日志'!$A$7:$A$306,A213)&lt;&gt;1,"编号重复",IF(COUNTIFS('问题总览'!$A$7:$A$306,B213)&lt;&gt;1,"问题引用无效",IF(COUNTIFS('复盘记录'!$A$7:$A$306,C213,'复盘记录'!$B$7:$B$306,B213)&lt;&gt;1,"复盘引用无效",IF(OR(D213="",E213="",F213="",G213="",H213="",M213=""),"待补更新信息",IF(AND(OR(G213="已采纳",G213="保留不变"),OR(NOT(ISNUMBER(J213)),K213="")),"待补采用依据","有效输入"))))))</x:f>
      </x:c>
    </x:row>
    <x:row r="214" ht="2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25"/>
      <x:c r="K214" s="3"/>
      <x:c r="L214" s="20"/>
      <x:c r="M214" s="3"/>
      <x:c r="N214" s="19" t="str">
        <x:f>IF(A214="","",IF(COUNTIFS('更新日志'!$A$7:$A$306,A214)&lt;&gt;1,"编号重复",IF(COUNTIFS('问题总览'!$A$7:$A$306,B214)&lt;&gt;1,"问题引用无效",IF(COUNTIFS('复盘记录'!$A$7:$A$306,C214,'复盘记录'!$B$7:$B$306,B214)&lt;&gt;1,"复盘引用无效",IF(OR(D214="",E214="",F214="",G214="",H214="",M214=""),"待补更新信息",IF(AND(OR(G214="已采纳",G214="保留不变"),OR(NOT(ISNUMBER(J214)),K214="")),"待补采用依据","有效输入"))))))</x:f>
      </x:c>
    </x:row>
    <x:row r="215" ht="2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25"/>
      <x:c r="K215" s="3"/>
      <x:c r="L215" s="20"/>
      <x:c r="M215" s="3"/>
      <x:c r="N215" s="19" t="str">
        <x:f>IF(A215="","",IF(COUNTIFS('更新日志'!$A$7:$A$306,A215)&lt;&gt;1,"编号重复",IF(COUNTIFS('问题总览'!$A$7:$A$306,B215)&lt;&gt;1,"问题引用无效",IF(COUNTIFS('复盘记录'!$A$7:$A$306,C215,'复盘记录'!$B$7:$B$306,B215)&lt;&gt;1,"复盘引用无效",IF(OR(D215="",E215="",F215="",G215="",H215="",M215=""),"待补更新信息",IF(AND(OR(G215="已采纳",G215="保留不变"),OR(NOT(ISNUMBER(J215)),K215="")),"待补采用依据","有效输入"))))))</x:f>
      </x:c>
    </x:row>
    <x:row r="216" ht="2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25"/>
      <x:c r="K216" s="3"/>
      <x:c r="L216" s="20"/>
      <x:c r="M216" s="3"/>
      <x:c r="N216" s="19" t="str">
        <x:f>IF(A216="","",IF(COUNTIFS('更新日志'!$A$7:$A$306,A216)&lt;&gt;1,"编号重复",IF(COUNTIFS('问题总览'!$A$7:$A$306,B216)&lt;&gt;1,"问题引用无效",IF(COUNTIFS('复盘记录'!$A$7:$A$306,C216,'复盘记录'!$B$7:$B$306,B216)&lt;&gt;1,"复盘引用无效",IF(OR(D216="",E216="",F216="",G216="",H216="",M216=""),"待补更新信息",IF(AND(OR(G216="已采纳",G216="保留不变"),OR(NOT(ISNUMBER(J216)),K216="")),"待补采用依据","有效输入"))))))</x:f>
      </x:c>
    </x:row>
    <x:row r="217" ht="2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25"/>
      <x:c r="K217" s="3"/>
      <x:c r="L217" s="20"/>
      <x:c r="M217" s="3"/>
      <x:c r="N217" s="19" t="str">
        <x:f>IF(A217="","",IF(COUNTIFS('更新日志'!$A$7:$A$306,A217)&lt;&gt;1,"编号重复",IF(COUNTIFS('问题总览'!$A$7:$A$306,B217)&lt;&gt;1,"问题引用无效",IF(COUNTIFS('复盘记录'!$A$7:$A$306,C217,'复盘记录'!$B$7:$B$306,B217)&lt;&gt;1,"复盘引用无效",IF(OR(D217="",E217="",F217="",G217="",H217="",M217=""),"待补更新信息",IF(AND(OR(G217="已采纳",G217="保留不变"),OR(NOT(ISNUMBER(J217)),K217="")),"待补采用依据","有效输入"))))))</x:f>
      </x:c>
    </x:row>
    <x:row r="218" ht="2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25"/>
      <x:c r="K218" s="3"/>
      <x:c r="L218" s="20"/>
      <x:c r="M218" s="3"/>
      <x:c r="N218" s="19" t="str">
        <x:f>IF(A218="","",IF(COUNTIFS('更新日志'!$A$7:$A$306,A218)&lt;&gt;1,"编号重复",IF(COUNTIFS('问题总览'!$A$7:$A$306,B218)&lt;&gt;1,"问题引用无效",IF(COUNTIFS('复盘记录'!$A$7:$A$306,C218,'复盘记录'!$B$7:$B$306,B218)&lt;&gt;1,"复盘引用无效",IF(OR(D218="",E218="",F218="",G218="",H218="",M218=""),"待补更新信息",IF(AND(OR(G218="已采纳",G218="保留不变"),OR(NOT(ISNUMBER(J218)),K218="")),"待补采用依据","有效输入"))))))</x:f>
      </x:c>
    </x:row>
    <x:row r="219" ht="2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25"/>
      <x:c r="K219" s="3"/>
      <x:c r="L219" s="20"/>
      <x:c r="M219" s="3"/>
      <x:c r="N219" s="19" t="str">
        <x:f>IF(A219="","",IF(COUNTIFS('更新日志'!$A$7:$A$306,A219)&lt;&gt;1,"编号重复",IF(COUNTIFS('问题总览'!$A$7:$A$306,B219)&lt;&gt;1,"问题引用无效",IF(COUNTIFS('复盘记录'!$A$7:$A$306,C219,'复盘记录'!$B$7:$B$306,B219)&lt;&gt;1,"复盘引用无效",IF(OR(D219="",E219="",F219="",G219="",H219="",M219=""),"待补更新信息",IF(AND(OR(G219="已采纳",G219="保留不变"),OR(NOT(ISNUMBER(J219)),K219="")),"待补采用依据","有效输入"))))))</x:f>
      </x:c>
    </x:row>
    <x:row r="220" ht="2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25"/>
      <x:c r="K220" s="3"/>
      <x:c r="L220" s="20"/>
      <x:c r="M220" s="3"/>
      <x:c r="N220" s="19" t="str">
        <x:f>IF(A220="","",IF(COUNTIFS('更新日志'!$A$7:$A$306,A220)&lt;&gt;1,"编号重复",IF(COUNTIFS('问题总览'!$A$7:$A$306,B220)&lt;&gt;1,"问题引用无效",IF(COUNTIFS('复盘记录'!$A$7:$A$306,C220,'复盘记录'!$B$7:$B$306,B220)&lt;&gt;1,"复盘引用无效",IF(OR(D220="",E220="",F220="",G220="",H220="",M220=""),"待补更新信息",IF(AND(OR(G220="已采纳",G220="保留不变"),OR(NOT(ISNUMBER(J220)),K220="")),"待补采用依据","有效输入"))))))</x:f>
      </x:c>
    </x:row>
    <x:row r="221" ht="2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25"/>
      <x:c r="K221" s="3"/>
      <x:c r="L221" s="20"/>
      <x:c r="M221" s="3"/>
      <x:c r="N221" s="19" t="str">
        <x:f>IF(A221="","",IF(COUNTIFS('更新日志'!$A$7:$A$306,A221)&lt;&gt;1,"编号重复",IF(COUNTIFS('问题总览'!$A$7:$A$306,B221)&lt;&gt;1,"问题引用无效",IF(COUNTIFS('复盘记录'!$A$7:$A$306,C221,'复盘记录'!$B$7:$B$306,B221)&lt;&gt;1,"复盘引用无效",IF(OR(D221="",E221="",F221="",G221="",H221="",M221=""),"待补更新信息",IF(AND(OR(G221="已采纳",G221="保留不变"),OR(NOT(ISNUMBER(J221)),K221="")),"待补采用依据","有效输入"))))))</x:f>
      </x:c>
    </x:row>
    <x:row r="222" ht="2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25"/>
      <x:c r="K222" s="3"/>
      <x:c r="L222" s="20"/>
      <x:c r="M222" s="3"/>
      <x:c r="N222" s="19" t="str">
        <x:f>IF(A222="","",IF(COUNTIFS('更新日志'!$A$7:$A$306,A222)&lt;&gt;1,"编号重复",IF(COUNTIFS('问题总览'!$A$7:$A$306,B222)&lt;&gt;1,"问题引用无效",IF(COUNTIFS('复盘记录'!$A$7:$A$306,C222,'复盘记录'!$B$7:$B$306,B222)&lt;&gt;1,"复盘引用无效",IF(OR(D222="",E222="",F222="",G222="",H222="",M222=""),"待补更新信息",IF(AND(OR(G222="已采纳",G222="保留不变"),OR(NOT(ISNUMBER(J222)),K222="")),"待补采用依据","有效输入"))))))</x:f>
      </x:c>
    </x:row>
    <x:row r="223" ht="2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25"/>
      <x:c r="K223" s="3"/>
      <x:c r="L223" s="20"/>
      <x:c r="M223" s="3"/>
      <x:c r="N223" s="19" t="str">
        <x:f>IF(A223="","",IF(COUNTIFS('更新日志'!$A$7:$A$306,A223)&lt;&gt;1,"编号重复",IF(COUNTIFS('问题总览'!$A$7:$A$306,B223)&lt;&gt;1,"问题引用无效",IF(COUNTIFS('复盘记录'!$A$7:$A$306,C223,'复盘记录'!$B$7:$B$306,B223)&lt;&gt;1,"复盘引用无效",IF(OR(D223="",E223="",F223="",G223="",H223="",M223=""),"待补更新信息",IF(AND(OR(G223="已采纳",G223="保留不变"),OR(NOT(ISNUMBER(J223)),K223="")),"待补采用依据","有效输入"))))))</x:f>
      </x:c>
    </x:row>
    <x:row r="224" ht="2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25"/>
      <x:c r="K224" s="3"/>
      <x:c r="L224" s="20"/>
      <x:c r="M224" s="3"/>
      <x:c r="N224" s="19" t="str">
        <x:f>IF(A224="","",IF(COUNTIFS('更新日志'!$A$7:$A$306,A224)&lt;&gt;1,"编号重复",IF(COUNTIFS('问题总览'!$A$7:$A$306,B224)&lt;&gt;1,"问题引用无效",IF(COUNTIFS('复盘记录'!$A$7:$A$306,C224,'复盘记录'!$B$7:$B$306,B224)&lt;&gt;1,"复盘引用无效",IF(OR(D224="",E224="",F224="",G224="",H224="",M224=""),"待补更新信息",IF(AND(OR(G224="已采纳",G224="保留不变"),OR(NOT(ISNUMBER(J224)),K224="")),"待补采用依据","有效输入"))))))</x:f>
      </x:c>
    </x:row>
    <x:row r="225" ht="2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25"/>
      <x:c r="K225" s="3"/>
      <x:c r="L225" s="20"/>
      <x:c r="M225" s="3"/>
      <x:c r="N225" s="19" t="str">
        <x:f>IF(A225="","",IF(COUNTIFS('更新日志'!$A$7:$A$306,A225)&lt;&gt;1,"编号重复",IF(COUNTIFS('问题总览'!$A$7:$A$306,B225)&lt;&gt;1,"问题引用无效",IF(COUNTIFS('复盘记录'!$A$7:$A$306,C225,'复盘记录'!$B$7:$B$306,B225)&lt;&gt;1,"复盘引用无效",IF(OR(D225="",E225="",F225="",G225="",H225="",M225=""),"待补更新信息",IF(AND(OR(G225="已采纳",G225="保留不变"),OR(NOT(ISNUMBER(J225)),K225="")),"待补采用依据","有效输入"))))))</x:f>
      </x:c>
    </x:row>
    <x:row r="226" ht="2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25"/>
      <x:c r="K226" s="3"/>
      <x:c r="L226" s="20"/>
      <x:c r="M226" s="3"/>
      <x:c r="N226" s="19" t="str">
        <x:f>IF(A226="","",IF(COUNTIFS('更新日志'!$A$7:$A$306,A226)&lt;&gt;1,"编号重复",IF(COUNTIFS('问题总览'!$A$7:$A$306,B226)&lt;&gt;1,"问题引用无效",IF(COUNTIFS('复盘记录'!$A$7:$A$306,C226,'复盘记录'!$B$7:$B$306,B226)&lt;&gt;1,"复盘引用无效",IF(OR(D226="",E226="",F226="",G226="",H226="",M226=""),"待补更新信息",IF(AND(OR(G226="已采纳",G226="保留不变"),OR(NOT(ISNUMBER(J226)),K226="")),"待补采用依据","有效输入"))))))</x:f>
      </x:c>
    </x:row>
    <x:row r="227" ht="2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25"/>
      <x:c r="K227" s="3"/>
      <x:c r="L227" s="20"/>
      <x:c r="M227" s="3"/>
      <x:c r="N227" s="19" t="str">
        <x:f>IF(A227="","",IF(COUNTIFS('更新日志'!$A$7:$A$306,A227)&lt;&gt;1,"编号重复",IF(COUNTIFS('问题总览'!$A$7:$A$306,B227)&lt;&gt;1,"问题引用无效",IF(COUNTIFS('复盘记录'!$A$7:$A$306,C227,'复盘记录'!$B$7:$B$306,B227)&lt;&gt;1,"复盘引用无效",IF(OR(D227="",E227="",F227="",G227="",H227="",M227=""),"待补更新信息",IF(AND(OR(G227="已采纳",G227="保留不变"),OR(NOT(ISNUMBER(J227)),K227="")),"待补采用依据","有效输入"))))))</x:f>
      </x:c>
    </x:row>
    <x:row r="228" ht="2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25"/>
      <x:c r="K228" s="3"/>
      <x:c r="L228" s="20"/>
      <x:c r="M228" s="3"/>
      <x:c r="N228" s="19" t="str">
        <x:f>IF(A228="","",IF(COUNTIFS('更新日志'!$A$7:$A$306,A228)&lt;&gt;1,"编号重复",IF(COUNTIFS('问题总览'!$A$7:$A$306,B228)&lt;&gt;1,"问题引用无效",IF(COUNTIFS('复盘记录'!$A$7:$A$306,C228,'复盘记录'!$B$7:$B$306,B228)&lt;&gt;1,"复盘引用无效",IF(OR(D228="",E228="",F228="",G228="",H228="",M228=""),"待补更新信息",IF(AND(OR(G228="已采纳",G228="保留不变"),OR(NOT(ISNUMBER(J228)),K228="")),"待补采用依据","有效输入"))))))</x:f>
      </x:c>
    </x:row>
    <x:row r="229" ht="2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25"/>
      <x:c r="K229" s="3"/>
      <x:c r="L229" s="20"/>
      <x:c r="M229" s="3"/>
      <x:c r="N229" s="19" t="str">
        <x:f>IF(A229="","",IF(COUNTIFS('更新日志'!$A$7:$A$306,A229)&lt;&gt;1,"编号重复",IF(COUNTIFS('问题总览'!$A$7:$A$306,B229)&lt;&gt;1,"问题引用无效",IF(COUNTIFS('复盘记录'!$A$7:$A$306,C229,'复盘记录'!$B$7:$B$306,B229)&lt;&gt;1,"复盘引用无效",IF(OR(D229="",E229="",F229="",G229="",H229="",M229=""),"待补更新信息",IF(AND(OR(G229="已采纳",G229="保留不变"),OR(NOT(ISNUMBER(J229)),K229="")),"待补采用依据","有效输入"))))))</x:f>
      </x:c>
    </x:row>
    <x:row r="230" ht="2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25"/>
      <x:c r="K230" s="3"/>
      <x:c r="L230" s="20"/>
      <x:c r="M230" s="3"/>
      <x:c r="N230" s="19" t="str">
        <x:f>IF(A230="","",IF(COUNTIFS('更新日志'!$A$7:$A$306,A230)&lt;&gt;1,"编号重复",IF(COUNTIFS('问题总览'!$A$7:$A$306,B230)&lt;&gt;1,"问题引用无效",IF(COUNTIFS('复盘记录'!$A$7:$A$306,C230,'复盘记录'!$B$7:$B$306,B230)&lt;&gt;1,"复盘引用无效",IF(OR(D230="",E230="",F230="",G230="",H230="",M230=""),"待补更新信息",IF(AND(OR(G230="已采纳",G230="保留不变"),OR(NOT(ISNUMBER(J230)),K230="")),"待补采用依据","有效输入"))))))</x:f>
      </x:c>
    </x:row>
    <x:row r="231" ht="2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25"/>
      <x:c r="K231" s="3"/>
      <x:c r="L231" s="20"/>
      <x:c r="M231" s="3"/>
      <x:c r="N231" s="19" t="str">
        <x:f>IF(A231="","",IF(COUNTIFS('更新日志'!$A$7:$A$306,A231)&lt;&gt;1,"编号重复",IF(COUNTIFS('问题总览'!$A$7:$A$306,B231)&lt;&gt;1,"问题引用无效",IF(COUNTIFS('复盘记录'!$A$7:$A$306,C231,'复盘记录'!$B$7:$B$306,B231)&lt;&gt;1,"复盘引用无效",IF(OR(D231="",E231="",F231="",G231="",H231="",M231=""),"待补更新信息",IF(AND(OR(G231="已采纳",G231="保留不变"),OR(NOT(ISNUMBER(J231)),K231="")),"待补采用依据","有效输入"))))))</x:f>
      </x:c>
    </x:row>
    <x:row r="232" ht="2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25"/>
      <x:c r="K232" s="3"/>
      <x:c r="L232" s="20"/>
      <x:c r="M232" s="3"/>
      <x:c r="N232" s="19" t="str">
        <x:f>IF(A232="","",IF(COUNTIFS('更新日志'!$A$7:$A$306,A232)&lt;&gt;1,"编号重复",IF(COUNTIFS('问题总览'!$A$7:$A$306,B232)&lt;&gt;1,"问题引用无效",IF(COUNTIFS('复盘记录'!$A$7:$A$306,C232,'复盘记录'!$B$7:$B$306,B232)&lt;&gt;1,"复盘引用无效",IF(OR(D232="",E232="",F232="",G232="",H232="",M232=""),"待补更新信息",IF(AND(OR(G232="已采纳",G232="保留不变"),OR(NOT(ISNUMBER(J232)),K232="")),"待补采用依据","有效输入"))))))</x:f>
      </x:c>
    </x:row>
    <x:row r="233" ht="2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25"/>
      <x:c r="K233" s="3"/>
      <x:c r="L233" s="20"/>
      <x:c r="M233" s="3"/>
      <x:c r="N233" s="19" t="str">
        <x:f>IF(A233="","",IF(COUNTIFS('更新日志'!$A$7:$A$306,A233)&lt;&gt;1,"编号重复",IF(COUNTIFS('问题总览'!$A$7:$A$306,B233)&lt;&gt;1,"问题引用无效",IF(COUNTIFS('复盘记录'!$A$7:$A$306,C233,'复盘记录'!$B$7:$B$306,B233)&lt;&gt;1,"复盘引用无效",IF(OR(D233="",E233="",F233="",G233="",H233="",M233=""),"待补更新信息",IF(AND(OR(G233="已采纳",G233="保留不变"),OR(NOT(ISNUMBER(J233)),K233="")),"待补采用依据","有效输入"))))))</x:f>
      </x:c>
    </x:row>
    <x:row r="234" ht="2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25"/>
      <x:c r="K234" s="3"/>
      <x:c r="L234" s="20"/>
      <x:c r="M234" s="3"/>
      <x:c r="N234" s="19" t="str">
        <x:f>IF(A234="","",IF(COUNTIFS('更新日志'!$A$7:$A$306,A234)&lt;&gt;1,"编号重复",IF(COUNTIFS('问题总览'!$A$7:$A$306,B234)&lt;&gt;1,"问题引用无效",IF(COUNTIFS('复盘记录'!$A$7:$A$306,C234,'复盘记录'!$B$7:$B$306,B234)&lt;&gt;1,"复盘引用无效",IF(OR(D234="",E234="",F234="",G234="",H234="",M234=""),"待补更新信息",IF(AND(OR(G234="已采纳",G234="保留不变"),OR(NOT(ISNUMBER(J234)),K234="")),"待补采用依据","有效输入"))))))</x:f>
      </x:c>
    </x:row>
    <x:row r="235" ht="2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25"/>
      <x:c r="K235" s="3"/>
      <x:c r="L235" s="20"/>
      <x:c r="M235" s="3"/>
      <x:c r="N235" s="19" t="str">
        <x:f>IF(A235="","",IF(COUNTIFS('更新日志'!$A$7:$A$306,A235)&lt;&gt;1,"编号重复",IF(COUNTIFS('问题总览'!$A$7:$A$306,B235)&lt;&gt;1,"问题引用无效",IF(COUNTIFS('复盘记录'!$A$7:$A$306,C235,'复盘记录'!$B$7:$B$306,B235)&lt;&gt;1,"复盘引用无效",IF(OR(D235="",E235="",F235="",G235="",H235="",M235=""),"待补更新信息",IF(AND(OR(G235="已采纳",G235="保留不变"),OR(NOT(ISNUMBER(J235)),K235="")),"待补采用依据","有效输入"))))))</x:f>
      </x:c>
    </x:row>
    <x:row r="236" ht="2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25"/>
      <x:c r="K236" s="3"/>
      <x:c r="L236" s="20"/>
      <x:c r="M236" s="3"/>
      <x:c r="N236" s="19" t="str">
        <x:f>IF(A236="","",IF(COUNTIFS('更新日志'!$A$7:$A$306,A236)&lt;&gt;1,"编号重复",IF(COUNTIFS('问题总览'!$A$7:$A$306,B236)&lt;&gt;1,"问题引用无效",IF(COUNTIFS('复盘记录'!$A$7:$A$306,C236,'复盘记录'!$B$7:$B$306,B236)&lt;&gt;1,"复盘引用无效",IF(OR(D236="",E236="",F236="",G236="",H236="",M236=""),"待补更新信息",IF(AND(OR(G236="已采纳",G236="保留不变"),OR(NOT(ISNUMBER(J236)),K236="")),"待补采用依据","有效输入"))))))</x:f>
      </x:c>
    </x:row>
    <x:row r="237" ht="2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25"/>
      <x:c r="K237" s="3"/>
      <x:c r="L237" s="20"/>
      <x:c r="M237" s="3"/>
      <x:c r="N237" s="19" t="str">
        <x:f>IF(A237="","",IF(COUNTIFS('更新日志'!$A$7:$A$306,A237)&lt;&gt;1,"编号重复",IF(COUNTIFS('问题总览'!$A$7:$A$306,B237)&lt;&gt;1,"问题引用无效",IF(COUNTIFS('复盘记录'!$A$7:$A$306,C237,'复盘记录'!$B$7:$B$306,B237)&lt;&gt;1,"复盘引用无效",IF(OR(D237="",E237="",F237="",G237="",H237="",M237=""),"待补更新信息",IF(AND(OR(G237="已采纳",G237="保留不变"),OR(NOT(ISNUMBER(J237)),K237="")),"待补采用依据","有效输入"))))))</x:f>
      </x:c>
    </x:row>
    <x:row r="238" ht="2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25"/>
      <x:c r="K238" s="3"/>
      <x:c r="L238" s="20"/>
      <x:c r="M238" s="3"/>
      <x:c r="N238" s="19" t="str">
        <x:f>IF(A238="","",IF(COUNTIFS('更新日志'!$A$7:$A$306,A238)&lt;&gt;1,"编号重复",IF(COUNTIFS('问题总览'!$A$7:$A$306,B238)&lt;&gt;1,"问题引用无效",IF(COUNTIFS('复盘记录'!$A$7:$A$306,C238,'复盘记录'!$B$7:$B$306,B238)&lt;&gt;1,"复盘引用无效",IF(OR(D238="",E238="",F238="",G238="",H238="",M238=""),"待补更新信息",IF(AND(OR(G238="已采纳",G238="保留不变"),OR(NOT(ISNUMBER(J238)),K238="")),"待补采用依据","有效输入"))))))</x:f>
      </x:c>
    </x:row>
    <x:row r="239" ht="2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25"/>
      <x:c r="K239" s="3"/>
      <x:c r="L239" s="20"/>
      <x:c r="M239" s="3"/>
      <x:c r="N239" s="19" t="str">
        <x:f>IF(A239="","",IF(COUNTIFS('更新日志'!$A$7:$A$306,A239)&lt;&gt;1,"编号重复",IF(COUNTIFS('问题总览'!$A$7:$A$306,B239)&lt;&gt;1,"问题引用无效",IF(COUNTIFS('复盘记录'!$A$7:$A$306,C239,'复盘记录'!$B$7:$B$306,B239)&lt;&gt;1,"复盘引用无效",IF(OR(D239="",E239="",F239="",G239="",H239="",M239=""),"待补更新信息",IF(AND(OR(G239="已采纳",G239="保留不变"),OR(NOT(ISNUMBER(J239)),K239="")),"待补采用依据","有效输入"))))))</x:f>
      </x:c>
    </x:row>
    <x:row r="240" ht="2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25"/>
      <x:c r="K240" s="3"/>
      <x:c r="L240" s="20"/>
      <x:c r="M240" s="3"/>
      <x:c r="N240" s="19" t="str">
        <x:f>IF(A240="","",IF(COUNTIFS('更新日志'!$A$7:$A$306,A240)&lt;&gt;1,"编号重复",IF(COUNTIFS('问题总览'!$A$7:$A$306,B240)&lt;&gt;1,"问题引用无效",IF(COUNTIFS('复盘记录'!$A$7:$A$306,C240,'复盘记录'!$B$7:$B$306,B240)&lt;&gt;1,"复盘引用无效",IF(OR(D240="",E240="",F240="",G240="",H240="",M240=""),"待补更新信息",IF(AND(OR(G240="已采纳",G240="保留不变"),OR(NOT(ISNUMBER(J240)),K240="")),"待补采用依据","有效输入"))))))</x:f>
      </x:c>
    </x:row>
    <x:row r="241" ht="2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25"/>
      <x:c r="K241" s="3"/>
      <x:c r="L241" s="20"/>
      <x:c r="M241" s="3"/>
      <x:c r="N241" s="19" t="str">
        <x:f>IF(A241="","",IF(COUNTIFS('更新日志'!$A$7:$A$306,A241)&lt;&gt;1,"编号重复",IF(COUNTIFS('问题总览'!$A$7:$A$306,B241)&lt;&gt;1,"问题引用无效",IF(COUNTIFS('复盘记录'!$A$7:$A$306,C241,'复盘记录'!$B$7:$B$306,B241)&lt;&gt;1,"复盘引用无效",IF(OR(D241="",E241="",F241="",G241="",H241="",M241=""),"待补更新信息",IF(AND(OR(G241="已采纳",G241="保留不变"),OR(NOT(ISNUMBER(J241)),K241="")),"待补采用依据","有效输入"))))))</x:f>
      </x:c>
    </x:row>
    <x:row r="242" ht="2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25"/>
      <x:c r="K242" s="3"/>
      <x:c r="L242" s="20"/>
      <x:c r="M242" s="3"/>
      <x:c r="N242" s="19" t="str">
        <x:f>IF(A242="","",IF(COUNTIFS('更新日志'!$A$7:$A$306,A242)&lt;&gt;1,"编号重复",IF(COUNTIFS('问题总览'!$A$7:$A$306,B242)&lt;&gt;1,"问题引用无效",IF(COUNTIFS('复盘记录'!$A$7:$A$306,C242,'复盘记录'!$B$7:$B$306,B242)&lt;&gt;1,"复盘引用无效",IF(OR(D242="",E242="",F242="",G242="",H242="",M242=""),"待补更新信息",IF(AND(OR(G242="已采纳",G242="保留不变"),OR(NOT(ISNUMBER(J242)),K242="")),"待补采用依据","有效输入"))))))</x:f>
      </x:c>
    </x:row>
    <x:row r="243" ht="2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25"/>
      <x:c r="K243" s="3"/>
      <x:c r="L243" s="20"/>
      <x:c r="M243" s="3"/>
      <x:c r="N243" s="19" t="str">
        <x:f>IF(A243="","",IF(COUNTIFS('更新日志'!$A$7:$A$306,A243)&lt;&gt;1,"编号重复",IF(COUNTIFS('问题总览'!$A$7:$A$306,B243)&lt;&gt;1,"问题引用无效",IF(COUNTIFS('复盘记录'!$A$7:$A$306,C243,'复盘记录'!$B$7:$B$306,B243)&lt;&gt;1,"复盘引用无效",IF(OR(D243="",E243="",F243="",G243="",H243="",M243=""),"待补更新信息",IF(AND(OR(G243="已采纳",G243="保留不变"),OR(NOT(ISNUMBER(J243)),K243="")),"待补采用依据","有效输入"))))))</x:f>
      </x:c>
    </x:row>
    <x:row r="244" ht="2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25"/>
      <x:c r="K244" s="3"/>
      <x:c r="L244" s="20"/>
      <x:c r="M244" s="3"/>
      <x:c r="N244" s="19" t="str">
        <x:f>IF(A244="","",IF(COUNTIFS('更新日志'!$A$7:$A$306,A244)&lt;&gt;1,"编号重复",IF(COUNTIFS('问题总览'!$A$7:$A$306,B244)&lt;&gt;1,"问题引用无效",IF(COUNTIFS('复盘记录'!$A$7:$A$306,C244,'复盘记录'!$B$7:$B$306,B244)&lt;&gt;1,"复盘引用无效",IF(OR(D244="",E244="",F244="",G244="",H244="",M244=""),"待补更新信息",IF(AND(OR(G244="已采纳",G244="保留不变"),OR(NOT(ISNUMBER(J244)),K244="")),"待补采用依据","有效输入"))))))</x:f>
      </x:c>
    </x:row>
    <x:row r="245" ht="2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25"/>
      <x:c r="K245" s="3"/>
      <x:c r="L245" s="20"/>
      <x:c r="M245" s="3"/>
      <x:c r="N245" s="19" t="str">
        <x:f>IF(A245="","",IF(COUNTIFS('更新日志'!$A$7:$A$306,A245)&lt;&gt;1,"编号重复",IF(COUNTIFS('问题总览'!$A$7:$A$306,B245)&lt;&gt;1,"问题引用无效",IF(COUNTIFS('复盘记录'!$A$7:$A$306,C245,'复盘记录'!$B$7:$B$306,B245)&lt;&gt;1,"复盘引用无效",IF(OR(D245="",E245="",F245="",G245="",H245="",M245=""),"待补更新信息",IF(AND(OR(G245="已采纳",G245="保留不变"),OR(NOT(ISNUMBER(J245)),K245="")),"待补采用依据","有效输入"))))))</x:f>
      </x:c>
    </x:row>
    <x:row r="246" ht="2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25"/>
      <x:c r="K246" s="3"/>
      <x:c r="L246" s="20"/>
      <x:c r="M246" s="3"/>
      <x:c r="N246" s="19" t="str">
        <x:f>IF(A246="","",IF(COUNTIFS('更新日志'!$A$7:$A$306,A246)&lt;&gt;1,"编号重复",IF(COUNTIFS('问题总览'!$A$7:$A$306,B246)&lt;&gt;1,"问题引用无效",IF(COUNTIFS('复盘记录'!$A$7:$A$306,C246,'复盘记录'!$B$7:$B$306,B246)&lt;&gt;1,"复盘引用无效",IF(OR(D246="",E246="",F246="",G246="",H246="",M246=""),"待补更新信息",IF(AND(OR(G246="已采纳",G246="保留不变"),OR(NOT(ISNUMBER(J246)),K246="")),"待补采用依据","有效输入"))))))</x:f>
      </x:c>
    </x:row>
    <x:row r="247" ht="2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25"/>
      <x:c r="K247" s="3"/>
      <x:c r="L247" s="20"/>
      <x:c r="M247" s="3"/>
      <x:c r="N247" s="19" t="str">
        <x:f>IF(A247="","",IF(COUNTIFS('更新日志'!$A$7:$A$306,A247)&lt;&gt;1,"编号重复",IF(COUNTIFS('问题总览'!$A$7:$A$306,B247)&lt;&gt;1,"问题引用无效",IF(COUNTIFS('复盘记录'!$A$7:$A$306,C247,'复盘记录'!$B$7:$B$306,B247)&lt;&gt;1,"复盘引用无效",IF(OR(D247="",E247="",F247="",G247="",H247="",M247=""),"待补更新信息",IF(AND(OR(G247="已采纳",G247="保留不变"),OR(NOT(ISNUMBER(J247)),K247="")),"待补采用依据","有效输入"))))))</x:f>
      </x:c>
    </x:row>
    <x:row r="248" ht="2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25"/>
      <x:c r="K248" s="3"/>
      <x:c r="L248" s="20"/>
      <x:c r="M248" s="3"/>
      <x:c r="N248" s="19" t="str">
        <x:f>IF(A248="","",IF(COUNTIFS('更新日志'!$A$7:$A$306,A248)&lt;&gt;1,"编号重复",IF(COUNTIFS('问题总览'!$A$7:$A$306,B248)&lt;&gt;1,"问题引用无效",IF(COUNTIFS('复盘记录'!$A$7:$A$306,C248,'复盘记录'!$B$7:$B$306,B248)&lt;&gt;1,"复盘引用无效",IF(OR(D248="",E248="",F248="",G248="",H248="",M248=""),"待补更新信息",IF(AND(OR(G248="已采纳",G248="保留不变"),OR(NOT(ISNUMBER(J248)),K248="")),"待补采用依据","有效输入"))))))</x:f>
      </x:c>
    </x:row>
    <x:row r="249" ht="2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25"/>
      <x:c r="K249" s="3"/>
      <x:c r="L249" s="20"/>
      <x:c r="M249" s="3"/>
      <x:c r="N249" s="19" t="str">
        <x:f>IF(A249="","",IF(COUNTIFS('更新日志'!$A$7:$A$306,A249)&lt;&gt;1,"编号重复",IF(COUNTIFS('问题总览'!$A$7:$A$306,B249)&lt;&gt;1,"问题引用无效",IF(COUNTIFS('复盘记录'!$A$7:$A$306,C249,'复盘记录'!$B$7:$B$306,B249)&lt;&gt;1,"复盘引用无效",IF(OR(D249="",E249="",F249="",G249="",H249="",M249=""),"待补更新信息",IF(AND(OR(G249="已采纳",G249="保留不变"),OR(NOT(ISNUMBER(J249)),K249="")),"待补采用依据","有效输入"))))))</x:f>
      </x:c>
    </x:row>
    <x:row r="250" ht="2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25"/>
      <x:c r="K250" s="3"/>
      <x:c r="L250" s="20"/>
      <x:c r="M250" s="3"/>
      <x:c r="N250" s="19" t="str">
        <x:f>IF(A250="","",IF(COUNTIFS('更新日志'!$A$7:$A$306,A250)&lt;&gt;1,"编号重复",IF(COUNTIFS('问题总览'!$A$7:$A$306,B250)&lt;&gt;1,"问题引用无效",IF(COUNTIFS('复盘记录'!$A$7:$A$306,C250,'复盘记录'!$B$7:$B$306,B250)&lt;&gt;1,"复盘引用无效",IF(OR(D250="",E250="",F250="",G250="",H250="",M250=""),"待补更新信息",IF(AND(OR(G250="已采纳",G250="保留不变"),OR(NOT(ISNUMBER(J250)),K250="")),"待补采用依据","有效输入"))))))</x:f>
      </x:c>
    </x:row>
    <x:row r="251" ht="2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25"/>
      <x:c r="K251" s="3"/>
      <x:c r="L251" s="20"/>
      <x:c r="M251" s="3"/>
      <x:c r="N251" s="19" t="str">
        <x:f>IF(A251="","",IF(COUNTIFS('更新日志'!$A$7:$A$306,A251)&lt;&gt;1,"编号重复",IF(COUNTIFS('问题总览'!$A$7:$A$306,B251)&lt;&gt;1,"问题引用无效",IF(COUNTIFS('复盘记录'!$A$7:$A$306,C251,'复盘记录'!$B$7:$B$306,B251)&lt;&gt;1,"复盘引用无效",IF(OR(D251="",E251="",F251="",G251="",H251="",M251=""),"待补更新信息",IF(AND(OR(G251="已采纳",G251="保留不变"),OR(NOT(ISNUMBER(J251)),K251="")),"待补采用依据","有效输入"))))))</x:f>
      </x:c>
    </x:row>
    <x:row r="252" ht="2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25"/>
      <x:c r="K252" s="3"/>
      <x:c r="L252" s="20"/>
      <x:c r="M252" s="3"/>
      <x:c r="N252" s="19" t="str">
        <x:f>IF(A252="","",IF(COUNTIFS('更新日志'!$A$7:$A$306,A252)&lt;&gt;1,"编号重复",IF(COUNTIFS('问题总览'!$A$7:$A$306,B252)&lt;&gt;1,"问题引用无效",IF(COUNTIFS('复盘记录'!$A$7:$A$306,C252,'复盘记录'!$B$7:$B$306,B252)&lt;&gt;1,"复盘引用无效",IF(OR(D252="",E252="",F252="",G252="",H252="",M252=""),"待补更新信息",IF(AND(OR(G252="已采纳",G252="保留不变"),OR(NOT(ISNUMBER(J252)),K252="")),"待补采用依据","有效输入"))))))</x:f>
      </x:c>
    </x:row>
    <x:row r="253" ht="2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25"/>
      <x:c r="K253" s="3"/>
      <x:c r="L253" s="20"/>
      <x:c r="M253" s="3"/>
      <x:c r="N253" s="19" t="str">
        <x:f>IF(A253="","",IF(COUNTIFS('更新日志'!$A$7:$A$306,A253)&lt;&gt;1,"编号重复",IF(COUNTIFS('问题总览'!$A$7:$A$306,B253)&lt;&gt;1,"问题引用无效",IF(COUNTIFS('复盘记录'!$A$7:$A$306,C253,'复盘记录'!$B$7:$B$306,B253)&lt;&gt;1,"复盘引用无效",IF(OR(D253="",E253="",F253="",G253="",H253="",M253=""),"待补更新信息",IF(AND(OR(G253="已采纳",G253="保留不变"),OR(NOT(ISNUMBER(J253)),K253="")),"待补采用依据","有效输入"))))))</x:f>
      </x:c>
    </x:row>
    <x:row r="254" ht="2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25"/>
      <x:c r="K254" s="3"/>
      <x:c r="L254" s="20"/>
      <x:c r="M254" s="3"/>
      <x:c r="N254" s="19" t="str">
        <x:f>IF(A254="","",IF(COUNTIFS('更新日志'!$A$7:$A$306,A254)&lt;&gt;1,"编号重复",IF(COUNTIFS('问题总览'!$A$7:$A$306,B254)&lt;&gt;1,"问题引用无效",IF(COUNTIFS('复盘记录'!$A$7:$A$306,C254,'复盘记录'!$B$7:$B$306,B254)&lt;&gt;1,"复盘引用无效",IF(OR(D254="",E254="",F254="",G254="",H254="",M254=""),"待补更新信息",IF(AND(OR(G254="已采纳",G254="保留不变"),OR(NOT(ISNUMBER(J254)),K254="")),"待补采用依据","有效输入"))))))</x:f>
      </x:c>
    </x:row>
    <x:row r="255" ht="2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25"/>
      <x:c r="K255" s="3"/>
      <x:c r="L255" s="20"/>
      <x:c r="M255" s="3"/>
      <x:c r="N255" s="19" t="str">
        <x:f>IF(A255="","",IF(COUNTIFS('更新日志'!$A$7:$A$306,A255)&lt;&gt;1,"编号重复",IF(COUNTIFS('问题总览'!$A$7:$A$306,B255)&lt;&gt;1,"问题引用无效",IF(COUNTIFS('复盘记录'!$A$7:$A$306,C255,'复盘记录'!$B$7:$B$306,B255)&lt;&gt;1,"复盘引用无效",IF(OR(D255="",E255="",F255="",G255="",H255="",M255=""),"待补更新信息",IF(AND(OR(G255="已采纳",G255="保留不变"),OR(NOT(ISNUMBER(J255)),K255="")),"待补采用依据","有效输入"))))))</x:f>
      </x:c>
    </x:row>
    <x:row r="256" ht="2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25"/>
      <x:c r="K256" s="3"/>
      <x:c r="L256" s="20"/>
      <x:c r="M256" s="3"/>
      <x:c r="N256" s="19" t="str">
        <x:f>IF(A256="","",IF(COUNTIFS('更新日志'!$A$7:$A$306,A256)&lt;&gt;1,"编号重复",IF(COUNTIFS('问题总览'!$A$7:$A$306,B256)&lt;&gt;1,"问题引用无效",IF(COUNTIFS('复盘记录'!$A$7:$A$306,C256,'复盘记录'!$B$7:$B$306,B256)&lt;&gt;1,"复盘引用无效",IF(OR(D256="",E256="",F256="",G256="",H256="",M256=""),"待补更新信息",IF(AND(OR(G256="已采纳",G256="保留不变"),OR(NOT(ISNUMBER(J256)),K256="")),"待补采用依据","有效输入"))))))</x:f>
      </x:c>
    </x:row>
    <x:row r="257" ht="2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25"/>
      <x:c r="K257" s="3"/>
      <x:c r="L257" s="20"/>
      <x:c r="M257" s="3"/>
      <x:c r="N257" s="19" t="str">
        <x:f>IF(A257="","",IF(COUNTIFS('更新日志'!$A$7:$A$306,A257)&lt;&gt;1,"编号重复",IF(COUNTIFS('问题总览'!$A$7:$A$306,B257)&lt;&gt;1,"问题引用无效",IF(COUNTIFS('复盘记录'!$A$7:$A$306,C257,'复盘记录'!$B$7:$B$306,B257)&lt;&gt;1,"复盘引用无效",IF(OR(D257="",E257="",F257="",G257="",H257="",M257=""),"待补更新信息",IF(AND(OR(G257="已采纳",G257="保留不变"),OR(NOT(ISNUMBER(J257)),K257="")),"待补采用依据","有效输入"))))))</x:f>
      </x:c>
    </x:row>
    <x:row r="258" ht="2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25"/>
      <x:c r="K258" s="3"/>
      <x:c r="L258" s="20"/>
      <x:c r="M258" s="3"/>
      <x:c r="N258" s="19" t="str">
        <x:f>IF(A258="","",IF(COUNTIFS('更新日志'!$A$7:$A$306,A258)&lt;&gt;1,"编号重复",IF(COUNTIFS('问题总览'!$A$7:$A$306,B258)&lt;&gt;1,"问题引用无效",IF(COUNTIFS('复盘记录'!$A$7:$A$306,C258,'复盘记录'!$B$7:$B$306,B258)&lt;&gt;1,"复盘引用无效",IF(OR(D258="",E258="",F258="",G258="",H258="",M258=""),"待补更新信息",IF(AND(OR(G258="已采纳",G258="保留不变"),OR(NOT(ISNUMBER(J258)),K258="")),"待补采用依据","有效输入"))))))</x:f>
      </x:c>
    </x:row>
    <x:row r="259" ht="2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25"/>
      <x:c r="K259" s="3"/>
      <x:c r="L259" s="20"/>
      <x:c r="M259" s="3"/>
      <x:c r="N259" s="19" t="str">
        <x:f>IF(A259="","",IF(COUNTIFS('更新日志'!$A$7:$A$306,A259)&lt;&gt;1,"编号重复",IF(COUNTIFS('问题总览'!$A$7:$A$306,B259)&lt;&gt;1,"问题引用无效",IF(COUNTIFS('复盘记录'!$A$7:$A$306,C259,'复盘记录'!$B$7:$B$306,B259)&lt;&gt;1,"复盘引用无效",IF(OR(D259="",E259="",F259="",G259="",H259="",M259=""),"待补更新信息",IF(AND(OR(G259="已采纳",G259="保留不变"),OR(NOT(ISNUMBER(J259)),K259="")),"待补采用依据","有效输入"))))))</x:f>
      </x:c>
    </x:row>
    <x:row r="260" ht="2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25"/>
      <x:c r="K260" s="3"/>
      <x:c r="L260" s="20"/>
      <x:c r="M260" s="3"/>
      <x:c r="N260" s="19" t="str">
        <x:f>IF(A260="","",IF(COUNTIFS('更新日志'!$A$7:$A$306,A260)&lt;&gt;1,"编号重复",IF(COUNTIFS('问题总览'!$A$7:$A$306,B260)&lt;&gt;1,"问题引用无效",IF(COUNTIFS('复盘记录'!$A$7:$A$306,C260,'复盘记录'!$B$7:$B$306,B260)&lt;&gt;1,"复盘引用无效",IF(OR(D260="",E260="",F260="",G260="",H260="",M260=""),"待补更新信息",IF(AND(OR(G260="已采纳",G260="保留不变"),OR(NOT(ISNUMBER(J260)),K260="")),"待补采用依据","有效输入"))))))</x:f>
      </x:c>
    </x:row>
    <x:row r="261" ht="2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25"/>
      <x:c r="K261" s="3"/>
      <x:c r="L261" s="20"/>
      <x:c r="M261" s="3"/>
      <x:c r="N261" s="19" t="str">
        <x:f>IF(A261="","",IF(COUNTIFS('更新日志'!$A$7:$A$306,A261)&lt;&gt;1,"编号重复",IF(COUNTIFS('问题总览'!$A$7:$A$306,B261)&lt;&gt;1,"问题引用无效",IF(COUNTIFS('复盘记录'!$A$7:$A$306,C261,'复盘记录'!$B$7:$B$306,B261)&lt;&gt;1,"复盘引用无效",IF(OR(D261="",E261="",F261="",G261="",H261="",M261=""),"待补更新信息",IF(AND(OR(G261="已采纳",G261="保留不变"),OR(NOT(ISNUMBER(J261)),K261="")),"待补采用依据","有效输入"))))))</x:f>
      </x:c>
    </x:row>
    <x:row r="262" ht="2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25"/>
      <x:c r="K262" s="3"/>
      <x:c r="L262" s="20"/>
      <x:c r="M262" s="3"/>
      <x:c r="N262" s="19" t="str">
        <x:f>IF(A262="","",IF(COUNTIFS('更新日志'!$A$7:$A$306,A262)&lt;&gt;1,"编号重复",IF(COUNTIFS('问题总览'!$A$7:$A$306,B262)&lt;&gt;1,"问题引用无效",IF(COUNTIFS('复盘记录'!$A$7:$A$306,C262,'复盘记录'!$B$7:$B$306,B262)&lt;&gt;1,"复盘引用无效",IF(OR(D262="",E262="",F262="",G262="",H262="",M262=""),"待补更新信息",IF(AND(OR(G262="已采纳",G262="保留不变"),OR(NOT(ISNUMBER(J262)),K262="")),"待补采用依据","有效输入"))))))</x:f>
      </x:c>
    </x:row>
    <x:row r="263" ht="2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25"/>
      <x:c r="K263" s="3"/>
      <x:c r="L263" s="20"/>
      <x:c r="M263" s="3"/>
      <x:c r="N263" s="19" t="str">
        <x:f>IF(A263="","",IF(COUNTIFS('更新日志'!$A$7:$A$306,A263)&lt;&gt;1,"编号重复",IF(COUNTIFS('问题总览'!$A$7:$A$306,B263)&lt;&gt;1,"问题引用无效",IF(COUNTIFS('复盘记录'!$A$7:$A$306,C263,'复盘记录'!$B$7:$B$306,B263)&lt;&gt;1,"复盘引用无效",IF(OR(D263="",E263="",F263="",G263="",H263="",M263=""),"待补更新信息",IF(AND(OR(G263="已采纳",G263="保留不变"),OR(NOT(ISNUMBER(J263)),K263="")),"待补采用依据","有效输入"))))))</x:f>
      </x:c>
    </x:row>
    <x:row r="264" ht="2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25"/>
      <x:c r="K264" s="3"/>
      <x:c r="L264" s="20"/>
      <x:c r="M264" s="3"/>
      <x:c r="N264" s="19" t="str">
        <x:f>IF(A264="","",IF(COUNTIFS('更新日志'!$A$7:$A$306,A264)&lt;&gt;1,"编号重复",IF(COUNTIFS('问题总览'!$A$7:$A$306,B264)&lt;&gt;1,"问题引用无效",IF(COUNTIFS('复盘记录'!$A$7:$A$306,C264,'复盘记录'!$B$7:$B$306,B264)&lt;&gt;1,"复盘引用无效",IF(OR(D264="",E264="",F264="",G264="",H264="",M264=""),"待补更新信息",IF(AND(OR(G264="已采纳",G264="保留不变"),OR(NOT(ISNUMBER(J264)),K264="")),"待补采用依据","有效输入"))))))</x:f>
      </x:c>
    </x:row>
    <x:row r="265" ht="2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25"/>
      <x:c r="K265" s="3"/>
      <x:c r="L265" s="20"/>
      <x:c r="M265" s="3"/>
      <x:c r="N265" s="19" t="str">
        <x:f>IF(A265="","",IF(COUNTIFS('更新日志'!$A$7:$A$306,A265)&lt;&gt;1,"编号重复",IF(COUNTIFS('问题总览'!$A$7:$A$306,B265)&lt;&gt;1,"问题引用无效",IF(COUNTIFS('复盘记录'!$A$7:$A$306,C265,'复盘记录'!$B$7:$B$306,B265)&lt;&gt;1,"复盘引用无效",IF(OR(D265="",E265="",F265="",G265="",H265="",M265=""),"待补更新信息",IF(AND(OR(G265="已采纳",G265="保留不变"),OR(NOT(ISNUMBER(J265)),K265="")),"待补采用依据","有效输入"))))))</x:f>
      </x:c>
    </x:row>
    <x:row r="266" ht="2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25"/>
      <x:c r="K266" s="3"/>
      <x:c r="L266" s="20"/>
      <x:c r="M266" s="3"/>
      <x:c r="N266" s="19" t="str">
        <x:f>IF(A266="","",IF(COUNTIFS('更新日志'!$A$7:$A$306,A266)&lt;&gt;1,"编号重复",IF(COUNTIFS('问题总览'!$A$7:$A$306,B266)&lt;&gt;1,"问题引用无效",IF(COUNTIFS('复盘记录'!$A$7:$A$306,C266,'复盘记录'!$B$7:$B$306,B266)&lt;&gt;1,"复盘引用无效",IF(OR(D266="",E266="",F266="",G266="",H266="",M266=""),"待补更新信息",IF(AND(OR(G266="已采纳",G266="保留不变"),OR(NOT(ISNUMBER(J266)),K266="")),"待补采用依据","有效输入"))))))</x:f>
      </x:c>
    </x:row>
    <x:row r="267" ht="2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25"/>
      <x:c r="K267" s="3"/>
      <x:c r="L267" s="20"/>
      <x:c r="M267" s="3"/>
      <x:c r="N267" s="19" t="str">
        <x:f>IF(A267="","",IF(COUNTIFS('更新日志'!$A$7:$A$306,A267)&lt;&gt;1,"编号重复",IF(COUNTIFS('问题总览'!$A$7:$A$306,B267)&lt;&gt;1,"问题引用无效",IF(COUNTIFS('复盘记录'!$A$7:$A$306,C267,'复盘记录'!$B$7:$B$306,B267)&lt;&gt;1,"复盘引用无效",IF(OR(D267="",E267="",F267="",G267="",H267="",M267=""),"待补更新信息",IF(AND(OR(G267="已采纳",G267="保留不变"),OR(NOT(ISNUMBER(J267)),K267="")),"待补采用依据","有效输入"))))))</x:f>
      </x:c>
    </x:row>
    <x:row r="268" ht="2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25"/>
      <x:c r="K268" s="3"/>
      <x:c r="L268" s="20"/>
      <x:c r="M268" s="3"/>
      <x:c r="N268" s="19" t="str">
        <x:f>IF(A268="","",IF(COUNTIFS('更新日志'!$A$7:$A$306,A268)&lt;&gt;1,"编号重复",IF(COUNTIFS('问题总览'!$A$7:$A$306,B268)&lt;&gt;1,"问题引用无效",IF(COUNTIFS('复盘记录'!$A$7:$A$306,C268,'复盘记录'!$B$7:$B$306,B268)&lt;&gt;1,"复盘引用无效",IF(OR(D268="",E268="",F268="",G268="",H268="",M268=""),"待补更新信息",IF(AND(OR(G268="已采纳",G268="保留不变"),OR(NOT(ISNUMBER(J268)),K268="")),"待补采用依据","有效输入"))))))</x:f>
      </x:c>
    </x:row>
    <x:row r="269" ht="2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25"/>
      <x:c r="K269" s="3"/>
      <x:c r="L269" s="20"/>
      <x:c r="M269" s="3"/>
      <x:c r="N269" s="19" t="str">
        <x:f>IF(A269="","",IF(COUNTIFS('更新日志'!$A$7:$A$306,A269)&lt;&gt;1,"编号重复",IF(COUNTIFS('问题总览'!$A$7:$A$306,B269)&lt;&gt;1,"问题引用无效",IF(COUNTIFS('复盘记录'!$A$7:$A$306,C269,'复盘记录'!$B$7:$B$306,B269)&lt;&gt;1,"复盘引用无效",IF(OR(D269="",E269="",F269="",G269="",H269="",M269=""),"待补更新信息",IF(AND(OR(G269="已采纳",G269="保留不变"),OR(NOT(ISNUMBER(J269)),K269="")),"待补采用依据","有效输入"))))))</x:f>
      </x:c>
    </x:row>
    <x:row r="270" ht="2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25"/>
      <x:c r="K270" s="3"/>
      <x:c r="L270" s="20"/>
      <x:c r="M270" s="3"/>
      <x:c r="N270" s="19" t="str">
        <x:f>IF(A270="","",IF(COUNTIFS('更新日志'!$A$7:$A$306,A270)&lt;&gt;1,"编号重复",IF(COUNTIFS('问题总览'!$A$7:$A$306,B270)&lt;&gt;1,"问题引用无效",IF(COUNTIFS('复盘记录'!$A$7:$A$306,C270,'复盘记录'!$B$7:$B$306,B270)&lt;&gt;1,"复盘引用无效",IF(OR(D270="",E270="",F270="",G270="",H270="",M270=""),"待补更新信息",IF(AND(OR(G270="已采纳",G270="保留不变"),OR(NOT(ISNUMBER(J270)),K270="")),"待补采用依据","有效输入"))))))</x:f>
      </x:c>
    </x:row>
    <x:row r="271" ht="2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25"/>
      <x:c r="K271" s="3"/>
      <x:c r="L271" s="20"/>
      <x:c r="M271" s="3"/>
      <x:c r="N271" s="19" t="str">
        <x:f>IF(A271="","",IF(COUNTIFS('更新日志'!$A$7:$A$306,A271)&lt;&gt;1,"编号重复",IF(COUNTIFS('问题总览'!$A$7:$A$306,B271)&lt;&gt;1,"问题引用无效",IF(COUNTIFS('复盘记录'!$A$7:$A$306,C271,'复盘记录'!$B$7:$B$306,B271)&lt;&gt;1,"复盘引用无效",IF(OR(D271="",E271="",F271="",G271="",H271="",M271=""),"待补更新信息",IF(AND(OR(G271="已采纳",G271="保留不变"),OR(NOT(ISNUMBER(J271)),K271="")),"待补采用依据","有效输入"))))))</x:f>
      </x:c>
    </x:row>
    <x:row r="272" ht="2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25"/>
      <x:c r="K272" s="3"/>
      <x:c r="L272" s="20"/>
      <x:c r="M272" s="3"/>
      <x:c r="N272" s="19" t="str">
        <x:f>IF(A272="","",IF(COUNTIFS('更新日志'!$A$7:$A$306,A272)&lt;&gt;1,"编号重复",IF(COUNTIFS('问题总览'!$A$7:$A$306,B272)&lt;&gt;1,"问题引用无效",IF(COUNTIFS('复盘记录'!$A$7:$A$306,C272,'复盘记录'!$B$7:$B$306,B272)&lt;&gt;1,"复盘引用无效",IF(OR(D272="",E272="",F272="",G272="",H272="",M272=""),"待补更新信息",IF(AND(OR(G272="已采纳",G272="保留不变"),OR(NOT(ISNUMBER(J272)),K272="")),"待补采用依据","有效输入"))))))</x:f>
      </x:c>
    </x:row>
    <x:row r="273" ht="2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25"/>
      <x:c r="K273" s="3"/>
      <x:c r="L273" s="20"/>
      <x:c r="M273" s="3"/>
      <x:c r="N273" s="19" t="str">
        <x:f>IF(A273="","",IF(COUNTIFS('更新日志'!$A$7:$A$306,A273)&lt;&gt;1,"编号重复",IF(COUNTIFS('问题总览'!$A$7:$A$306,B273)&lt;&gt;1,"问题引用无效",IF(COUNTIFS('复盘记录'!$A$7:$A$306,C273,'复盘记录'!$B$7:$B$306,B273)&lt;&gt;1,"复盘引用无效",IF(OR(D273="",E273="",F273="",G273="",H273="",M273=""),"待补更新信息",IF(AND(OR(G273="已采纳",G273="保留不变"),OR(NOT(ISNUMBER(J273)),K273="")),"待补采用依据","有效输入"))))))</x:f>
      </x:c>
    </x:row>
    <x:row r="274" ht="2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25"/>
      <x:c r="K274" s="3"/>
      <x:c r="L274" s="20"/>
      <x:c r="M274" s="3"/>
      <x:c r="N274" s="19" t="str">
        <x:f>IF(A274="","",IF(COUNTIFS('更新日志'!$A$7:$A$306,A274)&lt;&gt;1,"编号重复",IF(COUNTIFS('问题总览'!$A$7:$A$306,B274)&lt;&gt;1,"问题引用无效",IF(COUNTIFS('复盘记录'!$A$7:$A$306,C274,'复盘记录'!$B$7:$B$306,B274)&lt;&gt;1,"复盘引用无效",IF(OR(D274="",E274="",F274="",G274="",H274="",M274=""),"待补更新信息",IF(AND(OR(G274="已采纳",G274="保留不变"),OR(NOT(ISNUMBER(J274)),K274="")),"待补采用依据","有效输入"))))))</x:f>
      </x:c>
    </x:row>
    <x:row r="275" ht="2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25"/>
      <x:c r="K275" s="3"/>
      <x:c r="L275" s="20"/>
      <x:c r="M275" s="3"/>
      <x:c r="N275" s="19" t="str">
        <x:f>IF(A275="","",IF(COUNTIFS('更新日志'!$A$7:$A$306,A275)&lt;&gt;1,"编号重复",IF(COUNTIFS('问题总览'!$A$7:$A$306,B275)&lt;&gt;1,"问题引用无效",IF(COUNTIFS('复盘记录'!$A$7:$A$306,C275,'复盘记录'!$B$7:$B$306,B275)&lt;&gt;1,"复盘引用无效",IF(OR(D275="",E275="",F275="",G275="",H275="",M275=""),"待补更新信息",IF(AND(OR(G275="已采纳",G275="保留不变"),OR(NOT(ISNUMBER(J275)),K275="")),"待补采用依据","有效输入"))))))</x:f>
      </x:c>
    </x:row>
    <x:row r="276" ht="2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25"/>
      <x:c r="K276" s="3"/>
      <x:c r="L276" s="20"/>
      <x:c r="M276" s="3"/>
      <x:c r="N276" s="19" t="str">
        <x:f>IF(A276="","",IF(COUNTIFS('更新日志'!$A$7:$A$306,A276)&lt;&gt;1,"编号重复",IF(COUNTIFS('问题总览'!$A$7:$A$306,B276)&lt;&gt;1,"问题引用无效",IF(COUNTIFS('复盘记录'!$A$7:$A$306,C276,'复盘记录'!$B$7:$B$306,B276)&lt;&gt;1,"复盘引用无效",IF(OR(D276="",E276="",F276="",G276="",H276="",M276=""),"待补更新信息",IF(AND(OR(G276="已采纳",G276="保留不变"),OR(NOT(ISNUMBER(J276)),K276="")),"待补采用依据","有效输入"))))))</x:f>
      </x:c>
    </x:row>
    <x:row r="277" ht="2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25"/>
      <x:c r="K277" s="3"/>
      <x:c r="L277" s="20"/>
      <x:c r="M277" s="3"/>
      <x:c r="N277" s="19" t="str">
        <x:f>IF(A277="","",IF(COUNTIFS('更新日志'!$A$7:$A$306,A277)&lt;&gt;1,"编号重复",IF(COUNTIFS('问题总览'!$A$7:$A$306,B277)&lt;&gt;1,"问题引用无效",IF(COUNTIFS('复盘记录'!$A$7:$A$306,C277,'复盘记录'!$B$7:$B$306,B277)&lt;&gt;1,"复盘引用无效",IF(OR(D277="",E277="",F277="",G277="",H277="",M277=""),"待补更新信息",IF(AND(OR(G277="已采纳",G277="保留不变"),OR(NOT(ISNUMBER(J277)),K277="")),"待补采用依据","有效输入"))))))</x:f>
      </x:c>
    </x:row>
    <x:row r="278" ht="2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25"/>
      <x:c r="K278" s="3"/>
      <x:c r="L278" s="20"/>
      <x:c r="M278" s="3"/>
      <x:c r="N278" s="19" t="str">
        <x:f>IF(A278="","",IF(COUNTIFS('更新日志'!$A$7:$A$306,A278)&lt;&gt;1,"编号重复",IF(COUNTIFS('问题总览'!$A$7:$A$306,B278)&lt;&gt;1,"问题引用无效",IF(COUNTIFS('复盘记录'!$A$7:$A$306,C278,'复盘记录'!$B$7:$B$306,B278)&lt;&gt;1,"复盘引用无效",IF(OR(D278="",E278="",F278="",G278="",H278="",M278=""),"待补更新信息",IF(AND(OR(G278="已采纳",G278="保留不变"),OR(NOT(ISNUMBER(J278)),K278="")),"待补采用依据","有效输入"))))))</x:f>
      </x:c>
    </x:row>
    <x:row r="279" ht="2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25"/>
      <x:c r="K279" s="3"/>
      <x:c r="L279" s="20"/>
      <x:c r="M279" s="3"/>
      <x:c r="N279" s="19" t="str">
        <x:f>IF(A279="","",IF(COUNTIFS('更新日志'!$A$7:$A$306,A279)&lt;&gt;1,"编号重复",IF(COUNTIFS('问题总览'!$A$7:$A$306,B279)&lt;&gt;1,"问题引用无效",IF(COUNTIFS('复盘记录'!$A$7:$A$306,C279,'复盘记录'!$B$7:$B$306,B279)&lt;&gt;1,"复盘引用无效",IF(OR(D279="",E279="",F279="",G279="",H279="",M279=""),"待补更新信息",IF(AND(OR(G279="已采纳",G279="保留不变"),OR(NOT(ISNUMBER(J279)),K279="")),"待补采用依据","有效输入"))))))</x:f>
      </x:c>
    </x:row>
    <x:row r="280" ht="2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25"/>
      <x:c r="K280" s="3"/>
      <x:c r="L280" s="20"/>
      <x:c r="M280" s="3"/>
      <x:c r="N280" s="19" t="str">
        <x:f>IF(A280="","",IF(COUNTIFS('更新日志'!$A$7:$A$306,A280)&lt;&gt;1,"编号重复",IF(COUNTIFS('问题总览'!$A$7:$A$306,B280)&lt;&gt;1,"问题引用无效",IF(COUNTIFS('复盘记录'!$A$7:$A$306,C280,'复盘记录'!$B$7:$B$306,B280)&lt;&gt;1,"复盘引用无效",IF(OR(D280="",E280="",F280="",G280="",H280="",M280=""),"待补更新信息",IF(AND(OR(G280="已采纳",G280="保留不变"),OR(NOT(ISNUMBER(J280)),K280="")),"待补采用依据","有效输入"))))))</x:f>
      </x:c>
    </x:row>
    <x:row r="281" ht="2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25"/>
      <x:c r="K281" s="3"/>
      <x:c r="L281" s="20"/>
      <x:c r="M281" s="3"/>
      <x:c r="N281" s="19" t="str">
        <x:f>IF(A281="","",IF(COUNTIFS('更新日志'!$A$7:$A$306,A281)&lt;&gt;1,"编号重复",IF(COUNTIFS('问题总览'!$A$7:$A$306,B281)&lt;&gt;1,"问题引用无效",IF(COUNTIFS('复盘记录'!$A$7:$A$306,C281,'复盘记录'!$B$7:$B$306,B281)&lt;&gt;1,"复盘引用无效",IF(OR(D281="",E281="",F281="",G281="",H281="",M281=""),"待补更新信息",IF(AND(OR(G281="已采纳",G281="保留不变"),OR(NOT(ISNUMBER(J281)),K281="")),"待补采用依据","有效输入"))))))</x:f>
      </x:c>
    </x:row>
    <x:row r="282" ht="2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25"/>
      <x:c r="K282" s="3"/>
      <x:c r="L282" s="20"/>
      <x:c r="M282" s="3"/>
      <x:c r="N282" s="19" t="str">
        <x:f>IF(A282="","",IF(COUNTIFS('更新日志'!$A$7:$A$306,A282)&lt;&gt;1,"编号重复",IF(COUNTIFS('问题总览'!$A$7:$A$306,B282)&lt;&gt;1,"问题引用无效",IF(COUNTIFS('复盘记录'!$A$7:$A$306,C282,'复盘记录'!$B$7:$B$306,B282)&lt;&gt;1,"复盘引用无效",IF(OR(D282="",E282="",F282="",G282="",H282="",M282=""),"待补更新信息",IF(AND(OR(G282="已采纳",G282="保留不变"),OR(NOT(ISNUMBER(J282)),K282="")),"待补采用依据","有效输入"))))))</x:f>
      </x:c>
    </x:row>
    <x:row r="283" ht="2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25"/>
      <x:c r="K283" s="3"/>
      <x:c r="L283" s="20"/>
      <x:c r="M283" s="3"/>
      <x:c r="N283" s="19" t="str">
        <x:f>IF(A283="","",IF(COUNTIFS('更新日志'!$A$7:$A$306,A283)&lt;&gt;1,"编号重复",IF(COUNTIFS('问题总览'!$A$7:$A$306,B283)&lt;&gt;1,"问题引用无效",IF(COUNTIFS('复盘记录'!$A$7:$A$306,C283,'复盘记录'!$B$7:$B$306,B283)&lt;&gt;1,"复盘引用无效",IF(OR(D283="",E283="",F283="",G283="",H283="",M283=""),"待补更新信息",IF(AND(OR(G283="已采纳",G283="保留不变"),OR(NOT(ISNUMBER(J283)),K283="")),"待补采用依据","有效输入"))))))</x:f>
      </x:c>
    </x:row>
    <x:row r="284" ht="2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25"/>
      <x:c r="K284" s="3"/>
      <x:c r="L284" s="20"/>
      <x:c r="M284" s="3"/>
      <x:c r="N284" s="19" t="str">
        <x:f>IF(A284="","",IF(COUNTIFS('更新日志'!$A$7:$A$306,A284)&lt;&gt;1,"编号重复",IF(COUNTIFS('问题总览'!$A$7:$A$306,B284)&lt;&gt;1,"问题引用无效",IF(COUNTIFS('复盘记录'!$A$7:$A$306,C284,'复盘记录'!$B$7:$B$306,B284)&lt;&gt;1,"复盘引用无效",IF(OR(D284="",E284="",F284="",G284="",H284="",M284=""),"待补更新信息",IF(AND(OR(G284="已采纳",G284="保留不变"),OR(NOT(ISNUMBER(J284)),K284="")),"待补采用依据","有效输入"))))))</x:f>
      </x:c>
    </x:row>
    <x:row r="285" ht="2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25"/>
      <x:c r="K285" s="3"/>
      <x:c r="L285" s="20"/>
      <x:c r="M285" s="3"/>
      <x:c r="N285" s="19" t="str">
        <x:f>IF(A285="","",IF(COUNTIFS('更新日志'!$A$7:$A$306,A285)&lt;&gt;1,"编号重复",IF(COUNTIFS('问题总览'!$A$7:$A$306,B285)&lt;&gt;1,"问题引用无效",IF(COUNTIFS('复盘记录'!$A$7:$A$306,C285,'复盘记录'!$B$7:$B$306,B285)&lt;&gt;1,"复盘引用无效",IF(OR(D285="",E285="",F285="",G285="",H285="",M285=""),"待补更新信息",IF(AND(OR(G285="已采纳",G285="保留不变"),OR(NOT(ISNUMBER(J285)),K285="")),"待补采用依据","有效输入"))))))</x:f>
      </x:c>
    </x:row>
    <x:row r="286" ht="2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25"/>
      <x:c r="K286" s="3"/>
      <x:c r="L286" s="20"/>
      <x:c r="M286" s="3"/>
      <x:c r="N286" s="19" t="str">
        <x:f>IF(A286="","",IF(COUNTIFS('更新日志'!$A$7:$A$306,A286)&lt;&gt;1,"编号重复",IF(COUNTIFS('问题总览'!$A$7:$A$306,B286)&lt;&gt;1,"问题引用无效",IF(COUNTIFS('复盘记录'!$A$7:$A$306,C286,'复盘记录'!$B$7:$B$306,B286)&lt;&gt;1,"复盘引用无效",IF(OR(D286="",E286="",F286="",G286="",H286="",M286=""),"待补更新信息",IF(AND(OR(G286="已采纳",G286="保留不变"),OR(NOT(ISNUMBER(J286)),K286="")),"待补采用依据","有效输入"))))))</x:f>
      </x:c>
    </x:row>
    <x:row r="287" ht="2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25"/>
      <x:c r="K287" s="3"/>
      <x:c r="L287" s="20"/>
      <x:c r="M287" s="3"/>
      <x:c r="N287" s="19" t="str">
        <x:f>IF(A287="","",IF(COUNTIFS('更新日志'!$A$7:$A$306,A287)&lt;&gt;1,"编号重复",IF(COUNTIFS('问题总览'!$A$7:$A$306,B287)&lt;&gt;1,"问题引用无效",IF(COUNTIFS('复盘记录'!$A$7:$A$306,C287,'复盘记录'!$B$7:$B$306,B287)&lt;&gt;1,"复盘引用无效",IF(OR(D287="",E287="",F287="",G287="",H287="",M287=""),"待补更新信息",IF(AND(OR(G287="已采纳",G287="保留不变"),OR(NOT(ISNUMBER(J287)),K287="")),"待补采用依据","有效输入"))))))</x:f>
      </x:c>
    </x:row>
    <x:row r="288" ht="2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25"/>
      <x:c r="K288" s="3"/>
      <x:c r="L288" s="20"/>
      <x:c r="M288" s="3"/>
      <x:c r="N288" s="19" t="str">
        <x:f>IF(A288="","",IF(COUNTIFS('更新日志'!$A$7:$A$306,A288)&lt;&gt;1,"编号重复",IF(COUNTIFS('问题总览'!$A$7:$A$306,B288)&lt;&gt;1,"问题引用无效",IF(COUNTIFS('复盘记录'!$A$7:$A$306,C288,'复盘记录'!$B$7:$B$306,B288)&lt;&gt;1,"复盘引用无效",IF(OR(D288="",E288="",F288="",G288="",H288="",M288=""),"待补更新信息",IF(AND(OR(G288="已采纳",G288="保留不变"),OR(NOT(ISNUMBER(J288)),K288="")),"待补采用依据","有效输入"))))))</x:f>
      </x:c>
    </x:row>
    <x:row r="289" ht="2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25"/>
      <x:c r="K289" s="3"/>
      <x:c r="L289" s="20"/>
      <x:c r="M289" s="3"/>
      <x:c r="N289" s="19" t="str">
        <x:f>IF(A289="","",IF(COUNTIFS('更新日志'!$A$7:$A$306,A289)&lt;&gt;1,"编号重复",IF(COUNTIFS('问题总览'!$A$7:$A$306,B289)&lt;&gt;1,"问题引用无效",IF(COUNTIFS('复盘记录'!$A$7:$A$306,C289,'复盘记录'!$B$7:$B$306,B289)&lt;&gt;1,"复盘引用无效",IF(OR(D289="",E289="",F289="",G289="",H289="",M289=""),"待补更新信息",IF(AND(OR(G289="已采纳",G289="保留不变"),OR(NOT(ISNUMBER(J289)),K289="")),"待补采用依据","有效输入"))))))</x:f>
      </x:c>
    </x:row>
    <x:row r="290" ht="2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25"/>
      <x:c r="K290" s="3"/>
      <x:c r="L290" s="20"/>
      <x:c r="M290" s="3"/>
      <x:c r="N290" s="19" t="str">
        <x:f>IF(A290="","",IF(COUNTIFS('更新日志'!$A$7:$A$306,A290)&lt;&gt;1,"编号重复",IF(COUNTIFS('问题总览'!$A$7:$A$306,B290)&lt;&gt;1,"问题引用无效",IF(COUNTIFS('复盘记录'!$A$7:$A$306,C290,'复盘记录'!$B$7:$B$306,B290)&lt;&gt;1,"复盘引用无效",IF(OR(D290="",E290="",F290="",G290="",H290="",M290=""),"待补更新信息",IF(AND(OR(G290="已采纳",G290="保留不变"),OR(NOT(ISNUMBER(J290)),K290="")),"待补采用依据","有效输入"))))))</x:f>
      </x:c>
    </x:row>
    <x:row r="291" ht="2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25"/>
      <x:c r="K291" s="3"/>
      <x:c r="L291" s="20"/>
      <x:c r="M291" s="3"/>
      <x:c r="N291" s="19" t="str">
        <x:f>IF(A291="","",IF(COUNTIFS('更新日志'!$A$7:$A$306,A291)&lt;&gt;1,"编号重复",IF(COUNTIFS('问题总览'!$A$7:$A$306,B291)&lt;&gt;1,"问题引用无效",IF(COUNTIFS('复盘记录'!$A$7:$A$306,C291,'复盘记录'!$B$7:$B$306,B291)&lt;&gt;1,"复盘引用无效",IF(OR(D291="",E291="",F291="",G291="",H291="",M291=""),"待补更新信息",IF(AND(OR(G291="已采纳",G291="保留不变"),OR(NOT(ISNUMBER(J291)),K291="")),"待补采用依据","有效输入"))))))</x:f>
      </x:c>
    </x:row>
    <x:row r="292" ht="2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25"/>
      <x:c r="K292" s="3"/>
      <x:c r="L292" s="20"/>
      <x:c r="M292" s="3"/>
      <x:c r="N292" s="19" t="str">
        <x:f>IF(A292="","",IF(COUNTIFS('更新日志'!$A$7:$A$306,A292)&lt;&gt;1,"编号重复",IF(COUNTIFS('问题总览'!$A$7:$A$306,B292)&lt;&gt;1,"问题引用无效",IF(COUNTIFS('复盘记录'!$A$7:$A$306,C292,'复盘记录'!$B$7:$B$306,B292)&lt;&gt;1,"复盘引用无效",IF(OR(D292="",E292="",F292="",G292="",H292="",M292=""),"待补更新信息",IF(AND(OR(G292="已采纳",G292="保留不变"),OR(NOT(ISNUMBER(J292)),K292="")),"待补采用依据","有效输入"))))))</x:f>
      </x:c>
    </x:row>
    <x:row r="293" ht="2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25"/>
      <x:c r="K293" s="3"/>
      <x:c r="L293" s="20"/>
      <x:c r="M293" s="3"/>
      <x:c r="N293" s="19" t="str">
        <x:f>IF(A293="","",IF(COUNTIFS('更新日志'!$A$7:$A$306,A293)&lt;&gt;1,"编号重复",IF(COUNTIFS('问题总览'!$A$7:$A$306,B293)&lt;&gt;1,"问题引用无效",IF(COUNTIFS('复盘记录'!$A$7:$A$306,C293,'复盘记录'!$B$7:$B$306,B293)&lt;&gt;1,"复盘引用无效",IF(OR(D293="",E293="",F293="",G293="",H293="",M293=""),"待补更新信息",IF(AND(OR(G293="已采纳",G293="保留不变"),OR(NOT(ISNUMBER(J293)),K293="")),"待补采用依据","有效输入"))))))</x:f>
      </x:c>
    </x:row>
    <x:row r="294" ht="2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25"/>
      <x:c r="K294" s="3"/>
      <x:c r="L294" s="20"/>
      <x:c r="M294" s="3"/>
      <x:c r="N294" s="19" t="str">
        <x:f>IF(A294="","",IF(COUNTIFS('更新日志'!$A$7:$A$306,A294)&lt;&gt;1,"编号重复",IF(COUNTIFS('问题总览'!$A$7:$A$306,B294)&lt;&gt;1,"问题引用无效",IF(COUNTIFS('复盘记录'!$A$7:$A$306,C294,'复盘记录'!$B$7:$B$306,B294)&lt;&gt;1,"复盘引用无效",IF(OR(D294="",E294="",F294="",G294="",H294="",M294=""),"待补更新信息",IF(AND(OR(G294="已采纳",G294="保留不变"),OR(NOT(ISNUMBER(J294)),K294="")),"待补采用依据","有效输入"))))))</x:f>
      </x:c>
    </x:row>
    <x:row r="295" ht="2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25"/>
      <x:c r="K295" s="3"/>
      <x:c r="L295" s="20"/>
      <x:c r="M295" s="3"/>
      <x:c r="N295" s="19" t="str">
        <x:f>IF(A295="","",IF(COUNTIFS('更新日志'!$A$7:$A$306,A295)&lt;&gt;1,"编号重复",IF(COUNTIFS('问题总览'!$A$7:$A$306,B295)&lt;&gt;1,"问题引用无效",IF(COUNTIFS('复盘记录'!$A$7:$A$306,C295,'复盘记录'!$B$7:$B$306,B295)&lt;&gt;1,"复盘引用无效",IF(OR(D295="",E295="",F295="",G295="",H295="",M295=""),"待补更新信息",IF(AND(OR(G295="已采纳",G295="保留不变"),OR(NOT(ISNUMBER(J295)),K295="")),"待补采用依据","有效输入"))))))</x:f>
      </x:c>
    </x:row>
    <x:row r="296" ht="2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25"/>
      <x:c r="K296" s="3"/>
      <x:c r="L296" s="20"/>
      <x:c r="M296" s="3"/>
      <x:c r="N296" s="19" t="str">
        <x:f>IF(A296="","",IF(COUNTIFS('更新日志'!$A$7:$A$306,A296)&lt;&gt;1,"编号重复",IF(COUNTIFS('问题总览'!$A$7:$A$306,B296)&lt;&gt;1,"问题引用无效",IF(COUNTIFS('复盘记录'!$A$7:$A$306,C296,'复盘记录'!$B$7:$B$306,B296)&lt;&gt;1,"复盘引用无效",IF(OR(D296="",E296="",F296="",G296="",H296="",M296=""),"待补更新信息",IF(AND(OR(G296="已采纳",G296="保留不变"),OR(NOT(ISNUMBER(J296)),K296="")),"待补采用依据","有效输入"))))))</x:f>
      </x:c>
    </x:row>
    <x:row r="297" ht="2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25"/>
      <x:c r="K297" s="3"/>
      <x:c r="L297" s="20"/>
      <x:c r="M297" s="3"/>
      <x:c r="N297" s="19" t="str">
        <x:f>IF(A297="","",IF(COUNTIFS('更新日志'!$A$7:$A$306,A297)&lt;&gt;1,"编号重复",IF(COUNTIFS('问题总览'!$A$7:$A$306,B297)&lt;&gt;1,"问题引用无效",IF(COUNTIFS('复盘记录'!$A$7:$A$306,C297,'复盘记录'!$B$7:$B$306,B297)&lt;&gt;1,"复盘引用无效",IF(OR(D297="",E297="",F297="",G297="",H297="",M297=""),"待补更新信息",IF(AND(OR(G297="已采纳",G297="保留不变"),OR(NOT(ISNUMBER(J297)),K297="")),"待补采用依据","有效输入"))))))</x:f>
      </x:c>
    </x:row>
    <x:row r="298" ht="2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25"/>
      <x:c r="K298" s="3"/>
      <x:c r="L298" s="20"/>
      <x:c r="M298" s="3"/>
      <x:c r="N298" s="19" t="str">
        <x:f>IF(A298="","",IF(COUNTIFS('更新日志'!$A$7:$A$306,A298)&lt;&gt;1,"编号重复",IF(COUNTIFS('问题总览'!$A$7:$A$306,B298)&lt;&gt;1,"问题引用无效",IF(COUNTIFS('复盘记录'!$A$7:$A$306,C298,'复盘记录'!$B$7:$B$306,B298)&lt;&gt;1,"复盘引用无效",IF(OR(D298="",E298="",F298="",G298="",H298="",M298=""),"待补更新信息",IF(AND(OR(G298="已采纳",G298="保留不变"),OR(NOT(ISNUMBER(J298)),K298="")),"待补采用依据","有效输入"))))))</x:f>
      </x:c>
    </x:row>
    <x:row r="299" ht="2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25"/>
      <x:c r="K299" s="3"/>
      <x:c r="L299" s="20"/>
      <x:c r="M299" s="3"/>
      <x:c r="N299" s="19" t="str">
        <x:f>IF(A299="","",IF(COUNTIFS('更新日志'!$A$7:$A$306,A299)&lt;&gt;1,"编号重复",IF(COUNTIFS('问题总览'!$A$7:$A$306,B299)&lt;&gt;1,"问题引用无效",IF(COUNTIFS('复盘记录'!$A$7:$A$306,C299,'复盘记录'!$B$7:$B$306,B299)&lt;&gt;1,"复盘引用无效",IF(OR(D299="",E299="",F299="",G299="",H299="",M299=""),"待补更新信息",IF(AND(OR(G299="已采纳",G299="保留不变"),OR(NOT(ISNUMBER(J299)),K299="")),"待补采用依据","有效输入"))))))</x:f>
      </x:c>
    </x:row>
    <x:row r="300" ht="2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25"/>
      <x:c r="K300" s="3"/>
      <x:c r="L300" s="20"/>
      <x:c r="M300" s="3"/>
      <x:c r="N300" s="19" t="str">
        <x:f>IF(A300="","",IF(COUNTIFS('更新日志'!$A$7:$A$306,A300)&lt;&gt;1,"编号重复",IF(COUNTIFS('问题总览'!$A$7:$A$306,B300)&lt;&gt;1,"问题引用无效",IF(COUNTIFS('复盘记录'!$A$7:$A$306,C300,'复盘记录'!$B$7:$B$306,B300)&lt;&gt;1,"复盘引用无效",IF(OR(D300="",E300="",F300="",G300="",H300="",M300=""),"待补更新信息",IF(AND(OR(G300="已采纳",G300="保留不变"),OR(NOT(ISNUMBER(J300)),K300="")),"待补采用依据","有效输入"))))))</x:f>
      </x:c>
    </x:row>
    <x:row r="301" ht="2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25"/>
      <x:c r="K301" s="3"/>
      <x:c r="L301" s="20"/>
      <x:c r="M301" s="3"/>
      <x:c r="N301" s="19" t="str">
        <x:f>IF(A301="","",IF(COUNTIFS('更新日志'!$A$7:$A$306,A301)&lt;&gt;1,"编号重复",IF(COUNTIFS('问题总览'!$A$7:$A$306,B301)&lt;&gt;1,"问题引用无效",IF(COUNTIFS('复盘记录'!$A$7:$A$306,C301,'复盘记录'!$B$7:$B$306,B301)&lt;&gt;1,"复盘引用无效",IF(OR(D301="",E301="",F301="",G301="",H301="",M301=""),"待补更新信息",IF(AND(OR(G301="已采纳",G301="保留不变"),OR(NOT(ISNUMBER(J301)),K301="")),"待补采用依据","有效输入"))))))</x:f>
      </x:c>
    </x:row>
    <x:row r="302" ht="2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25"/>
      <x:c r="K302" s="3"/>
      <x:c r="L302" s="20"/>
      <x:c r="M302" s="3"/>
      <x:c r="N302" s="19" t="str">
        <x:f>IF(A302="","",IF(COUNTIFS('更新日志'!$A$7:$A$306,A302)&lt;&gt;1,"编号重复",IF(COUNTIFS('问题总览'!$A$7:$A$306,B302)&lt;&gt;1,"问题引用无效",IF(COUNTIFS('复盘记录'!$A$7:$A$306,C302,'复盘记录'!$B$7:$B$306,B302)&lt;&gt;1,"复盘引用无效",IF(OR(D302="",E302="",F302="",G302="",H302="",M302=""),"待补更新信息",IF(AND(OR(G302="已采纳",G302="保留不变"),OR(NOT(ISNUMBER(J302)),K302="")),"待补采用依据","有效输入"))))))</x:f>
      </x:c>
    </x:row>
    <x:row r="303" ht="2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25"/>
      <x:c r="K303" s="3"/>
      <x:c r="L303" s="20"/>
      <x:c r="M303" s="3"/>
      <x:c r="N303" s="19" t="str">
        <x:f>IF(A303="","",IF(COUNTIFS('更新日志'!$A$7:$A$306,A303)&lt;&gt;1,"编号重复",IF(COUNTIFS('问题总览'!$A$7:$A$306,B303)&lt;&gt;1,"问题引用无效",IF(COUNTIFS('复盘记录'!$A$7:$A$306,C303,'复盘记录'!$B$7:$B$306,B303)&lt;&gt;1,"复盘引用无效",IF(OR(D303="",E303="",F303="",G303="",H303="",M303=""),"待补更新信息",IF(AND(OR(G303="已采纳",G303="保留不变"),OR(NOT(ISNUMBER(J303)),K303="")),"待补采用依据","有效输入"))))))</x:f>
      </x:c>
    </x:row>
    <x:row r="304" ht="2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25"/>
      <x:c r="K304" s="3"/>
      <x:c r="L304" s="20"/>
      <x:c r="M304" s="3"/>
      <x:c r="N304" s="19" t="str">
        <x:f>IF(A304="","",IF(COUNTIFS('更新日志'!$A$7:$A$306,A304)&lt;&gt;1,"编号重复",IF(COUNTIFS('问题总览'!$A$7:$A$306,B304)&lt;&gt;1,"问题引用无效",IF(COUNTIFS('复盘记录'!$A$7:$A$306,C304,'复盘记录'!$B$7:$B$306,B304)&lt;&gt;1,"复盘引用无效",IF(OR(D304="",E304="",F304="",G304="",H304="",M304=""),"待补更新信息",IF(AND(OR(G304="已采纳",G304="保留不变"),OR(NOT(ISNUMBER(J304)),K304="")),"待补采用依据","有效输入"))))))</x:f>
      </x:c>
    </x:row>
    <x:row r="305" ht="2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25"/>
      <x:c r="K305" s="3"/>
      <x:c r="L305" s="20"/>
      <x:c r="M305" s="3"/>
      <x:c r="N305" s="19" t="str">
        <x:f>IF(A305="","",IF(COUNTIFS('更新日志'!$A$7:$A$306,A305)&lt;&gt;1,"编号重复",IF(COUNTIFS('问题总览'!$A$7:$A$306,B305)&lt;&gt;1,"问题引用无效",IF(COUNTIFS('复盘记录'!$A$7:$A$306,C305,'复盘记录'!$B$7:$B$306,B305)&lt;&gt;1,"复盘引用无效",IF(OR(D305="",E305="",F305="",G305="",H305="",M305=""),"待补更新信息",IF(AND(OR(G305="已采纳",G305="保留不变"),OR(NOT(ISNUMBER(J305)),K305="")),"待补采用依据","有效输入"))))))</x:f>
      </x:c>
    </x:row>
    <x:row r="306" ht="2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25"/>
      <x:c r="K306" s="3"/>
      <x:c r="L306" s="20"/>
      <x:c r="M306" s="3"/>
      <x:c r="N306" s="19" t="str">
        <x:f>IF(A306="","",IF(COUNTIFS('更新日志'!$A$7:$A$306,A306)&lt;&gt;1,"编号重复",IF(COUNTIFS('问题总览'!$A$7:$A$306,B306)&lt;&gt;1,"问题引用无效",IF(COUNTIFS('复盘记录'!$A$7:$A$306,C306,'复盘记录'!$B$7:$B$306,B306)&lt;&gt;1,"复盘引用无效",IF(OR(D306="",E306="",F306="",G306="",H306="",M306=""),"待补更新信息",IF(AND(OR(G306="已采纳",G306="保留不变"),OR(NOT(ISNUMBER(J306)),K306="")),"待补采用依据","有效输入"))))))</x:f>
      </x:c>
    </x:row>
  </x:sheetData>
  <x:conditionalFormatting sqref="N7:N306">
    <x:cfRule type="expression" dxfId="6" priority="1">
      <x:formula>AND($A7&lt;&gt;"",N7&lt;&gt;"有效输入")</x:formula>
    </x:cfRule>
  </x:conditionalFormatting>
  <x:dataValidations count="1">
    <x:dataValidation type="list" sqref="G7:G306">
      <x:formula1>"建议,已采纳,保留不变,待验证,未采纳"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1cae7088b40d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3" hidden="0" customWidth="1"/>
    <x:col min="10" max="10" width="23" hidden="0" customWidth="1"/>
    <x:col min="11" max="11" width="20" hidden="0" customWidth="1"/>
    <x:col min="12" max="12" width="29" hidden="0" customWidth="1"/>
    <x:col min="13" max="13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16" t="str">
        <x:v>规则版本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 ht="25" customHeight="1">
      <x:c r="A3" s="18" t="str">
        <x:v>每行一条规则的一个版本。记录适用范围、反例和复核日期，不能按成功次数自动升格。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12" t="str">
        <x:v>规则ID</x:v>
      </x:c>
      <x:c r="B6" s="13" t="str">
        <x:v>版本</x:v>
      </x:c>
      <x:c r="C6" s="13" t="str">
        <x:v>父版本</x:v>
      </x:c>
      <x:c r="D6" s="13" t="str">
        <x:v>采用状态</x:v>
      </x:c>
      <x:c r="E6" s="13" t="str">
        <x:v>规则命题</x:v>
      </x:c>
      <x:c r="F6" s="13" t="str">
        <x:v>适用范围</x:v>
      </x:c>
      <x:c r="G6" s="13" t="str">
        <x:v>支持案例与OB</x:v>
      </x:c>
      <x:c r="H6" s="13" t="str">
        <x:v>反例与失败记录</x:v>
      </x:c>
      <x:c r="I6" s="13" t="str">
        <x:v>采用时间</x:v>
      </x:c>
      <x:c r="J6" s="13" t="str">
        <x:v>复核日期</x:v>
      </x:c>
      <x:c r="K6" s="13" t="str">
        <x:v>负责人</x:v>
      </x:c>
      <x:c r="L6" s="13" t="str">
        <x:v>规则文件</x:v>
      </x:c>
      <x:c r="M6" s="14" t="str">
        <x:v>输入检查</x:v>
      </x:c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20"/>
      <x:c r="J7" s="20"/>
      <x:c r="K7" s="3"/>
      <x:c r="L7" s="3"/>
      <x:c r="M7" s="19" t="str">
        <x:f>IF(A7="","",IF(COUNTIFS($A$7:$A$306,A7,$B$7:$B$306,B7)&lt;&gt;1,"规则版本重复",IF(OR(B7="",D7="",E7="",F7="",K7="",L7=""),"待补规则信息",IF(AND(C7&lt;&gt;"",OR(C7=B7,COUNTIFS($A$7:$A$306,A7,$B$7:$B$306,C7)&lt;&gt;1)),"父版本引用无效",IF(AND(OR(D7="试行",D7="采用"),OR(G7="",NOT(ISNUMBER(I7)),NOT(ISNUMBER(J7)))),"待补采用与复核","有效输入")))))</x:f>
      </x:c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20"/>
      <x:c r="J8" s="20"/>
      <x:c r="K8" s="3"/>
      <x:c r="L8" s="3"/>
      <x:c r="M8" s="19" t="str">
        <x:f>IF(A8="","",IF(COUNTIFS($A$7:$A$306,A8,$B$7:$B$306,B8)&lt;&gt;1,"规则版本重复",IF(OR(B8="",D8="",E8="",F8="",K8="",L8=""),"待补规则信息",IF(AND(C8&lt;&gt;"",OR(C8=B8,COUNTIFS($A$7:$A$306,A8,$B$7:$B$306,C8)&lt;&gt;1)),"父版本引用无效",IF(AND(OR(D8="试行",D8="采用"),OR(G8="",NOT(ISNUMBER(I8)),NOT(ISNUMBER(J8)))),"待补采用与复核","有效输入")))))</x:f>
      </x:c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20"/>
      <x:c r="J9" s="20"/>
      <x:c r="K9" s="3"/>
      <x:c r="L9" s="3"/>
      <x:c r="M9" s="19" t="str">
        <x:f>IF(A9="","",IF(COUNTIFS($A$7:$A$306,A9,$B$7:$B$306,B9)&lt;&gt;1,"规则版本重复",IF(OR(B9="",D9="",E9="",F9="",K9="",L9=""),"待补规则信息",IF(AND(C9&lt;&gt;"",OR(C9=B9,COUNTIFS($A$7:$A$306,A9,$B$7:$B$306,C9)&lt;&gt;1)),"父版本引用无效",IF(AND(OR(D9="试行",D9="采用"),OR(G9="",NOT(ISNUMBER(I9)),NOT(ISNUMBER(J9)))),"待补采用与复核","有效输入")))))</x:f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20"/>
      <x:c r="J10" s="20"/>
      <x:c r="K10" s="3"/>
      <x:c r="L10" s="3"/>
      <x:c r="M10" s="19" t="str">
        <x:f>IF(A10="","",IF(COUNTIFS($A$7:$A$306,A10,$B$7:$B$306,B10)&lt;&gt;1,"规则版本重复",IF(OR(B10="",D10="",E10="",F10="",K10="",L10=""),"待补规则信息",IF(AND(C10&lt;&gt;"",OR(C10=B10,COUNTIFS($A$7:$A$306,A10,$B$7:$B$306,C10)&lt;&gt;1)),"父版本引用无效",IF(AND(OR(D10="试行",D10="采用"),OR(G10="",NOT(ISNUMBER(I10)),NOT(ISNUMBER(J10)))),"待补采用与复核","有效输入")))))</x:f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20"/>
      <x:c r="J11" s="20"/>
      <x:c r="K11" s="3"/>
      <x:c r="L11" s="3"/>
      <x:c r="M11" s="19" t="str">
        <x:f>IF(A11="","",IF(COUNTIFS($A$7:$A$306,A11,$B$7:$B$306,B11)&lt;&gt;1,"规则版本重复",IF(OR(B11="",D11="",E11="",F11="",K11="",L11=""),"待补规则信息",IF(AND(C11&lt;&gt;"",OR(C11=B11,COUNTIFS($A$7:$A$306,A11,$B$7:$B$306,C11)&lt;&gt;1)),"父版本引用无效",IF(AND(OR(D11="试行",D11="采用"),OR(G11="",NOT(ISNUMBER(I11)),NOT(ISNUMBER(J11)))),"待补采用与复核","有效输入")))))</x:f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20"/>
      <x:c r="J12" s="20"/>
      <x:c r="K12" s="3"/>
      <x:c r="L12" s="3"/>
      <x:c r="M12" s="19" t="str">
        <x:f>IF(A12="","",IF(COUNTIFS($A$7:$A$306,A12,$B$7:$B$306,B12)&lt;&gt;1,"规则版本重复",IF(OR(B12="",D12="",E12="",F12="",K12="",L12=""),"待补规则信息",IF(AND(C12&lt;&gt;"",OR(C12=B12,COUNTIFS($A$7:$A$306,A12,$B$7:$B$306,C12)&lt;&gt;1)),"父版本引用无效",IF(AND(OR(D12="试行",D12="采用"),OR(G12="",NOT(ISNUMBER(I12)),NOT(ISNUMBER(J12)))),"待补采用与复核","有效输入")))))</x:f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20"/>
      <x:c r="J13" s="20"/>
      <x:c r="K13" s="3"/>
      <x:c r="L13" s="3"/>
      <x:c r="M13" s="19" t="str">
        <x:f>IF(A13="","",IF(COUNTIFS($A$7:$A$306,A13,$B$7:$B$306,B13)&lt;&gt;1,"规则版本重复",IF(OR(B13="",D13="",E13="",F13="",K13="",L13=""),"待补规则信息",IF(AND(C13&lt;&gt;"",OR(C13=B13,COUNTIFS($A$7:$A$306,A13,$B$7:$B$306,C13)&lt;&gt;1)),"父版本引用无效",IF(AND(OR(D13="试行",D13="采用"),OR(G13="",NOT(ISNUMBER(I13)),NOT(ISNUMBER(J13)))),"待补采用与复核","有效输入")))))</x:f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20"/>
      <x:c r="J14" s="20"/>
      <x:c r="K14" s="3"/>
      <x:c r="L14" s="3"/>
      <x:c r="M14" s="19" t="str">
        <x:f>IF(A14="","",IF(COUNTIFS($A$7:$A$306,A14,$B$7:$B$306,B14)&lt;&gt;1,"规则版本重复",IF(OR(B14="",D14="",E14="",F14="",K14="",L14=""),"待补规则信息",IF(AND(C14&lt;&gt;"",OR(C14=B14,COUNTIFS($A$7:$A$306,A14,$B$7:$B$306,C14)&lt;&gt;1)),"父版本引用无效",IF(AND(OR(D14="试行",D14="采用"),OR(G14="",NOT(ISNUMBER(I14)),NOT(ISNUMBER(J14)))),"待补采用与复核","有效输入")))))</x:f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20"/>
      <x:c r="J15" s="20"/>
      <x:c r="K15" s="3"/>
      <x:c r="L15" s="3"/>
      <x:c r="M15" s="19" t="str">
        <x:f>IF(A15="","",IF(COUNTIFS($A$7:$A$306,A15,$B$7:$B$306,B15)&lt;&gt;1,"规则版本重复",IF(OR(B15="",D15="",E15="",F15="",K15="",L15=""),"待补规则信息",IF(AND(C15&lt;&gt;"",OR(C15=B15,COUNTIFS($A$7:$A$306,A15,$B$7:$B$306,C15)&lt;&gt;1)),"父版本引用无效",IF(AND(OR(D15="试行",D15="采用"),OR(G15="",NOT(ISNUMBER(I15)),NOT(ISNUMBER(J15)))),"待补采用与复核","有效输入")))))</x:f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20"/>
      <x:c r="J16" s="20"/>
      <x:c r="K16" s="3"/>
      <x:c r="L16" s="3"/>
      <x:c r="M16" s="19" t="str">
        <x:f>IF(A16="","",IF(COUNTIFS($A$7:$A$306,A16,$B$7:$B$306,B16)&lt;&gt;1,"规则版本重复",IF(OR(B16="",D16="",E16="",F16="",K16="",L16=""),"待补规则信息",IF(AND(C16&lt;&gt;"",OR(C16=B16,COUNTIFS($A$7:$A$306,A16,$B$7:$B$306,C16)&lt;&gt;1)),"父版本引用无效",IF(AND(OR(D16="试行",D16="采用"),OR(G16="",NOT(ISNUMBER(I16)),NOT(ISNUMBER(J16)))),"待补采用与复核","有效输入")))))</x:f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20"/>
      <x:c r="J17" s="20"/>
      <x:c r="K17" s="3"/>
      <x:c r="L17" s="3"/>
      <x:c r="M17" s="19" t="str">
        <x:f>IF(A17="","",IF(COUNTIFS($A$7:$A$306,A17,$B$7:$B$306,B17)&lt;&gt;1,"规则版本重复",IF(OR(B17="",D17="",E17="",F17="",K17="",L17=""),"待补规则信息",IF(AND(C17&lt;&gt;"",OR(C17=B17,COUNTIFS($A$7:$A$306,A17,$B$7:$B$306,C17)&lt;&gt;1)),"父版本引用无效",IF(AND(OR(D17="试行",D17="采用"),OR(G17="",NOT(ISNUMBER(I17)),NOT(ISNUMBER(J17)))),"待补采用与复核","有效输入")))))</x:f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20"/>
      <x:c r="J18" s="20"/>
      <x:c r="K18" s="3"/>
      <x:c r="L18" s="3"/>
      <x:c r="M18" s="19" t="str">
        <x:f>IF(A18="","",IF(COUNTIFS($A$7:$A$306,A18,$B$7:$B$306,B18)&lt;&gt;1,"规则版本重复",IF(OR(B18="",D18="",E18="",F18="",K18="",L18=""),"待补规则信息",IF(AND(C18&lt;&gt;"",OR(C18=B18,COUNTIFS($A$7:$A$306,A18,$B$7:$B$306,C18)&lt;&gt;1)),"父版本引用无效",IF(AND(OR(D18="试行",D18="采用"),OR(G18="",NOT(ISNUMBER(I18)),NOT(ISNUMBER(J18)))),"待补采用与复核","有效输入"))))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20"/>
      <x:c r="J19" s="20"/>
      <x:c r="K19" s="3"/>
      <x:c r="L19" s="3"/>
      <x:c r="M19" s="19" t="str">
        <x:f>IF(A19="","",IF(COUNTIFS($A$7:$A$306,A19,$B$7:$B$306,B19)&lt;&gt;1,"规则版本重复",IF(OR(B19="",D19="",E19="",F19="",K19="",L19=""),"待补规则信息",IF(AND(C19&lt;&gt;"",OR(C19=B19,COUNTIFS($A$7:$A$306,A19,$B$7:$B$306,C19)&lt;&gt;1)),"父版本引用无效",IF(AND(OR(D19="试行",D19="采用"),OR(G19="",NOT(ISNUMBER(I19)),NOT(ISNUMBER(J19)))),"待补采用与复核","有效输入")))))</x:f>
      </x:c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20"/>
      <x:c r="J20" s="20"/>
      <x:c r="K20" s="3"/>
      <x:c r="L20" s="3"/>
      <x:c r="M20" s="19" t="str">
        <x:f>IF(A20="","",IF(COUNTIFS($A$7:$A$306,A20,$B$7:$B$306,B20)&lt;&gt;1,"规则版本重复",IF(OR(B20="",D20="",E20="",F20="",K20="",L20=""),"待补规则信息",IF(AND(C20&lt;&gt;"",OR(C20=B20,COUNTIFS($A$7:$A$306,A20,$B$7:$B$306,C20)&lt;&gt;1)),"父版本引用无效",IF(AND(OR(D20="试行",D20="采用"),OR(G20="",NOT(ISNUMBER(I20)),NOT(ISNUMBER(J20)))),"待补采用与复核","有效输入")))))</x:f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20"/>
      <x:c r="J21" s="20"/>
      <x:c r="K21" s="3"/>
      <x:c r="L21" s="3"/>
      <x:c r="M21" s="19" t="str">
        <x:f>IF(A21="","",IF(COUNTIFS($A$7:$A$306,A21,$B$7:$B$306,B21)&lt;&gt;1,"规则版本重复",IF(OR(B21="",D21="",E21="",F21="",K21="",L21=""),"待补规则信息",IF(AND(C21&lt;&gt;"",OR(C21=B21,COUNTIFS($A$7:$A$306,A21,$B$7:$B$306,C21)&lt;&gt;1)),"父版本引用无效",IF(AND(OR(D21="试行",D21="采用"),OR(G21="",NOT(ISNUMBER(I21)),NOT(ISNUMBER(J21)))),"待补采用与复核","有效输入")))))</x:f>
      </x:c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20"/>
      <x:c r="J22" s="20"/>
      <x:c r="K22" s="3"/>
      <x:c r="L22" s="3"/>
      <x:c r="M22" s="19" t="str">
        <x:f>IF(A22="","",IF(COUNTIFS($A$7:$A$306,A22,$B$7:$B$306,B22)&lt;&gt;1,"规则版本重复",IF(OR(B22="",D22="",E22="",F22="",K22="",L22=""),"待补规则信息",IF(AND(C22&lt;&gt;"",OR(C22=B22,COUNTIFS($A$7:$A$306,A22,$B$7:$B$306,C22)&lt;&gt;1)),"父版本引用无效",IF(AND(OR(D22="试行",D22="采用"),OR(G22="",NOT(ISNUMBER(I22)),NOT(ISNUMBER(J22)))),"待补采用与复核","有效输入")))))</x:f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20"/>
      <x:c r="J23" s="20"/>
      <x:c r="K23" s="3"/>
      <x:c r="L23" s="3"/>
      <x:c r="M23" s="19" t="str">
        <x:f>IF(A23="","",IF(COUNTIFS($A$7:$A$306,A23,$B$7:$B$306,B23)&lt;&gt;1,"规则版本重复",IF(OR(B23="",D23="",E23="",F23="",K23="",L23=""),"待补规则信息",IF(AND(C23&lt;&gt;"",OR(C23=B23,COUNTIFS($A$7:$A$306,A23,$B$7:$B$306,C23)&lt;&gt;1)),"父版本引用无效",IF(AND(OR(D23="试行",D23="采用"),OR(G23="",NOT(ISNUMBER(I23)),NOT(ISNUMBER(J23)))),"待补采用与复核","有效输入")))))</x:f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20"/>
      <x:c r="J24" s="20"/>
      <x:c r="K24" s="3"/>
      <x:c r="L24" s="3"/>
      <x:c r="M24" s="19" t="str">
        <x:f>IF(A24="","",IF(COUNTIFS($A$7:$A$306,A24,$B$7:$B$306,B24)&lt;&gt;1,"规则版本重复",IF(OR(B24="",D24="",E24="",F24="",K24="",L24=""),"待补规则信息",IF(AND(C24&lt;&gt;"",OR(C24=B24,COUNTIFS($A$7:$A$306,A24,$B$7:$B$306,C24)&lt;&gt;1)),"父版本引用无效",IF(AND(OR(D24="试行",D24="采用"),OR(G24="",NOT(ISNUMBER(I24)),NOT(ISNUMBER(J24)))),"待补采用与复核","有效输入")))))</x:f>
      </x:c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20"/>
      <x:c r="J25" s="20"/>
      <x:c r="K25" s="3"/>
      <x:c r="L25" s="3"/>
      <x:c r="M25" s="19" t="str">
        <x:f>IF(A25="","",IF(COUNTIFS($A$7:$A$306,A25,$B$7:$B$306,B25)&lt;&gt;1,"规则版本重复",IF(OR(B25="",D25="",E25="",F25="",K25="",L25=""),"待补规则信息",IF(AND(C25&lt;&gt;"",OR(C25=B25,COUNTIFS($A$7:$A$306,A25,$B$7:$B$306,C25)&lt;&gt;1)),"父版本引用无效",IF(AND(OR(D25="试行",D25="采用"),OR(G25="",NOT(ISNUMBER(I25)),NOT(ISNUMBER(J25)))),"待补采用与复核","有效输入")))))</x:f>
      </x:c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20"/>
      <x:c r="J26" s="20"/>
      <x:c r="K26" s="3"/>
      <x:c r="L26" s="3"/>
      <x:c r="M26" s="19" t="str">
        <x:f>IF(A26="","",IF(COUNTIFS($A$7:$A$306,A26,$B$7:$B$306,B26)&lt;&gt;1,"规则版本重复",IF(OR(B26="",D26="",E26="",F26="",K26="",L26=""),"待补规则信息",IF(AND(C26&lt;&gt;"",OR(C26=B26,COUNTIFS($A$7:$A$306,A26,$B$7:$B$306,C26)&lt;&gt;1)),"父版本引用无效",IF(AND(OR(D26="试行",D26="采用"),OR(G26="",NOT(ISNUMBER(I26)),NOT(ISNUMBER(J26)))),"待补采用与复核","有效输入")))))</x:f>
      </x:c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20"/>
      <x:c r="J27" s="20"/>
      <x:c r="K27" s="3"/>
      <x:c r="L27" s="3"/>
      <x:c r="M27" s="19" t="str">
        <x:f>IF(A27="","",IF(COUNTIFS($A$7:$A$306,A27,$B$7:$B$306,B27)&lt;&gt;1,"规则版本重复",IF(OR(B27="",D27="",E27="",F27="",K27="",L27=""),"待补规则信息",IF(AND(C27&lt;&gt;"",OR(C27=B27,COUNTIFS($A$7:$A$306,A27,$B$7:$B$306,C27)&lt;&gt;1)),"父版本引用无效",IF(AND(OR(D27="试行",D27="采用"),OR(G27="",NOT(ISNUMBER(I27)),NOT(ISNUMBER(J27)))),"待补采用与复核","有效输入")))))</x:f>
      </x:c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20"/>
      <x:c r="J28" s="20"/>
      <x:c r="K28" s="3"/>
      <x:c r="L28" s="3"/>
      <x:c r="M28" s="19" t="str">
        <x:f>IF(A28="","",IF(COUNTIFS($A$7:$A$306,A28,$B$7:$B$306,B28)&lt;&gt;1,"规则版本重复",IF(OR(B28="",D28="",E28="",F28="",K28="",L28=""),"待补规则信息",IF(AND(C28&lt;&gt;"",OR(C28=B28,COUNTIFS($A$7:$A$306,A28,$B$7:$B$306,C28)&lt;&gt;1)),"父版本引用无效",IF(AND(OR(D28="试行",D28="采用"),OR(G28="",NOT(ISNUMBER(I28)),NOT(ISNUMBER(J28)))),"待补采用与复核","有效输入")))))</x:f>
      </x:c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20"/>
      <x:c r="J29" s="20"/>
      <x:c r="K29" s="3"/>
      <x:c r="L29" s="3"/>
      <x:c r="M29" s="19" t="str">
        <x:f>IF(A29="","",IF(COUNTIFS($A$7:$A$306,A29,$B$7:$B$306,B29)&lt;&gt;1,"规则版本重复",IF(OR(B29="",D29="",E29="",F29="",K29="",L29=""),"待补规则信息",IF(AND(C29&lt;&gt;"",OR(C29=B29,COUNTIFS($A$7:$A$306,A29,$B$7:$B$306,C29)&lt;&gt;1)),"父版本引用无效",IF(AND(OR(D29="试行",D29="采用"),OR(G29="",NOT(ISNUMBER(I29)),NOT(ISNUMBER(J29)))),"待补采用与复核","有效输入")))))</x:f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20"/>
      <x:c r="J30" s="20"/>
      <x:c r="K30" s="3"/>
      <x:c r="L30" s="3"/>
      <x:c r="M30" s="19" t="str">
        <x:f>IF(A30="","",IF(COUNTIFS($A$7:$A$306,A30,$B$7:$B$306,B30)&lt;&gt;1,"规则版本重复",IF(OR(B30="",D30="",E30="",F30="",K30="",L30=""),"待补规则信息",IF(AND(C30&lt;&gt;"",OR(C30=B30,COUNTIFS($A$7:$A$306,A30,$B$7:$B$306,C30)&lt;&gt;1)),"父版本引用无效",IF(AND(OR(D30="试行",D30="采用"),OR(G30="",NOT(ISNUMBER(I30)),NOT(ISNUMBER(J30)))),"待补采用与复核","有效输入")))))</x:f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20"/>
      <x:c r="J31" s="20"/>
      <x:c r="K31" s="3"/>
      <x:c r="L31" s="3"/>
      <x:c r="M31" s="19" t="str">
        <x:f>IF(A31="","",IF(COUNTIFS($A$7:$A$306,A31,$B$7:$B$306,B31)&lt;&gt;1,"规则版本重复",IF(OR(B31="",D31="",E31="",F31="",K31="",L31=""),"待补规则信息",IF(AND(C31&lt;&gt;"",OR(C31=B31,COUNTIFS($A$7:$A$306,A31,$B$7:$B$306,C31)&lt;&gt;1)),"父版本引用无效",IF(AND(OR(D31="试行",D31="采用"),OR(G31="",NOT(ISNUMBER(I31)),NOT(ISNUMBER(J31)))),"待补采用与复核","有效输入")))))</x:f>
      </x:c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20"/>
      <x:c r="J32" s="20"/>
      <x:c r="K32" s="3"/>
      <x:c r="L32" s="3"/>
      <x:c r="M32" s="19" t="str">
        <x:f>IF(A32="","",IF(COUNTIFS($A$7:$A$306,A32,$B$7:$B$306,B32)&lt;&gt;1,"规则版本重复",IF(OR(B32="",D32="",E32="",F32="",K32="",L32=""),"待补规则信息",IF(AND(C32&lt;&gt;"",OR(C32=B32,COUNTIFS($A$7:$A$306,A32,$B$7:$B$306,C32)&lt;&gt;1)),"父版本引用无效",IF(AND(OR(D32="试行",D32="采用"),OR(G32="",NOT(ISNUMBER(I32)),NOT(ISNUMBER(J32)))),"待补采用与复核","有效输入")))))</x:f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20"/>
      <x:c r="J33" s="20"/>
      <x:c r="K33" s="3"/>
      <x:c r="L33" s="3"/>
      <x:c r="M33" s="19" t="str">
        <x:f>IF(A33="","",IF(COUNTIFS($A$7:$A$306,A33,$B$7:$B$306,B33)&lt;&gt;1,"规则版本重复",IF(OR(B33="",D33="",E33="",F33="",K33="",L33=""),"待补规则信息",IF(AND(C33&lt;&gt;"",OR(C33=B33,COUNTIFS($A$7:$A$306,A33,$B$7:$B$306,C33)&lt;&gt;1)),"父版本引用无效",IF(AND(OR(D33="试行",D33="采用"),OR(G33="",NOT(ISNUMBER(I33)),NOT(ISNUMBER(J33)))),"待补采用与复核","有效输入")))))</x:f>
      </x:c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20"/>
      <x:c r="J34" s="20"/>
      <x:c r="K34" s="3"/>
      <x:c r="L34" s="3"/>
      <x:c r="M34" s="19" t="str">
        <x:f>IF(A34="","",IF(COUNTIFS($A$7:$A$306,A34,$B$7:$B$306,B34)&lt;&gt;1,"规则版本重复",IF(OR(B34="",D34="",E34="",F34="",K34="",L34=""),"待补规则信息",IF(AND(C34&lt;&gt;"",OR(C34=B34,COUNTIFS($A$7:$A$306,A34,$B$7:$B$306,C34)&lt;&gt;1)),"父版本引用无效",IF(AND(OR(D34="试行",D34="采用"),OR(G34="",NOT(ISNUMBER(I34)),NOT(ISNUMBER(J34)))),"待补采用与复核","有效输入")))))</x:f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20"/>
      <x:c r="J35" s="20"/>
      <x:c r="K35" s="3"/>
      <x:c r="L35" s="3"/>
      <x:c r="M35" s="19" t="str">
        <x:f>IF(A35="","",IF(COUNTIFS($A$7:$A$306,A35,$B$7:$B$306,B35)&lt;&gt;1,"规则版本重复",IF(OR(B35="",D35="",E35="",F35="",K35="",L35=""),"待补规则信息",IF(AND(C35&lt;&gt;"",OR(C35=B35,COUNTIFS($A$7:$A$306,A35,$B$7:$B$306,C35)&lt;&gt;1)),"父版本引用无效",IF(AND(OR(D35="试行",D35="采用"),OR(G35="",NOT(ISNUMBER(I35)),NOT(ISNUMBER(J35)))),"待补采用与复核","有效输入")))))</x:f>
      </x:c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20"/>
      <x:c r="J36" s="20"/>
      <x:c r="K36" s="3"/>
      <x:c r="L36" s="3"/>
      <x:c r="M36" s="19" t="str">
        <x:f>IF(A36="","",IF(COUNTIFS($A$7:$A$306,A36,$B$7:$B$306,B36)&lt;&gt;1,"规则版本重复",IF(OR(B36="",D36="",E36="",F36="",K36="",L36=""),"待补规则信息",IF(AND(C36&lt;&gt;"",OR(C36=B36,COUNTIFS($A$7:$A$306,A36,$B$7:$B$306,C36)&lt;&gt;1)),"父版本引用无效",IF(AND(OR(D36="试行",D36="采用"),OR(G36="",NOT(ISNUMBER(I36)),NOT(ISNUMBER(J36)))),"待补采用与复核","有效输入")))))</x:f>
      </x:c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20"/>
      <x:c r="J37" s="20"/>
      <x:c r="K37" s="3"/>
      <x:c r="L37" s="3"/>
      <x:c r="M37" s="19" t="str">
        <x:f>IF(A37="","",IF(COUNTIFS($A$7:$A$306,A37,$B$7:$B$306,B37)&lt;&gt;1,"规则版本重复",IF(OR(B37="",D37="",E37="",F37="",K37="",L37=""),"待补规则信息",IF(AND(C37&lt;&gt;"",OR(C37=B37,COUNTIFS($A$7:$A$306,A37,$B$7:$B$306,C37)&lt;&gt;1)),"父版本引用无效",IF(AND(OR(D37="试行",D37="采用"),OR(G37="",NOT(ISNUMBER(I37)),NOT(ISNUMBER(J37)))),"待补采用与复核","有效输入")))))</x:f>
      </x:c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20"/>
      <x:c r="J38" s="20"/>
      <x:c r="K38" s="3"/>
      <x:c r="L38" s="3"/>
      <x:c r="M38" s="19" t="str">
        <x:f>IF(A38="","",IF(COUNTIFS($A$7:$A$306,A38,$B$7:$B$306,B38)&lt;&gt;1,"规则版本重复",IF(OR(B38="",D38="",E38="",F38="",K38="",L38=""),"待补规则信息",IF(AND(C38&lt;&gt;"",OR(C38=B38,COUNTIFS($A$7:$A$306,A38,$B$7:$B$306,C38)&lt;&gt;1)),"父版本引用无效",IF(AND(OR(D38="试行",D38="采用"),OR(G38="",NOT(ISNUMBER(I38)),NOT(ISNUMBER(J38)))),"待补采用与复核","有效输入")))))</x:f>
      </x:c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20"/>
      <x:c r="J39" s="20"/>
      <x:c r="K39" s="3"/>
      <x:c r="L39" s="3"/>
      <x:c r="M39" s="19" t="str">
        <x:f>IF(A39="","",IF(COUNTIFS($A$7:$A$306,A39,$B$7:$B$306,B39)&lt;&gt;1,"规则版本重复",IF(OR(B39="",D39="",E39="",F39="",K39="",L39=""),"待补规则信息",IF(AND(C39&lt;&gt;"",OR(C39=B39,COUNTIFS($A$7:$A$306,A39,$B$7:$B$306,C39)&lt;&gt;1)),"父版本引用无效",IF(AND(OR(D39="试行",D39="采用"),OR(G39="",NOT(ISNUMBER(I39)),NOT(ISNUMBER(J39)))),"待补采用与复核","有效输入")))))</x:f>
      </x:c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20"/>
      <x:c r="J40" s="20"/>
      <x:c r="K40" s="3"/>
      <x:c r="L40" s="3"/>
      <x:c r="M40" s="19" t="str">
        <x:f>IF(A40="","",IF(COUNTIFS($A$7:$A$306,A40,$B$7:$B$306,B40)&lt;&gt;1,"规则版本重复",IF(OR(B40="",D40="",E40="",F40="",K40="",L40=""),"待补规则信息",IF(AND(C40&lt;&gt;"",OR(C40=B40,COUNTIFS($A$7:$A$306,A40,$B$7:$B$306,C40)&lt;&gt;1)),"父版本引用无效",IF(AND(OR(D40="试行",D40="采用"),OR(G40="",NOT(ISNUMBER(I40)),NOT(ISNUMBER(J40)))),"待补采用与复核","有效输入")))))</x:f>
      </x:c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20"/>
      <x:c r="J41" s="20"/>
      <x:c r="K41" s="3"/>
      <x:c r="L41" s="3"/>
      <x:c r="M41" s="19" t="str">
        <x:f>IF(A41="","",IF(COUNTIFS($A$7:$A$306,A41,$B$7:$B$306,B41)&lt;&gt;1,"规则版本重复",IF(OR(B41="",D41="",E41="",F41="",K41="",L41=""),"待补规则信息",IF(AND(C41&lt;&gt;"",OR(C41=B41,COUNTIFS($A$7:$A$306,A41,$B$7:$B$306,C41)&lt;&gt;1)),"父版本引用无效",IF(AND(OR(D41="试行",D41="采用"),OR(G41="",NOT(ISNUMBER(I41)),NOT(ISNUMBER(J41)))),"待补采用与复核","有效输入")))))</x:f>
      </x:c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20"/>
      <x:c r="J42" s="20"/>
      <x:c r="K42" s="3"/>
      <x:c r="L42" s="3"/>
      <x:c r="M42" s="19" t="str">
        <x:f>IF(A42="","",IF(COUNTIFS($A$7:$A$306,A42,$B$7:$B$306,B42)&lt;&gt;1,"规则版本重复",IF(OR(B42="",D42="",E42="",F42="",K42="",L42=""),"待补规则信息",IF(AND(C42&lt;&gt;"",OR(C42=B42,COUNTIFS($A$7:$A$306,A42,$B$7:$B$306,C42)&lt;&gt;1)),"父版本引用无效",IF(AND(OR(D42="试行",D42="采用"),OR(G42="",NOT(ISNUMBER(I42)),NOT(ISNUMBER(J42)))),"待补采用与复核","有效输入")))))</x:f>
      </x:c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20"/>
      <x:c r="J43" s="20"/>
      <x:c r="K43" s="3"/>
      <x:c r="L43" s="3"/>
      <x:c r="M43" s="19" t="str">
        <x:f>IF(A43="","",IF(COUNTIFS($A$7:$A$306,A43,$B$7:$B$306,B43)&lt;&gt;1,"规则版本重复",IF(OR(B43="",D43="",E43="",F43="",K43="",L43=""),"待补规则信息",IF(AND(C43&lt;&gt;"",OR(C43=B43,COUNTIFS($A$7:$A$306,A43,$B$7:$B$306,C43)&lt;&gt;1)),"父版本引用无效",IF(AND(OR(D43="试行",D43="采用"),OR(G43="",NOT(ISNUMBER(I43)),NOT(ISNUMBER(J43)))),"待补采用与复核","有效输入")))))</x:f>
      </x:c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20"/>
      <x:c r="J44" s="20"/>
      <x:c r="K44" s="3"/>
      <x:c r="L44" s="3"/>
      <x:c r="M44" s="19" t="str">
        <x:f>IF(A44="","",IF(COUNTIFS($A$7:$A$306,A44,$B$7:$B$306,B44)&lt;&gt;1,"规则版本重复",IF(OR(B44="",D44="",E44="",F44="",K44="",L44=""),"待补规则信息",IF(AND(C44&lt;&gt;"",OR(C44=B44,COUNTIFS($A$7:$A$306,A44,$B$7:$B$306,C44)&lt;&gt;1)),"父版本引用无效",IF(AND(OR(D44="试行",D44="采用"),OR(G44="",NOT(ISNUMBER(I44)),NOT(ISNUMBER(J44)))),"待补采用与复核","有效输入")))))</x:f>
      </x:c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20"/>
      <x:c r="J45" s="20"/>
      <x:c r="K45" s="3"/>
      <x:c r="L45" s="3"/>
      <x:c r="M45" s="19" t="str">
        <x:f>IF(A45="","",IF(COUNTIFS($A$7:$A$306,A45,$B$7:$B$306,B45)&lt;&gt;1,"规则版本重复",IF(OR(B45="",D45="",E45="",F45="",K45="",L45=""),"待补规则信息",IF(AND(C45&lt;&gt;"",OR(C45=B45,COUNTIFS($A$7:$A$306,A45,$B$7:$B$306,C45)&lt;&gt;1)),"父版本引用无效",IF(AND(OR(D45="试行",D45="采用"),OR(G45="",NOT(ISNUMBER(I45)),NOT(ISNUMBER(J45)))),"待补采用与复核","有效输入")))))</x:f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20"/>
      <x:c r="J46" s="20"/>
      <x:c r="K46" s="3"/>
      <x:c r="L46" s="3"/>
      <x:c r="M46" s="19" t="str">
        <x:f>IF(A46="","",IF(COUNTIFS($A$7:$A$306,A46,$B$7:$B$306,B46)&lt;&gt;1,"规则版本重复",IF(OR(B46="",D46="",E46="",F46="",K46="",L46=""),"待补规则信息",IF(AND(C46&lt;&gt;"",OR(C46=B46,COUNTIFS($A$7:$A$306,A46,$B$7:$B$306,C46)&lt;&gt;1)),"父版本引用无效",IF(AND(OR(D46="试行",D46="采用"),OR(G46="",NOT(ISNUMBER(I46)),NOT(ISNUMBER(J46)))),"待补采用与复核","有效输入")))))</x:f>
      </x:c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20"/>
      <x:c r="J47" s="20"/>
      <x:c r="K47" s="3"/>
      <x:c r="L47" s="3"/>
      <x:c r="M47" s="19" t="str">
        <x:f>IF(A47="","",IF(COUNTIFS($A$7:$A$306,A47,$B$7:$B$306,B47)&lt;&gt;1,"规则版本重复",IF(OR(B47="",D47="",E47="",F47="",K47="",L47=""),"待补规则信息",IF(AND(C47&lt;&gt;"",OR(C47=B47,COUNTIFS($A$7:$A$306,A47,$B$7:$B$306,C47)&lt;&gt;1)),"父版本引用无效",IF(AND(OR(D47="试行",D47="采用"),OR(G47="",NOT(ISNUMBER(I47)),NOT(ISNUMBER(J47)))),"待补采用与复核","有效输入")))))</x:f>
      </x:c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20"/>
      <x:c r="J48" s="20"/>
      <x:c r="K48" s="3"/>
      <x:c r="L48" s="3"/>
      <x:c r="M48" s="19" t="str">
        <x:f>IF(A48="","",IF(COUNTIFS($A$7:$A$306,A48,$B$7:$B$306,B48)&lt;&gt;1,"规则版本重复",IF(OR(B48="",D48="",E48="",F48="",K48="",L48=""),"待补规则信息",IF(AND(C48&lt;&gt;"",OR(C48=B48,COUNTIFS($A$7:$A$306,A48,$B$7:$B$306,C48)&lt;&gt;1)),"父版本引用无效",IF(AND(OR(D48="试行",D48="采用"),OR(G48="",NOT(ISNUMBER(I48)),NOT(ISNUMBER(J48)))),"待补采用与复核","有效输入")))))</x:f>
      </x:c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20"/>
      <x:c r="J49" s="20"/>
      <x:c r="K49" s="3"/>
      <x:c r="L49" s="3"/>
      <x:c r="M49" s="19" t="str">
        <x:f>IF(A49="","",IF(COUNTIFS($A$7:$A$306,A49,$B$7:$B$306,B49)&lt;&gt;1,"规则版本重复",IF(OR(B49="",D49="",E49="",F49="",K49="",L49=""),"待补规则信息",IF(AND(C49&lt;&gt;"",OR(C49=B49,COUNTIFS($A$7:$A$306,A49,$B$7:$B$306,C49)&lt;&gt;1)),"父版本引用无效",IF(AND(OR(D49="试行",D49="采用"),OR(G49="",NOT(ISNUMBER(I49)),NOT(ISNUMBER(J49)))),"待补采用与复核","有效输入")))))</x:f>
      </x:c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20"/>
      <x:c r="J50" s="20"/>
      <x:c r="K50" s="3"/>
      <x:c r="L50" s="3"/>
      <x:c r="M50" s="19" t="str">
        <x:f>IF(A50="","",IF(COUNTIFS($A$7:$A$306,A50,$B$7:$B$306,B50)&lt;&gt;1,"规则版本重复",IF(OR(B50="",D50="",E50="",F50="",K50="",L50=""),"待补规则信息",IF(AND(C50&lt;&gt;"",OR(C50=B50,COUNTIFS($A$7:$A$306,A50,$B$7:$B$306,C50)&lt;&gt;1)),"父版本引用无效",IF(AND(OR(D50="试行",D50="采用"),OR(G50="",NOT(ISNUMBER(I50)),NOT(ISNUMBER(J50)))),"待补采用与复核","有效输入")))))</x:f>
      </x:c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20"/>
      <x:c r="J51" s="20"/>
      <x:c r="K51" s="3"/>
      <x:c r="L51" s="3"/>
      <x:c r="M51" s="19" t="str">
        <x:f>IF(A51="","",IF(COUNTIFS($A$7:$A$306,A51,$B$7:$B$306,B51)&lt;&gt;1,"规则版本重复",IF(OR(B51="",D51="",E51="",F51="",K51="",L51=""),"待补规则信息",IF(AND(C51&lt;&gt;"",OR(C51=B51,COUNTIFS($A$7:$A$306,A51,$B$7:$B$306,C51)&lt;&gt;1)),"父版本引用无效",IF(AND(OR(D51="试行",D51="采用"),OR(G51="",NOT(ISNUMBER(I51)),NOT(ISNUMBER(J51)))),"待补采用与复核","有效输入")))))</x:f>
      </x:c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20"/>
      <x:c r="J52" s="20"/>
      <x:c r="K52" s="3"/>
      <x:c r="L52" s="3"/>
      <x:c r="M52" s="19" t="str">
        <x:f>IF(A52="","",IF(COUNTIFS($A$7:$A$306,A52,$B$7:$B$306,B52)&lt;&gt;1,"规则版本重复",IF(OR(B52="",D52="",E52="",F52="",K52="",L52=""),"待补规则信息",IF(AND(C52&lt;&gt;"",OR(C52=B52,COUNTIFS($A$7:$A$306,A52,$B$7:$B$306,C52)&lt;&gt;1)),"父版本引用无效",IF(AND(OR(D52="试行",D52="采用"),OR(G52="",NOT(ISNUMBER(I52)),NOT(ISNUMBER(J52)))),"待补采用与复核","有效输入")))))</x:f>
      </x:c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20"/>
      <x:c r="J53" s="20"/>
      <x:c r="K53" s="3"/>
      <x:c r="L53" s="3"/>
      <x:c r="M53" s="19" t="str">
        <x:f>IF(A53="","",IF(COUNTIFS($A$7:$A$306,A53,$B$7:$B$306,B53)&lt;&gt;1,"规则版本重复",IF(OR(B53="",D53="",E53="",F53="",K53="",L53=""),"待补规则信息",IF(AND(C53&lt;&gt;"",OR(C53=B53,COUNTIFS($A$7:$A$306,A53,$B$7:$B$306,C53)&lt;&gt;1)),"父版本引用无效",IF(AND(OR(D53="试行",D53="采用"),OR(G53="",NOT(ISNUMBER(I53)),NOT(ISNUMBER(J53)))),"待补采用与复核","有效输入")))))</x:f>
      </x:c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20"/>
      <x:c r="J54" s="20"/>
      <x:c r="K54" s="3"/>
      <x:c r="L54" s="3"/>
      <x:c r="M54" s="19" t="str">
        <x:f>IF(A54="","",IF(COUNTIFS($A$7:$A$306,A54,$B$7:$B$306,B54)&lt;&gt;1,"规则版本重复",IF(OR(B54="",D54="",E54="",F54="",K54="",L54=""),"待补规则信息",IF(AND(C54&lt;&gt;"",OR(C54=B54,COUNTIFS($A$7:$A$306,A54,$B$7:$B$306,C54)&lt;&gt;1)),"父版本引用无效",IF(AND(OR(D54="试行",D54="采用"),OR(G54="",NOT(ISNUMBER(I54)),NOT(ISNUMBER(J54)))),"待补采用与复核","有效输入")))))</x:f>
      </x:c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20"/>
      <x:c r="J55" s="20"/>
      <x:c r="K55" s="3"/>
      <x:c r="L55" s="3"/>
      <x:c r="M55" s="19" t="str">
        <x:f>IF(A55="","",IF(COUNTIFS($A$7:$A$306,A55,$B$7:$B$306,B55)&lt;&gt;1,"规则版本重复",IF(OR(B55="",D55="",E55="",F55="",K55="",L55=""),"待补规则信息",IF(AND(C55&lt;&gt;"",OR(C55=B55,COUNTIFS($A$7:$A$306,A55,$B$7:$B$306,C55)&lt;&gt;1)),"父版本引用无效",IF(AND(OR(D55="试行",D55="采用"),OR(G55="",NOT(ISNUMBER(I55)),NOT(ISNUMBER(J55)))),"待补采用与复核","有效输入")))))</x:f>
      </x:c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20"/>
      <x:c r="J56" s="20"/>
      <x:c r="K56" s="3"/>
      <x:c r="L56" s="3"/>
      <x:c r="M56" s="19" t="str">
        <x:f>IF(A56="","",IF(COUNTIFS($A$7:$A$306,A56,$B$7:$B$306,B56)&lt;&gt;1,"规则版本重复",IF(OR(B56="",D56="",E56="",F56="",K56="",L56=""),"待补规则信息",IF(AND(C56&lt;&gt;"",OR(C56=B56,COUNTIFS($A$7:$A$306,A56,$B$7:$B$306,C56)&lt;&gt;1)),"父版本引用无效",IF(AND(OR(D56="试行",D56="采用"),OR(G56="",NOT(ISNUMBER(I56)),NOT(ISNUMBER(J56)))),"待补采用与复核","有效输入"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20"/>
      <x:c r="J57" s="20"/>
      <x:c r="K57" s="3"/>
      <x:c r="L57" s="3"/>
      <x:c r="M57" s="19" t="str">
        <x:f>IF(A57="","",IF(COUNTIFS($A$7:$A$306,A57,$B$7:$B$306,B57)&lt;&gt;1,"规则版本重复",IF(OR(B57="",D57="",E57="",F57="",K57="",L57=""),"待补规则信息",IF(AND(C57&lt;&gt;"",OR(C57=B57,COUNTIFS($A$7:$A$306,A57,$B$7:$B$306,C57)&lt;&gt;1)),"父版本引用无效",IF(AND(OR(D57="试行",D57="采用"),OR(G57="",NOT(ISNUMBER(I57)),NOT(ISNUMBER(J57)))),"待补采用与复核","有效输入")))))</x:f>
      </x:c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20"/>
      <x:c r="J58" s="20"/>
      <x:c r="K58" s="3"/>
      <x:c r="L58" s="3"/>
      <x:c r="M58" s="19" t="str">
        <x:f>IF(A58="","",IF(COUNTIFS($A$7:$A$306,A58,$B$7:$B$306,B58)&lt;&gt;1,"规则版本重复",IF(OR(B58="",D58="",E58="",F58="",K58="",L58=""),"待补规则信息",IF(AND(C58&lt;&gt;"",OR(C58=B58,COUNTIFS($A$7:$A$306,A58,$B$7:$B$306,C58)&lt;&gt;1)),"父版本引用无效",IF(AND(OR(D58="试行",D58="采用"),OR(G58="",NOT(ISNUMBER(I58)),NOT(ISNUMBER(J58)))),"待补采用与复核","有效输入")))))</x:f>
      </x:c>
    </x:row>
    <x:row r="59" ht="25" customHeight="1">
      <x:c r="A59" s="3"/>
      <x:c r="B59" s="3"/>
      <x:c r="C59" s="3"/>
      <x:c r="D59" s="3"/>
      <x:c r="E59" s="3"/>
      <x:c r="F59" s="3"/>
      <x:c r="G59" s="3"/>
      <x:c r="H59" s="3"/>
      <x:c r="I59" s="20"/>
      <x:c r="J59" s="20"/>
      <x:c r="K59" s="3"/>
      <x:c r="L59" s="3"/>
      <x:c r="M59" s="19" t="str">
        <x:f>IF(A59="","",IF(COUNTIFS($A$7:$A$306,A59,$B$7:$B$306,B59)&lt;&gt;1,"规则版本重复",IF(OR(B59="",D59="",E59="",F59="",K59="",L59=""),"待补规则信息",IF(AND(C59&lt;&gt;"",OR(C59=B59,COUNTIFS($A$7:$A$306,A59,$B$7:$B$306,C59)&lt;&gt;1)),"父版本引用无效",IF(AND(OR(D59="试行",D59="采用"),OR(G59="",NOT(ISNUMBER(I59)),NOT(ISNUMBER(J59)))),"待补采用与复核","有效输入")))))</x:f>
      </x:c>
    </x:row>
    <x:row r="60" ht="25" customHeight="1">
      <x:c r="A60" s="3"/>
      <x:c r="B60" s="3"/>
      <x:c r="C60" s="3"/>
      <x:c r="D60" s="3"/>
      <x:c r="E60" s="3"/>
      <x:c r="F60" s="3"/>
      <x:c r="G60" s="3"/>
      <x:c r="H60" s="3"/>
      <x:c r="I60" s="20"/>
      <x:c r="J60" s="20"/>
      <x:c r="K60" s="3"/>
      <x:c r="L60" s="3"/>
      <x:c r="M60" s="19" t="str">
        <x:f>IF(A60="","",IF(COUNTIFS($A$7:$A$306,A60,$B$7:$B$306,B60)&lt;&gt;1,"规则版本重复",IF(OR(B60="",D60="",E60="",F60="",K60="",L60=""),"待补规则信息",IF(AND(C60&lt;&gt;"",OR(C60=B60,COUNTIFS($A$7:$A$306,A60,$B$7:$B$306,C60)&lt;&gt;1)),"父版本引用无效",IF(AND(OR(D60="试行",D60="采用"),OR(G60="",NOT(ISNUMBER(I60)),NOT(ISNUMBER(J60)))),"待补采用与复核","有效输入")))))</x:f>
      </x:c>
    </x:row>
    <x:row r="61" ht="25" customHeight="1">
      <x:c r="A61" s="3"/>
      <x:c r="B61" s="3"/>
      <x:c r="C61" s="3"/>
      <x:c r="D61" s="3"/>
      <x:c r="E61" s="3"/>
      <x:c r="F61" s="3"/>
      <x:c r="G61" s="3"/>
      <x:c r="H61" s="3"/>
      <x:c r="I61" s="20"/>
      <x:c r="J61" s="20"/>
      <x:c r="K61" s="3"/>
      <x:c r="L61" s="3"/>
      <x:c r="M61" s="19" t="str">
        <x:f>IF(A61="","",IF(COUNTIFS($A$7:$A$306,A61,$B$7:$B$306,B61)&lt;&gt;1,"规则版本重复",IF(OR(B61="",D61="",E61="",F61="",K61="",L61=""),"待补规则信息",IF(AND(C61&lt;&gt;"",OR(C61=B61,COUNTIFS($A$7:$A$306,A61,$B$7:$B$306,C61)&lt;&gt;1)),"父版本引用无效",IF(AND(OR(D61="试行",D61="采用"),OR(G61="",NOT(ISNUMBER(I61)),NOT(ISNUMBER(J61)))),"待补采用与复核","有效输入")))))</x:f>
      </x:c>
    </x:row>
    <x:row r="62" ht="25" customHeight="1">
      <x:c r="A62" s="3"/>
      <x:c r="B62" s="3"/>
      <x:c r="C62" s="3"/>
      <x:c r="D62" s="3"/>
      <x:c r="E62" s="3"/>
      <x:c r="F62" s="3"/>
      <x:c r="G62" s="3"/>
      <x:c r="H62" s="3"/>
      <x:c r="I62" s="20"/>
      <x:c r="J62" s="20"/>
      <x:c r="K62" s="3"/>
      <x:c r="L62" s="3"/>
      <x:c r="M62" s="19" t="str">
        <x:f>IF(A62="","",IF(COUNTIFS($A$7:$A$306,A62,$B$7:$B$306,B62)&lt;&gt;1,"规则版本重复",IF(OR(B62="",D62="",E62="",F62="",K62="",L62=""),"待补规则信息",IF(AND(C62&lt;&gt;"",OR(C62=B62,COUNTIFS($A$7:$A$306,A62,$B$7:$B$306,C62)&lt;&gt;1)),"父版本引用无效",IF(AND(OR(D62="试行",D62="采用"),OR(G62="",NOT(ISNUMBER(I62)),NOT(ISNUMBER(J62)))),"待补采用与复核","有效输入")))))</x:f>
      </x:c>
    </x:row>
    <x:row r="63" ht="25" customHeight="1">
      <x:c r="A63" s="3"/>
      <x:c r="B63" s="3"/>
      <x:c r="C63" s="3"/>
      <x:c r="D63" s="3"/>
      <x:c r="E63" s="3"/>
      <x:c r="F63" s="3"/>
      <x:c r="G63" s="3"/>
      <x:c r="H63" s="3"/>
      <x:c r="I63" s="20"/>
      <x:c r="J63" s="20"/>
      <x:c r="K63" s="3"/>
      <x:c r="L63" s="3"/>
      <x:c r="M63" s="19" t="str">
        <x:f>IF(A63="","",IF(COUNTIFS($A$7:$A$306,A63,$B$7:$B$306,B63)&lt;&gt;1,"规则版本重复",IF(OR(B63="",D63="",E63="",F63="",K63="",L63=""),"待补规则信息",IF(AND(C63&lt;&gt;"",OR(C63=B63,COUNTIFS($A$7:$A$306,A63,$B$7:$B$306,C63)&lt;&gt;1)),"父版本引用无效",IF(AND(OR(D63="试行",D63="采用"),OR(G63="",NOT(ISNUMBER(I63)),NOT(ISNUMBER(J63)))),"待补采用与复核","有效输入")))))</x:f>
      </x:c>
    </x:row>
    <x:row r="64" ht="25" customHeight="1">
      <x:c r="A64" s="3"/>
      <x:c r="B64" s="3"/>
      <x:c r="C64" s="3"/>
      <x:c r="D64" s="3"/>
      <x:c r="E64" s="3"/>
      <x:c r="F64" s="3"/>
      <x:c r="G64" s="3"/>
      <x:c r="H64" s="3"/>
      <x:c r="I64" s="20"/>
      <x:c r="J64" s="20"/>
      <x:c r="K64" s="3"/>
      <x:c r="L64" s="3"/>
      <x:c r="M64" s="19" t="str">
        <x:f>IF(A64="","",IF(COUNTIFS($A$7:$A$306,A64,$B$7:$B$306,B64)&lt;&gt;1,"规则版本重复",IF(OR(B64="",D64="",E64="",F64="",K64="",L64=""),"待补规则信息",IF(AND(C64&lt;&gt;"",OR(C64=B64,COUNTIFS($A$7:$A$306,A64,$B$7:$B$306,C64)&lt;&gt;1)),"父版本引用无效",IF(AND(OR(D64="试行",D64="采用"),OR(G64="",NOT(ISNUMBER(I64)),NOT(ISNUMBER(J64)))),"待补采用与复核","有效输入")))))</x:f>
      </x:c>
    </x:row>
    <x:row r="65" ht="25" customHeight="1">
      <x:c r="A65" s="3"/>
      <x:c r="B65" s="3"/>
      <x:c r="C65" s="3"/>
      <x:c r="D65" s="3"/>
      <x:c r="E65" s="3"/>
      <x:c r="F65" s="3"/>
      <x:c r="G65" s="3"/>
      <x:c r="H65" s="3"/>
      <x:c r="I65" s="20"/>
      <x:c r="J65" s="20"/>
      <x:c r="K65" s="3"/>
      <x:c r="L65" s="3"/>
      <x:c r="M65" s="19" t="str">
        <x:f>IF(A65="","",IF(COUNTIFS($A$7:$A$306,A65,$B$7:$B$306,B65)&lt;&gt;1,"规则版本重复",IF(OR(B65="",D65="",E65="",F65="",K65="",L65=""),"待补规则信息",IF(AND(C65&lt;&gt;"",OR(C65=B65,COUNTIFS($A$7:$A$306,A65,$B$7:$B$306,C65)&lt;&gt;1)),"父版本引用无效",IF(AND(OR(D65="试行",D65="采用"),OR(G65="",NOT(ISNUMBER(I65)),NOT(ISNUMBER(J65)))),"待补采用与复核","有效输入")))))</x:f>
      </x:c>
    </x:row>
    <x:row r="66" ht="25" customHeight="1">
      <x:c r="A66" s="3"/>
      <x:c r="B66" s="3"/>
      <x:c r="C66" s="3"/>
      <x:c r="D66" s="3"/>
      <x:c r="E66" s="3"/>
      <x:c r="F66" s="3"/>
      <x:c r="G66" s="3"/>
      <x:c r="H66" s="3"/>
      <x:c r="I66" s="20"/>
      <x:c r="J66" s="20"/>
      <x:c r="K66" s="3"/>
      <x:c r="L66" s="3"/>
      <x:c r="M66" s="19" t="str">
        <x:f>IF(A66="","",IF(COUNTIFS($A$7:$A$306,A66,$B$7:$B$306,B66)&lt;&gt;1,"规则版本重复",IF(OR(B66="",D66="",E66="",F66="",K66="",L66=""),"待补规则信息",IF(AND(C66&lt;&gt;"",OR(C66=B66,COUNTIFS($A$7:$A$306,A66,$B$7:$B$306,C66)&lt;&gt;1)),"父版本引用无效",IF(AND(OR(D66="试行",D66="采用"),OR(G66="",NOT(ISNUMBER(I66)),NOT(ISNUMBER(J66)))),"待补采用与复核","有效输入")))))</x:f>
      </x:c>
    </x:row>
    <x:row r="67" ht="25" customHeight="1">
      <x:c r="A67" s="3"/>
      <x:c r="B67" s="3"/>
      <x:c r="C67" s="3"/>
      <x:c r="D67" s="3"/>
      <x:c r="E67" s="3"/>
      <x:c r="F67" s="3"/>
      <x:c r="G67" s="3"/>
      <x:c r="H67" s="3"/>
      <x:c r="I67" s="20"/>
      <x:c r="J67" s="20"/>
      <x:c r="K67" s="3"/>
      <x:c r="L67" s="3"/>
      <x:c r="M67" s="19" t="str">
        <x:f>IF(A67="","",IF(COUNTIFS($A$7:$A$306,A67,$B$7:$B$306,B67)&lt;&gt;1,"规则版本重复",IF(OR(B67="",D67="",E67="",F67="",K67="",L67=""),"待补规则信息",IF(AND(C67&lt;&gt;"",OR(C67=B67,COUNTIFS($A$7:$A$306,A67,$B$7:$B$306,C67)&lt;&gt;1)),"父版本引用无效",IF(AND(OR(D67="试行",D67="采用"),OR(G67="",NOT(ISNUMBER(I67)),NOT(ISNUMBER(J67)))),"待补采用与复核","有效输入")))))</x:f>
      </x:c>
    </x:row>
    <x:row r="68" ht="25" customHeight="1">
      <x:c r="A68" s="3"/>
      <x:c r="B68" s="3"/>
      <x:c r="C68" s="3"/>
      <x:c r="D68" s="3"/>
      <x:c r="E68" s="3"/>
      <x:c r="F68" s="3"/>
      <x:c r="G68" s="3"/>
      <x:c r="H68" s="3"/>
      <x:c r="I68" s="20"/>
      <x:c r="J68" s="20"/>
      <x:c r="K68" s="3"/>
      <x:c r="L68" s="3"/>
      <x:c r="M68" s="19" t="str">
        <x:f>IF(A68="","",IF(COUNTIFS($A$7:$A$306,A68,$B$7:$B$306,B68)&lt;&gt;1,"规则版本重复",IF(OR(B68="",D68="",E68="",F68="",K68="",L68=""),"待补规则信息",IF(AND(C68&lt;&gt;"",OR(C68=B68,COUNTIFS($A$7:$A$306,A68,$B$7:$B$306,C68)&lt;&gt;1)),"父版本引用无效",IF(AND(OR(D68="试行",D68="采用"),OR(G68="",NOT(ISNUMBER(I68)),NOT(ISNUMBER(J68)))),"待补采用与复核","有效输入")))))</x:f>
      </x:c>
    </x:row>
    <x:row r="69" ht="25" customHeight="1">
      <x:c r="A69" s="3"/>
      <x:c r="B69" s="3"/>
      <x:c r="C69" s="3"/>
      <x:c r="D69" s="3"/>
      <x:c r="E69" s="3"/>
      <x:c r="F69" s="3"/>
      <x:c r="G69" s="3"/>
      <x:c r="H69" s="3"/>
      <x:c r="I69" s="20"/>
      <x:c r="J69" s="20"/>
      <x:c r="K69" s="3"/>
      <x:c r="L69" s="3"/>
      <x:c r="M69" s="19" t="str">
        <x:f>IF(A69="","",IF(COUNTIFS($A$7:$A$306,A69,$B$7:$B$306,B69)&lt;&gt;1,"规则版本重复",IF(OR(B69="",D69="",E69="",F69="",K69="",L69=""),"待补规则信息",IF(AND(C69&lt;&gt;"",OR(C69=B69,COUNTIFS($A$7:$A$306,A69,$B$7:$B$306,C69)&lt;&gt;1)),"父版本引用无效",IF(AND(OR(D69="试行",D69="采用"),OR(G69="",NOT(ISNUMBER(I69)),NOT(ISNUMBER(J69)))),"待补采用与复核","有效输入")))))</x:f>
      </x:c>
    </x:row>
    <x:row r="70" ht="25" customHeight="1">
      <x:c r="A70" s="3"/>
      <x:c r="B70" s="3"/>
      <x:c r="C70" s="3"/>
      <x:c r="D70" s="3"/>
      <x:c r="E70" s="3"/>
      <x:c r="F70" s="3"/>
      <x:c r="G70" s="3"/>
      <x:c r="H70" s="3"/>
      <x:c r="I70" s="20"/>
      <x:c r="J70" s="20"/>
      <x:c r="K70" s="3"/>
      <x:c r="L70" s="3"/>
      <x:c r="M70" s="19" t="str">
        <x:f>IF(A70="","",IF(COUNTIFS($A$7:$A$306,A70,$B$7:$B$306,B70)&lt;&gt;1,"规则版本重复",IF(OR(B70="",D70="",E70="",F70="",K70="",L70=""),"待补规则信息",IF(AND(C70&lt;&gt;"",OR(C70=B70,COUNTIFS($A$7:$A$306,A70,$B$7:$B$306,C70)&lt;&gt;1)),"父版本引用无效",IF(AND(OR(D70="试行",D70="采用"),OR(G70="",NOT(ISNUMBER(I70)),NOT(ISNUMBER(J70)))),"待补采用与复核","有效输入")))))</x:f>
      </x:c>
    </x:row>
    <x:row r="71" ht="25" customHeight="1">
      <x:c r="A71" s="3"/>
      <x:c r="B71" s="3"/>
      <x:c r="C71" s="3"/>
      <x:c r="D71" s="3"/>
      <x:c r="E71" s="3"/>
      <x:c r="F71" s="3"/>
      <x:c r="G71" s="3"/>
      <x:c r="H71" s="3"/>
      <x:c r="I71" s="20"/>
      <x:c r="J71" s="20"/>
      <x:c r="K71" s="3"/>
      <x:c r="L71" s="3"/>
      <x:c r="M71" s="19" t="str">
        <x:f>IF(A71="","",IF(COUNTIFS($A$7:$A$306,A71,$B$7:$B$306,B71)&lt;&gt;1,"规则版本重复",IF(OR(B71="",D71="",E71="",F71="",K71="",L71=""),"待补规则信息",IF(AND(C71&lt;&gt;"",OR(C71=B71,COUNTIFS($A$7:$A$306,A71,$B$7:$B$306,C71)&lt;&gt;1)),"父版本引用无效",IF(AND(OR(D71="试行",D71="采用"),OR(G71="",NOT(ISNUMBER(I71)),NOT(ISNUMBER(J71)))),"待补采用与复核","有效输入")))))</x:f>
      </x:c>
    </x:row>
    <x:row r="72" ht="25" customHeight="1">
      <x:c r="A72" s="3"/>
      <x:c r="B72" s="3"/>
      <x:c r="C72" s="3"/>
      <x:c r="D72" s="3"/>
      <x:c r="E72" s="3"/>
      <x:c r="F72" s="3"/>
      <x:c r="G72" s="3"/>
      <x:c r="H72" s="3"/>
      <x:c r="I72" s="20"/>
      <x:c r="J72" s="20"/>
      <x:c r="K72" s="3"/>
      <x:c r="L72" s="3"/>
      <x:c r="M72" s="19" t="str">
        <x:f>IF(A72="","",IF(COUNTIFS($A$7:$A$306,A72,$B$7:$B$306,B72)&lt;&gt;1,"规则版本重复",IF(OR(B72="",D72="",E72="",F72="",K72="",L72=""),"待补规则信息",IF(AND(C72&lt;&gt;"",OR(C72=B72,COUNTIFS($A$7:$A$306,A72,$B$7:$B$306,C72)&lt;&gt;1)),"父版本引用无效",IF(AND(OR(D72="试行",D72="采用"),OR(G72="",NOT(ISNUMBER(I72)),NOT(ISNUMBER(J72)))),"待补采用与复核","有效输入")))))</x:f>
      </x:c>
    </x:row>
    <x:row r="73" ht="25" customHeight="1">
      <x:c r="A73" s="3"/>
      <x:c r="B73" s="3"/>
      <x:c r="C73" s="3"/>
      <x:c r="D73" s="3"/>
      <x:c r="E73" s="3"/>
      <x:c r="F73" s="3"/>
      <x:c r="G73" s="3"/>
      <x:c r="H73" s="3"/>
      <x:c r="I73" s="20"/>
      <x:c r="J73" s="20"/>
      <x:c r="K73" s="3"/>
      <x:c r="L73" s="3"/>
      <x:c r="M73" s="19" t="str">
        <x:f>IF(A73="","",IF(COUNTIFS($A$7:$A$306,A73,$B$7:$B$306,B73)&lt;&gt;1,"规则版本重复",IF(OR(B73="",D73="",E73="",F73="",K73="",L73=""),"待补规则信息",IF(AND(C73&lt;&gt;"",OR(C73=B73,COUNTIFS($A$7:$A$306,A73,$B$7:$B$306,C73)&lt;&gt;1)),"父版本引用无效",IF(AND(OR(D73="试行",D73="采用"),OR(G73="",NOT(ISNUMBER(I73)),NOT(ISNUMBER(J73)))),"待补采用与复核","有效输入")))))</x:f>
      </x:c>
    </x:row>
    <x:row r="74" ht="25" customHeight="1">
      <x:c r="A74" s="3"/>
      <x:c r="B74" s="3"/>
      <x:c r="C74" s="3"/>
      <x:c r="D74" s="3"/>
      <x:c r="E74" s="3"/>
      <x:c r="F74" s="3"/>
      <x:c r="G74" s="3"/>
      <x:c r="H74" s="3"/>
      <x:c r="I74" s="20"/>
      <x:c r="J74" s="20"/>
      <x:c r="K74" s="3"/>
      <x:c r="L74" s="3"/>
      <x:c r="M74" s="19" t="str">
        <x:f>IF(A74="","",IF(COUNTIFS($A$7:$A$306,A74,$B$7:$B$306,B74)&lt;&gt;1,"规则版本重复",IF(OR(B74="",D74="",E74="",F74="",K74="",L74=""),"待补规则信息",IF(AND(C74&lt;&gt;"",OR(C74=B74,COUNTIFS($A$7:$A$306,A74,$B$7:$B$306,C74)&lt;&gt;1)),"父版本引用无效",IF(AND(OR(D74="试行",D74="采用"),OR(G74="",NOT(ISNUMBER(I74)),NOT(ISNUMBER(J74)))),"待补采用与复核","有效输入")))))</x:f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20"/>
      <x:c r="J75" s="20"/>
      <x:c r="K75" s="3"/>
      <x:c r="L75" s="3"/>
      <x:c r="M75" s="19" t="str">
        <x:f>IF(A75="","",IF(COUNTIFS($A$7:$A$306,A75,$B$7:$B$306,B75)&lt;&gt;1,"规则版本重复",IF(OR(B75="",D75="",E75="",F75="",K75="",L75=""),"待补规则信息",IF(AND(C75&lt;&gt;"",OR(C75=B75,COUNTIFS($A$7:$A$306,A75,$B$7:$B$306,C75)&lt;&gt;1)),"父版本引用无效",IF(AND(OR(D75="试行",D75="采用"),OR(G75="",NOT(ISNUMBER(I75)),NOT(ISNUMBER(J75)))),"待补采用与复核","有效输入")))))</x:f>
      </x:c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20"/>
      <x:c r="J76" s="20"/>
      <x:c r="K76" s="3"/>
      <x:c r="L76" s="3"/>
      <x:c r="M76" s="19" t="str">
        <x:f>IF(A76="","",IF(COUNTIFS($A$7:$A$306,A76,$B$7:$B$306,B76)&lt;&gt;1,"规则版本重复",IF(OR(B76="",D76="",E76="",F76="",K76="",L76=""),"待补规则信息",IF(AND(C76&lt;&gt;"",OR(C76=B76,COUNTIFS($A$7:$A$306,A76,$B$7:$B$306,C76)&lt;&gt;1)),"父版本引用无效",IF(AND(OR(D76="试行",D76="采用"),OR(G76="",NOT(ISNUMBER(I76)),NOT(ISNUMBER(J76)))),"待补采用与复核","有效输入")))))</x:f>
      </x:c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20"/>
      <x:c r="J77" s="20"/>
      <x:c r="K77" s="3"/>
      <x:c r="L77" s="3"/>
      <x:c r="M77" s="19" t="str">
        <x:f>IF(A77="","",IF(COUNTIFS($A$7:$A$306,A77,$B$7:$B$306,B77)&lt;&gt;1,"规则版本重复",IF(OR(B77="",D77="",E77="",F77="",K77="",L77=""),"待补规则信息",IF(AND(C77&lt;&gt;"",OR(C77=B77,COUNTIFS($A$7:$A$306,A77,$B$7:$B$306,C77)&lt;&gt;1)),"父版本引用无效",IF(AND(OR(D77="试行",D77="采用"),OR(G77="",NOT(ISNUMBER(I77)),NOT(ISNUMBER(J77)))),"待补采用与复核","有效输入")))))</x:f>
      </x:c>
    </x:row>
    <x:row r="78" ht="25" customHeight="1">
      <x:c r="A78" s="3"/>
      <x:c r="B78" s="3"/>
      <x:c r="C78" s="3"/>
      <x:c r="D78" s="3"/>
      <x:c r="E78" s="3"/>
      <x:c r="F78" s="3"/>
      <x:c r="G78" s="3"/>
      <x:c r="H78" s="3"/>
      <x:c r="I78" s="20"/>
      <x:c r="J78" s="20"/>
      <x:c r="K78" s="3"/>
      <x:c r="L78" s="3"/>
      <x:c r="M78" s="19" t="str">
        <x:f>IF(A78="","",IF(COUNTIFS($A$7:$A$306,A78,$B$7:$B$306,B78)&lt;&gt;1,"规则版本重复",IF(OR(B78="",D78="",E78="",F78="",K78="",L78=""),"待补规则信息",IF(AND(C78&lt;&gt;"",OR(C78=B78,COUNTIFS($A$7:$A$306,A78,$B$7:$B$306,C78)&lt;&gt;1)),"父版本引用无效",IF(AND(OR(D78="试行",D78="采用"),OR(G78="",NOT(ISNUMBER(I78)),NOT(ISNUMBER(J78)))),"待补采用与复核","有效输入")))))</x:f>
      </x:c>
    </x:row>
    <x:row r="79" ht="25" customHeight="1">
      <x:c r="A79" s="3"/>
      <x:c r="B79" s="3"/>
      <x:c r="C79" s="3"/>
      <x:c r="D79" s="3"/>
      <x:c r="E79" s="3"/>
      <x:c r="F79" s="3"/>
      <x:c r="G79" s="3"/>
      <x:c r="H79" s="3"/>
      <x:c r="I79" s="20"/>
      <x:c r="J79" s="20"/>
      <x:c r="K79" s="3"/>
      <x:c r="L79" s="3"/>
      <x:c r="M79" s="19" t="str">
        <x:f>IF(A79="","",IF(COUNTIFS($A$7:$A$306,A79,$B$7:$B$306,B79)&lt;&gt;1,"规则版本重复",IF(OR(B79="",D79="",E79="",F79="",K79="",L79=""),"待补规则信息",IF(AND(C79&lt;&gt;"",OR(C79=B79,COUNTIFS($A$7:$A$306,A79,$B$7:$B$306,C79)&lt;&gt;1)),"父版本引用无效",IF(AND(OR(D79="试行",D79="采用"),OR(G79="",NOT(ISNUMBER(I79)),NOT(ISNUMBER(J79)))),"待补采用与复核","有效输入")))))</x:f>
      </x:c>
    </x:row>
    <x:row r="80" ht="25" customHeight="1">
      <x:c r="A80" s="3"/>
      <x:c r="B80" s="3"/>
      <x:c r="C80" s="3"/>
      <x:c r="D80" s="3"/>
      <x:c r="E80" s="3"/>
      <x:c r="F80" s="3"/>
      <x:c r="G80" s="3"/>
      <x:c r="H80" s="3"/>
      <x:c r="I80" s="20"/>
      <x:c r="J80" s="20"/>
      <x:c r="K80" s="3"/>
      <x:c r="L80" s="3"/>
      <x:c r="M80" s="19" t="str">
        <x:f>IF(A80="","",IF(COUNTIFS($A$7:$A$306,A80,$B$7:$B$306,B80)&lt;&gt;1,"规则版本重复",IF(OR(B80="",D80="",E80="",F80="",K80="",L80=""),"待补规则信息",IF(AND(C80&lt;&gt;"",OR(C80=B80,COUNTIFS($A$7:$A$306,A80,$B$7:$B$306,C80)&lt;&gt;1)),"父版本引用无效",IF(AND(OR(D80="试行",D80="采用"),OR(G80="",NOT(ISNUMBER(I80)),NOT(ISNUMBER(J80)))),"待补采用与复核","有效输入")))))</x:f>
      </x:c>
    </x:row>
    <x:row r="81" ht="25" customHeight="1">
      <x:c r="A81" s="3"/>
      <x:c r="B81" s="3"/>
      <x:c r="C81" s="3"/>
      <x:c r="D81" s="3"/>
      <x:c r="E81" s="3"/>
      <x:c r="F81" s="3"/>
      <x:c r="G81" s="3"/>
      <x:c r="H81" s="3"/>
      <x:c r="I81" s="20"/>
      <x:c r="J81" s="20"/>
      <x:c r="K81" s="3"/>
      <x:c r="L81" s="3"/>
      <x:c r="M81" s="19" t="str">
        <x:f>IF(A81="","",IF(COUNTIFS($A$7:$A$306,A81,$B$7:$B$306,B81)&lt;&gt;1,"规则版本重复",IF(OR(B81="",D81="",E81="",F81="",K81="",L81=""),"待补规则信息",IF(AND(C81&lt;&gt;"",OR(C81=B81,COUNTIFS($A$7:$A$306,A81,$B$7:$B$306,C81)&lt;&gt;1)),"父版本引用无效",IF(AND(OR(D81="试行",D81="采用"),OR(G81="",NOT(ISNUMBER(I81)),NOT(ISNUMBER(J81)))),"待补采用与复核","有效输入")))))</x:f>
      </x:c>
    </x:row>
    <x:row r="82" ht="25" customHeight="1">
      <x:c r="A82" s="3"/>
      <x:c r="B82" s="3"/>
      <x:c r="C82" s="3"/>
      <x:c r="D82" s="3"/>
      <x:c r="E82" s="3"/>
      <x:c r="F82" s="3"/>
      <x:c r="G82" s="3"/>
      <x:c r="H82" s="3"/>
      <x:c r="I82" s="20"/>
      <x:c r="J82" s="20"/>
      <x:c r="K82" s="3"/>
      <x:c r="L82" s="3"/>
      <x:c r="M82" s="19" t="str">
        <x:f>IF(A82="","",IF(COUNTIFS($A$7:$A$306,A82,$B$7:$B$306,B82)&lt;&gt;1,"规则版本重复",IF(OR(B82="",D82="",E82="",F82="",K82="",L82=""),"待补规则信息",IF(AND(C82&lt;&gt;"",OR(C82=B82,COUNTIFS($A$7:$A$306,A82,$B$7:$B$306,C82)&lt;&gt;1)),"父版本引用无效",IF(AND(OR(D82="试行",D82="采用"),OR(G82="",NOT(ISNUMBER(I82)),NOT(ISNUMBER(J82)))),"待补采用与复核","有效输入")))))</x:f>
      </x:c>
    </x:row>
    <x:row r="83" ht="25" customHeight="1">
      <x:c r="A83" s="3"/>
      <x:c r="B83" s="3"/>
      <x:c r="C83" s="3"/>
      <x:c r="D83" s="3"/>
      <x:c r="E83" s="3"/>
      <x:c r="F83" s="3"/>
      <x:c r="G83" s="3"/>
      <x:c r="H83" s="3"/>
      <x:c r="I83" s="20"/>
      <x:c r="J83" s="20"/>
      <x:c r="K83" s="3"/>
      <x:c r="L83" s="3"/>
      <x:c r="M83" s="19" t="str">
        <x:f>IF(A83="","",IF(COUNTIFS($A$7:$A$306,A83,$B$7:$B$306,B83)&lt;&gt;1,"规则版本重复",IF(OR(B83="",D83="",E83="",F83="",K83="",L83=""),"待补规则信息",IF(AND(C83&lt;&gt;"",OR(C83=B83,COUNTIFS($A$7:$A$306,A83,$B$7:$B$306,C83)&lt;&gt;1)),"父版本引用无效",IF(AND(OR(D83="试行",D83="采用"),OR(G83="",NOT(ISNUMBER(I83)),NOT(ISNUMBER(J83)))),"待补采用与复核","有效输入")))))</x:f>
      </x:c>
    </x:row>
    <x:row r="84" ht="25" customHeight="1">
      <x:c r="A84" s="3"/>
      <x:c r="B84" s="3"/>
      <x:c r="C84" s="3"/>
      <x:c r="D84" s="3"/>
      <x:c r="E84" s="3"/>
      <x:c r="F84" s="3"/>
      <x:c r="G84" s="3"/>
      <x:c r="H84" s="3"/>
      <x:c r="I84" s="20"/>
      <x:c r="J84" s="20"/>
      <x:c r="K84" s="3"/>
      <x:c r="L84" s="3"/>
      <x:c r="M84" s="19" t="str">
        <x:f>IF(A84="","",IF(COUNTIFS($A$7:$A$306,A84,$B$7:$B$306,B84)&lt;&gt;1,"规则版本重复",IF(OR(B84="",D84="",E84="",F84="",K84="",L84=""),"待补规则信息",IF(AND(C84&lt;&gt;"",OR(C84=B84,COUNTIFS($A$7:$A$306,A84,$B$7:$B$306,C84)&lt;&gt;1)),"父版本引用无效",IF(AND(OR(D84="试行",D84="采用"),OR(G84="",NOT(ISNUMBER(I84)),NOT(ISNUMBER(J84)))),"待补采用与复核","有效输入")))))</x:f>
      </x:c>
    </x:row>
    <x:row r="85" ht="25" customHeight="1">
      <x:c r="A85" s="3"/>
      <x:c r="B85" s="3"/>
      <x:c r="C85" s="3"/>
      <x:c r="D85" s="3"/>
      <x:c r="E85" s="3"/>
      <x:c r="F85" s="3"/>
      <x:c r="G85" s="3"/>
      <x:c r="H85" s="3"/>
      <x:c r="I85" s="20"/>
      <x:c r="J85" s="20"/>
      <x:c r="K85" s="3"/>
      <x:c r="L85" s="3"/>
      <x:c r="M85" s="19" t="str">
        <x:f>IF(A85="","",IF(COUNTIFS($A$7:$A$306,A85,$B$7:$B$306,B85)&lt;&gt;1,"规则版本重复",IF(OR(B85="",D85="",E85="",F85="",K85="",L85=""),"待补规则信息",IF(AND(C85&lt;&gt;"",OR(C85=B85,COUNTIFS($A$7:$A$306,A85,$B$7:$B$306,C85)&lt;&gt;1)),"父版本引用无效",IF(AND(OR(D85="试行",D85="采用"),OR(G85="",NOT(ISNUMBER(I85)),NOT(ISNUMBER(J85)))),"待补采用与复核","有效输入")))))</x:f>
      </x:c>
    </x:row>
    <x:row r="86" ht="25" customHeight="1">
      <x:c r="A86" s="3"/>
      <x:c r="B86" s="3"/>
      <x:c r="C86" s="3"/>
      <x:c r="D86" s="3"/>
      <x:c r="E86" s="3"/>
      <x:c r="F86" s="3"/>
      <x:c r="G86" s="3"/>
      <x:c r="H86" s="3"/>
      <x:c r="I86" s="20"/>
      <x:c r="J86" s="20"/>
      <x:c r="K86" s="3"/>
      <x:c r="L86" s="3"/>
      <x:c r="M86" s="19" t="str">
        <x:f>IF(A86="","",IF(COUNTIFS($A$7:$A$306,A86,$B$7:$B$306,B86)&lt;&gt;1,"规则版本重复",IF(OR(B86="",D86="",E86="",F86="",K86="",L86=""),"待补规则信息",IF(AND(C86&lt;&gt;"",OR(C86=B86,COUNTIFS($A$7:$A$306,A86,$B$7:$B$306,C86)&lt;&gt;1)),"父版本引用无效",IF(AND(OR(D86="试行",D86="采用"),OR(G86="",NOT(ISNUMBER(I86)),NOT(ISNUMBER(J86)))),"待补采用与复核","有效输入")))))</x:f>
      </x:c>
    </x:row>
    <x:row r="87" ht="25" customHeight="1">
      <x:c r="A87" s="3"/>
      <x:c r="B87" s="3"/>
      <x:c r="C87" s="3"/>
      <x:c r="D87" s="3"/>
      <x:c r="E87" s="3"/>
      <x:c r="F87" s="3"/>
      <x:c r="G87" s="3"/>
      <x:c r="H87" s="3"/>
      <x:c r="I87" s="20"/>
      <x:c r="J87" s="20"/>
      <x:c r="K87" s="3"/>
      <x:c r="L87" s="3"/>
      <x:c r="M87" s="19" t="str">
        <x:f>IF(A87="","",IF(COUNTIFS($A$7:$A$306,A87,$B$7:$B$306,B87)&lt;&gt;1,"规则版本重复",IF(OR(B87="",D87="",E87="",F87="",K87="",L87=""),"待补规则信息",IF(AND(C87&lt;&gt;"",OR(C87=B87,COUNTIFS($A$7:$A$306,A87,$B$7:$B$306,C87)&lt;&gt;1)),"父版本引用无效",IF(AND(OR(D87="试行",D87="采用"),OR(G87="",NOT(ISNUMBER(I87)),NOT(ISNUMBER(J87)))),"待补采用与复核","有效输入")))))</x:f>
      </x:c>
    </x:row>
    <x:row r="88" ht="25" customHeight="1">
      <x:c r="A88" s="3"/>
      <x:c r="B88" s="3"/>
      <x:c r="C88" s="3"/>
      <x:c r="D88" s="3"/>
      <x:c r="E88" s="3"/>
      <x:c r="F88" s="3"/>
      <x:c r="G88" s="3"/>
      <x:c r="H88" s="3"/>
      <x:c r="I88" s="20"/>
      <x:c r="J88" s="20"/>
      <x:c r="K88" s="3"/>
      <x:c r="L88" s="3"/>
      <x:c r="M88" s="19" t="str">
        <x:f>IF(A88="","",IF(COUNTIFS($A$7:$A$306,A88,$B$7:$B$306,B88)&lt;&gt;1,"规则版本重复",IF(OR(B88="",D88="",E88="",F88="",K88="",L88=""),"待补规则信息",IF(AND(C88&lt;&gt;"",OR(C88=B88,COUNTIFS($A$7:$A$306,A88,$B$7:$B$306,C88)&lt;&gt;1)),"父版本引用无效",IF(AND(OR(D88="试行",D88="采用"),OR(G88="",NOT(ISNUMBER(I88)),NOT(ISNUMBER(J88)))),"待补采用与复核","有效输入")))))</x:f>
      </x:c>
    </x:row>
    <x:row r="89" ht="25" customHeight="1">
      <x:c r="A89" s="3"/>
      <x:c r="B89" s="3"/>
      <x:c r="C89" s="3"/>
      <x:c r="D89" s="3"/>
      <x:c r="E89" s="3"/>
      <x:c r="F89" s="3"/>
      <x:c r="G89" s="3"/>
      <x:c r="H89" s="3"/>
      <x:c r="I89" s="20"/>
      <x:c r="J89" s="20"/>
      <x:c r="K89" s="3"/>
      <x:c r="L89" s="3"/>
      <x:c r="M89" s="19" t="str">
        <x:f>IF(A89="","",IF(COUNTIFS($A$7:$A$306,A89,$B$7:$B$306,B89)&lt;&gt;1,"规则版本重复",IF(OR(B89="",D89="",E89="",F89="",K89="",L89=""),"待补规则信息",IF(AND(C89&lt;&gt;"",OR(C89=B89,COUNTIFS($A$7:$A$306,A89,$B$7:$B$306,C89)&lt;&gt;1)),"父版本引用无效",IF(AND(OR(D89="试行",D89="采用"),OR(G89="",NOT(ISNUMBER(I89)),NOT(ISNUMBER(J89)))),"待补采用与复核","有效输入")))))</x:f>
      </x:c>
    </x:row>
    <x:row r="90" ht="25" customHeight="1">
      <x:c r="A90" s="3"/>
      <x:c r="B90" s="3"/>
      <x:c r="C90" s="3"/>
      <x:c r="D90" s="3"/>
      <x:c r="E90" s="3"/>
      <x:c r="F90" s="3"/>
      <x:c r="G90" s="3"/>
      <x:c r="H90" s="3"/>
      <x:c r="I90" s="20"/>
      <x:c r="J90" s="20"/>
      <x:c r="K90" s="3"/>
      <x:c r="L90" s="3"/>
      <x:c r="M90" s="19" t="str">
        <x:f>IF(A90="","",IF(COUNTIFS($A$7:$A$306,A90,$B$7:$B$306,B90)&lt;&gt;1,"规则版本重复",IF(OR(B90="",D90="",E90="",F90="",K90="",L90=""),"待补规则信息",IF(AND(C90&lt;&gt;"",OR(C90=B90,COUNTIFS($A$7:$A$306,A90,$B$7:$B$306,C90)&lt;&gt;1)),"父版本引用无效",IF(AND(OR(D90="试行",D90="采用"),OR(G90="",NOT(ISNUMBER(I90)),NOT(ISNUMBER(J90)))),"待补采用与复核","有效输入")))))</x:f>
      </x:c>
    </x:row>
    <x:row r="91" ht="25" customHeight="1">
      <x:c r="A91" s="3"/>
      <x:c r="B91" s="3"/>
      <x:c r="C91" s="3"/>
      <x:c r="D91" s="3"/>
      <x:c r="E91" s="3"/>
      <x:c r="F91" s="3"/>
      <x:c r="G91" s="3"/>
      <x:c r="H91" s="3"/>
      <x:c r="I91" s="20"/>
      <x:c r="J91" s="20"/>
      <x:c r="K91" s="3"/>
      <x:c r="L91" s="3"/>
      <x:c r="M91" s="19" t="str">
        <x:f>IF(A91="","",IF(COUNTIFS($A$7:$A$306,A91,$B$7:$B$306,B91)&lt;&gt;1,"规则版本重复",IF(OR(B91="",D91="",E91="",F91="",K91="",L91=""),"待补规则信息",IF(AND(C91&lt;&gt;"",OR(C91=B91,COUNTIFS($A$7:$A$306,A91,$B$7:$B$306,C91)&lt;&gt;1)),"父版本引用无效",IF(AND(OR(D91="试行",D91="采用"),OR(G91="",NOT(ISNUMBER(I91)),NOT(ISNUMBER(J91)))),"待补采用与复核","有效输入")))))</x:f>
      </x:c>
    </x:row>
    <x:row r="92" ht="25" customHeight="1">
      <x:c r="A92" s="3"/>
      <x:c r="B92" s="3"/>
      <x:c r="C92" s="3"/>
      <x:c r="D92" s="3"/>
      <x:c r="E92" s="3"/>
      <x:c r="F92" s="3"/>
      <x:c r="G92" s="3"/>
      <x:c r="H92" s="3"/>
      <x:c r="I92" s="20"/>
      <x:c r="J92" s="20"/>
      <x:c r="K92" s="3"/>
      <x:c r="L92" s="3"/>
      <x:c r="M92" s="19" t="str">
        <x:f>IF(A92="","",IF(COUNTIFS($A$7:$A$306,A92,$B$7:$B$306,B92)&lt;&gt;1,"规则版本重复",IF(OR(B92="",D92="",E92="",F92="",K92="",L92=""),"待补规则信息",IF(AND(C92&lt;&gt;"",OR(C92=B92,COUNTIFS($A$7:$A$306,A92,$B$7:$B$306,C92)&lt;&gt;1)),"父版本引用无效",IF(AND(OR(D92="试行",D92="采用"),OR(G92="",NOT(ISNUMBER(I92)),NOT(ISNUMBER(J92)))),"待补采用与复核","有效输入")))))</x:f>
      </x:c>
    </x:row>
    <x:row r="93" ht="25" customHeight="1">
      <x:c r="A93" s="3"/>
      <x:c r="B93" s="3"/>
      <x:c r="C93" s="3"/>
      <x:c r="D93" s="3"/>
      <x:c r="E93" s="3"/>
      <x:c r="F93" s="3"/>
      <x:c r="G93" s="3"/>
      <x:c r="H93" s="3"/>
      <x:c r="I93" s="20"/>
      <x:c r="J93" s="20"/>
      <x:c r="K93" s="3"/>
      <x:c r="L93" s="3"/>
      <x:c r="M93" s="19" t="str">
        <x:f>IF(A93="","",IF(COUNTIFS($A$7:$A$306,A93,$B$7:$B$306,B93)&lt;&gt;1,"规则版本重复",IF(OR(B93="",D93="",E93="",F93="",K93="",L93=""),"待补规则信息",IF(AND(C93&lt;&gt;"",OR(C93=B93,COUNTIFS($A$7:$A$306,A93,$B$7:$B$306,C93)&lt;&gt;1)),"父版本引用无效",IF(AND(OR(D93="试行",D93="采用"),OR(G93="",NOT(ISNUMBER(I93)),NOT(ISNUMBER(J93)))),"待补采用与复核","有效输入")))))</x:f>
      </x:c>
    </x:row>
    <x:row r="94" ht="25" customHeight="1">
      <x:c r="A94" s="3"/>
      <x:c r="B94" s="3"/>
      <x:c r="C94" s="3"/>
      <x:c r="D94" s="3"/>
      <x:c r="E94" s="3"/>
      <x:c r="F94" s="3"/>
      <x:c r="G94" s="3"/>
      <x:c r="H94" s="3"/>
      <x:c r="I94" s="20"/>
      <x:c r="J94" s="20"/>
      <x:c r="K94" s="3"/>
      <x:c r="L94" s="3"/>
      <x:c r="M94" s="19" t="str">
        <x:f>IF(A94="","",IF(COUNTIFS($A$7:$A$306,A94,$B$7:$B$306,B94)&lt;&gt;1,"规则版本重复",IF(OR(B94="",D94="",E94="",F94="",K94="",L94=""),"待补规则信息",IF(AND(C94&lt;&gt;"",OR(C94=B94,COUNTIFS($A$7:$A$306,A94,$B$7:$B$306,C94)&lt;&gt;1)),"父版本引用无效",IF(AND(OR(D94="试行",D94="采用"),OR(G94="",NOT(ISNUMBER(I94)),NOT(ISNUMBER(J94)))),"待补采用与复核","有效输入")))))</x:f>
      </x:c>
    </x:row>
    <x:row r="95" ht="25" customHeight="1">
      <x:c r="A95" s="3"/>
      <x:c r="B95" s="3"/>
      <x:c r="C95" s="3"/>
      <x:c r="D95" s="3"/>
      <x:c r="E95" s="3"/>
      <x:c r="F95" s="3"/>
      <x:c r="G95" s="3"/>
      <x:c r="H95" s="3"/>
      <x:c r="I95" s="20"/>
      <x:c r="J95" s="20"/>
      <x:c r="K95" s="3"/>
      <x:c r="L95" s="3"/>
      <x:c r="M95" s="19" t="str">
        <x:f>IF(A95="","",IF(COUNTIFS($A$7:$A$306,A95,$B$7:$B$306,B95)&lt;&gt;1,"规则版本重复",IF(OR(B95="",D95="",E95="",F95="",K95="",L95=""),"待补规则信息",IF(AND(C95&lt;&gt;"",OR(C95=B95,COUNTIFS($A$7:$A$306,A95,$B$7:$B$306,C95)&lt;&gt;1)),"父版本引用无效",IF(AND(OR(D95="试行",D95="采用"),OR(G95="",NOT(ISNUMBER(I95)),NOT(ISNUMBER(J95)))),"待补采用与复核","有效输入")))))</x:f>
      </x:c>
    </x:row>
    <x:row r="96" ht="25" customHeight="1">
      <x:c r="A96" s="3"/>
      <x:c r="B96" s="3"/>
      <x:c r="C96" s="3"/>
      <x:c r="D96" s="3"/>
      <x:c r="E96" s="3"/>
      <x:c r="F96" s="3"/>
      <x:c r="G96" s="3"/>
      <x:c r="H96" s="3"/>
      <x:c r="I96" s="20"/>
      <x:c r="J96" s="20"/>
      <x:c r="K96" s="3"/>
      <x:c r="L96" s="3"/>
      <x:c r="M96" s="19" t="str">
        <x:f>IF(A96="","",IF(COUNTIFS($A$7:$A$306,A96,$B$7:$B$306,B96)&lt;&gt;1,"规则版本重复",IF(OR(B96="",D96="",E96="",F96="",K96="",L96=""),"待补规则信息",IF(AND(C96&lt;&gt;"",OR(C96=B96,COUNTIFS($A$7:$A$306,A96,$B$7:$B$306,C96)&lt;&gt;1)),"父版本引用无效",IF(AND(OR(D96="试行",D96="采用"),OR(G96="",NOT(ISNUMBER(I96)),NOT(ISNUMBER(J96)))),"待补采用与复核","有效输入")))))</x:f>
      </x:c>
    </x:row>
    <x:row r="97" ht="25" customHeight="1">
      <x:c r="A97" s="3"/>
      <x:c r="B97" s="3"/>
      <x:c r="C97" s="3"/>
      <x:c r="D97" s="3"/>
      <x:c r="E97" s="3"/>
      <x:c r="F97" s="3"/>
      <x:c r="G97" s="3"/>
      <x:c r="H97" s="3"/>
      <x:c r="I97" s="20"/>
      <x:c r="J97" s="20"/>
      <x:c r="K97" s="3"/>
      <x:c r="L97" s="3"/>
      <x:c r="M97" s="19" t="str">
        <x:f>IF(A97="","",IF(COUNTIFS($A$7:$A$306,A97,$B$7:$B$306,B97)&lt;&gt;1,"规则版本重复",IF(OR(B97="",D97="",E97="",F97="",K97="",L97=""),"待补规则信息",IF(AND(C97&lt;&gt;"",OR(C97=B97,COUNTIFS($A$7:$A$306,A97,$B$7:$B$306,C97)&lt;&gt;1)),"父版本引用无效",IF(AND(OR(D97="试行",D97="采用"),OR(G97="",NOT(ISNUMBER(I97)),NOT(ISNUMBER(J97)))),"待补采用与复核","有效输入")))))</x:f>
      </x:c>
    </x:row>
    <x:row r="98" ht="25" customHeight="1">
      <x:c r="A98" s="3"/>
      <x:c r="B98" s="3"/>
      <x:c r="C98" s="3"/>
      <x:c r="D98" s="3"/>
      <x:c r="E98" s="3"/>
      <x:c r="F98" s="3"/>
      <x:c r="G98" s="3"/>
      <x:c r="H98" s="3"/>
      <x:c r="I98" s="20"/>
      <x:c r="J98" s="20"/>
      <x:c r="K98" s="3"/>
      <x:c r="L98" s="3"/>
      <x:c r="M98" s="19" t="str">
        <x:f>IF(A98="","",IF(COUNTIFS($A$7:$A$306,A98,$B$7:$B$306,B98)&lt;&gt;1,"规则版本重复",IF(OR(B98="",D98="",E98="",F98="",K98="",L98=""),"待补规则信息",IF(AND(C98&lt;&gt;"",OR(C98=B98,COUNTIFS($A$7:$A$306,A98,$B$7:$B$306,C98)&lt;&gt;1)),"父版本引用无效",IF(AND(OR(D98="试行",D98="采用"),OR(G98="",NOT(ISNUMBER(I98)),NOT(ISNUMBER(J98)))),"待补采用与复核","有效输入")))))</x:f>
      </x:c>
    </x:row>
    <x:row r="99" ht="25" customHeight="1">
      <x:c r="A99" s="3"/>
      <x:c r="B99" s="3"/>
      <x:c r="C99" s="3"/>
      <x:c r="D99" s="3"/>
      <x:c r="E99" s="3"/>
      <x:c r="F99" s="3"/>
      <x:c r="G99" s="3"/>
      <x:c r="H99" s="3"/>
      <x:c r="I99" s="20"/>
      <x:c r="J99" s="20"/>
      <x:c r="K99" s="3"/>
      <x:c r="L99" s="3"/>
      <x:c r="M99" s="19" t="str">
        <x:f>IF(A99="","",IF(COUNTIFS($A$7:$A$306,A99,$B$7:$B$306,B99)&lt;&gt;1,"规则版本重复",IF(OR(B99="",D99="",E99="",F99="",K99="",L99=""),"待补规则信息",IF(AND(C99&lt;&gt;"",OR(C99=B99,COUNTIFS($A$7:$A$306,A99,$B$7:$B$306,C99)&lt;&gt;1)),"父版本引用无效",IF(AND(OR(D99="试行",D99="采用"),OR(G99="",NOT(ISNUMBER(I99)),NOT(ISNUMBER(J99)))),"待补采用与复核","有效输入")))))</x:f>
      </x:c>
    </x:row>
    <x:row r="100" ht="25" customHeight="1">
      <x:c r="A100" s="3"/>
      <x:c r="B100" s="3"/>
      <x:c r="C100" s="3"/>
      <x:c r="D100" s="3"/>
      <x:c r="E100" s="3"/>
      <x:c r="F100" s="3"/>
      <x:c r="G100" s="3"/>
      <x:c r="H100" s="3"/>
      <x:c r="I100" s="20"/>
      <x:c r="J100" s="20"/>
      <x:c r="K100" s="3"/>
      <x:c r="L100" s="3"/>
      <x:c r="M100" s="19" t="str">
        <x:f>IF(A100="","",IF(COUNTIFS($A$7:$A$306,A100,$B$7:$B$306,B100)&lt;&gt;1,"规则版本重复",IF(OR(B100="",D100="",E100="",F100="",K100="",L100=""),"待补规则信息",IF(AND(C100&lt;&gt;"",OR(C100=B100,COUNTIFS($A$7:$A$306,A100,$B$7:$B$306,C100)&lt;&gt;1)),"父版本引用无效",IF(AND(OR(D100="试行",D100="采用"),OR(G100="",NOT(ISNUMBER(I100)),NOT(ISNUMBER(J100)))),"待补采用与复核","有效输入")))))</x:f>
      </x:c>
    </x:row>
    <x:row r="101" ht="25" customHeight="1">
      <x:c r="A101" s="3"/>
      <x:c r="B101" s="3"/>
      <x:c r="C101" s="3"/>
      <x:c r="D101" s="3"/>
      <x:c r="E101" s="3"/>
      <x:c r="F101" s="3"/>
      <x:c r="G101" s="3"/>
      <x:c r="H101" s="3"/>
      <x:c r="I101" s="20"/>
      <x:c r="J101" s="20"/>
      <x:c r="K101" s="3"/>
      <x:c r="L101" s="3"/>
      <x:c r="M101" s="19" t="str">
        <x:f>IF(A101="","",IF(COUNTIFS($A$7:$A$306,A101,$B$7:$B$306,B101)&lt;&gt;1,"规则版本重复",IF(OR(B101="",D101="",E101="",F101="",K101="",L101=""),"待补规则信息",IF(AND(C101&lt;&gt;"",OR(C101=B101,COUNTIFS($A$7:$A$306,A101,$B$7:$B$306,C101)&lt;&gt;1)),"父版本引用无效",IF(AND(OR(D101="试行",D101="采用"),OR(G101="",NOT(ISNUMBER(I101)),NOT(ISNUMBER(J101)))),"待补采用与复核","有效输入")))))</x:f>
      </x:c>
    </x:row>
    <x:row r="102" ht="25" customHeight="1">
      <x:c r="A102" s="3"/>
      <x:c r="B102" s="3"/>
      <x:c r="C102" s="3"/>
      <x:c r="D102" s="3"/>
      <x:c r="E102" s="3"/>
      <x:c r="F102" s="3"/>
      <x:c r="G102" s="3"/>
      <x:c r="H102" s="3"/>
      <x:c r="I102" s="20"/>
      <x:c r="J102" s="20"/>
      <x:c r="K102" s="3"/>
      <x:c r="L102" s="3"/>
      <x:c r="M102" s="19" t="str">
        <x:f>IF(A102="","",IF(COUNTIFS($A$7:$A$306,A102,$B$7:$B$306,B102)&lt;&gt;1,"规则版本重复",IF(OR(B102="",D102="",E102="",F102="",K102="",L102=""),"待补规则信息",IF(AND(C102&lt;&gt;"",OR(C102=B102,COUNTIFS($A$7:$A$306,A102,$B$7:$B$306,C102)&lt;&gt;1)),"父版本引用无效",IF(AND(OR(D102="试行",D102="采用"),OR(G102="",NOT(ISNUMBER(I102)),NOT(ISNUMBER(J102)))),"待补采用与复核","有效输入")))))</x:f>
      </x:c>
    </x:row>
    <x:row r="103" ht="25" customHeight="1">
      <x:c r="A103" s="3"/>
      <x:c r="B103" s="3"/>
      <x:c r="C103" s="3"/>
      <x:c r="D103" s="3"/>
      <x:c r="E103" s="3"/>
      <x:c r="F103" s="3"/>
      <x:c r="G103" s="3"/>
      <x:c r="H103" s="3"/>
      <x:c r="I103" s="20"/>
      <x:c r="J103" s="20"/>
      <x:c r="K103" s="3"/>
      <x:c r="L103" s="3"/>
      <x:c r="M103" s="19" t="str">
        <x:f>IF(A103="","",IF(COUNTIFS($A$7:$A$306,A103,$B$7:$B$306,B103)&lt;&gt;1,"规则版本重复",IF(OR(B103="",D103="",E103="",F103="",K103="",L103=""),"待补规则信息",IF(AND(C103&lt;&gt;"",OR(C103=B103,COUNTIFS($A$7:$A$306,A103,$B$7:$B$306,C103)&lt;&gt;1)),"父版本引用无效",IF(AND(OR(D103="试行",D103="采用"),OR(G103="",NOT(ISNUMBER(I103)),NOT(ISNUMBER(J103)))),"待补采用与复核","有效输入")))))</x:f>
      </x:c>
    </x:row>
    <x:row r="104" ht="25" customHeight="1">
      <x:c r="A104" s="3"/>
      <x:c r="B104" s="3"/>
      <x:c r="C104" s="3"/>
      <x:c r="D104" s="3"/>
      <x:c r="E104" s="3"/>
      <x:c r="F104" s="3"/>
      <x:c r="G104" s="3"/>
      <x:c r="H104" s="3"/>
      <x:c r="I104" s="20"/>
      <x:c r="J104" s="20"/>
      <x:c r="K104" s="3"/>
      <x:c r="L104" s="3"/>
      <x:c r="M104" s="19" t="str">
        <x:f>IF(A104="","",IF(COUNTIFS($A$7:$A$306,A104,$B$7:$B$306,B104)&lt;&gt;1,"规则版本重复",IF(OR(B104="",D104="",E104="",F104="",K104="",L104=""),"待补规则信息",IF(AND(C104&lt;&gt;"",OR(C104=B104,COUNTIFS($A$7:$A$306,A104,$B$7:$B$306,C104)&lt;&gt;1)),"父版本引用无效",IF(AND(OR(D104="试行",D104="采用"),OR(G104="",NOT(ISNUMBER(I104)),NOT(ISNUMBER(J104)))),"待补采用与复核","有效输入")))))</x:f>
      </x:c>
    </x:row>
    <x:row r="105" ht="25" customHeight="1">
      <x:c r="A105" s="3"/>
      <x:c r="B105" s="3"/>
      <x:c r="C105" s="3"/>
      <x:c r="D105" s="3"/>
      <x:c r="E105" s="3"/>
      <x:c r="F105" s="3"/>
      <x:c r="G105" s="3"/>
      <x:c r="H105" s="3"/>
      <x:c r="I105" s="20"/>
      <x:c r="J105" s="20"/>
      <x:c r="K105" s="3"/>
      <x:c r="L105" s="3"/>
      <x:c r="M105" s="19" t="str">
        <x:f>IF(A105="","",IF(COUNTIFS($A$7:$A$306,A105,$B$7:$B$306,B105)&lt;&gt;1,"规则版本重复",IF(OR(B105="",D105="",E105="",F105="",K105="",L105=""),"待补规则信息",IF(AND(C105&lt;&gt;"",OR(C105=B105,COUNTIFS($A$7:$A$306,A105,$B$7:$B$306,C105)&lt;&gt;1)),"父版本引用无效",IF(AND(OR(D105="试行",D105="采用"),OR(G105="",NOT(ISNUMBER(I105)),NOT(ISNUMBER(J105)))),"待补采用与复核","有效输入")))))</x:f>
      </x:c>
    </x:row>
    <x:row r="106" ht="25" customHeight="1">
      <x:c r="A106" s="3"/>
      <x:c r="B106" s="3"/>
      <x:c r="C106" s="3"/>
      <x:c r="D106" s="3"/>
      <x:c r="E106" s="3"/>
      <x:c r="F106" s="3"/>
      <x:c r="G106" s="3"/>
      <x:c r="H106" s="3"/>
      <x:c r="I106" s="20"/>
      <x:c r="J106" s="20"/>
      <x:c r="K106" s="3"/>
      <x:c r="L106" s="3"/>
      <x:c r="M106" s="19" t="str">
        <x:f>IF(A106="","",IF(COUNTIFS($A$7:$A$306,A106,$B$7:$B$306,B106)&lt;&gt;1,"规则版本重复",IF(OR(B106="",D106="",E106="",F106="",K106="",L106=""),"待补规则信息",IF(AND(C106&lt;&gt;"",OR(C106=B106,COUNTIFS($A$7:$A$306,A106,$B$7:$B$306,C106)&lt;&gt;1)),"父版本引用无效",IF(AND(OR(D106="试行",D106="采用"),OR(G106="",NOT(ISNUMBER(I106)),NOT(ISNUMBER(J106)))),"待补采用与复核","有效输入")))))</x:f>
      </x:c>
    </x:row>
    <x:row r="107" ht="25" customHeight="1">
      <x:c r="A107" s="3"/>
      <x:c r="B107" s="3"/>
      <x:c r="C107" s="3"/>
      <x:c r="D107" s="3"/>
      <x:c r="E107" s="3"/>
      <x:c r="F107" s="3"/>
      <x:c r="G107" s="3"/>
      <x:c r="H107" s="3"/>
      <x:c r="I107" s="20"/>
      <x:c r="J107" s="20"/>
      <x:c r="K107" s="3"/>
      <x:c r="L107" s="3"/>
      <x:c r="M107" s="19" t="str">
        <x:f>IF(A107="","",IF(COUNTIFS($A$7:$A$306,A107,$B$7:$B$306,B107)&lt;&gt;1,"规则版本重复",IF(OR(B107="",D107="",E107="",F107="",K107="",L107=""),"待补规则信息",IF(AND(C107&lt;&gt;"",OR(C107=B107,COUNTIFS($A$7:$A$306,A107,$B$7:$B$306,C107)&lt;&gt;1)),"父版本引用无效",IF(AND(OR(D107="试行",D107="采用"),OR(G107="",NOT(ISNUMBER(I107)),NOT(ISNUMBER(J107)))),"待补采用与复核","有效输入")))))</x:f>
      </x:c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  <x:c r="I108" s="20"/>
      <x:c r="J108" s="20"/>
      <x:c r="K108" s="3"/>
      <x:c r="L108" s="3"/>
      <x:c r="M108" s="19" t="str">
        <x:f>IF(A108="","",IF(COUNTIFS($A$7:$A$306,A108,$B$7:$B$306,B108)&lt;&gt;1,"规则版本重复",IF(OR(B108="",D108="",E108="",F108="",K108="",L108=""),"待补规则信息",IF(AND(C108&lt;&gt;"",OR(C108=B108,COUNTIFS($A$7:$A$306,A108,$B$7:$B$306,C108)&lt;&gt;1)),"父版本引用无效",IF(AND(OR(D108="试行",D108="采用"),OR(G108="",NOT(ISNUMBER(I108)),NOT(ISNUMBER(J108)))),"待补采用与复核","有效输入")))))</x:f>
      </x:c>
    </x:row>
    <x:row r="109" ht="25" customHeight="1">
      <x:c r="A109" s="3"/>
      <x:c r="B109" s="3"/>
      <x:c r="C109" s="3"/>
      <x:c r="D109" s="3"/>
      <x:c r="E109" s="3"/>
      <x:c r="F109" s="3"/>
      <x:c r="G109" s="3"/>
      <x:c r="H109" s="3"/>
      <x:c r="I109" s="20"/>
      <x:c r="J109" s="20"/>
      <x:c r="K109" s="3"/>
      <x:c r="L109" s="3"/>
      <x:c r="M109" s="19" t="str">
        <x:f>IF(A109="","",IF(COUNTIFS($A$7:$A$306,A109,$B$7:$B$306,B109)&lt;&gt;1,"规则版本重复",IF(OR(B109="",D109="",E109="",F109="",K109="",L109=""),"待补规则信息",IF(AND(C109&lt;&gt;"",OR(C109=B109,COUNTIFS($A$7:$A$306,A109,$B$7:$B$306,C109)&lt;&gt;1)),"父版本引用无效",IF(AND(OR(D109="试行",D109="采用"),OR(G109="",NOT(ISNUMBER(I109)),NOT(ISNUMBER(J109)))),"待补采用与复核","有效输入")))))</x:f>
      </x:c>
    </x:row>
    <x:row r="110" ht="25" customHeight="1">
      <x:c r="A110" s="3"/>
      <x:c r="B110" s="3"/>
      <x:c r="C110" s="3"/>
      <x:c r="D110" s="3"/>
      <x:c r="E110" s="3"/>
      <x:c r="F110" s="3"/>
      <x:c r="G110" s="3"/>
      <x:c r="H110" s="3"/>
      <x:c r="I110" s="20"/>
      <x:c r="J110" s="20"/>
      <x:c r="K110" s="3"/>
      <x:c r="L110" s="3"/>
      <x:c r="M110" s="19" t="str">
        <x:f>IF(A110="","",IF(COUNTIFS($A$7:$A$306,A110,$B$7:$B$306,B110)&lt;&gt;1,"规则版本重复",IF(OR(B110="",D110="",E110="",F110="",K110="",L110=""),"待补规则信息",IF(AND(C110&lt;&gt;"",OR(C110=B110,COUNTIFS($A$7:$A$306,A110,$B$7:$B$306,C110)&lt;&gt;1)),"父版本引用无效",IF(AND(OR(D110="试行",D110="采用"),OR(G110="",NOT(ISNUMBER(I110)),NOT(ISNUMBER(J110)))),"待补采用与复核","有效输入")))))</x:f>
      </x:c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  <x:c r="I111" s="20"/>
      <x:c r="J111" s="20"/>
      <x:c r="K111" s="3"/>
      <x:c r="L111" s="3"/>
      <x:c r="M111" s="19" t="str">
        <x:f>IF(A111="","",IF(COUNTIFS($A$7:$A$306,A111,$B$7:$B$306,B111)&lt;&gt;1,"规则版本重复",IF(OR(B111="",D111="",E111="",F111="",K111="",L111=""),"待补规则信息",IF(AND(C111&lt;&gt;"",OR(C111=B111,COUNTIFS($A$7:$A$306,A111,$B$7:$B$306,C111)&lt;&gt;1)),"父版本引用无效",IF(AND(OR(D111="试行",D111="采用"),OR(G111="",NOT(ISNUMBER(I111)),NOT(ISNUMBER(J111)))),"待补采用与复核","有效输入")))))</x:f>
      </x:c>
    </x:row>
    <x:row r="112" ht="25" customHeight="1">
      <x:c r="A112" s="3"/>
      <x:c r="B112" s="3"/>
      <x:c r="C112" s="3"/>
      <x:c r="D112" s="3"/>
      <x:c r="E112" s="3"/>
      <x:c r="F112" s="3"/>
      <x:c r="G112" s="3"/>
      <x:c r="H112" s="3"/>
      <x:c r="I112" s="20"/>
      <x:c r="J112" s="20"/>
      <x:c r="K112" s="3"/>
      <x:c r="L112" s="3"/>
      <x:c r="M112" s="19" t="str">
        <x:f>IF(A112="","",IF(COUNTIFS($A$7:$A$306,A112,$B$7:$B$306,B112)&lt;&gt;1,"规则版本重复",IF(OR(B112="",D112="",E112="",F112="",K112="",L112=""),"待补规则信息",IF(AND(C112&lt;&gt;"",OR(C112=B112,COUNTIFS($A$7:$A$306,A112,$B$7:$B$306,C112)&lt;&gt;1)),"父版本引用无效",IF(AND(OR(D112="试行",D112="采用"),OR(G112="",NOT(ISNUMBER(I112)),NOT(ISNUMBER(J112)))),"待补采用与复核","有效输入")))))</x:f>
      </x:c>
    </x:row>
    <x:row r="113" ht="25" customHeight="1">
      <x:c r="A113" s="3"/>
      <x:c r="B113" s="3"/>
      <x:c r="C113" s="3"/>
      <x:c r="D113" s="3"/>
      <x:c r="E113" s="3"/>
      <x:c r="F113" s="3"/>
      <x:c r="G113" s="3"/>
      <x:c r="H113" s="3"/>
      <x:c r="I113" s="20"/>
      <x:c r="J113" s="20"/>
      <x:c r="K113" s="3"/>
      <x:c r="L113" s="3"/>
      <x:c r="M113" s="19" t="str">
        <x:f>IF(A113="","",IF(COUNTIFS($A$7:$A$306,A113,$B$7:$B$306,B113)&lt;&gt;1,"规则版本重复",IF(OR(B113="",D113="",E113="",F113="",K113="",L113=""),"待补规则信息",IF(AND(C113&lt;&gt;"",OR(C113=B113,COUNTIFS($A$7:$A$306,A113,$B$7:$B$306,C113)&lt;&gt;1)),"父版本引用无效",IF(AND(OR(D113="试行",D113="采用"),OR(G113="",NOT(ISNUMBER(I113)),NOT(ISNUMBER(J113)))),"待补采用与复核","有效输入")))))</x:f>
      </x:c>
    </x:row>
    <x:row r="114" ht="25" customHeight="1">
      <x:c r="A114" s="3"/>
      <x:c r="B114" s="3"/>
      <x:c r="C114" s="3"/>
      <x:c r="D114" s="3"/>
      <x:c r="E114" s="3"/>
      <x:c r="F114" s="3"/>
      <x:c r="G114" s="3"/>
      <x:c r="H114" s="3"/>
      <x:c r="I114" s="20"/>
      <x:c r="J114" s="20"/>
      <x:c r="K114" s="3"/>
      <x:c r="L114" s="3"/>
      <x:c r="M114" s="19" t="str">
        <x:f>IF(A114="","",IF(COUNTIFS($A$7:$A$306,A114,$B$7:$B$306,B114)&lt;&gt;1,"规则版本重复",IF(OR(B114="",D114="",E114="",F114="",K114="",L114=""),"待补规则信息",IF(AND(C114&lt;&gt;"",OR(C114=B114,COUNTIFS($A$7:$A$306,A114,$B$7:$B$306,C114)&lt;&gt;1)),"父版本引用无效",IF(AND(OR(D114="试行",D114="采用"),OR(G114="",NOT(ISNUMBER(I114)),NOT(ISNUMBER(J114)))),"待补采用与复核","有效输入")))))</x:f>
      </x:c>
    </x:row>
    <x:row r="115" ht="25" customHeight="1">
      <x:c r="A115" s="3"/>
      <x:c r="B115" s="3"/>
      <x:c r="C115" s="3"/>
      <x:c r="D115" s="3"/>
      <x:c r="E115" s="3"/>
      <x:c r="F115" s="3"/>
      <x:c r="G115" s="3"/>
      <x:c r="H115" s="3"/>
      <x:c r="I115" s="20"/>
      <x:c r="J115" s="20"/>
      <x:c r="K115" s="3"/>
      <x:c r="L115" s="3"/>
      <x:c r="M115" s="19" t="str">
        <x:f>IF(A115="","",IF(COUNTIFS($A$7:$A$306,A115,$B$7:$B$306,B115)&lt;&gt;1,"规则版本重复",IF(OR(B115="",D115="",E115="",F115="",K115="",L115=""),"待补规则信息",IF(AND(C115&lt;&gt;"",OR(C115=B115,COUNTIFS($A$7:$A$306,A115,$B$7:$B$306,C115)&lt;&gt;1)),"父版本引用无效",IF(AND(OR(D115="试行",D115="采用"),OR(G115="",NOT(ISNUMBER(I115)),NOT(ISNUMBER(J115)))),"待补采用与复核","有效输入")))))</x:f>
      </x:c>
    </x:row>
    <x:row r="116" ht="25" customHeight="1">
      <x:c r="A116" s="3"/>
      <x:c r="B116" s="3"/>
      <x:c r="C116" s="3"/>
      <x:c r="D116" s="3"/>
      <x:c r="E116" s="3"/>
      <x:c r="F116" s="3"/>
      <x:c r="G116" s="3"/>
      <x:c r="H116" s="3"/>
      <x:c r="I116" s="20"/>
      <x:c r="J116" s="20"/>
      <x:c r="K116" s="3"/>
      <x:c r="L116" s="3"/>
      <x:c r="M116" s="19" t="str">
        <x:f>IF(A116="","",IF(COUNTIFS($A$7:$A$306,A116,$B$7:$B$306,B116)&lt;&gt;1,"规则版本重复",IF(OR(B116="",D116="",E116="",F116="",K116="",L116=""),"待补规则信息",IF(AND(C116&lt;&gt;"",OR(C116=B116,COUNTIFS($A$7:$A$306,A116,$B$7:$B$306,C116)&lt;&gt;1)),"父版本引用无效",IF(AND(OR(D116="试行",D116="采用"),OR(G116="",NOT(ISNUMBER(I116)),NOT(ISNUMBER(J116)))),"待补采用与复核","有效输入")))))</x:f>
      </x:c>
    </x:row>
    <x:row r="117" ht="25" customHeight="1">
      <x:c r="A117" s="3"/>
      <x:c r="B117" s="3"/>
      <x:c r="C117" s="3"/>
      <x:c r="D117" s="3"/>
      <x:c r="E117" s="3"/>
      <x:c r="F117" s="3"/>
      <x:c r="G117" s="3"/>
      <x:c r="H117" s="3"/>
      <x:c r="I117" s="20"/>
      <x:c r="J117" s="20"/>
      <x:c r="K117" s="3"/>
      <x:c r="L117" s="3"/>
      <x:c r="M117" s="19" t="str">
        <x:f>IF(A117="","",IF(COUNTIFS($A$7:$A$306,A117,$B$7:$B$306,B117)&lt;&gt;1,"规则版本重复",IF(OR(B117="",D117="",E117="",F117="",K117="",L117=""),"待补规则信息",IF(AND(C117&lt;&gt;"",OR(C117=B117,COUNTIFS($A$7:$A$306,A117,$B$7:$B$306,C117)&lt;&gt;1)),"父版本引用无效",IF(AND(OR(D117="试行",D117="采用"),OR(G117="",NOT(ISNUMBER(I117)),NOT(ISNUMBER(J117)))),"待补采用与复核","有效输入")))))</x:f>
      </x:c>
    </x:row>
    <x:row r="118" ht="25" customHeight="1">
      <x:c r="A118" s="3"/>
      <x:c r="B118" s="3"/>
      <x:c r="C118" s="3"/>
      <x:c r="D118" s="3"/>
      <x:c r="E118" s="3"/>
      <x:c r="F118" s="3"/>
      <x:c r="G118" s="3"/>
      <x:c r="H118" s="3"/>
      <x:c r="I118" s="20"/>
      <x:c r="J118" s="20"/>
      <x:c r="K118" s="3"/>
      <x:c r="L118" s="3"/>
      <x:c r="M118" s="19" t="str">
        <x:f>IF(A118="","",IF(COUNTIFS($A$7:$A$306,A118,$B$7:$B$306,B118)&lt;&gt;1,"规则版本重复",IF(OR(B118="",D118="",E118="",F118="",K118="",L118=""),"待补规则信息",IF(AND(C118&lt;&gt;"",OR(C118=B118,COUNTIFS($A$7:$A$306,A118,$B$7:$B$306,C118)&lt;&gt;1)),"父版本引用无效",IF(AND(OR(D118="试行",D118="采用"),OR(G118="",NOT(ISNUMBER(I118)),NOT(ISNUMBER(J118)))),"待补采用与复核","有效输入")))))</x:f>
      </x:c>
    </x:row>
    <x:row r="119" ht="25" customHeight="1">
      <x:c r="A119" s="3"/>
      <x:c r="B119" s="3"/>
      <x:c r="C119" s="3"/>
      <x:c r="D119" s="3"/>
      <x:c r="E119" s="3"/>
      <x:c r="F119" s="3"/>
      <x:c r="G119" s="3"/>
      <x:c r="H119" s="3"/>
      <x:c r="I119" s="20"/>
      <x:c r="J119" s="20"/>
      <x:c r="K119" s="3"/>
      <x:c r="L119" s="3"/>
      <x:c r="M119" s="19" t="str">
        <x:f>IF(A119="","",IF(COUNTIFS($A$7:$A$306,A119,$B$7:$B$306,B119)&lt;&gt;1,"规则版本重复",IF(OR(B119="",D119="",E119="",F119="",K119="",L119=""),"待补规则信息",IF(AND(C119&lt;&gt;"",OR(C119=B119,COUNTIFS($A$7:$A$306,A119,$B$7:$B$306,C119)&lt;&gt;1)),"父版本引用无效",IF(AND(OR(D119="试行",D119="采用"),OR(G119="",NOT(ISNUMBER(I119)),NOT(ISNUMBER(J119)))),"待补采用与复核","有效输入")))))</x:f>
      </x:c>
    </x:row>
    <x:row r="120" ht="25" customHeight="1">
      <x:c r="A120" s="3"/>
      <x:c r="B120" s="3"/>
      <x:c r="C120" s="3"/>
      <x:c r="D120" s="3"/>
      <x:c r="E120" s="3"/>
      <x:c r="F120" s="3"/>
      <x:c r="G120" s="3"/>
      <x:c r="H120" s="3"/>
      <x:c r="I120" s="20"/>
      <x:c r="J120" s="20"/>
      <x:c r="K120" s="3"/>
      <x:c r="L120" s="3"/>
      <x:c r="M120" s="19" t="str">
        <x:f>IF(A120="","",IF(COUNTIFS($A$7:$A$306,A120,$B$7:$B$306,B120)&lt;&gt;1,"规则版本重复",IF(OR(B120="",D120="",E120="",F120="",K120="",L120=""),"待补规则信息",IF(AND(C120&lt;&gt;"",OR(C120=B120,COUNTIFS($A$7:$A$306,A120,$B$7:$B$306,C120)&lt;&gt;1)),"父版本引用无效",IF(AND(OR(D120="试行",D120="采用"),OR(G120="",NOT(ISNUMBER(I120)),NOT(ISNUMBER(J120)))),"待补采用与复核","有效输入")))))</x:f>
      </x:c>
    </x:row>
    <x:row r="121" ht="25" customHeight="1">
      <x:c r="A121" s="3"/>
      <x:c r="B121" s="3"/>
      <x:c r="C121" s="3"/>
      <x:c r="D121" s="3"/>
      <x:c r="E121" s="3"/>
      <x:c r="F121" s="3"/>
      <x:c r="G121" s="3"/>
      <x:c r="H121" s="3"/>
      <x:c r="I121" s="20"/>
      <x:c r="J121" s="20"/>
      <x:c r="K121" s="3"/>
      <x:c r="L121" s="3"/>
      <x:c r="M121" s="19" t="str">
        <x:f>IF(A121="","",IF(COUNTIFS($A$7:$A$306,A121,$B$7:$B$306,B121)&lt;&gt;1,"规则版本重复",IF(OR(B121="",D121="",E121="",F121="",K121="",L121=""),"待补规则信息",IF(AND(C121&lt;&gt;"",OR(C121=B121,COUNTIFS($A$7:$A$306,A121,$B$7:$B$306,C121)&lt;&gt;1)),"父版本引用无效",IF(AND(OR(D121="试行",D121="采用"),OR(G121="",NOT(ISNUMBER(I121)),NOT(ISNUMBER(J121)))),"待补采用与复核","有效输入")))))</x:f>
      </x:c>
    </x:row>
    <x:row r="122" ht="25" customHeight="1">
      <x:c r="A122" s="3"/>
      <x:c r="B122" s="3"/>
      <x:c r="C122" s="3"/>
      <x:c r="D122" s="3"/>
      <x:c r="E122" s="3"/>
      <x:c r="F122" s="3"/>
      <x:c r="G122" s="3"/>
      <x:c r="H122" s="3"/>
      <x:c r="I122" s="20"/>
      <x:c r="J122" s="20"/>
      <x:c r="K122" s="3"/>
      <x:c r="L122" s="3"/>
      <x:c r="M122" s="19" t="str">
        <x:f>IF(A122="","",IF(COUNTIFS($A$7:$A$306,A122,$B$7:$B$306,B122)&lt;&gt;1,"规则版本重复",IF(OR(B122="",D122="",E122="",F122="",K122="",L122=""),"待补规则信息",IF(AND(C122&lt;&gt;"",OR(C122=B122,COUNTIFS($A$7:$A$306,A122,$B$7:$B$306,C122)&lt;&gt;1)),"父版本引用无效",IF(AND(OR(D122="试行",D122="采用"),OR(G122="",NOT(ISNUMBER(I122)),NOT(ISNUMBER(J122)))),"待补采用与复核","有效输入")))))</x:f>
      </x:c>
    </x:row>
    <x:row r="123" ht="25" customHeight="1">
      <x:c r="A123" s="3"/>
      <x:c r="B123" s="3"/>
      <x:c r="C123" s="3"/>
      <x:c r="D123" s="3"/>
      <x:c r="E123" s="3"/>
      <x:c r="F123" s="3"/>
      <x:c r="G123" s="3"/>
      <x:c r="H123" s="3"/>
      <x:c r="I123" s="20"/>
      <x:c r="J123" s="20"/>
      <x:c r="K123" s="3"/>
      <x:c r="L123" s="3"/>
      <x:c r="M123" s="19" t="str">
        <x:f>IF(A123="","",IF(COUNTIFS($A$7:$A$306,A123,$B$7:$B$306,B123)&lt;&gt;1,"规则版本重复",IF(OR(B123="",D123="",E123="",F123="",K123="",L123=""),"待补规则信息",IF(AND(C123&lt;&gt;"",OR(C123=B123,COUNTIFS($A$7:$A$306,A123,$B$7:$B$306,C123)&lt;&gt;1)),"父版本引用无效",IF(AND(OR(D123="试行",D123="采用"),OR(G123="",NOT(ISNUMBER(I123)),NOT(ISNUMBER(J123)))),"待补采用与复核","有效输入")))))</x:f>
      </x:c>
    </x:row>
    <x:row r="124" ht="25" customHeight="1">
      <x:c r="A124" s="3"/>
      <x:c r="B124" s="3"/>
      <x:c r="C124" s="3"/>
      <x:c r="D124" s="3"/>
      <x:c r="E124" s="3"/>
      <x:c r="F124" s="3"/>
      <x:c r="G124" s="3"/>
      <x:c r="H124" s="3"/>
      <x:c r="I124" s="20"/>
      <x:c r="J124" s="20"/>
      <x:c r="K124" s="3"/>
      <x:c r="L124" s="3"/>
      <x:c r="M124" s="19" t="str">
        <x:f>IF(A124="","",IF(COUNTIFS($A$7:$A$306,A124,$B$7:$B$306,B124)&lt;&gt;1,"规则版本重复",IF(OR(B124="",D124="",E124="",F124="",K124="",L124=""),"待补规则信息",IF(AND(C124&lt;&gt;"",OR(C124=B124,COUNTIFS($A$7:$A$306,A124,$B$7:$B$306,C124)&lt;&gt;1)),"父版本引用无效",IF(AND(OR(D124="试行",D124="采用"),OR(G124="",NOT(ISNUMBER(I124)),NOT(ISNUMBER(J124)))),"待补采用与复核","有效输入")))))</x:f>
      </x:c>
    </x:row>
    <x:row r="125" ht="25" customHeight="1">
      <x:c r="A125" s="3"/>
      <x:c r="B125" s="3"/>
      <x:c r="C125" s="3"/>
      <x:c r="D125" s="3"/>
      <x:c r="E125" s="3"/>
      <x:c r="F125" s="3"/>
      <x:c r="G125" s="3"/>
      <x:c r="H125" s="3"/>
      <x:c r="I125" s="20"/>
      <x:c r="J125" s="20"/>
      <x:c r="K125" s="3"/>
      <x:c r="L125" s="3"/>
      <x:c r="M125" s="19" t="str">
        <x:f>IF(A125="","",IF(COUNTIFS($A$7:$A$306,A125,$B$7:$B$306,B125)&lt;&gt;1,"规则版本重复",IF(OR(B125="",D125="",E125="",F125="",K125="",L125=""),"待补规则信息",IF(AND(C125&lt;&gt;"",OR(C125=B125,COUNTIFS($A$7:$A$306,A125,$B$7:$B$306,C125)&lt;&gt;1)),"父版本引用无效",IF(AND(OR(D125="试行",D125="采用"),OR(G125="",NOT(ISNUMBER(I125)),NOT(ISNUMBER(J125)))),"待补采用与复核","有效输入")))))</x:f>
      </x:c>
    </x:row>
    <x:row r="126" ht="25" customHeight="1">
      <x:c r="A126" s="3"/>
      <x:c r="B126" s="3"/>
      <x:c r="C126" s="3"/>
      <x:c r="D126" s="3"/>
      <x:c r="E126" s="3"/>
      <x:c r="F126" s="3"/>
      <x:c r="G126" s="3"/>
      <x:c r="H126" s="3"/>
      <x:c r="I126" s="20"/>
      <x:c r="J126" s="20"/>
      <x:c r="K126" s="3"/>
      <x:c r="L126" s="3"/>
      <x:c r="M126" s="19" t="str">
        <x:f>IF(A126="","",IF(COUNTIFS($A$7:$A$306,A126,$B$7:$B$306,B126)&lt;&gt;1,"规则版本重复",IF(OR(B126="",D126="",E126="",F126="",K126="",L126=""),"待补规则信息",IF(AND(C126&lt;&gt;"",OR(C126=B126,COUNTIFS($A$7:$A$306,A126,$B$7:$B$306,C126)&lt;&gt;1)),"父版本引用无效",IF(AND(OR(D126="试行",D126="采用"),OR(G126="",NOT(ISNUMBER(I126)),NOT(ISNUMBER(J126)))),"待补采用与复核","有效输入")))))</x:f>
      </x:c>
    </x:row>
    <x:row r="127" ht="25" customHeight="1">
      <x:c r="A127" s="3"/>
      <x:c r="B127" s="3"/>
      <x:c r="C127" s="3"/>
      <x:c r="D127" s="3"/>
      <x:c r="E127" s="3"/>
      <x:c r="F127" s="3"/>
      <x:c r="G127" s="3"/>
      <x:c r="H127" s="3"/>
      <x:c r="I127" s="20"/>
      <x:c r="J127" s="20"/>
      <x:c r="K127" s="3"/>
      <x:c r="L127" s="3"/>
      <x:c r="M127" s="19" t="str">
        <x:f>IF(A127="","",IF(COUNTIFS($A$7:$A$306,A127,$B$7:$B$306,B127)&lt;&gt;1,"规则版本重复",IF(OR(B127="",D127="",E127="",F127="",K127="",L127=""),"待补规则信息",IF(AND(C127&lt;&gt;"",OR(C127=B127,COUNTIFS($A$7:$A$306,A127,$B$7:$B$306,C127)&lt;&gt;1)),"父版本引用无效",IF(AND(OR(D127="试行",D127="采用"),OR(G127="",NOT(ISNUMBER(I127)),NOT(ISNUMBER(J127)))),"待补采用与复核","有效输入")))))</x:f>
      </x:c>
    </x:row>
    <x:row r="128" ht="25" customHeight="1">
      <x:c r="A128" s="3"/>
      <x:c r="B128" s="3"/>
      <x:c r="C128" s="3"/>
      <x:c r="D128" s="3"/>
      <x:c r="E128" s="3"/>
      <x:c r="F128" s="3"/>
      <x:c r="G128" s="3"/>
      <x:c r="H128" s="3"/>
      <x:c r="I128" s="20"/>
      <x:c r="J128" s="20"/>
      <x:c r="K128" s="3"/>
      <x:c r="L128" s="3"/>
      <x:c r="M128" s="19" t="str">
        <x:f>IF(A128="","",IF(COUNTIFS($A$7:$A$306,A128,$B$7:$B$306,B128)&lt;&gt;1,"规则版本重复",IF(OR(B128="",D128="",E128="",F128="",K128="",L128=""),"待补规则信息",IF(AND(C128&lt;&gt;"",OR(C128=B128,COUNTIFS($A$7:$A$306,A128,$B$7:$B$306,C128)&lt;&gt;1)),"父版本引用无效",IF(AND(OR(D128="试行",D128="采用"),OR(G128="",NOT(ISNUMBER(I128)),NOT(ISNUMBER(J128)))),"待补采用与复核","有效输入")))))</x:f>
      </x:c>
    </x:row>
    <x:row r="129" ht="25" customHeight="1">
      <x:c r="A129" s="3"/>
      <x:c r="B129" s="3"/>
      <x:c r="C129" s="3"/>
      <x:c r="D129" s="3"/>
      <x:c r="E129" s="3"/>
      <x:c r="F129" s="3"/>
      <x:c r="G129" s="3"/>
      <x:c r="H129" s="3"/>
      <x:c r="I129" s="20"/>
      <x:c r="J129" s="20"/>
      <x:c r="K129" s="3"/>
      <x:c r="L129" s="3"/>
      <x:c r="M129" s="19" t="str">
        <x:f>IF(A129="","",IF(COUNTIFS($A$7:$A$306,A129,$B$7:$B$306,B129)&lt;&gt;1,"规则版本重复",IF(OR(B129="",D129="",E129="",F129="",K129="",L129=""),"待补规则信息",IF(AND(C129&lt;&gt;"",OR(C129=B129,COUNTIFS($A$7:$A$306,A129,$B$7:$B$306,C129)&lt;&gt;1)),"父版本引用无效",IF(AND(OR(D129="试行",D129="采用"),OR(G129="",NOT(ISNUMBER(I129)),NOT(ISNUMBER(J129)))),"待补采用与复核","有效输入")))))</x:f>
      </x:c>
    </x:row>
    <x:row r="130" ht="25" customHeight="1">
      <x:c r="A130" s="3"/>
      <x:c r="B130" s="3"/>
      <x:c r="C130" s="3"/>
      <x:c r="D130" s="3"/>
      <x:c r="E130" s="3"/>
      <x:c r="F130" s="3"/>
      <x:c r="G130" s="3"/>
      <x:c r="H130" s="3"/>
      <x:c r="I130" s="20"/>
      <x:c r="J130" s="20"/>
      <x:c r="K130" s="3"/>
      <x:c r="L130" s="3"/>
      <x:c r="M130" s="19" t="str">
        <x:f>IF(A130="","",IF(COUNTIFS($A$7:$A$306,A130,$B$7:$B$306,B130)&lt;&gt;1,"规则版本重复",IF(OR(B130="",D130="",E130="",F130="",K130="",L130=""),"待补规则信息",IF(AND(C130&lt;&gt;"",OR(C130=B130,COUNTIFS($A$7:$A$306,A130,$B$7:$B$306,C130)&lt;&gt;1)),"父版本引用无效",IF(AND(OR(D130="试行",D130="采用"),OR(G130="",NOT(ISNUMBER(I130)),NOT(ISNUMBER(J130)))),"待补采用与复核","有效输入")))))</x:f>
      </x:c>
    </x:row>
    <x:row r="131" ht="25" customHeight="1">
      <x:c r="A131" s="3"/>
      <x:c r="B131" s="3"/>
      <x:c r="C131" s="3"/>
      <x:c r="D131" s="3"/>
      <x:c r="E131" s="3"/>
      <x:c r="F131" s="3"/>
      <x:c r="G131" s="3"/>
      <x:c r="H131" s="3"/>
      <x:c r="I131" s="20"/>
      <x:c r="J131" s="20"/>
      <x:c r="K131" s="3"/>
      <x:c r="L131" s="3"/>
      <x:c r="M131" s="19" t="str">
        <x:f>IF(A131="","",IF(COUNTIFS($A$7:$A$306,A131,$B$7:$B$306,B131)&lt;&gt;1,"规则版本重复",IF(OR(B131="",D131="",E131="",F131="",K131="",L131=""),"待补规则信息",IF(AND(C131&lt;&gt;"",OR(C131=B131,COUNTIFS($A$7:$A$306,A131,$B$7:$B$306,C131)&lt;&gt;1)),"父版本引用无效",IF(AND(OR(D131="试行",D131="采用"),OR(G131="",NOT(ISNUMBER(I131)),NOT(ISNUMBER(J131)))),"待补采用与复核","有效输入")))))</x:f>
      </x:c>
    </x:row>
    <x:row r="132" ht="25" customHeight="1">
      <x:c r="A132" s="3"/>
      <x:c r="B132" s="3"/>
      <x:c r="C132" s="3"/>
      <x:c r="D132" s="3"/>
      <x:c r="E132" s="3"/>
      <x:c r="F132" s="3"/>
      <x:c r="G132" s="3"/>
      <x:c r="H132" s="3"/>
      <x:c r="I132" s="20"/>
      <x:c r="J132" s="20"/>
      <x:c r="K132" s="3"/>
      <x:c r="L132" s="3"/>
      <x:c r="M132" s="19" t="str">
        <x:f>IF(A132="","",IF(COUNTIFS($A$7:$A$306,A132,$B$7:$B$306,B132)&lt;&gt;1,"规则版本重复",IF(OR(B132="",D132="",E132="",F132="",K132="",L132=""),"待补规则信息",IF(AND(C132&lt;&gt;"",OR(C132=B132,COUNTIFS($A$7:$A$306,A132,$B$7:$B$306,C132)&lt;&gt;1)),"父版本引用无效",IF(AND(OR(D132="试行",D132="采用"),OR(G132="",NOT(ISNUMBER(I132)),NOT(ISNUMBER(J132)))),"待补采用与复核","有效输入")))))</x:f>
      </x:c>
    </x:row>
    <x:row r="133" ht="25" customHeight="1">
      <x:c r="A133" s="3"/>
      <x:c r="B133" s="3"/>
      <x:c r="C133" s="3"/>
      <x:c r="D133" s="3"/>
      <x:c r="E133" s="3"/>
      <x:c r="F133" s="3"/>
      <x:c r="G133" s="3"/>
      <x:c r="H133" s="3"/>
      <x:c r="I133" s="20"/>
      <x:c r="J133" s="20"/>
      <x:c r="K133" s="3"/>
      <x:c r="L133" s="3"/>
      <x:c r="M133" s="19" t="str">
        <x:f>IF(A133="","",IF(COUNTIFS($A$7:$A$306,A133,$B$7:$B$306,B133)&lt;&gt;1,"规则版本重复",IF(OR(B133="",D133="",E133="",F133="",K133="",L133=""),"待补规则信息",IF(AND(C133&lt;&gt;"",OR(C133=B133,COUNTIFS($A$7:$A$306,A133,$B$7:$B$306,C133)&lt;&gt;1)),"父版本引用无效",IF(AND(OR(D133="试行",D133="采用"),OR(G133="",NOT(ISNUMBER(I133)),NOT(ISNUMBER(J133)))),"待补采用与复核","有效输入")))))</x:f>
      </x:c>
    </x:row>
    <x:row r="134" ht="25" customHeight="1">
      <x:c r="A134" s="3"/>
      <x:c r="B134" s="3"/>
      <x:c r="C134" s="3"/>
      <x:c r="D134" s="3"/>
      <x:c r="E134" s="3"/>
      <x:c r="F134" s="3"/>
      <x:c r="G134" s="3"/>
      <x:c r="H134" s="3"/>
      <x:c r="I134" s="20"/>
      <x:c r="J134" s="20"/>
      <x:c r="K134" s="3"/>
      <x:c r="L134" s="3"/>
      <x:c r="M134" s="19" t="str">
        <x:f>IF(A134="","",IF(COUNTIFS($A$7:$A$306,A134,$B$7:$B$306,B134)&lt;&gt;1,"规则版本重复",IF(OR(B134="",D134="",E134="",F134="",K134="",L134=""),"待补规则信息",IF(AND(C134&lt;&gt;"",OR(C134=B134,COUNTIFS($A$7:$A$306,A134,$B$7:$B$306,C134)&lt;&gt;1)),"父版本引用无效",IF(AND(OR(D134="试行",D134="采用"),OR(G134="",NOT(ISNUMBER(I134)),NOT(ISNUMBER(J134)))),"待补采用与复核","有效输入")))))</x:f>
      </x:c>
    </x:row>
    <x:row r="135" ht="25" customHeight="1">
      <x:c r="A135" s="3"/>
      <x:c r="B135" s="3"/>
      <x:c r="C135" s="3"/>
      <x:c r="D135" s="3"/>
      <x:c r="E135" s="3"/>
      <x:c r="F135" s="3"/>
      <x:c r="G135" s="3"/>
      <x:c r="H135" s="3"/>
      <x:c r="I135" s="20"/>
      <x:c r="J135" s="20"/>
      <x:c r="K135" s="3"/>
      <x:c r="L135" s="3"/>
      <x:c r="M135" s="19" t="str">
        <x:f>IF(A135="","",IF(COUNTIFS($A$7:$A$306,A135,$B$7:$B$306,B135)&lt;&gt;1,"规则版本重复",IF(OR(B135="",D135="",E135="",F135="",K135="",L135=""),"待补规则信息",IF(AND(C135&lt;&gt;"",OR(C135=B135,COUNTIFS($A$7:$A$306,A135,$B$7:$B$306,C135)&lt;&gt;1)),"父版本引用无效",IF(AND(OR(D135="试行",D135="采用"),OR(G135="",NOT(ISNUMBER(I135)),NOT(ISNUMBER(J135)))),"待补采用与复核","有效输入")))))</x:f>
      </x:c>
    </x:row>
    <x:row r="136" ht="25" customHeight="1">
      <x:c r="A136" s="3"/>
      <x:c r="B136" s="3"/>
      <x:c r="C136" s="3"/>
      <x:c r="D136" s="3"/>
      <x:c r="E136" s="3"/>
      <x:c r="F136" s="3"/>
      <x:c r="G136" s="3"/>
      <x:c r="H136" s="3"/>
      <x:c r="I136" s="20"/>
      <x:c r="J136" s="20"/>
      <x:c r="K136" s="3"/>
      <x:c r="L136" s="3"/>
      <x:c r="M136" s="19" t="str">
        <x:f>IF(A136="","",IF(COUNTIFS($A$7:$A$306,A136,$B$7:$B$306,B136)&lt;&gt;1,"规则版本重复",IF(OR(B136="",D136="",E136="",F136="",K136="",L136=""),"待补规则信息",IF(AND(C136&lt;&gt;"",OR(C136=B136,COUNTIFS($A$7:$A$306,A136,$B$7:$B$306,C136)&lt;&gt;1)),"父版本引用无效",IF(AND(OR(D136="试行",D136="采用"),OR(G136="",NOT(ISNUMBER(I136)),NOT(ISNUMBER(J136)))),"待补采用与复核","有效输入")))))</x:f>
      </x:c>
    </x:row>
    <x:row r="137" ht="25" customHeight="1">
      <x:c r="A137" s="3"/>
      <x:c r="B137" s="3"/>
      <x:c r="C137" s="3"/>
      <x:c r="D137" s="3"/>
      <x:c r="E137" s="3"/>
      <x:c r="F137" s="3"/>
      <x:c r="G137" s="3"/>
      <x:c r="H137" s="3"/>
      <x:c r="I137" s="20"/>
      <x:c r="J137" s="20"/>
      <x:c r="K137" s="3"/>
      <x:c r="L137" s="3"/>
      <x:c r="M137" s="19" t="str">
        <x:f>IF(A137="","",IF(COUNTIFS($A$7:$A$306,A137,$B$7:$B$306,B137)&lt;&gt;1,"规则版本重复",IF(OR(B137="",D137="",E137="",F137="",K137="",L137=""),"待补规则信息",IF(AND(C137&lt;&gt;"",OR(C137=B137,COUNTIFS($A$7:$A$306,A137,$B$7:$B$306,C137)&lt;&gt;1)),"父版本引用无效",IF(AND(OR(D137="试行",D137="采用"),OR(G137="",NOT(ISNUMBER(I137)),NOT(ISNUMBER(J137)))),"待补采用与复核","有效输入")))))</x:f>
      </x:c>
    </x:row>
    <x:row r="138" ht="25" customHeight="1">
      <x:c r="A138" s="3"/>
      <x:c r="B138" s="3"/>
      <x:c r="C138" s="3"/>
      <x:c r="D138" s="3"/>
      <x:c r="E138" s="3"/>
      <x:c r="F138" s="3"/>
      <x:c r="G138" s="3"/>
      <x:c r="H138" s="3"/>
      <x:c r="I138" s="20"/>
      <x:c r="J138" s="20"/>
      <x:c r="K138" s="3"/>
      <x:c r="L138" s="3"/>
      <x:c r="M138" s="19" t="str">
        <x:f>IF(A138="","",IF(COUNTIFS($A$7:$A$306,A138,$B$7:$B$306,B138)&lt;&gt;1,"规则版本重复",IF(OR(B138="",D138="",E138="",F138="",K138="",L138=""),"待补规则信息",IF(AND(C138&lt;&gt;"",OR(C138=B138,COUNTIFS($A$7:$A$306,A138,$B$7:$B$306,C138)&lt;&gt;1)),"父版本引用无效",IF(AND(OR(D138="试行",D138="采用"),OR(G138="",NOT(ISNUMBER(I138)),NOT(ISNUMBER(J138)))),"待补采用与复核","有效输入")))))</x:f>
      </x:c>
    </x:row>
    <x:row r="139" ht="25" customHeight="1">
      <x:c r="A139" s="3"/>
      <x:c r="B139" s="3"/>
      <x:c r="C139" s="3"/>
      <x:c r="D139" s="3"/>
      <x:c r="E139" s="3"/>
      <x:c r="F139" s="3"/>
      <x:c r="G139" s="3"/>
      <x:c r="H139" s="3"/>
      <x:c r="I139" s="20"/>
      <x:c r="J139" s="20"/>
      <x:c r="K139" s="3"/>
      <x:c r="L139" s="3"/>
      <x:c r="M139" s="19" t="str">
        <x:f>IF(A139="","",IF(COUNTIFS($A$7:$A$306,A139,$B$7:$B$306,B139)&lt;&gt;1,"规则版本重复",IF(OR(B139="",D139="",E139="",F139="",K139="",L139=""),"待补规则信息",IF(AND(C139&lt;&gt;"",OR(C139=B139,COUNTIFS($A$7:$A$306,A139,$B$7:$B$306,C139)&lt;&gt;1)),"父版本引用无效",IF(AND(OR(D139="试行",D139="采用"),OR(G139="",NOT(ISNUMBER(I139)),NOT(ISNUMBER(J139)))),"待补采用与复核","有效输入")))))</x:f>
      </x:c>
    </x:row>
    <x:row r="140" ht="25" customHeight="1">
      <x:c r="A140" s="3"/>
      <x:c r="B140" s="3"/>
      <x:c r="C140" s="3"/>
      <x:c r="D140" s="3"/>
      <x:c r="E140" s="3"/>
      <x:c r="F140" s="3"/>
      <x:c r="G140" s="3"/>
      <x:c r="H140" s="3"/>
      <x:c r="I140" s="20"/>
      <x:c r="J140" s="20"/>
      <x:c r="K140" s="3"/>
      <x:c r="L140" s="3"/>
      <x:c r="M140" s="19" t="str">
        <x:f>IF(A140="","",IF(COUNTIFS($A$7:$A$306,A140,$B$7:$B$306,B140)&lt;&gt;1,"规则版本重复",IF(OR(B140="",D140="",E140="",F140="",K140="",L140=""),"待补规则信息",IF(AND(C140&lt;&gt;"",OR(C140=B140,COUNTIFS($A$7:$A$306,A140,$B$7:$B$306,C140)&lt;&gt;1)),"父版本引用无效",IF(AND(OR(D140="试行",D140="采用"),OR(G140="",NOT(ISNUMBER(I140)),NOT(ISNUMBER(J140)))),"待补采用与复核","有效输入")))))</x:f>
      </x:c>
    </x:row>
    <x:row r="141" ht="25" customHeight="1">
      <x:c r="A141" s="3"/>
      <x:c r="B141" s="3"/>
      <x:c r="C141" s="3"/>
      <x:c r="D141" s="3"/>
      <x:c r="E141" s="3"/>
      <x:c r="F141" s="3"/>
      <x:c r="G141" s="3"/>
      <x:c r="H141" s="3"/>
      <x:c r="I141" s="20"/>
      <x:c r="J141" s="20"/>
      <x:c r="K141" s="3"/>
      <x:c r="L141" s="3"/>
      <x:c r="M141" s="19" t="str">
        <x:f>IF(A141="","",IF(COUNTIFS($A$7:$A$306,A141,$B$7:$B$306,B141)&lt;&gt;1,"规则版本重复",IF(OR(B141="",D141="",E141="",F141="",K141="",L141=""),"待补规则信息",IF(AND(C141&lt;&gt;"",OR(C141=B141,COUNTIFS($A$7:$A$306,A141,$B$7:$B$306,C141)&lt;&gt;1)),"父版本引用无效",IF(AND(OR(D141="试行",D141="采用"),OR(G141="",NOT(ISNUMBER(I141)),NOT(ISNUMBER(J141)))),"待补采用与复核","有效输入")))))</x:f>
      </x:c>
    </x:row>
    <x:row r="142" ht="25" customHeight="1">
      <x:c r="A142" s="3"/>
      <x:c r="B142" s="3"/>
      <x:c r="C142" s="3"/>
      <x:c r="D142" s="3"/>
      <x:c r="E142" s="3"/>
      <x:c r="F142" s="3"/>
      <x:c r="G142" s="3"/>
      <x:c r="H142" s="3"/>
      <x:c r="I142" s="20"/>
      <x:c r="J142" s="20"/>
      <x:c r="K142" s="3"/>
      <x:c r="L142" s="3"/>
      <x:c r="M142" s="19" t="str">
        <x:f>IF(A142="","",IF(COUNTIFS($A$7:$A$306,A142,$B$7:$B$306,B142)&lt;&gt;1,"规则版本重复",IF(OR(B142="",D142="",E142="",F142="",K142="",L142=""),"待补规则信息",IF(AND(C142&lt;&gt;"",OR(C142=B142,COUNTIFS($A$7:$A$306,A142,$B$7:$B$306,C142)&lt;&gt;1)),"父版本引用无效",IF(AND(OR(D142="试行",D142="采用"),OR(G142="",NOT(ISNUMBER(I142)),NOT(ISNUMBER(J142)))),"待补采用与复核","有效输入")))))</x:f>
      </x:c>
    </x:row>
    <x:row r="143" ht="25" customHeight="1">
      <x:c r="A143" s="3"/>
      <x:c r="B143" s="3"/>
      <x:c r="C143" s="3"/>
      <x:c r="D143" s="3"/>
      <x:c r="E143" s="3"/>
      <x:c r="F143" s="3"/>
      <x:c r="G143" s="3"/>
      <x:c r="H143" s="3"/>
      <x:c r="I143" s="20"/>
      <x:c r="J143" s="20"/>
      <x:c r="K143" s="3"/>
      <x:c r="L143" s="3"/>
      <x:c r="M143" s="19" t="str">
        <x:f>IF(A143="","",IF(COUNTIFS($A$7:$A$306,A143,$B$7:$B$306,B143)&lt;&gt;1,"规则版本重复",IF(OR(B143="",D143="",E143="",F143="",K143="",L143=""),"待补规则信息",IF(AND(C143&lt;&gt;"",OR(C143=B143,COUNTIFS($A$7:$A$306,A143,$B$7:$B$306,C143)&lt;&gt;1)),"父版本引用无效",IF(AND(OR(D143="试行",D143="采用"),OR(G143="",NOT(ISNUMBER(I143)),NOT(ISNUMBER(J143)))),"待补采用与复核","有效输入")))))</x:f>
      </x:c>
    </x:row>
    <x:row r="144" ht="25" customHeight="1">
      <x:c r="A144" s="3"/>
      <x:c r="B144" s="3"/>
      <x:c r="C144" s="3"/>
      <x:c r="D144" s="3"/>
      <x:c r="E144" s="3"/>
      <x:c r="F144" s="3"/>
      <x:c r="G144" s="3"/>
      <x:c r="H144" s="3"/>
      <x:c r="I144" s="20"/>
      <x:c r="J144" s="20"/>
      <x:c r="K144" s="3"/>
      <x:c r="L144" s="3"/>
      <x:c r="M144" s="19" t="str">
        <x:f>IF(A144="","",IF(COUNTIFS($A$7:$A$306,A144,$B$7:$B$306,B144)&lt;&gt;1,"规则版本重复",IF(OR(B144="",D144="",E144="",F144="",K144="",L144=""),"待补规则信息",IF(AND(C144&lt;&gt;"",OR(C144=B144,COUNTIFS($A$7:$A$306,A144,$B$7:$B$306,C144)&lt;&gt;1)),"父版本引用无效",IF(AND(OR(D144="试行",D144="采用"),OR(G144="",NOT(ISNUMBER(I144)),NOT(ISNUMBER(J144)))),"待补采用与复核","有效输入")))))</x:f>
      </x:c>
    </x:row>
    <x:row r="145" ht="25" customHeight="1">
      <x:c r="A145" s="3"/>
      <x:c r="B145" s="3"/>
      <x:c r="C145" s="3"/>
      <x:c r="D145" s="3"/>
      <x:c r="E145" s="3"/>
      <x:c r="F145" s="3"/>
      <x:c r="G145" s="3"/>
      <x:c r="H145" s="3"/>
      <x:c r="I145" s="20"/>
      <x:c r="J145" s="20"/>
      <x:c r="K145" s="3"/>
      <x:c r="L145" s="3"/>
      <x:c r="M145" s="19" t="str">
        <x:f>IF(A145="","",IF(COUNTIFS($A$7:$A$306,A145,$B$7:$B$306,B145)&lt;&gt;1,"规则版本重复",IF(OR(B145="",D145="",E145="",F145="",K145="",L145=""),"待补规则信息",IF(AND(C145&lt;&gt;"",OR(C145=B145,COUNTIFS($A$7:$A$306,A145,$B$7:$B$306,C145)&lt;&gt;1)),"父版本引用无效",IF(AND(OR(D145="试行",D145="采用"),OR(G145="",NOT(ISNUMBER(I145)),NOT(ISNUMBER(J145)))),"待补采用与复核","有效输入")))))</x:f>
      </x:c>
    </x:row>
    <x:row r="146" ht="25" customHeight="1">
      <x:c r="A146" s="3"/>
      <x:c r="B146" s="3"/>
      <x:c r="C146" s="3"/>
      <x:c r="D146" s="3"/>
      <x:c r="E146" s="3"/>
      <x:c r="F146" s="3"/>
      <x:c r="G146" s="3"/>
      <x:c r="H146" s="3"/>
      <x:c r="I146" s="20"/>
      <x:c r="J146" s="20"/>
      <x:c r="K146" s="3"/>
      <x:c r="L146" s="3"/>
      <x:c r="M146" s="19" t="str">
        <x:f>IF(A146="","",IF(COUNTIFS($A$7:$A$306,A146,$B$7:$B$306,B146)&lt;&gt;1,"规则版本重复",IF(OR(B146="",D146="",E146="",F146="",K146="",L146=""),"待补规则信息",IF(AND(C146&lt;&gt;"",OR(C146=B146,COUNTIFS($A$7:$A$306,A146,$B$7:$B$306,C146)&lt;&gt;1)),"父版本引用无效",IF(AND(OR(D146="试行",D146="采用"),OR(G146="",NOT(ISNUMBER(I146)),NOT(ISNUMBER(J146)))),"待补采用与复核","有效输入")))))</x:f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20"/>
      <x:c r="J147" s="20"/>
      <x:c r="K147" s="3"/>
      <x:c r="L147" s="3"/>
      <x:c r="M147" s="19" t="str">
        <x:f>IF(A147="","",IF(COUNTIFS($A$7:$A$306,A147,$B$7:$B$306,B147)&lt;&gt;1,"规则版本重复",IF(OR(B147="",D147="",E147="",F147="",K147="",L147=""),"待补规则信息",IF(AND(C147&lt;&gt;"",OR(C147=B147,COUNTIFS($A$7:$A$306,A147,$B$7:$B$306,C147)&lt;&gt;1)),"父版本引用无效",IF(AND(OR(D147="试行",D147="采用"),OR(G147="",NOT(ISNUMBER(I147)),NOT(ISNUMBER(J147)))),"待补采用与复核","有效输入")))))</x:f>
      </x:c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20"/>
      <x:c r="J148" s="20"/>
      <x:c r="K148" s="3"/>
      <x:c r="L148" s="3"/>
      <x:c r="M148" s="19" t="str">
        <x:f>IF(A148="","",IF(COUNTIFS($A$7:$A$306,A148,$B$7:$B$306,B148)&lt;&gt;1,"规则版本重复",IF(OR(B148="",D148="",E148="",F148="",K148="",L148=""),"待补规则信息",IF(AND(C148&lt;&gt;"",OR(C148=B148,COUNTIFS($A$7:$A$306,A148,$B$7:$B$306,C148)&lt;&gt;1)),"父版本引用无效",IF(AND(OR(D148="试行",D148="采用"),OR(G148="",NOT(ISNUMBER(I148)),NOT(ISNUMBER(J148)))),"待补采用与复核","有效输入")))))</x:f>
      </x:c>
    </x:row>
    <x:row r="149" ht="25" customHeight="1">
      <x:c r="A149" s="3"/>
      <x:c r="B149" s="3"/>
      <x:c r="C149" s="3"/>
      <x:c r="D149" s="3"/>
      <x:c r="E149" s="3"/>
      <x:c r="F149" s="3"/>
      <x:c r="G149" s="3"/>
      <x:c r="H149" s="3"/>
      <x:c r="I149" s="20"/>
      <x:c r="J149" s="20"/>
      <x:c r="K149" s="3"/>
      <x:c r="L149" s="3"/>
      <x:c r="M149" s="19" t="str">
        <x:f>IF(A149="","",IF(COUNTIFS($A$7:$A$306,A149,$B$7:$B$306,B149)&lt;&gt;1,"规则版本重复",IF(OR(B149="",D149="",E149="",F149="",K149="",L149=""),"待补规则信息",IF(AND(C149&lt;&gt;"",OR(C149=B149,COUNTIFS($A$7:$A$306,A149,$B$7:$B$306,C149)&lt;&gt;1)),"父版本引用无效",IF(AND(OR(D149="试行",D149="采用"),OR(G149="",NOT(ISNUMBER(I149)),NOT(ISNUMBER(J149)))),"待补采用与复核","有效输入")))))</x:f>
      </x:c>
    </x:row>
    <x:row r="150" ht="25" customHeight="1">
      <x:c r="A150" s="3"/>
      <x:c r="B150" s="3"/>
      <x:c r="C150" s="3"/>
      <x:c r="D150" s="3"/>
      <x:c r="E150" s="3"/>
      <x:c r="F150" s="3"/>
      <x:c r="G150" s="3"/>
      <x:c r="H150" s="3"/>
      <x:c r="I150" s="20"/>
      <x:c r="J150" s="20"/>
      <x:c r="K150" s="3"/>
      <x:c r="L150" s="3"/>
      <x:c r="M150" s="19" t="str">
        <x:f>IF(A150="","",IF(COUNTIFS($A$7:$A$306,A150,$B$7:$B$306,B150)&lt;&gt;1,"规则版本重复",IF(OR(B150="",D150="",E150="",F150="",K150="",L150=""),"待补规则信息",IF(AND(C150&lt;&gt;"",OR(C150=B150,COUNTIFS($A$7:$A$306,A150,$B$7:$B$306,C150)&lt;&gt;1)),"父版本引用无效",IF(AND(OR(D150="试行",D150="采用"),OR(G150="",NOT(ISNUMBER(I150)),NOT(ISNUMBER(J150)))),"待补采用与复核","有效输入")))))</x:f>
      </x:c>
    </x:row>
    <x:row r="151" ht="25" customHeight="1">
      <x:c r="A151" s="3"/>
      <x:c r="B151" s="3"/>
      <x:c r="C151" s="3"/>
      <x:c r="D151" s="3"/>
      <x:c r="E151" s="3"/>
      <x:c r="F151" s="3"/>
      <x:c r="G151" s="3"/>
      <x:c r="H151" s="3"/>
      <x:c r="I151" s="20"/>
      <x:c r="J151" s="20"/>
      <x:c r="K151" s="3"/>
      <x:c r="L151" s="3"/>
      <x:c r="M151" s="19" t="str">
        <x:f>IF(A151="","",IF(COUNTIFS($A$7:$A$306,A151,$B$7:$B$306,B151)&lt;&gt;1,"规则版本重复",IF(OR(B151="",D151="",E151="",F151="",K151="",L151=""),"待补规则信息",IF(AND(C151&lt;&gt;"",OR(C151=B151,COUNTIFS($A$7:$A$306,A151,$B$7:$B$306,C151)&lt;&gt;1)),"父版本引用无效",IF(AND(OR(D151="试行",D151="采用"),OR(G151="",NOT(ISNUMBER(I151)),NOT(ISNUMBER(J151)))),"待补采用与复核","有效输入")))))</x:f>
      </x:c>
    </x:row>
    <x:row r="152" ht="25" customHeight="1">
      <x:c r="A152" s="3"/>
      <x:c r="B152" s="3"/>
      <x:c r="C152" s="3"/>
      <x:c r="D152" s="3"/>
      <x:c r="E152" s="3"/>
      <x:c r="F152" s="3"/>
      <x:c r="G152" s="3"/>
      <x:c r="H152" s="3"/>
      <x:c r="I152" s="20"/>
      <x:c r="J152" s="20"/>
      <x:c r="K152" s="3"/>
      <x:c r="L152" s="3"/>
      <x:c r="M152" s="19" t="str">
        <x:f>IF(A152="","",IF(COUNTIFS($A$7:$A$306,A152,$B$7:$B$306,B152)&lt;&gt;1,"规则版本重复",IF(OR(B152="",D152="",E152="",F152="",K152="",L152=""),"待补规则信息",IF(AND(C152&lt;&gt;"",OR(C152=B152,COUNTIFS($A$7:$A$306,A152,$B$7:$B$306,C152)&lt;&gt;1)),"父版本引用无效",IF(AND(OR(D152="试行",D152="采用"),OR(G152="",NOT(ISNUMBER(I152)),NOT(ISNUMBER(J152)))),"待补采用与复核","有效输入")))))</x:f>
      </x:c>
    </x:row>
    <x:row r="153" ht="25" customHeight="1">
      <x:c r="A153" s="3"/>
      <x:c r="B153" s="3"/>
      <x:c r="C153" s="3"/>
      <x:c r="D153" s="3"/>
      <x:c r="E153" s="3"/>
      <x:c r="F153" s="3"/>
      <x:c r="G153" s="3"/>
      <x:c r="H153" s="3"/>
      <x:c r="I153" s="20"/>
      <x:c r="J153" s="20"/>
      <x:c r="K153" s="3"/>
      <x:c r="L153" s="3"/>
      <x:c r="M153" s="19" t="str">
        <x:f>IF(A153="","",IF(COUNTIFS($A$7:$A$306,A153,$B$7:$B$306,B153)&lt;&gt;1,"规则版本重复",IF(OR(B153="",D153="",E153="",F153="",K153="",L153=""),"待补规则信息",IF(AND(C153&lt;&gt;"",OR(C153=B153,COUNTIFS($A$7:$A$306,A153,$B$7:$B$306,C153)&lt;&gt;1)),"父版本引用无效",IF(AND(OR(D153="试行",D153="采用"),OR(G153="",NOT(ISNUMBER(I153)),NOT(ISNUMBER(J153)))),"待补采用与复核","有效输入")))))</x:f>
      </x:c>
    </x:row>
    <x:row r="154" ht="25" customHeight="1">
      <x:c r="A154" s="3"/>
      <x:c r="B154" s="3"/>
      <x:c r="C154" s="3"/>
      <x:c r="D154" s="3"/>
      <x:c r="E154" s="3"/>
      <x:c r="F154" s="3"/>
      <x:c r="G154" s="3"/>
      <x:c r="H154" s="3"/>
      <x:c r="I154" s="20"/>
      <x:c r="J154" s="20"/>
      <x:c r="K154" s="3"/>
      <x:c r="L154" s="3"/>
      <x:c r="M154" s="19" t="str">
        <x:f>IF(A154="","",IF(COUNTIFS($A$7:$A$306,A154,$B$7:$B$306,B154)&lt;&gt;1,"规则版本重复",IF(OR(B154="",D154="",E154="",F154="",K154="",L154=""),"待补规则信息",IF(AND(C154&lt;&gt;"",OR(C154=B154,COUNTIFS($A$7:$A$306,A154,$B$7:$B$306,C154)&lt;&gt;1)),"父版本引用无效",IF(AND(OR(D154="试行",D154="采用"),OR(G154="",NOT(ISNUMBER(I154)),NOT(ISNUMBER(J154)))),"待补采用与复核","有效输入")))))</x:f>
      </x:c>
    </x:row>
    <x:row r="155" ht="25" customHeight="1">
      <x:c r="A155" s="3"/>
      <x:c r="B155" s="3"/>
      <x:c r="C155" s="3"/>
      <x:c r="D155" s="3"/>
      <x:c r="E155" s="3"/>
      <x:c r="F155" s="3"/>
      <x:c r="G155" s="3"/>
      <x:c r="H155" s="3"/>
      <x:c r="I155" s="20"/>
      <x:c r="J155" s="20"/>
      <x:c r="K155" s="3"/>
      <x:c r="L155" s="3"/>
      <x:c r="M155" s="19" t="str">
        <x:f>IF(A155="","",IF(COUNTIFS($A$7:$A$306,A155,$B$7:$B$306,B155)&lt;&gt;1,"规则版本重复",IF(OR(B155="",D155="",E155="",F155="",K155="",L155=""),"待补规则信息",IF(AND(C155&lt;&gt;"",OR(C155=B155,COUNTIFS($A$7:$A$306,A155,$B$7:$B$306,C155)&lt;&gt;1)),"父版本引用无效",IF(AND(OR(D155="试行",D155="采用"),OR(G155="",NOT(ISNUMBER(I155)),NOT(ISNUMBER(J155)))),"待补采用与复核","有效输入")))))</x:f>
      </x:c>
    </x:row>
    <x:row r="156" ht="25" customHeight="1">
      <x:c r="A156" s="3"/>
      <x:c r="B156" s="3"/>
      <x:c r="C156" s="3"/>
      <x:c r="D156" s="3"/>
      <x:c r="E156" s="3"/>
      <x:c r="F156" s="3"/>
      <x:c r="G156" s="3"/>
      <x:c r="H156" s="3"/>
      <x:c r="I156" s="20"/>
      <x:c r="J156" s="20"/>
      <x:c r="K156" s="3"/>
      <x:c r="L156" s="3"/>
      <x:c r="M156" s="19" t="str">
        <x:f>IF(A156="","",IF(COUNTIFS($A$7:$A$306,A156,$B$7:$B$306,B156)&lt;&gt;1,"规则版本重复",IF(OR(B156="",D156="",E156="",F156="",K156="",L156=""),"待补规则信息",IF(AND(C156&lt;&gt;"",OR(C156=B156,COUNTIFS($A$7:$A$306,A156,$B$7:$B$306,C156)&lt;&gt;1)),"父版本引用无效",IF(AND(OR(D156="试行",D156="采用"),OR(G156="",NOT(ISNUMBER(I156)),NOT(ISNUMBER(J156)))),"待补采用与复核","有效输入")))))</x:f>
      </x:c>
    </x:row>
    <x:row r="157" ht="25" customHeight="1">
      <x:c r="A157" s="3"/>
      <x:c r="B157" s="3"/>
      <x:c r="C157" s="3"/>
      <x:c r="D157" s="3"/>
      <x:c r="E157" s="3"/>
      <x:c r="F157" s="3"/>
      <x:c r="G157" s="3"/>
      <x:c r="H157" s="3"/>
      <x:c r="I157" s="20"/>
      <x:c r="J157" s="20"/>
      <x:c r="K157" s="3"/>
      <x:c r="L157" s="3"/>
      <x:c r="M157" s="19" t="str">
        <x:f>IF(A157="","",IF(COUNTIFS($A$7:$A$306,A157,$B$7:$B$306,B157)&lt;&gt;1,"规则版本重复",IF(OR(B157="",D157="",E157="",F157="",K157="",L157=""),"待补规则信息",IF(AND(C157&lt;&gt;"",OR(C157=B157,COUNTIFS($A$7:$A$306,A157,$B$7:$B$306,C157)&lt;&gt;1)),"父版本引用无效",IF(AND(OR(D157="试行",D157="采用"),OR(G157="",NOT(ISNUMBER(I157)),NOT(ISNUMBER(J157)))),"待补采用与复核","有效输入")))))</x:f>
      </x:c>
    </x:row>
    <x:row r="158" ht="25" customHeight="1">
      <x:c r="A158" s="3"/>
      <x:c r="B158" s="3"/>
      <x:c r="C158" s="3"/>
      <x:c r="D158" s="3"/>
      <x:c r="E158" s="3"/>
      <x:c r="F158" s="3"/>
      <x:c r="G158" s="3"/>
      <x:c r="H158" s="3"/>
      <x:c r="I158" s="20"/>
      <x:c r="J158" s="20"/>
      <x:c r="K158" s="3"/>
      <x:c r="L158" s="3"/>
      <x:c r="M158" s="19" t="str">
        <x:f>IF(A158="","",IF(COUNTIFS($A$7:$A$306,A158,$B$7:$B$306,B158)&lt;&gt;1,"规则版本重复",IF(OR(B158="",D158="",E158="",F158="",K158="",L158=""),"待补规则信息",IF(AND(C158&lt;&gt;"",OR(C158=B158,COUNTIFS($A$7:$A$306,A158,$B$7:$B$306,C158)&lt;&gt;1)),"父版本引用无效",IF(AND(OR(D158="试行",D158="采用"),OR(G158="",NOT(ISNUMBER(I158)),NOT(ISNUMBER(J158)))),"待补采用与复核","有效输入")))))</x:f>
      </x:c>
    </x:row>
    <x:row r="159" ht="25" customHeight="1">
      <x:c r="A159" s="3"/>
      <x:c r="B159" s="3"/>
      <x:c r="C159" s="3"/>
      <x:c r="D159" s="3"/>
      <x:c r="E159" s="3"/>
      <x:c r="F159" s="3"/>
      <x:c r="G159" s="3"/>
      <x:c r="H159" s="3"/>
      <x:c r="I159" s="20"/>
      <x:c r="J159" s="20"/>
      <x:c r="K159" s="3"/>
      <x:c r="L159" s="3"/>
      <x:c r="M159" s="19" t="str">
        <x:f>IF(A159="","",IF(COUNTIFS($A$7:$A$306,A159,$B$7:$B$306,B159)&lt;&gt;1,"规则版本重复",IF(OR(B159="",D159="",E159="",F159="",K159="",L159=""),"待补规则信息",IF(AND(C159&lt;&gt;"",OR(C159=B159,COUNTIFS($A$7:$A$306,A159,$B$7:$B$306,C159)&lt;&gt;1)),"父版本引用无效",IF(AND(OR(D159="试行",D159="采用"),OR(G159="",NOT(ISNUMBER(I159)),NOT(ISNUMBER(J159)))),"待补采用与复核","有效输入")))))</x:f>
      </x:c>
    </x:row>
    <x:row r="160" ht="25" customHeight="1">
      <x:c r="A160" s="3"/>
      <x:c r="B160" s="3"/>
      <x:c r="C160" s="3"/>
      <x:c r="D160" s="3"/>
      <x:c r="E160" s="3"/>
      <x:c r="F160" s="3"/>
      <x:c r="G160" s="3"/>
      <x:c r="H160" s="3"/>
      <x:c r="I160" s="20"/>
      <x:c r="J160" s="20"/>
      <x:c r="K160" s="3"/>
      <x:c r="L160" s="3"/>
      <x:c r="M160" s="19" t="str">
        <x:f>IF(A160="","",IF(COUNTIFS($A$7:$A$306,A160,$B$7:$B$306,B160)&lt;&gt;1,"规则版本重复",IF(OR(B160="",D160="",E160="",F160="",K160="",L160=""),"待补规则信息",IF(AND(C160&lt;&gt;"",OR(C160=B160,COUNTIFS($A$7:$A$306,A160,$B$7:$B$306,C160)&lt;&gt;1)),"父版本引用无效",IF(AND(OR(D160="试行",D160="采用"),OR(G160="",NOT(ISNUMBER(I160)),NOT(ISNUMBER(J160)))),"待补采用与复核","有效输入")))))</x:f>
      </x:c>
    </x:row>
    <x:row r="161" ht="25" customHeight="1">
      <x:c r="A161" s="3"/>
      <x:c r="B161" s="3"/>
      <x:c r="C161" s="3"/>
      <x:c r="D161" s="3"/>
      <x:c r="E161" s="3"/>
      <x:c r="F161" s="3"/>
      <x:c r="G161" s="3"/>
      <x:c r="H161" s="3"/>
      <x:c r="I161" s="20"/>
      <x:c r="J161" s="20"/>
      <x:c r="K161" s="3"/>
      <x:c r="L161" s="3"/>
      <x:c r="M161" s="19" t="str">
        <x:f>IF(A161="","",IF(COUNTIFS($A$7:$A$306,A161,$B$7:$B$306,B161)&lt;&gt;1,"规则版本重复",IF(OR(B161="",D161="",E161="",F161="",K161="",L161=""),"待补规则信息",IF(AND(C161&lt;&gt;"",OR(C161=B161,COUNTIFS($A$7:$A$306,A161,$B$7:$B$306,C161)&lt;&gt;1)),"父版本引用无效",IF(AND(OR(D161="试行",D161="采用"),OR(G161="",NOT(ISNUMBER(I161)),NOT(ISNUMBER(J161)))),"待补采用与复核","有效输入")))))</x:f>
      </x:c>
    </x:row>
    <x:row r="162" ht="25" customHeight="1">
      <x:c r="A162" s="3"/>
      <x:c r="B162" s="3"/>
      <x:c r="C162" s="3"/>
      <x:c r="D162" s="3"/>
      <x:c r="E162" s="3"/>
      <x:c r="F162" s="3"/>
      <x:c r="G162" s="3"/>
      <x:c r="H162" s="3"/>
      <x:c r="I162" s="20"/>
      <x:c r="J162" s="20"/>
      <x:c r="K162" s="3"/>
      <x:c r="L162" s="3"/>
      <x:c r="M162" s="19" t="str">
        <x:f>IF(A162="","",IF(COUNTIFS($A$7:$A$306,A162,$B$7:$B$306,B162)&lt;&gt;1,"规则版本重复",IF(OR(B162="",D162="",E162="",F162="",K162="",L162=""),"待补规则信息",IF(AND(C162&lt;&gt;"",OR(C162=B162,COUNTIFS($A$7:$A$306,A162,$B$7:$B$306,C162)&lt;&gt;1)),"父版本引用无效",IF(AND(OR(D162="试行",D162="采用"),OR(G162="",NOT(ISNUMBER(I162)),NOT(ISNUMBER(J162)))),"待补采用与复核","有效输入")))))</x:f>
      </x:c>
    </x:row>
    <x:row r="163" ht="25" customHeight="1">
      <x:c r="A163" s="3"/>
      <x:c r="B163" s="3"/>
      <x:c r="C163" s="3"/>
      <x:c r="D163" s="3"/>
      <x:c r="E163" s="3"/>
      <x:c r="F163" s="3"/>
      <x:c r="G163" s="3"/>
      <x:c r="H163" s="3"/>
      <x:c r="I163" s="20"/>
      <x:c r="J163" s="20"/>
      <x:c r="K163" s="3"/>
      <x:c r="L163" s="3"/>
      <x:c r="M163" s="19" t="str">
        <x:f>IF(A163="","",IF(COUNTIFS($A$7:$A$306,A163,$B$7:$B$306,B163)&lt;&gt;1,"规则版本重复",IF(OR(B163="",D163="",E163="",F163="",K163="",L163=""),"待补规则信息",IF(AND(C163&lt;&gt;"",OR(C163=B163,COUNTIFS($A$7:$A$306,A163,$B$7:$B$306,C163)&lt;&gt;1)),"父版本引用无效",IF(AND(OR(D163="试行",D163="采用"),OR(G163="",NOT(ISNUMBER(I163)),NOT(ISNUMBER(J163)))),"待补采用与复核","有效输入")))))</x:f>
      </x:c>
    </x:row>
    <x:row r="164" ht="25" customHeight="1">
      <x:c r="A164" s="3"/>
      <x:c r="B164" s="3"/>
      <x:c r="C164" s="3"/>
      <x:c r="D164" s="3"/>
      <x:c r="E164" s="3"/>
      <x:c r="F164" s="3"/>
      <x:c r="G164" s="3"/>
      <x:c r="H164" s="3"/>
      <x:c r="I164" s="20"/>
      <x:c r="J164" s="20"/>
      <x:c r="K164" s="3"/>
      <x:c r="L164" s="3"/>
      <x:c r="M164" s="19" t="str">
        <x:f>IF(A164="","",IF(COUNTIFS($A$7:$A$306,A164,$B$7:$B$306,B164)&lt;&gt;1,"规则版本重复",IF(OR(B164="",D164="",E164="",F164="",K164="",L164=""),"待补规则信息",IF(AND(C164&lt;&gt;"",OR(C164=B164,COUNTIFS($A$7:$A$306,A164,$B$7:$B$306,C164)&lt;&gt;1)),"父版本引用无效",IF(AND(OR(D164="试行",D164="采用"),OR(G164="",NOT(ISNUMBER(I164)),NOT(ISNUMBER(J164)))),"待补采用与复核","有效输入")))))</x:f>
      </x:c>
    </x:row>
    <x:row r="165" ht="25" customHeight="1">
      <x:c r="A165" s="3"/>
      <x:c r="B165" s="3"/>
      <x:c r="C165" s="3"/>
      <x:c r="D165" s="3"/>
      <x:c r="E165" s="3"/>
      <x:c r="F165" s="3"/>
      <x:c r="G165" s="3"/>
      <x:c r="H165" s="3"/>
      <x:c r="I165" s="20"/>
      <x:c r="J165" s="20"/>
      <x:c r="K165" s="3"/>
      <x:c r="L165" s="3"/>
      <x:c r="M165" s="19" t="str">
        <x:f>IF(A165="","",IF(COUNTIFS($A$7:$A$306,A165,$B$7:$B$306,B165)&lt;&gt;1,"规则版本重复",IF(OR(B165="",D165="",E165="",F165="",K165="",L165=""),"待补规则信息",IF(AND(C165&lt;&gt;"",OR(C165=B165,COUNTIFS($A$7:$A$306,A165,$B$7:$B$306,C165)&lt;&gt;1)),"父版本引用无效",IF(AND(OR(D165="试行",D165="采用"),OR(G165="",NOT(ISNUMBER(I165)),NOT(ISNUMBER(J165)))),"待补采用与复核","有效输入")))))</x:f>
      </x:c>
    </x:row>
    <x:row r="166" ht="25" customHeight="1">
      <x:c r="A166" s="3"/>
      <x:c r="B166" s="3"/>
      <x:c r="C166" s="3"/>
      <x:c r="D166" s="3"/>
      <x:c r="E166" s="3"/>
      <x:c r="F166" s="3"/>
      <x:c r="G166" s="3"/>
      <x:c r="H166" s="3"/>
      <x:c r="I166" s="20"/>
      <x:c r="J166" s="20"/>
      <x:c r="K166" s="3"/>
      <x:c r="L166" s="3"/>
      <x:c r="M166" s="19" t="str">
        <x:f>IF(A166="","",IF(COUNTIFS($A$7:$A$306,A166,$B$7:$B$306,B166)&lt;&gt;1,"规则版本重复",IF(OR(B166="",D166="",E166="",F166="",K166="",L166=""),"待补规则信息",IF(AND(C166&lt;&gt;"",OR(C166=B166,COUNTIFS($A$7:$A$306,A166,$B$7:$B$306,C166)&lt;&gt;1)),"父版本引用无效",IF(AND(OR(D166="试行",D166="采用"),OR(G166="",NOT(ISNUMBER(I166)),NOT(ISNUMBER(J166)))),"待补采用与复核","有效输入")))))</x:f>
      </x:c>
    </x:row>
    <x:row r="167" ht="25" customHeight="1">
      <x:c r="A167" s="3"/>
      <x:c r="B167" s="3"/>
      <x:c r="C167" s="3"/>
      <x:c r="D167" s="3"/>
      <x:c r="E167" s="3"/>
      <x:c r="F167" s="3"/>
      <x:c r="G167" s="3"/>
      <x:c r="H167" s="3"/>
      <x:c r="I167" s="20"/>
      <x:c r="J167" s="20"/>
      <x:c r="K167" s="3"/>
      <x:c r="L167" s="3"/>
      <x:c r="M167" s="19" t="str">
        <x:f>IF(A167="","",IF(COUNTIFS($A$7:$A$306,A167,$B$7:$B$306,B167)&lt;&gt;1,"规则版本重复",IF(OR(B167="",D167="",E167="",F167="",K167="",L167=""),"待补规则信息",IF(AND(C167&lt;&gt;"",OR(C167=B167,COUNTIFS($A$7:$A$306,A167,$B$7:$B$306,C167)&lt;&gt;1)),"父版本引用无效",IF(AND(OR(D167="试行",D167="采用"),OR(G167="",NOT(ISNUMBER(I167)),NOT(ISNUMBER(J167)))),"待补采用与复核","有效输入")))))</x:f>
      </x:c>
    </x:row>
    <x:row r="168" ht="25" customHeight="1">
      <x:c r="A168" s="3"/>
      <x:c r="B168" s="3"/>
      <x:c r="C168" s="3"/>
      <x:c r="D168" s="3"/>
      <x:c r="E168" s="3"/>
      <x:c r="F168" s="3"/>
      <x:c r="G168" s="3"/>
      <x:c r="H168" s="3"/>
      <x:c r="I168" s="20"/>
      <x:c r="J168" s="20"/>
      <x:c r="K168" s="3"/>
      <x:c r="L168" s="3"/>
      <x:c r="M168" s="19" t="str">
        <x:f>IF(A168="","",IF(COUNTIFS($A$7:$A$306,A168,$B$7:$B$306,B168)&lt;&gt;1,"规则版本重复",IF(OR(B168="",D168="",E168="",F168="",K168="",L168=""),"待补规则信息",IF(AND(C168&lt;&gt;"",OR(C168=B168,COUNTIFS($A$7:$A$306,A168,$B$7:$B$306,C168)&lt;&gt;1)),"父版本引用无效",IF(AND(OR(D168="试行",D168="采用"),OR(G168="",NOT(ISNUMBER(I168)),NOT(ISNUMBER(J168)))),"待补采用与复核","有效输入")))))</x:f>
      </x:c>
    </x:row>
    <x:row r="169" ht="25" customHeight="1">
      <x:c r="A169" s="3"/>
      <x:c r="B169" s="3"/>
      <x:c r="C169" s="3"/>
      <x:c r="D169" s="3"/>
      <x:c r="E169" s="3"/>
      <x:c r="F169" s="3"/>
      <x:c r="G169" s="3"/>
      <x:c r="H169" s="3"/>
      <x:c r="I169" s="20"/>
      <x:c r="J169" s="20"/>
      <x:c r="K169" s="3"/>
      <x:c r="L169" s="3"/>
      <x:c r="M169" s="19" t="str">
        <x:f>IF(A169="","",IF(COUNTIFS($A$7:$A$306,A169,$B$7:$B$306,B169)&lt;&gt;1,"规则版本重复",IF(OR(B169="",D169="",E169="",F169="",K169="",L169=""),"待补规则信息",IF(AND(C169&lt;&gt;"",OR(C169=B169,COUNTIFS($A$7:$A$306,A169,$B$7:$B$306,C169)&lt;&gt;1)),"父版本引用无效",IF(AND(OR(D169="试行",D169="采用"),OR(G169="",NOT(ISNUMBER(I169)),NOT(ISNUMBER(J169)))),"待补采用与复核","有效输入")))))</x:f>
      </x:c>
    </x:row>
    <x:row r="170" ht="25" customHeight="1">
      <x:c r="A170" s="3"/>
      <x:c r="B170" s="3"/>
      <x:c r="C170" s="3"/>
      <x:c r="D170" s="3"/>
      <x:c r="E170" s="3"/>
      <x:c r="F170" s="3"/>
      <x:c r="G170" s="3"/>
      <x:c r="H170" s="3"/>
      <x:c r="I170" s="20"/>
      <x:c r="J170" s="20"/>
      <x:c r="K170" s="3"/>
      <x:c r="L170" s="3"/>
      <x:c r="M170" s="19" t="str">
        <x:f>IF(A170="","",IF(COUNTIFS($A$7:$A$306,A170,$B$7:$B$306,B170)&lt;&gt;1,"规则版本重复",IF(OR(B170="",D170="",E170="",F170="",K170="",L170=""),"待补规则信息",IF(AND(C170&lt;&gt;"",OR(C170=B170,COUNTIFS($A$7:$A$306,A170,$B$7:$B$306,C170)&lt;&gt;1)),"父版本引用无效",IF(AND(OR(D170="试行",D170="采用"),OR(G170="",NOT(ISNUMBER(I170)),NOT(ISNUMBER(J170)))),"待补采用与复核","有效输入")))))</x:f>
      </x:c>
    </x:row>
    <x:row r="171" ht="25" customHeight="1">
      <x:c r="A171" s="3"/>
      <x:c r="B171" s="3"/>
      <x:c r="C171" s="3"/>
      <x:c r="D171" s="3"/>
      <x:c r="E171" s="3"/>
      <x:c r="F171" s="3"/>
      <x:c r="G171" s="3"/>
      <x:c r="H171" s="3"/>
      <x:c r="I171" s="20"/>
      <x:c r="J171" s="20"/>
      <x:c r="K171" s="3"/>
      <x:c r="L171" s="3"/>
      <x:c r="M171" s="19" t="str">
        <x:f>IF(A171="","",IF(COUNTIFS($A$7:$A$306,A171,$B$7:$B$306,B171)&lt;&gt;1,"规则版本重复",IF(OR(B171="",D171="",E171="",F171="",K171="",L171=""),"待补规则信息",IF(AND(C171&lt;&gt;"",OR(C171=B171,COUNTIFS($A$7:$A$306,A171,$B$7:$B$306,C171)&lt;&gt;1)),"父版本引用无效",IF(AND(OR(D171="试行",D171="采用"),OR(G171="",NOT(ISNUMBER(I171)),NOT(ISNUMBER(J171)))),"待补采用与复核","有效输入")))))</x:f>
      </x:c>
    </x:row>
    <x:row r="172" ht="25" customHeight="1">
      <x:c r="A172" s="3"/>
      <x:c r="B172" s="3"/>
      <x:c r="C172" s="3"/>
      <x:c r="D172" s="3"/>
      <x:c r="E172" s="3"/>
      <x:c r="F172" s="3"/>
      <x:c r="G172" s="3"/>
      <x:c r="H172" s="3"/>
      <x:c r="I172" s="20"/>
      <x:c r="J172" s="20"/>
      <x:c r="K172" s="3"/>
      <x:c r="L172" s="3"/>
      <x:c r="M172" s="19" t="str">
        <x:f>IF(A172="","",IF(COUNTIFS($A$7:$A$306,A172,$B$7:$B$306,B172)&lt;&gt;1,"规则版本重复",IF(OR(B172="",D172="",E172="",F172="",K172="",L172=""),"待补规则信息",IF(AND(C172&lt;&gt;"",OR(C172=B172,COUNTIFS($A$7:$A$306,A172,$B$7:$B$306,C172)&lt;&gt;1)),"父版本引用无效",IF(AND(OR(D172="试行",D172="采用"),OR(G172="",NOT(ISNUMBER(I172)),NOT(ISNUMBER(J172)))),"待补采用与复核","有效输入")))))</x:f>
      </x:c>
    </x:row>
    <x:row r="173" ht="25" customHeight="1">
      <x:c r="A173" s="3"/>
      <x:c r="B173" s="3"/>
      <x:c r="C173" s="3"/>
      <x:c r="D173" s="3"/>
      <x:c r="E173" s="3"/>
      <x:c r="F173" s="3"/>
      <x:c r="G173" s="3"/>
      <x:c r="H173" s="3"/>
      <x:c r="I173" s="20"/>
      <x:c r="J173" s="20"/>
      <x:c r="K173" s="3"/>
      <x:c r="L173" s="3"/>
      <x:c r="M173" s="19" t="str">
        <x:f>IF(A173="","",IF(COUNTIFS($A$7:$A$306,A173,$B$7:$B$306,B173)&lt;&gt;1,"规则版本重复",IF(OR(B173="",D173="",E173="",F173="",K173="",L173=""),"待补规则信息",IF(AND(C173&lt;&gt;"",OR(C173=B173,COUNTIFS($A$7:$A$306,A173,$B$7:$B$306,C173)&lt;&gt;1)),"父版本引用无效",IF(AND(OR(D173="试行",D173="采用"),OR(G173="",NOT(ISNUMBER(I173)),NOT(ISNUMBER(J173)))),"待补采用与复核","有效输入")))))</x:f>
      </x:c>
    </x:row>
    <x:row r="174" ht="25" customHeight="1">
      <x:c r="A174" s="3"/>
      <x:c r="B174" s="3"/>
      <x:c r="C174" s="3"/>
      <x:c r="D174" s="3"/>
      <x:c r="E174" s="3"/>
      <x:c r="F174" s="3"/>
      <x:c r="G174" s="3"/>
      <x:c r="H174" s="3"/>
      <x:c r="I174" s="20"/>
      <x:c r="J174" s="20"/>
      <x:c r="K174" s="3"/>
      <x:c r="L174" s="3"/>
      <x:c r="M174" s="19" t="str">
        <x:f>IF(A174="","",IF(COUNTIFS($A$7:$A$306,A174,$B$7:$B$306,B174)&lt;&gt;1,"规则版本重复",IF(OR(B174="",D174="",E174="",F174="",K174="",L174=""),"待补规则信息",IF(AND(C174&lt;&gt;"",OR(C174=B174,COUNTIFS($A$7:$A$306,A174,$B$7:$B$306,C174)&lt;&gt;1)),"父版本引用无效",IF(AND(OR(D174="试行",D174="采用"),OR(G174="",NOT(ISNUMBER(I174)),NOT(ISNUMBER(J174)))),"待补采用与复核","有效输入")))))</x:f>
      </x:c>
    </x:row>
    <x:row r="175" ht="25" customHeight="1">
      <x:c r="A175" s="3"/>
      <x:c r="B175" s="3"/>
      <x:c r="C175" s="3"/>
      <x:c r="D175" s="3"/>
      <x:c r="E175" s="3"/>
      <x:c r="F175" s="3"/>
      <x:c r="G175" s="3"/>
      <x:c r="H175" s="3"/>
      <x:c r="I175" s="20"/>
      <x:c r="J175" s="20"/>
      <x:c r="K175" s="3"/>
      <x:c r="L175" s="3"/>
      <x:c r="M175" s="19" t="str">
        <x:f>IF(A175="","",IF(COUNTIFS($A$7:$A$306,A175,$B$7:$B$306,B175)&lt;&gt;1,"规则版本重复",IF(OR(B175="",D175="",E175="",F175="",K175="",L175=""),"待补规则信息",IF(AND(C175&lt;&gt;"",OR(C175=B175,COUNTIFS($A$7:$A$306,A175,$B$7:$B$306,C175)&lt;&gt;1)),"父版本引用无效",IF(AND(OR(D175="试行",D175="采用"),OR(G175="",NOT(ISNUMBER(I175)),NOT(ISNUMBER(J175)))),"待补采用与复核","有效输入")))))</x:f>
      </x:c>
    </x:row>
    <x:row r="176" ht="25" customHeight="1">
      <x:c r="A176" s="3"/>
      <x:c r="B176" s="3"/>
      <x:c r="C176" s="3"/>
      <x:c r="D176" s="3"/>
      <x:c r="E176" s="3"/>
      <x:c r="F176" s="3"/>
      <x:c r="G176" s="3"/>
      <x:c r="H176" s="3"/>
      <x:c r="I176" s="20"/>
      <x:c r="J176" s="20"/>
      <x:c r="K176" s="3"/>
      <x:c r="L176" s="3"/>
      <x:c r="M176" s="19" t="str">
        <x:f>IF(A176="","",IF(COUNTIFS($A$7:$A$306,A176,$B$7:$B$306,B176)&lt;&gt;1,"规则版本重复",IF(OR(B176="",D176="",E176="",F176="",K176="",L176=""),"待补规则信息",IF(AND(C176&lt;&gt;"",OR(C176=B176,COUNTIFS($A$7:$A$306,A176,$B$7:$B$306,C176)&lt;&gt;1)),"父版本引用无效",IF(AND(OR(D176="试行",D176="采用"),OR(G176="",NOT(ISNUMBER(I176)),NOT(ISNUMBER(J176)))),"待补采用与复核","有效输入")))))</x:f>
      </x:c>
    </x:row>
    <x:row r="177" ht="25" customHeight="1">
      <x:c r="A177" s="3"/>
      <x:c r="B177" s="3"/>
      <x:c r="C177" s="3"/>
      <x:c r="D177" s="3"/>
      <x:c r="E177" s="3"/>
      <x:c r="F177" s="3"/>
      <x:c r="G177" s="3"/>
      <x:c r="H177" s="3"/>
      <x:c r="I177" s="20"/>
      <x:c r="J177" s="20"/>
      <x:c r="K177" s="3"/>
      <x:c r="L177" s="3"/>
      <x:c r="M177" s="19" t="str">
        <x:f>IF(A177="","",IF(COUNTIFS($A$7:$A$306,A177,$B$7:$B$306,B177)&lt;&gt;1,"规则版本重复",IF(OR(B177="",D177="",E177="",F177="",K177="",L177=""),"待补规则信息",IF(AND(C177&lt;&gt;"",OR(C177=B177,COUNTIFS($A$7:$A$306,A177,$B$7:$B$306,C177)&lt;&gt;1)),"父版本引用无效",IF(AND(OR(D177="试行",D177="采用"),OR(G177="",NOT(ISNUMBER(I177)),NOT(ISNUMBER(J177)))),"待补采用与复核","有效输入")))))</x:f>
      </x:c>
    </x:row>
    <x:row r="178" ht="25" customHeight="1">
      <x:c r="A178" s="3"/>
      <x:c r="B178" s="3"/>
      <x:c r="C178" s="3"/>
      <x:c r="D178" s="3"/>
      <x:c r="E178" s="3"/>
      <x:c r="F178" s="3"/>
      <x:c r="G178" s="3"/>
      <x:c r="H178" s="3"/>
      <x:c r="I178" s="20"/>
      <x:c r="J178" s="20"/>
      <x:c r="K178" s="3"/>
      <x:c r="L178" s="3"/>
      <x:c r="M178" s="19" t="str">
        <x:f>IF(A178="","",IF(COUNTIFS($A$7:$A$306,A178,$B$7:$B$306,B178)&lt;&gt;1,"规则版本重复",IF(OR(B178="",D178="",E178="",F178="",K178="",L178=""),"待补规则信息",IF(AND(C178&lt;&gt;"",OR(C178=B178,COUNTIFS($A$7:$A$306,A178,$B$7:$B$306,C178)&lt;&gt;1)),"父版本引用无效",IF(AND(OR(D178="试行",D178="采用"),OR(G178="",NOT(ISNUMBER(I178)),NOT(ISNUMBER(J178)))),"待补采用与复核","有效输入")))))</x:f>
      </x:c>
    </x:row>
    <x:row r="179" ht="25" customHeight="1">
      <x:c r="A179" s="3"/>
      <x:c r="B179" s="3"/>
      <x:c r="C179" s="3"/>
      <x:c r="D179" s="3"/>
      <x:c r="E179" s="3"/>
      <x:c r="F179" s="3"/>
      <x:c r="G179" s="3"/>
      <x:c r="H179" s="3"/>
      <x:c r="I179" s="20"/>
      <x:c r="J179" s="20"/>
      <x:c r="K179" s="3"/>
      <x:c r="L179" s="3"/>
      <x:c r="M179" s="19" t="str">
        <x:f>IF(A179="","",IF(COUNTIFS($A$7:$A$306,A179,$B$7:$B$306,B179)&lt;&gt;1,"规则版本重复",IF(OR(B179="",D179="",E179="",F179="",K179="",L179=""),"待补规则信息",IF(AND(C179&lt;&gt;"",OR(C179=B179,COUNTIFS($A$7:$A$306,A179,$B$7:$B$306,C179)&lt;&gt;1)),"父版本引用无效",IF(AND(OR(D179="试行",D179="采用"),OR(G179="",NOT(ISNUMBER(I179)),NOT(ISNUMBER(J179)))),"待补采用与复核","有效输入")))))</x:f>
      </x:c>
    </x:row>
    <x:row r="180" ht="25" customHeight="1">
      <x:c r="A180" s="3"/>
      <x:c r="B180" s="3"/>
      <x:c r="C180" s="3"/>
      <x:c r="D180" s="3"/>
      <x:c r="E180" s="3"/>
      <x:c r="F180" s="3"/>
      <x:c r="G180" s="3"/>
      <x:c r="H180" s="3"/>
      <x:c r="I180" s="20"/>
      <x:c r="J180" s="20"/>
      <x:c r="K180" s="3"/>
      <x:c r="L180" s="3"/>
      <x:c r="M180" s="19" t="str">
        <x:f>IF(A180="","",IF(COUNTIFS($A$7:$A$306,A180,$B$7:$B$306,B180)&lt;&gt;1,"规则版本重复",IF(OR(B180="",D180="",E180="",F180="",K180="",L180=""),"待补规则信息",IF(AND(C180&lt;&gt;"",OR(C180=B180,COUNTIFS($A$7:$A$306,A180,$B$7:$B$306,C180)&lt;&gt;1)),"父版本引用无效",IF(AND(OR(D180="试行",D180="采用"),OR(G180="",NOT(ISNUMBER(I180)),NOT(ISNUMBER(J180)))),"待补采用与复核","有效输入")))))</x:f>
      </x:c>
    </x:row>
    <x:row r="181" ht="25" customHeight="1">
      <x:c r="A181" s="3"/>
      <x:c r="B181" s="3"/>
      <x:c r="C181" s="3"/>
      <x:c r="D181" s="3"/>
      <x:c r="E181" s="3"/>
      <x:c r="F181" s="3"/>
      <x:c r="G181" s="3"/>
      <x:c r="H181" s="3"/>
      <x:c r="I181" s="20"/>
      <x:c r="J181" s="20"/>
      <x:c r="K181" s="3"/>
      <x:c r="L181" s="3"/>
      <x:c r="M181" s="19" t="str">
        <x:f>IF(A181="","",IF(COUNTIFS($A$7:$A$306,A181,$B$7:$B$306,B181)&lt;&gt;1,"规则版本重复",IF(OR(B181="",D181="",E181="",F181="",K181="",L181=""),"待补规则信息",IF(AND(C181&lt;&gt;"",OR(C181=B181,COUNTIFS($A$7:$A$306,A181,$B$7:$B$306,C181)&lt;&gt;1)),"父版本引用无效",IF(AND(OR(D181="试行",D181="采用"),OR(G181="",NOT(ISNUMBER(I181)),NOT(ISNUMBER(J181)))),"待补采用与复核","有效输入")))))</x:f>
      </x:c>
    </x:row>
    <x:row r="182" ht="25" customHeight="1">
      <x:c r="A182" s="3"/>
      <x:c r="B182" s="3"/>
      <x:c r="C182" s="3"/>
      <x:c r="D182" s="3"/>
      <x:c r="E182" s="3"/>
      <x:c r="F182" s="3"/>
      <x:c r="G182" s="3"/>
      <x:c r="H182" s="3"/>
      <x:c r="I182" s="20"/>
      <x:c r="J182" s="20"/>
      <x:c r="K182" s="3"/>
      <x:c r="L182" s="3"/>
      <x:c r="M182" s="19" t="str">
        <x:f>IF(A182="","",IF(COUNTIFS($A$7:$A$306,A182,$B$7:$B$306,B182)&lt;&gt;1,"规则版本重复",IF(OR(B182="",D182="",E182="",F182="",K182="",L182=""),"待补规则信息",IF(AND(C182&lt;&gt;"",OR(C182=B182,COUNTIFS($A$7:$A$306,A182,$B$7:$B$306,C182)&lt;&gt;1)),"父版本引用无效",IF(AND(OR(D182="试行",D182="采用"),OR(G182="",NOT(ISNUMBER(I182)),NOT(ISNUMBER(J182)))),"待补采用与复核","有效输入")))))</x:f>
      </x:c>
    </x:row>
    <x:row r="183" ht="25" customHeight="1">
      <x:c r="A183" s="3"/>
      <x:c r="B183" s="3"/>
      <x:c r="C183" s="3"/>
      <x:c r="D183" s="3"/>
      <x:c r="E183" s="3"/>
      <x:c r="F183" s="3"/>
      <x:c r="G183" s="3"/>
      <x:c r="H183" s="3"/>
      <x:c r="I183" s="20"/>
      <x:c r="J183" s="20"/>
      <x:c r="K183" s="3"/>
      <x:c r="L183" s="3"/>
      <x:c r="M183" s="19" t="str">
        <x:f>IF(A183="","",IF(COUNTIFS($A$7:$A$306,A183,$B$7:$B$306,B183)&lt;&gt;1,"规则版本重复",IF(OR(B183="",D183="",E183="",F183="",K183="",L183=""),"待补规则信息",IF(AND(C183&lt;&gt;"",OR(C183=B183,COUNTIFS($A$7:$A$306,A183,$B$7:$B$306,C183)&lt;&gt;1)),"父版本引用无效",IF(AND(OR(D183="试行",D183="采用"),OR(G183="",NOT(ISNUMBER(I183)),NOT(ISNUMBER(J183)))),"待补采用与复核","有效输入")))))</x:f>
      </x:c>
    </x:row>
    <x:row r="184" ht="25" customHeight="1">
      <x:c r="A184" s="3"/>
      <x:c r="B184" s="3"/>
      <x:c r="C184" s="3"/>
      <x:c r="D184" s="3"/>
      <x:c r="E184" s="3"/>
      <x:c r="F184" s="3"/>
      <x:c r="G184" s="3"/>
      <x:c r="H184" s="3"/>
      <x:c r="I184" s="20"/>
      <x:c r="J184" s="20"/>
      <x:c r="K184" s="3"/>
      <x:c r="L184" s="3"/>
      <x:c r="M184" s="19" t="str">
        <x:f>IF(A184="","",IF(COUNTIFS($A$7:$A$306,A184,$B$7:$B$306,B184)&lt;&gt;1,"规则版本重复",IF(OR(B184="",D184="",E184="",F184="",K184="",L184=""),"待补规则信息",IF(AND(C184&lt;&gt;"",OR(C184=B184,COUNTIFS($A$7:$A$306,A184,$B$7:$B$306,C184)&lt;&gt;1)),"父版本引用无效",IF(AND(OR(D184="试行",D184="采用"),OR(G184="",NOT(ISNUMBER(I184)),NOT(ISNUMBER(J184)))),"待补采用与复核","有效输入")))))</x:f>
      </x:c>
    </x:row>
    <x:row r="185" ht="25" customHeight="1">
      <x:c r="A185" s="3"/>
      <x:c r="B185" s="3"/>
      <x:c r="C185" s="3"/>
      <x:c r="D185" s="3"/>
      <x:c r="E185" s="3"/>
      <x:c r="F185" s="3"/>
      <x:c r="G185" s="3"/>
      <x:c r="H185" s="3"/>
      <x:c r="I185" s="20"/>
      <x:c r="J185" s="20"/>
      <x:c r="K185" s="3"/>
      <x:c r="L185" s="3"/>
      <x:c r="M185" s="19" t="str">
        <x:f>IF(A185="","",IF(COUNTIFS($A$7:$A$306,A185,$B$7:$B$306,B185)&lt;&gt;1,"规则版本重复",IF(OR(B185="",D185="",E185="",F185="",K185="",L185=""),"待补规则信息",IF(AND(C185&lt;&gt;"",OR(C185=B185,COUNTIFS($A$7:$A$306,A185,$B$7:$B$306,C185)&lt;&gt;1)),"父版本引用无效",IF(AND(OR(D185="试行",D185="采用"),OR(G185="",NOT(ISNUMBER(I185)),NOT(ISNUMBER(J185)))),"待补采用与复核","有效输入")))))</x:f>
      </x:c>
    </x:row>
    <x:row r="186" ht="25" customHeight="1">
      <x:c r="A186" s="3"/>
      <x:c r="B186" s="3"/>
      <x:c r="C186" s="3"/>
      <x:c r="D186" s="3"/>
      <x:c r="E186" s="3"/>
      <x:c r="F186" s="3"/>
      <x:c r="G186" s="3"/>
      <x:c r="H186" s="3"/>
      <x:c r="I186" s="20"/>
      <x:c r="J186" s="20"/>
      <x:c r="K186" s="3"/>
      <x:c r="L186" s="3"/>
      <x:c r="M186" s="19" t="str">
        <x:f>IF(A186="","",IF(COUNTIFS($A$7:$A$306,A186,$B$7:$B$306,B186)&lt;&gt;1,"规则版本重复",IF(OR(B186="",D186="",E186="",F186="",K186="",L186=""),"待补规则信息",IF(AND(C186&lt;&gt;"",OR(C186=B186,COUNTIFS($A$7:$A$306,A186,$B$7:$B$306,C186)&lt;&gt;1)),"父版本引用无效",IF(AND(OR(D186="试行",D186="采用"),OR(G186="",NOT(ISNUMBER(I186)),NOT(ISNUMBER(J186)))),"待补采用与复核","有效输入")))))</x:f>
      </x:c>
    </x:row>
    <x:row r="187" ht="25" customHeight="1">
      <x:c r="A187" s="3"/>
      <x:c r="B187" s="3"/>
      <x:c r="C187" s="3"/>
      <x:c r="D187" s="3"/>
      <x:c r="E187" s="3"/>
      <x:c r="F187" s="3"/>
      <x:c r="G187" s="3"/>
      <x:c r="H187" s="3"/>
      <x:c r="I187" s="20"/>
      <x:c r="J187" s="20"/>
      <x:c r="K187" s="3"/>
      <x:c r="L187" s="3"/>
      <x:c r="M187" s="19" t="str">
        <x:f>IF(A187="","",IF(COUNTIFS($A$7:$A$306,A187,$B$7:$B$306,B187)&lt;&gt;1,"规则版本重复",IF(OR(B187="",D187="",E187="",F187="",K187="",L187=""),"待补规则信息",IF(AND(C187&lt;&gt;"",OR(C187=B187,COUNTIFS($A$7:$A$306,A187,$B$7:$B$306,C187)&lt;&gt;1)),"父版本引用无效",IF(AND(OR(D187="试行",D187="采用"),OR(G187="",NOT(ISNUMBER(I187)),NOT(ISNUMBER(J187)))),"待补采用与复核","有效输入")))))</x:f>
      </x:c>
    </x:row>
    <x:row r="188" ht="25" customHeight="1">
      <x:c r="A188" s="3"/>
      <x:c r="B188" s="3"/>
      <x:c r="C188" s="3"/>
      <x:c r="D188" s="3"/>
      <x:c r="E188" s="3"/>
      <x:c r="F188" s="3"/>
      <x:c r="G188" s="3"/>
      <x:c r="H188" s="3"/>
      <x:c r="I188" s="20"/>
      <x:c r="J188" s="20"/>
      <x:c r="K188" s="3"/>
      <x:c r="L188" s="3"/>
      <x:c r="M188" s="19" t="str">
        <x:f>IF(A188="","",IF(COUNTIFS($A$7:$A$306,A188,$B$7:$B$306,B188)&lt;&gt;1,"规则版本重复",IF(OR(B188="",D188="",E188="",F188="",K188="",L188=""),"待补规则信息",IF(AND(C188&lt;&gt;"",OR(C188=B188,COUNTIFS($A$7:$A$306,A188,$B$7:$B$306,C188)&lt;&gt;1)),"父版本引用无效",IF(AND(OR(D188="试行",D188="采用"),OR(G188="",NOT(ISNUMBER(I188)),NOT(ISNUMBER(J188)))),"待补采用与复核","有效输入")))))</x:f>
      </x:c>
    </x:row>
    <x:row r="189" ht="25" customHeight="1">
      <x:c r="A189" s="3"/>
      <x:c r="B189" s="3"/>
      <x:c r="C189" s="3"/>
      <x:c r="D189" s="3"/>
      <x:c r="E189" s="3"/>
      <x:c r="F189" s="3"/>
      <x:c r="G189" s="3"/>
      <x:c r="H189" s="3"/>
      <x:c r="I189" s="20"/>
      <x:c r="J189" s="20"/>
      <x:c r="K189" s="3"/>
      <x:c r="L189" s="3"/>
      <x:c r="M189" s="19" t="str">
        <x:f>IF(A189="","",IF(COUNTIFS($A$7:$A$306,A189,$B$7:$B$306,B189)&lt;&gt;1,"规则版本重复",IF(OR(B189="",D189="",E189="",F189="",K189="",L189=""),"待补规则信息",IF(AND(C189&lt;&gt;"",OR(C189=B189,COUNTIFS($A$7:$A$306,A189,$B$7:$B$306,C189)&lt;&gt;1)),"父版本引用无效",IF(AND(OR(D189="试行",D189="采用"),OR(G189="",NOT(ISNUMBER(I189)),NOT(ISNUMBER(J189)))),"待补采用与复核","有效输入")))))</x:f>
      </x:c>
    </x:row>
    <x:row r="190" ht="25" customHeight="1">
      <x:c r="A190" s="3"/>
      <x:c r="B190" s="3"/>
      <x:c r="C190" s="3"/>
      <x:c r="D190" s="3"/>
      <x:c r="E190" s="3"/>
      <x:c r="F190" s="3"/>
      <x:c r="G190" s="3"/>
      <x:c r="H190" s="3"/>
      <x:c r="I190" s="20"/>
      <x:c r="J190" s="20"/>
      <x:c r="K190" s="3"/>
      <x:c r="L190" s="3"/>
      <x:c r="M190" s="19" t="str">
        <x:f>IF(A190="","",IF(COUNTIFS($A$7:$A$306,A190,$B$7:$B$306,B190)&lt;&gt;1,"规则版本重复",IF(OR(B190="",D190="",E190="",F190="",K190="",L190=""),"待补规则信息",IF(AND(C190&lt;&gt;"",OR(C190=B190,COUNTIFS($A$7:$A$306,A190,$B$7:$B$306,C190)&lt;&gt;1)),"父版本引用无效",IF(AND(OR(D190="试行",D190="采用"),OR(G190="",NOT(ISNUMBER(I190)),NOT(ISNUMBER(J190)))),"待补采用与复核","有效输入")))))</x:f>
      </x:c>
    </x:row>
    <x:row r="191" ht="25" customHeight="1">
      <x:c r="A191" s="3"/>
      <x:c r="B191" s="3"/>
      <x:c r="C191" s="3"/>
      <x:c r="D191" s="3"/>
      <x:c r="E191" s="3"/>
      <x:c r="F191" s="3"/>
      <x:c r="G191" s="3"/>
      <x:c r="H191" s="3"/>
      <x:c r="I191" s="20"/>
      <x:c r="J191" s="20"/>
      <x:c r="K191" s="3"/>
      <x:c r="L191" s="3"/>
      <x:c r="M191" s="19" t="str">
        <x:f>IF(A191="","",IF(COUNTIFS($A$7:$A$306,A191,$B$7:$B$306,B191)&lt;&gt;1,"规则版本重复",IF(OR(B191="",D191="",E191="",F191="",K191="",L191=""),"待补规则信息",IF(AND(C191&lt;&gt;"",OR(C191=B191,COUNTIFS($A$7:$A$306,A191,$B$7:$B$306,C191)&lt;&gt;1)),"父版本引用无效",IF(AND(OR(D191="试行",D191="采用"),OR(G191="",NOT(ISNUMBER(I191)),NOT(ISNUMBER(J191)))),"待补采用与复核","有效输入")))))</x:f>
      </x:c>
    </x:row>
    <x:row r="192" ht="25" customHeight="1">
      <x:c r="A192" s="3"/>
      <x:c r="B192" s="3"/>
      <x:c r="C192" s="3"/>
      <x:c r="D192" s="3"/>
      <x:c r="E192" s="3"/>
      <x:c r="F192" s="3"/>
      <x:c r="G192" s="3"/>
      <x:c r="H192" s="3"/>
      <x:c r="I192" s="20"/>
      <x:c r="J192" s="20"/>
      <x:c r="K192" s="3"/>
      <x:c r="L192" s="3"/>
      <x:c r="M192" s="19" t="str">
        <x:f>IF(A192="","",IF(COUNTIFS($A$7:$A$306,A192,$B$7:$B$306,B192)&lt;&gt;1,"规则版本重复",IF(OR(B192="",D192="",E192="",F192="",K192="",L192=""),"待补规则信息",IF(AND(C192&lt;&gt;"",OR(C192=B192,COUNTIFS($A$7:$A$306,A192,$B$7:$B$306,C192)&lt;&gt;1)),"父版本引用无效",IF(AND(OR(D192="试行",D192="采用"),OR(G192="",NOT(ISNUMBER(I192)),NOT(ISNUMBER(J192)))),"待补采用与复核","有效输入")))))</x:f>
      </x:c>
    </x:row>
    <x:row r="193" ht="25" customHeight="1">
      <x:c r="A193" s="3"/>
      <x:c r="B193" s="3"/>
      <x:c r="C193" s="3"/>
      <x:c r="D193" s="3"/>
      <x:c r="E193" s="3"/>
      <x:c r="F193" s="3"/>
      <x:c r="G193" s="3"/>
      <x:c r="H193" s="3"/>
      <x:c r="I193" s="20"/>
      <x:c r="J193" s="20"/>
      <x:c r="K193" s="3"/>
      <x:c r="L193" s="3"/>
      <x:c r="M193" s="19" t="str">
        <x:f>IF(A193="","",IF(COUNTIFS($A$7:$A$306,A193,$B$7:$B$306,B193)&lt;&gt;1,"规则版本重复",IF(OR(B193="",D193="",E193="",F193="",K193="",L193=""),"待补规则信息",IF(AND(C193&lt;&gt;"",OR(C193=B193,COUNTIFS($A$7:$A$306,A193,$B$7:$B$306,C193)&lt;&gt;1)),"父版本引用无效",IF(AND(OR(D193="试行",D193="采用"),OR(G193="",NOT(ISNUMBER(I193)),NOT(ISNUMBER(J193)))),"待补采用与复核","有效输入")))))</x:f>
      </x:c>
    </x:row>
    <x:row r="194" ht="25" customHeight="1">
      <x:c r="A194" s="3"/>
      <x:c r="B194" s="3"/>
      <x:c r="C194" s="3"/>
      <x:c r="D194" s="3"/>
      <x:c r="E194" s="3"/>
      <x:c r="F194" s="3"/>
      <x:c r="G194" s="3"/>
      <x:c r="H194" s="3"/>
      <x:c r="I194" s="20"/>
      <x:c r="J194" s="20"/>
      <x:c r="K194" s="3"/>
      <x:c r="L194" s="3"/>
      <x:c r="M194" s="19" t="str">
        <x:f>IF(A194="","",IF(COUNTIFS($A$7:$A$306,A194,$B$7:$B$306,B194)&lt;&gt;1,"规则版本重复",IF(OR(B194="",D194="",E194="",F194="",K194="",L194=""),"待补规则信息",IF(AND(C194&lt;&gt;"",OR(C194=B194,COUNTIFS($A$7:$A$306,A194,$B$7:$B$306,C194)&lt;&gt;1)),"父版本引用无效",IF(AND(OR(D194="试行",D194="采用"),OR(G194="",NOT(ISNUMBER(I194)),NOT(ISNUMBER(J194)))),"待补采用与复核","有效输入")))))</x:f>
      </x:c>
    </x:row>
    <x:row r="195" ht="25" customHeight="1">
      <x:c r="A195" s="3"/>
      <x:c r="B195" s="3"/>
      <x:c r="C195" s="3"/>
      <x:c r="D195" s="3"/>
      <x:c r="E195" s="3"/>
      <x:c r="F195" s="3"/>
      <x:c r="G195" s="3"/>
      <x:c r="H195" s="3"/>
      <x:c r="I195" s="20"/>
      <x:c r="J195" s="20"/>
      <x:c r="K195" s="3"/>
      <x:c r="L195" s="3"/>
      <x:c r="M195" s="19" t="str">
        <x:f>IF(A195="","",IF(COUNTIFS($A$7:$A$306,A195,$B$7:$B$306,B195)&lt;&gt;1,"规则版本重复",IF(OR(B195="",D195="",E195="",F195="",K195="",L195=""),"待补规则信息",IF(AND(C195&lt;&gt;"",OR(C195=B195,COUNTIFS($A$7:$A$306,A195,$B$7:$B$306,C195)&lt;&gt;1)),"父版本引用无效",IF(AND(OR(D195="试行",D195="采用"),OR(G195="",NOT(ISNUMBER(I195)),NOT(ISNUMBER(J195)))),"待补采用与复核","有效输入")))))</x:f>
      </x:c>
    </x:row>
    <x:row r="196" ht="25" customHeight="1">
      <x:c r="A196" s="3"/>
      <x:c r="B196" s="3"/>
      <x:c r="C196" s="3"/>
      <x:c r="D196" s="3"/>
      <x:c r="E196" s="3"/>
      <x:c r="F196" s="3"/>
      <x:c r="G196" s="3"/>
      <x:c r="H196" s="3"/>
      <x:c r="I196" s="20"/>
      <x:c r="J196" s="20"/>
      <x:c r="K196" s="3"/>
      <x:c r="L196" s="3"/>
      <x:c r="M196" s="19" t="str">
        <x:f>IF(A196="","",IF(COUNTIFS($A$7:$A$306,A196,$B$7:$B$306,B196)&lt;&gt;1,"规则版本重复",IF(OR(B196="",D196="",E196="",F196="",K196="",L196=""),"待补规则信息",IF(AND(C196&lt;&gt;"",OR(C196=B196,COUNTIFS($A$7:$A$306,A196,$B$7:$B$306,C196)&lt;&gt;1)),"父版本引用无效",IF(AND(OR(D196="试行",D196="采用"),OR(G196="",NOT(ISNUMBER(I196)),NOT(ISNUMBER(J196)))),"待补采用与复核","有效输入")))))</x:f>
      </x:c>
    </x:row>
    <x:row r="197" ht="25" customHeight="1">
      <x:c r="A197" s="3"/>
      <x:c r="B197" s="3"/>
      <x:c r="C197" s="3"/>
      <x:c r="D197" s="3"/>
      <x:c r="E197" s="3"/>
      <x:c r="F197" s="3"/>
      <x:c r="G197" s="3"/>
      <x:c r="H197" s="3"/>
      <x:c r="I197" s="20"/>
      <x:c r="J197" s="20"/>
      <x:c r="K197" s="3"/>
      <x:c r="L197" s="3"/>
      <x:c r="M197" s="19" t="str">
        <x:f>IF(A197="","",IF(COUNTIFS($A$7:$A$306,A197,$B$7:$B$306,B197)&lt;&gt;1,"规则版本重复",IF(OR(B197="",D197="",E197="",F197="",K197="",L197=""),"待补规则信息",IF(AND(C197&lt;&gt;"",OR(C197=B197,COUNTIFS($A$7:$A$306,A197,$B$7:$B$306,C197)&lt;&gt;1)),"父版本引用无效",IF(AND(OR(D197="试行",D197="采用"),OR(G197="",NOT(ISNUMBER(I197)),NOT(ISNUMBER(J197)))),"待补采用与复核","有效输入")))))</x:f>
      </x:c>
    </x:row>
    <x:row r="198" ht="25" customHeight="1">
      <x:c r="A198" s="3"/>
      <x:c r="B198" s="3"/>
      <x:c r="C198" s="3"/>
      <x:c r="D198" s="3"/>
      <x:c r="E198" s="3"/>
      <x:c r="F198" s="3"/>
      <x:c r="G198" s="3"/>
      <x:c r="H198" s="3"/>
      <x:c r="I198" s="20"/>
      <x:c r="J198" s="20"/>
      <x:c r="K198" s="3"/>
      <x:c r="L198" s="3"/>
      <x:c r="M198" s="19" t="str">
        <x:f>IF(A198="","",IF(COUNTIFS($A$7:$A$306,A198,$B$7:$B$306,B198)&lt;&gt;1,"规则版本重复",IF(OR(B198="",D198="",E198="",F198="",K198="",L198=""),"待补规则信息",IF(AND(C198&lt;&gt;"",OR(C198=B198,COUNTIFS($A$7:$A$306,A198,$B$7:$B$306,C198)&lt;&gt;1)),"父版本引用无效",IF(AND(OR(D198="试行",D198="采用"),OR(G198="",NOT(ISNUMBER(I198)),NOT(ISNUMBER(J198)))),"待补采用与复核","有效输入")))))</x:f>
      </x:c>
    </x:row>
    <x:row r="199" ht="25" customHeight="1">
      <x:c r="A199" s="3"/>
      <x:c r="B199" s="3"/>
      <x:c r="C199" s="3"/>
      <x:c r="D199" s="3"/>
      <x:c r="E199" s="3"/>
      <x:c r="F199" s="3"/>
      <x:c r="G199" s="3"/>
      <x:c r="H199" s="3"/>
      <x:c r="I199" s="20"/>
      <x:c r="J199" s="20"/>
      <x:c r="K199" s="3"/>
      <x:c r="L199" s="3"/>
      <x:c r="M199" s="19" t="str">
        <x:f>IF(A199="","",IF(COUNTIFS($A$7:$A$306,A199,$B$7:$B$306,B199)&lt;&gt;1,"规则版本重复",IF(OR(B199="",D199="",E199="",F199="",K199="",L199=""),"待补规则信息",IF(AND(C199&lt;&gt;"",OR(C199=B199,COUNTIFS($A$7:$A$306,A199,$B$7:$B$306,C199)&lt;&gt;1)),"父版本引用无效",IF(AND(OR(D199="试行",D199="采用"),OR(G199="",NOT(ISNUMBER(I199)),NOT(ISNUMBER(J199)))),"待补采用与复核","有效输入")))))</x:f>
      </x:c>
    </x:row>
    <x:row r="200" ht="25" customHeight="1">
      <x:c r="A200" s="3"/>
      <x:c r="B200" s="3"/>
      <x:c r="C200" s="3"/>
      <x:c r="D200" s="3"/>
      <x:c r="E200" s="3"/>
      <x:c r="F200" s="3"/>
      <x:c r="G200" s="3"/>
      <x:c r="H200" s="3"/>
      <x:c r="I200" s="20"/>
      <x:c r="J200" s="20"/>
      <x:c r="K200" s="3"/>
      <x:c r="L200" s="3"/>
      <x:c r="M200" s="19" t="str">
        <x:f>IF(A200="","",IF(COUNTIFS($A$7:$A$306,A200,$B$7:$B$306,B200)&lt;&gt;1,"规则版本重复",IF(OR(B200="",D200="",E200="",F200="",K200="",L200=""),"待补规则信息",IF(AND(C200&lt;&gt;"",OR(C200=B200,COUNTIFS($A$7:$A$306,A200,$B$7:$B$306,C200)&lt;&gt;1)),"父版本引用无效",IF(AND(OR(D200="试行",D200="采用"),OR(G200="",NOT(ISNUMBER(I200)),NOT(ISNUMBER(J200)))),"待补采用与复核","有效输入")))))</x:f>
      </x:c>
    </x:row>
    <x:row r="201" ht="25" customHeight="1">
      <x:c r="A201" s="3"/>
      <x:c r="B201" s="3"/>
      <x:c r="C201" s="3"/>
      <x:c r="D201" s="3"/>
      <x:c r="E201" s="3"/>
      <x:c r="F201" s="3"/>
      <x:c r="G201" s="3"/>
      <x:c r="H201" s="3"/>
      <x:c r="I201" s="20"/>
      <x:c r="J201" s="20"/>
      <x:c r="K201" s="3"/>
      <x:c r="L201" s="3"/>
      <x:c r="M201" s="19" t="str">
        <x:f>IF(A201="","",IF(COUNTIFS($A$7:$A$306,A201,$B$7:$B$306,B201)&lt;&gt;1,"规则版本重复",IF(OR(B201="",D201="",E201="",F201="",K201="",L201=""),"待补规则信息",IF(AND(C201&lt;&gt;"",OR(C201=B201,COUNTIFS($A$7:$A$306,A201,$B$7:$B$306,C201)&lt;&gt;1)),"父版本引用无效",IF(AND(OR(D201="试行",D201="采用"),OR(G201="",NOT(ISNUMBER(I201)),NOT(ISNUMBER(J201)))),"待补采用与复核","有效输入")))))</x:f>
      </x:c>
    </x:row>
    <x:row r="202" ht="25" customHeight="1">
      <x:c r="A202" s="3"/>
      <x:c r="B202" s="3"/>
      <x:c r="C202" s="3"/>
      <x:c r="D202" s="3"/>
      <x:c r="E202" s="3"/>
      <x:c r="F202" s="3"/>
      <x:c r="G202" s="3"/>
      <x:c r="H202" s="3"/>
      <x:c r="I202" s="20"/>
      <x:c r="J202" s="20"/>
      <x:c r="K202" s="3"/>
      <x:c r="L202" s="3"/>
      <x:c r="M202" s="19" t="str">
        <x:f>IF(A202="","",IF(COUNTIFS($A$7:$A$306,A202,$B$7:$B$306,B202)&lt;&gt;1,"规则版本重复",IF(OR(B202="",D202="",E202="",F202="",K202="",L202=""),"待补规则信息",IF(AND(C202&lt;&gt;"",OR(C202=B202,COUNTIFS($A$7:$A$306,A202,$B$7:$B$306,C202)&lt;&gt;1)),"父版本引用无效",IF(AND(OR(D202="试行",D202="采用"),OR(G202="",NOT(ISNUMBER(I202)),NOT(ISNUMBER(J202)))),"待补采用与复核","有效输入")))))</x:f>
      </x:c>
    </x:row>
    <x:row r="203" ht="25" customHeight="1">
      <x:c r="A203" s="3"/>
      <x:c r="B203" s="3"/>
      <x:c r="C203" s="3"/>
      <x:c r="D203" s="3"/>
      <x:c r="E203" s="3"/>
      <x:c r="F203" s="3"/>
      <x:c r="G203" s="3"/>
      <x:c r="H203" s="3"/>
      <x:c r="I203" s="20"/>
      <x:c r="J203" s="20"/>
      <x:c r="K203" s="3"/>
      <x:c r="L203" s="3"/>
      <x:c r="M203" s="19" t="str">
        <x:f>IF(A203="","",IF(COUNTIFS($A$7:$A$306,A203,$B$7:$B$306,B203)&lt;&gt;1,"规则版本重复",IF(OR(B203="",D203="",E203="",F203="",K203="",L203=""),"待补规则信息",IF(AND(C203&lt;&gt;"",OR(C203=B203,COUNTIFS($A$7:$A$306,A203,$B$7:$B$306,C203)&lt;&gt;1)),"父版本引用无效",IF(AND(OR(D203="试行",D203="采用"),OR(G203="",NOT(ISNUMBER(I203)),NOT(ISNUMBER(J203)))),"待补采用与复核","有效输入")))))</x:f>
      </x:c>
    </x:row>
    <x:row r="204" ht="25" customHeight="1">
      <x:c r="A204" s="3"/>
      <x:c r="B204" s="3"/>
      <x:c r="C204" s="3"/>
      <x:c r="D204" s="3"/>
      <x:c r="E204" s="3"/>
      <x:c r="F204" s="3"/>
      <x:c r="G204" s="3"/>
      <x:c r="H204" s="3"/>
      <x:c r="I204" s="20"/>
      <x:c r="J204" s="20"/>
      <x:c r="K204" s="3"/>
      <x:c r="L204" s="3"/>
      <x:c r="M204" s="19" t="str">
        <x:f>IF(A204="","",IF(COUNTIFS($A$7:$A$306,A204,$B$7:$B$306,B204)&lt;&gt;1,"规则版本重复",IF(OR(B204="",D204="",E204="",F204="",K204="",L204=""),"待补规则信息",IF(AND(C204&lt;&gt;"",OR(C204=B204,COUNTIFS($A$7:$A$306,A204,$B$7:$B$306,C204)&lt;&gt;1)),"父版本引用无效",IF(AND(OR(D204="试行",D204="采用"),OR(G204="",NOT(ISNUMBER(I204)),NOT(ISNUMBER(J204)))),"待补采用与复核","有效输入")))))</x:f>
      </x:c>
    </x:row>
    <x:row r="205" ht="25" customHeight="1">
      <x:c r="A205" s="3"/>
      <x:c r="B205" s="3"/>
      <x:c r="C205" s="3"/>
      <x:c r="D205" s="3"/>
      <x:c r="E205" s="3"/>
      <x:c r="F205" s="3"/>
      <x:c r="G205" s="3"/>
      <x:c r="H205" s="3"/>
      <x:c r="I205" s="20"/>
      <x:c r="J205" s="20"/>
      <x:c r="K205" s="3"/>
      <x:c r="L205" s="3"/>
      <x:c r="M205" s="19" t="str">
        <x:f>IF(A205="","",IF(COUNTIFS($A$7:$A$306,A205,$B$7:$B$306,B205)&lt;&gt;1,"规则版本重复",IF(OR(B205="",D205="",E205="",F205="",K205="",L205=""),"待补规则信息",IF(AND(C205&lt;&gt;"",OR(C205=B205,COUNTIFS($A$7:$A$306,A205,$B$7:$B$306,C205)&lt;&gt;1)),"父版本引用无效",IF(AND(OR(D205="试行",D205="采用"),OR(G205="",NOT(ISNUMBER(I205)),NOT(ISNUMBER(J205)))),"待补采用与复核","有效输入")))))</x:f>
      </x:c>
    </x:row>
    <x:row r="206" ht="25" customHeight="1">
      <x:c r="A206" s="3"/>
      <x:c r="B206" s="3"/>
      <x:c r="C206" s="3"/>
      <x:c r="D206" s="3"/>
      <x:c r="E206" s="3"/>
      <x:c r="F206" s="3"/>
      <x:c r="G206" s="3"/>
      <x:c r="H206" s="3"/>
      <x:c r="I206" s="20"/>
      <x:c r="J206" s="20"/>
      <x:c r="K206" s="3"/>
      <x:c r="L206" s="3"/>
      <x:c r="M206" s="19" t="str">
        <x:f>IF(A206="","",IF(COUNTIFS($A$7:$A$306,A206,$B$7:$B$306,B206)&lt;&gt;1,"规则版本重复",IF(OR(B206="",D206="",E206="",F206="",K206="",L206=""),"待补规则信息",IF(AND(C206&lt;&gt;"",OR(C206=B206,COUNTIFS($A$7:$A$306,A206,$B$7:$B$306,C206)&lt;&gt;1)),"父版本引用无效",IF(AND(OR(D206="试行",D206="采用"),OR(G206="",NOT(ISNUMBER(I206)),NOT(ISNUMBER(J206)))),"待补采用与复核","有效输入")))))</x:f>
      </x:c>
    </x:row>
    <x:row r="207" ht="25" customHeight="1">
      <x:c r="A207" s="3"/>
      <x:c r="B207" s="3"/>
      <x:c r="C207" s="3"/>
      <x:c r="D207" s="3"/>
      <x:c r="E207" s="3"/>
      <x:c r="F207" s="3"/>
      <x:c r="G207" s="3"/>
      <x:c r="H207" s="3"/>
      <x:c r="I207" s="20"/>
      <x:c r="J207" s="20"/>
      <x:c r="K207" s="3"/>
      <x:c r="L207" s="3"/>
      <x:c r="M207" s="19" t="str">
        <x:f>IF(A207="","",IF(COUNTIFS($A$7:$A$306,A207,$B$7:$B$306,B207)&lt;&gt;1,"规则版本重复",IF(OR(B207="",D207="",E207="",F207="",K207="",L207=""),"待补规则信息",IF(AND(C207&lt;&gt;"",OR(C207=B207,COUNTIFS($A$7:$A$306,A207,$B$7:$B$306,C207)&lt;&gt;1)),"父版本引用无效",IF(AND(OR(D207="试行",D207="采用"),OR(G207="",NOT(ISNUMBER(I207)),NOT(ISNUMBER(J207)))),"待补采用与复核","有效输入")))))</x:f>
      </x:c>
    </x:row>
    <x:row r="208" ht="25" customHeight="1">
      <x:c r="A208" s="3"/>
      <x:c r="B208" s="3"/>
      <x:c r="C208" s="3"/>
      <x:c r="D208" s="3"/>
      <x:c r="E208" s="3"/>
      <x:c r="F208" s="3"/>
      <x:c r="G208" s="3"/>
      <x:c r="H208" s="3"/>
      <x:c r="I208" s="20"/>
      <x:c r="J208" s="20"/>
      <x:c r="K208" s="3"/>
      <x:c r="L208" s="3"/>
      <x:c r="M208" s="19" t="str">
        <x:f>IF(A208="","",IF(COUNTIFS($A$7:$A$306,A208,$B$7:$B$306,B208)&lt;&gt;1,"规则版本重复",IF(OR(B208="",D208="",E208="",F208="",K208="",L208=""),"待补规则信息",IF(AND(C208&lt;&gt;"",OR(C208=B208,COUNTIFS($A$7:$A$306,A208,$B$7:$B$306,C208)&lt;&gt;1)),"父版本引用无效",IF(AND(OR(D208="试行",D208="采用"),OR(G208="",NOT(ISNUMBER(I208)),NOT(ISNUMBER(J208)))),"待补采用与复核","有效输入")))))</x:f>
      </x:c>
    </x:row>
    <x:row r="209" ht="25" customHeight="1">
      <x:c r="A209" s="3"/>
      <x:c r="B209" s="3"/>
      <x:c r="C209" s="3"/>
      <x:c r="D209" s="3"/>
      <x:c r="E209" s="3"/>
      <x:c r="F209" s="3"/>
      <x:c r="G209" s="3"/>
      <x:c r="H209" s="3"/>
      <x:c r="I209" s="20"/>
      <x:c r="J209" s="20"/>
      <x:c r="K209" s="3"/>
      <x:c r="L209" s="3"/>
      <x:c r="M209" s="19" t="str">
        <x:f>IF(A209="","",IF(COUNTIFS($A$7:$A$306,A209,$B$7:$B$306,B209)&lt;&gt;1,"规则版本重复",IF(OR(B209="",D209="",E209="",F209="",K209="",L209=""),"待补规则信息",IF(AND(C209&lt;&gt;"",OR(C209=B209,COUNTIFS($A$7:$A$306,A209,$B$7:$B$306,C209)&lt;&gt;1)),"父版本引用无效",IF(AND(OR(D209="试行",D209="采用"),OR(G209="",NOT(ISNUMBER(I209)),NOT(ISNUMBER(J209)))),"待补采用与复核","有效输入")))))</x:f>
      </x:c>
    </x:row>
    <x:row r="210" ht="25" customHeight="1">
      <x:c r="A210" s="3"/>
      <x:c r="B210" s="3"/>
      <x:c r="C210" s="3"/>
      <x:c r="D210" s="3"/>
      <x:c r="E210" s="3"/>
      <x:c r="F210" s="3"/>
      <x:c r="G210" s="3"/>
      <x:c r="H210" s="3"/>
      <x:c r="I210" s="20"/>
      <x:c r="J210" s="20"/>
      <x:c r="K210" s="3"/>
      <x:c r="L210" s="3"/>
      <x:c r="M210" s="19" t="str">
        <x:f>IF(A210="","",IF(COUNTIFS($A$7:$A$306,A210,$B$7:$B$306,B210)&lt;&gt;1,"规则版本重复",IF(OR(B210="",D210="",E210="",F210="",K210="",L210=""),"待补规则信息",IF(AND(C210&lt;&gt;"",OR(C210=B210,COUNTIFS($A$7:$A$306,A210,$B$7:$B$306,C210)&lt;&gt;1)),"父版本引用无效",IF(AND(OR(D210="试行",D210="采用"),OR(G210="",NOT(ISNUMBER(I210)),NOT(ISNUMBER(J210)))),"待补采用与复核","有效输入")))))</x:f>
      </x:c>
    </x:row>
    <x:row r="211" ht="25" customHeight="1">
      <x:c r="A211" s="3"/>
      <x:c r="B211" s="3"/>
      <x:c r="C211" s="3"/>
      <x:c r="D211" s="3"/>
      <x:c r="E211" s="3"/>
      <x:c r="F211" s="3"/>
      <x:c r="G211" s="3"/>
      <x:c r="H211" s="3"/>
      <x:c r="I211" s="20"/>
      <x:c r="J211" s="20"/>
      <x:c r="K211" s="3"/>
      <x:c r="L211" s="3"/>
      <x:c r="M211" s="19" t="str">
        <x:f>IF(A211="","",IF(COUNTIFS($A$7:$A$306,A211,$B$7:$B$306,B211)&lt;&gt;1,"规则版本重复",IF(OR(B211="",D211="",E211="",F211="",K211="",L211=""),"待补规则信息",IF(AND(C211&lt;&gt;"",OR(C211=B211,COUNTIFS($A$7:$A$306,A211,$B$7:$B$306,C211)&lt;&gt;1)),"父版本引用无效",IF(AND(OR(D211="试行",D211="采用"),OR(G211="",NOT(ISNUMBER(I211)),NOT(ISNUMBER(J211)))),"待补采用与复核","有效输入")))))</x:f>
      </x:c>
    </x:row>
    <x:row r="212" ht="25" customHeight="1">
      <x:c r="A212" s="3"/>
      <x:c r="B212" s="3"/>
      <x:c r="C212" s="3"/>
      <x:c r="D212" s="3"/>
      <x:c r="E212" s="3"/>
      <x:c r="F212" s="3"/>
      <x:c r="G212" s="3"/>
      <x:c r="H212" s="3"/>
      <x:c r="I212" s="20"/>
      <x:c r="J212" s="20"/>
      <x:c r="K212" s="3"/>
      <x:c r="L212" s="3"/>
      <x:c r="M212" s="19" t="str">
        <x:f>IF(A212="","",IF(COUNTIFS($A$7:$A$306,A212,$B$7:$B$306,B212)&lt;&gt;1,"规则版本重复",IF(OR(B212="",D212="",E212="",F212="",K212="",L212=""),"待补规则信息",IF(AND(C212&lt;&gt;"",OR(C212=B212,COUNTIFS($A$7:$A$306,A212,$B$7:$B$306,C212)&lt;&gt;1)),"父版本引用无效",IF(AND(OR(D212="试行",D212="采用"),OR(G212="",NOT(ISNUMBER(I212)),NOT(ISNUMBER(J212)))),"待补采用与复核","有效输入")))))</x:f>
      </x:c>
    </x:row>
    <x:row r="213" ht="25" customHeight="1">
      <x:c r="A213" s="3"/>
      <x:c r="B213" s="3"/>
      <x:c r="C213" s="3"/>
      <x:c r="D213" s="3"/>
      <x:c r="E213" s="3"/>
      <x:c r="F213" s="3"/>
      <x:c r="G213" s="3"/>
      <x:c r="H213" s="3"/>
      <x:c r="I213" s="20"/>
      <x:c r="J213" s="20"/>
      <x:c r="K213" s="3"/>
      <x:c r="L213" s="3"/>
      <x:c r="M213" s="19" t="str">
        <x:f>IF(A213="","",IF(COUNTIFS($A$7:$A$306,A213,$B$7:$B$306,B213)&lt;&gt;1,"规则版本重复",IF(OR(B213="",D213="",E213="",F213="",K213="",L213=""),"待补规则信息",IF(AND(C213&lt;&gt;"",OR(C213=B213,COUNTIFS($A$7:$A$306,A213,$B$7:$B$306,C213)&lt;&gt;1)),"父版本引用无效",IF(AND(OR(D213="试行",D213="采用"),OR(G213="",NOT(ISNUMBER(I213)),NOT(ISNUMBER(J213)))),"待补采用与复核","有效输入")))))</x:f>
      </x:c>
    </x:row>
    <x:row r="214" ht="25" customHeight="1">
      <x:c r="A214" s="3"/>
      <x:c r="B214" s="3"/>
      <x:c r="C214" s="3"/>
      <x:c r="D214" s="3"/>
      <x:c r="E214" s="3"/>
      <x:c r="F214" s="3"/>
      <x:c r="G214" s="3"/>
      <x:c r="H214" s="3"/>
      <x:c r="I214" s="20"/>
      <x:c r="J214" s="20"/>
      <x:c r="K214" s="3"/>
      <x:c r="L214" s="3"/>
      <x:c r="M214" s="19" t="str">
        <x:f>IF(A214="","",IF(COUNTIFS($A$7:$A$306,A214,$B$7:$B$306,B214)&lt;&gt;1,"规则版本重复",IF(OR(B214="",D214="",E214="",F214="",K214="",L214=""),"待补规则信息",IF(AND(C214&lt;&gt;"",OR(C214=B214,COUNTIFS($A$7:$A$306,A214,$B$7:$B$306,C214)&lt;&gt;1)),"父版本引用无效",IF(AND(OR(D214="试行",D214="采用"),OR(G214="",NOT(ISNUMBER(I214)),NOT(ISNUMBER(J214)))),"待补采用与复核","有效输入")))))</x:f>
      </x:c>
    </x:row>
    <x:row r="215" ht="25" customHeight="1">
      <x:c r="A215" s="3"/>
      <x:c r="B215" s="3"/>
      <x:c r="C215" s="3"/>
      <x:c r="D215" s="3"/>
      <x:c r="E215" s="3"/>
      <x:c r="F215" s="3"/>
      <x:c r="G215" s="3"/>
      <x:c r="H215" s="3"/>
      <x:c r="I215" s="20"/>
      <x:c r="J215" s="20"/>
      <x:c r="K215" s="3"/>
      <x:c r="L215" s="3"/>
      <x:c r="M215" s="19" t="str">
        <x:f>IF(A215="","",IF(COUNTIFS($A$7:$A$306,A215,$B$7:$B$306,B215)&lt;&gt;1,"规则版本重复",IF(OR(B215="",D215="",E215="",F215="",K215="",L215=""),"待补规则信息",IF(AND(C215&lt;&gt;"",OR(C215=B215,COUNTIFS($A$7:$A$306,A215,$B$7:$B$306,C215)&lt;&gt;1)),"父版本引用无效",IF(AND(OR(D215="试行",D215="采用"),OR(G215="",NOT(ISNUMBER(I215)),NOT(ISNUMBER(J215)))),"待补采用与复核","有效输入")))))</x:f>
      </x:c>
    </x:row>
    <x:row r="216" ht="25" customHeight="1">
      <x:c r="A216" s="3"/>
      <x:c r="B216" s="3"/>
      <x:c r="C216" s="3"/>
      <x:c r="D216" s="3"/>
      <x:c r="E216" s="3"/>
      <x:c r="F216" s="3"/>
      <x:c r="G216" s="3"/>
      <x:c r="H216" s="3"/>
      <x:c r="I216" s="20"/>
      <x:c r="J216" s="20"/>
      <x:c r="K216" s="3"/>
      <x:c r="L216" s="3"/>
      <x:c r="M216" s="19" t="str">
        <x:f>IF(A216="","",IF(COUNTIFS($A$7:$A$306,A216,$B$7:$B$306,B216)&lt;&gt;1,"规则版本重复",IF(OR(B216="",D216="",E216="",F216="",K216="",L216=""),"待补规则信息",IF(AND(C216&lt;&gt;"",OR(C216=B216,COUNTIFS($A$7:$A$306,A216,$B$7:$B$306,C216)&lt;&gt;1)),"父版本引用无效",IF(AND(OR(D216="试行",D216="采用"),OR(G216="",NOT(ISNUMBER(I216)),NOT(ISNUMBER(J216)))),"待补采用与复核","有效输入")))))</x:f>
      </x:c>
    </x:row>
    <x:row r="217" ht="25" customHeight="1">
      <x:c r="A217" s="3"/>
      <x:c r="B217" s="3"/>
      <x:c r="C217" s="3"/>
      <x:c r="D217" s="3"/>
      <x:c r="E217" s="3"/>
      <x:c r="F217" s="3"/>
      <x:c r="G217" s="3"/>
      <x:c r="H217" s="3"/>
      <x:c r="I217" s="20"/>
      <x:c r="J217" s="20"/>
      <x:c r="K217" s="3"/>
      <x:c r="L217" s="3"/>
      <x:c r="M217" s="19" t="str">
        <x:f>IF(A217="","",IF(COUNTIFS($A$7:$A$306,A217,$B$7:$B$306,B217)&lt;&gt;1,"规则版本重复",IF(OR(B217="",D217="",E217="",F217="",K217="",L217=""),"待补规则信息",IF(AND(C217&lt;&gt;"",OR(C217=B217,COUNTIFS($A$7:$A$306,A217,$B$7:$B$306,C217)&lt;&gt;1)),"父版本引用无效",IF(AND(OR(D217="试行",D217="采用"),OR(G217="",NOT(ISNUMBER(I217)),NOT(ISNUMBER(J217)))),"待补采用与复核","有效输入")))))</x:f>
      </x:c>
    </x:row>
    <x:row r="218" ht="25" customHeight="1">
      <x:c r="A218" s="3"/>
      <x:c r="B218" s="3"/>
      <x:c r="C218" s="3"/>
      <x:c r="D218" s="3"/>
      <x:c r="E218" s="3"/>
      <x:c r="F218" s="3"/>
      <x:c r="G218" s="3"/>
      <x:c r="H218" s="3"/>
      <x:c r="I218" s="20"/>
      <x:c r="J218" s="20"/>
      <x:c r="K218" s="3"/>
      <x:c r="L218" s="3"/>
      <x:c r="M218" s="19" t="str">
        <x:f>IF(A218="","",IF(COUNTIFS($A$7:$A$306,A218,$B$7:$B$306,B218)&lt;&gt;1,"规则版本重复",IF(OR(B218="",D218="",E218="",F218="",K218="",L218=""),"待补规则信息",IF(AND(C218&lt;&gt;"",OR(C218=B218,COUNTIFS($A$7:$A$306,A218,$B$7:$B$306,C218)&lt;&gt;1)),"父版本引用无效",IF(AND(OR(D218="试行",D218="采用"),OR(G218="",NOT(ISNUMBER(I218)),NOT(ISNUMBER(J218)))),"待补采用与复核","有效输入")))))</x:f>
      </x:c>
    </x:row>
    <x:row r="219" ht="25" customHeight="1">
      <x:c r="A219" s="3"/>
      <x:c r="B219" s="3"/>
      <x:c r="C219" s="3"/>
      <x:c r="D219" s="3"/>
      <x:c r="E219" s="3"/>
      <x:c r="F219" s="3"/>
      <x:c r="G219" s="3"/>
      <x:c r="H219" s="3"/>
      <x:c r="I219" s="20"/>
      <x:c r="J219" s="20"/>
      <x:c r="K219" s="3"/>
      <x:c r="L219" s="3"/>
      <x:c r="M219" s="19" t="str">
        <x:f>IF(A219="","",IF(COUNTIFS($A$7:$A$306,A219,$B$7:$B$306,B219)&lt;&gt;1,"规则版本重复",IF(OR(B219="",D219="",E219="",F219="",K219="",L219=""),"待补规则信息",IF(AND(C219&lt;&gt;"",OR(C219=B219,COUNTIFS($A$7:$A$306,A219,$B$7:$B$306,C219)&lt;&gt;1)),"父版本引用无效",IF(AND(OR(D219="试行",D219="采用"),OR(G219="",NOT(ISNUMBER(I219)),NOT(ISNUMBER(J219)))),"待补采用与复核","有效输入")))))</x:f>
      </x:c>
    </x:row>
    <x:row r="220" ht="25" customHeight="1">
      <x:c r="A220" s="3"/>
      <x:c r="B220" s="3"/>
      <x:c r="C220" s="3"/>
      <x:c r="D220" s="3"/>
      <x:c r="E220" s="3"/>
      <x:c r="F220" s="3"/>
      <x:c r="G220" s="3"/>
      <x:c r="H220" s="3"/>
      <x:c r="I220" s="20"/>
      <x:c r="J220" s="20"/>
      <x:c r="K220" s="3"/>
      <x:c r="L220" s="3"/>
      <x:c r="M220" s="19" t="str">
        <x:f>IF(A220="","",IF(COUNTIFS($A$7:$A$306,A220,$B$7:$B$306,B220)&lt;&gt;1,"规则版本重复",IF(OR(B220="",D220="",E220="",F220="",K220="",L220=""),"待补规则信息",IF(AND(C220&lt;&gt;"",OR(C220=B220,COUNTIFS($A$7:$A$306,A220,$B$7:$B$306,C220)&lt;&gt;1)),"父版本引用无效",IF(AND(OR(D220="试行",D220="采用"),OR(G220="",NOT(ISNUMBER(I220)),NOT(ISNUMBER(J220)))),"待补采用与复核","有效输入")))))</x:f>
      </x:c>
    </x:row>
    <x:row r="221" ht="25" customHeight="1">
      <x:c r="A221" s="3"/>
      <x:c r="B221" s="3"/>
      <x:c r="C221" s="3"/>
      <x:c r="D221" s="3"/>
      <x:c r="E221" s="3"/>
      <x:c r="F221" s="3"/>
      <x:c r="G221" s="3"/>
      <x:c r="H221" s="3"/>
      <x:c r="I221" s="20"/>
      <x:c r="J221" s="20"/>
      <x:c r="K221" s="3"/>
      <x:c r="L221" s="3"/>
      <x:c r="M221" s="19" t="str">
        <x:f>IF(A221="","",IF(COUNTIFS($A$7:$A$306,A221,$B$7:$B$306,B221)&lt;&gt;1,"规则版本重复",IF(OR(B221="",D221="",E221="",F221="",K221="",L221=""),"待补规则信息",IF(AND(C221&lt;&gt;"",OR(C221=B221,COUNTIFS($A$7:$A$306,A221,$B$7:$B$306,C221)&lt;&gt;1)),"父版本引用无效",IF(AND(OR(D221="试行",D221="采用"),OR(G221="",NOT(ISNUMBER(I221)),NOT(ISNUMBER(J221)))),"待补采用与复核","有效输入")))))</x:f>
      </x:c>
    </x:row>
    <x:row r="222" ht="25" customHeight="1">
      <x:c r="A222" s="3"/>
      <x:c r="B222" s="3"/>
      <x:c r="C222" s="3"/>
      <x:c r="D222" s="3"/>
      <x:c r="E222" s="3"/>
      <x:c r="F222" s="3"/>
      <x:c r="G222" s="3"/>
      <x:c r="H222" s="3"/>
      <x:c r="I222" s="20"/>
      <x:c r="J222" s="20"/>
      <x:c r="K222" s="3"/>
      <x:c r="L222" s="3"/>
      <x:c r="M222" s="19" t="str">
        <x:f>IF(A222="","",IF(COUNTIFS($A$7:$A$306,A222,$B$7:$B$306,B222)&lt;&gt;1,"规则版本重复",IF(OR(B222="",D222="",E222="",F222="",K222="",L222=""),"待补规则信息",IF(AND(C222&lt;&gt;"",OR(C222=B222,COUNTIFS($A$7:$A$306,A222,$B$7:$B$306,C222)&lt;&gt;1)),"父版本引用无效",IF(AND(OR(D222="试行",D222="采用"),OR(G222="",NOT(ISNUMBER(I222)),NOT(ISNUMBER(J222)))),"待补采用与复核","有效输入")))))</x:f>
      </x:c>
    </x:row>
    <x:row r="223" ht="25" customHeight="1">
      <x:c r="A223" s="3"/>
      <x:c r="B223" s="3"/>
      <x:c r="C223" s="3"/>
      <x:c r="D223" s="3"/>
      <x:c r="E223" s="3"/>
      <x:c r="F223" s="3"/>
      <x:c r="G223" s="3"/>
      <x:c r="H223" s="3"/>
      <x:c r="I223" s="20"/>
      <x:c r="J223" s="20"/>
      <x:c r="K223" s="3"/>
      <x:c r="L223" s="3"/>
      <x:c r="M223" s="19" t="str">
        <x:f>IF(A223="","",IF(COUNTIFS($A$7:$A$306,A223,$B$7:$B$306,B223)&lt;&gt;1,"规则版本重复",IF(OR(B223="",D223="",E223="",F223="",K223="",L223=""),"待补规则信息",IF(AND(C223&lt;&gt;"",OR(C223=B223,COUNTIFS($A$7:$A$306,A223,$B$7:$B$306,C223)&lt;&gt;1)),"父版本引用无效",IF(AND(OR(D223="试行",D223="采用"),OR(G223="",NOT(ISNUMBER(I223)),NOT(ISNUMBER(J223)))),"待补采用与复核","有效输入")))))</x:f>
      </x:c>
    </x:row>
    <x:row r="224" ht="25" customHeight="1">
      <x:c r="A224" s="3"/>
      <x:c r="B224" s="3"/>
      <x:c r="C224" s="3"/>
      <x:c r="D224" s="3"/>
      <x:c r="E224" s="3"/>
      <x:c r="F224" s="3"/>
      <x:c r="G224" s="3"/>
      <x:c r="H224" s="3"/>
      <x:c r="I224" s="20"/>
      <x:c r="J224" s="20"/>
      <x:c r="K224" s="3"/>
      <x:c r="L224" s="3"/>
      <x:c r="M224" s="19" t="str">
        <x:f>IF(A224="","",IF(COUNTIFS($A$7:$A$306,A224,$B$7:$B$306,B224)&lt;&gt;1,"规则版本重复",IF(OR(B224="",D224="",E224="",F224="",K224="",L224=""),"待补规则信息",IF(AND(C224&lt;&gt;"",OR(C224=B224,COUNTIFS($A$7:$A$306,A224,$B$7:$B$306,C224)&lt;&gt;1)),"父版本引用无效",IF(AND(OR(D224="试行",D224="采用"),OR(G224="",NOT(ISNUMBER(I224)),NOT(ISNUMBER(J224)))),"待补采用与复核","有效输入")))))</x:f>
      </x:c>
    </x:row>
    <x:row r="225" ht="25" customHeight="1">
      <x:c r="A225" s="3"/>
      <x:c r="B225" s="3"/>
      <x:c r="C225" s="3"/>
      <x:c r="D225" s="3"/>
      <x:c r="E225" s="3"/>
      <x:c r="F225" s="3"/>
      <x:c r="G225" s="3"/>
      <x:c r="H225" s="3"/>
      <x:c r="I225" s="20"/>
      <x:c r="J225" s="20"/>
      <x:c r="K225" s="3"/>
      <x:c r="L225" s="3"/>
      <x:c r="M225" s="19" t="str">
        <x:f>IF(A225="","",IF(COUNTIFS($A$7:$A$306,A225,$B$7:$B$306,B225)&lt;&gt;1,"规则版本重复",IF(OR(B225="",D225="",E225="",F225="",K225="",L225=""),"待补规则信息",IF(AND(C225&lt;&gt;"",OR(C225=B225,COUNTIFS($A$7:$A$306,A225,$B$7:$B$306,C225)&lt;&gt;1)),"父版本引用无效",IF(AND(OR(D225="试行",D225="采用"),OR(G225="",NOT(ISNUMBER(I225)),NOT(ISNUMBER(J225)))),"待补采用与复核","有效输入")))))</x:f>
      </x:c>
    </x:row>
    <x:row r="226" ht="25" customHeight="1">
      <x:c r="A226" s="3"/>
      <x:c r="B226" s="3"/>
      <x:c r="C226" s="3"/>
      <x:c r="D226" s="3"/>
      <x:c r="E226" s="3"/>
      <x:c r="F226" s="3"/>
      <x:c r="G226" s="3"/>
      <x:c r="H226" s="3"/>
      <x:c r="I226" s="20"/>
      <x:c r="J226" s="20"/>
      <x:c r="K226" s="3"/>
      <x:c r="L226" s="3"/>
      <x:c r="M226" s="19" t="str">
        <x:f>IF(A226="","",IF(COUNTIFS($A$7:$A$306,A226,$B$7:$B$306,B226)&lt;&gt;1,"规则版本重复",IF(OR(B226="",D226="",E226="",F226="",K226="",L226=""),"待补规则信息",IF(AND(C226&lt;&gt;"",OR(C226=B226,COUNTIFS($A$7:$A$306,A226,$B$7:$B$306,C226)&lt;&gt;1)),"父版本引用无效",IF(AND(OR(D226="试行",D226="采用"),OR(G226="",NOT(ISNUMBER(I226)),NOT(ISNUMBER(J226)))),"待补采用与复核","有效输入")))))</x:f>
      </x:c>
    </x:row>
    <x:row r="227" ht="25" customHeight="1">
      <x:c r="A227" s="3"/>
      <x:c r="B227" s="3"/>
      <x:c r="C227" s="3"/>
      <x:c r="D227" s="3"/>
      <x:c r="E227" s="3"/>
      <x:c r="F227" s="3"/>
      <x:c r="G227" s="3"/>
      <x:c r="H227" s="3"/>
      <x:c r="I227" s="20"/>
      <x:c r="J227" s="20"/>
      <x:c r="K227" s="3"/>
      <x:c r="L227" s="3"/>
      <x:c r="M227" s="19" t="str">
        <x:f>IF(A227="","",IF(COUNTIFS($A$7:$A$306,A227,$B$7:$B$306,B227)&lt;&gt;1,"规则版本重复",IF(OR(B227="",D227="",E227="",F227="",K227="",L227=""),"待补规则信息",IF(AND(C227&lt;&gt;"",OR(C227=B227,COUNTIFS($A$7:$A$306,A227,$B$7:$B$306,C227)&lt;&gt;1)),"父版本引用无效",IF(AND(OR(D227="试行",D227="采用"),OR(G227="",NOT(ISNUMBER(I227)),NOT(ISNUMBER(J227)))),"待补采用与复核","有效输入")))))</x:f>
      </x:c>
    </x:row>
    <x:row r="228" ht="25" customHeight="1">
      <x:c r="A228" s="3"/>
      <x:c r="B228" s="3"/>
      <x:c r="C228" s="3"/>
      <x:c r="D228" s="3"/>
      <x:c r="E228" s="3"/>
      <x:c r="F228" s="3"/>
      <x:c r="G228" s="3"/>
      <x:c r="H228" s="3"/>
      <x:c r="I228" s="20"/>
      <x:c r="J228" s="20"/>
      <x:c r="K228" s="3"/>
      <x:c r="L228" s="3"/>
      <x:c r="M228" s="19" t="str">
        <x:f>IF(A228="","",IF(COUNTIFS($A$7:$A$306,A228,$B$7:$B$306,B228)&lt;&gt;1,"规则版本重复",IF(OR(B228="",D228="",E228="",F228="",K228="",L228=""),"待补规则信息",IF(AND(C228&lt;&gt;"",OR(C228=B228,COUNTIFS($A$7:$A$306,A228,$B$7:$B$306,C228)&lt;&gt;1)),"父版本引用无效",IF(AND(OR(D228="试行",D228="采用"),OR(G228="",NOT(ISNUMBER(I228)),NOT(ISNUMBER(J228)))),"待补采用与复核","有效输入")))))</x:f>
      </x:c>
    </x:row>
    <x:row r="229" ht="25" customHeight="1">
      <x:c r="A229" s="3"/>
      <x:c r="B229" s="3"/>
      <x:c r="C229" s="3"/>
      <x:c r="D229" s="3"/>
      <x:c r="E229" s="3"/>
      <x:c r="F229" s="3"/>
      <x:c r="G229" s="3"/>
      <x:c r="H229" s="3"/>
      <x:c r="I229" s="20"/>
      <x:c r="J229" s="20"/>
      <x:c r="K229" s="3"/>
      <x:c r="L229" s="3"/>
      <x:c r="M229" s="19" t="str">
        <x:f>IF(A229="","",IF(COUNTIFS($A$7:$A$306,A229,$B$7:$B$306,B229)&lt;&gt;1,"规则版本重复",IF(OR(B229="",D229="",E229="",F229="",K229="",L229=""),"待补规则信息",IF(AND(C229&lt;&gt;"",OR(C229=B229,COUNTIFS($A$7:$A$306,A229,$B$7:$B$306,C229)&lt;&gt;1)),"父版本引用无效",IF(AND(OR(D229="试行",D229="采用"),OR(G229="",NOT(ISNUMBER(I229)),NOT(ISNUMBER(J229)))),"待补采用与复核","有效输入")))))</x:f>
      </x:c>
    </x:row>
    <x:row r="230" ht="25" customHeight="1">
      <x:c r="A230" s="3"/>
      <x:c r="B230" s="3"/>
      <x:c r="C230" s="3"/>
      <x:c r="D230" s="3"/>
      <x:c r="E230" s="3"/>
      <x:c r="F230" s="3"/>
      <x:c r="G230" s="3"/>
      <x:c r="H230" s="3"/>
      <x:c r="I230" s="20"/>
      <x:c r="J230" s="20"/>
      <x:c r="K230" s="3"/>
      <x:c r="L230" s="3"/>
      <x:c r="M230" s="19" t="str">
        <x:f>IF(A230="","",IF(COUNTIFS($A$7:$A$306,A230,$B$7:$B$306,B230)&lt;&gt;1,"规则版本重复",IF(OR(B230="",D230="",E230="",F230="",K230="",L230=""),"待补规则信息",IF(AND(C230&lt;&gt;"",OR(C230=B230,COUNTIFS($A$7:$A$306,A230,$B$7:$B$306,C230)&lt;&gt;1)),"父版本引用无效",IF(AND(OR(D230="试行",D230="采用"),OR(G230="",NOT(ISNUMBER(I230)),NOT(ISNUMBER(J230)))),"待补采用与复核","有效输入")))))</x:f>
      </x:c>
    </x:row>
    <x:row r="231" ht="25" customHeight="1">
      <x:c r="A231" s="3"/>
      <x:c r="B231" s="3"/>
      <x:c r="C231" s="3"/>
      <x:c r="D231" s="3"/>
      <x:c r="E231" s="3"/>
      <x:c r="F231" s="3"/>
      <x:c r="G231" s="3"/>
      <x:c r="H231" s="3"/>
      <x:c r="I231" s="20"/>
      <x:c r="J231" s="20"/>
      <x:c r="K231" s="3"/>
      <x:c r="L231" s="3"/>
      <x:c r="M231" s="19" t="str">
        <x:f>IF(A231="","",IF(COUNTIFS($A$7:$A$306,A231,$B$7:$B$306,B231)&lt;&gt;1,"规则版本重复",IF(OR(B231="",D231="",E231="",F231="",K231="",L231=""),"待补规则信息",IF(AND(C231&lt;&gt;"",OR(C231=B231,COUNTIFS($A$7:$A$306,A231,$B$7:$B$306,C231)&lt;&gt;1)),"父版本引用无效",IF(AND(OR(D231="试行",D231="采用"),OR(G231="",NOT(ISNUMBER(I231)),NOT(ISNUMBER(J231)))),"待补采用与复核","有效输入")))))</x:f>
      </x:c>
    </x:row>
    <x:row r="232" ht="25" customHeight="1">
      <x:c r="A232" s="3"/>
      <x:c r="B232" s="3"/>
      <x:c r="C232" s="3"/>
      <x:c r="D232" s="3"/>
      <x:c r="E232" s="3"/>
      <x:c r="F232" s="3"/>
      <x:c r="G232" s="3"/>
      <x:c r="H232" s="3"/>
      <x:c r="I232" s="20"/>
      <x:c r="J232" s="20"/>
      <x:c r="K232" s="3"/>
      <x:c r="L232" s="3"/>
      <x:c r="M232" s="19" t="str">
        <x:f>IF(A232="","",IF(COUNTIFS($A$7:$A$306,A232,$B$7:$B$306,B232)&lt;&gt;1,"规则版本重复",IF(OR(B232="",D232="",E232="",F232="",K232="",L232=""),"待补规则信息",IF(AND(C232&lt;&gt;"",OR(C232=B232,COUNTIFS($A$7:$A$306,A232,$B$7:$B$306,C232)&lt;&gt;1)),"父版本引用无效",IF(AND(OR(D232="试行",D232="采用"),OR(G232="",NOT(ISNUMBER(I232)),NOT(ISNUMBER(J232)))),"待补采用与复核","有效输入")))))</x:f>
      </x:c>
    </x:row>
    <x:row r="233" ht="25" customHeight="1">
      <x:c r="A233" s="3"/>
      <x:c r="B233" s="3"/>
      <x:c r="C233" s="3"/>
      <x:c r="D233" s="3"/>
      <x:c r="E233" s="3"/>
      <x:c r="F233" s="3"/>
      <x:c r="G233" s="3"/>
      <x:c r="H233" s="3"/>
      <x:c r="I233" s="20"/>
      <x:c r="J233" s="20"/>
      <x:c r="K233" s="3"/>
      <x:c r="L233" s="3"/>
      <x:c r="M233" s="19" t="str">
        <x:f>IF(A233="","",IF(COUNTIFS($A$7:$A$306,A233,$B$7:$B$306,B233)&lt;&gt;1,"规则版本重复",IF(OR(B233="",D233="",E233="",F233="",K233="",L233=""),"待补规则信息",IF(AND(C233&lt;&gt;"",OR(C233=B233,COUNTIFS($A$7:$A$306,A233,$B$7:$B$306,C233)&lt;&gt;1)),"父版本引用无效",IF(AND(OR(D233="试行",D233="采用"),OR(G233="",NOT(ISNUMBER(I233)),NOT(ISNUMBER(J233)))),"待补采用与复核","有效输入")))))</x:f>
      </x:c>
    </x:row>
    <x:row r="234" ht="25" customHeight="1">
      <x:c r="A234" s="3"/>
      <x:c r="B234" s="3"/>
      <x:c r="C234" s="3"/>
      <x:c r="D234" s="3"/>
      <x:c r="E234" s="3"/>
      <x:c r="F234" s="3"/>
      <x:c r="G234" s="3"/>
      <x:c r="H234" s="3"/>
      <x:c r="I234" s="20"/>
      <x:c r="J234" s="20"/>
      <x:c r="K234" s="3"/>
      <x:c r="L234" s="3"/>
      <x:c r="M234" s="19" t="str">
        <x:f>IF(A234="","",IF(COUNTIFS($A$7:$A$306,A234,$B$7:$B$306,B234)&lt;&gt;1,"规则版本重复",IF(OR(B234="",D234="",E234="",F234="",K234="",L234=""),"待补规则信息",IF(AND(C234&lt;&gt;"",OR(C234=B234,COUNTIFS($A$7:$A$306,A234,$B$7:$B$306,C234)&lt;&gt;1)),"父版本引用无效",IF(AND(OR(D234="试行",D234="采用"),OR(G234="",NOT(ISNUMBER(I234)),NOT(ISNUMBER(J234)))),"待补采用与复核","有效输入")))))</x:f>
      </x:c>
    </x:row>
    <x:row r="235" ht="25" customHeight="1">
      <x:c r="A235" s="3"/>
      <x:c r="B235" s="3"/>
      <x:c r="C235" s="3"/>
      <x:c r="D235" s="3"/>
      <x:c r="E235" s="3"/>
      <x:c r="F235" s="3"/>
      <x:c r="G235" s="3"/>
      <x:c r="H235" s="3"/>
      <x:c r="I235" s="20"/>
      <x:c r="J235" s="20"/>
      <x:c r="K235" s="3"/>
      <x:c r="L235" s="3"/>
      <x:c r="M235" s="19" t="str">
        <x:f>IF(A235="","",IF(COUNTIFS($A$7:$A$306,A235,$B$7:$B$306,B235)&lt;&gt;1,"规则版本重复",IF(OR(B235="",D235="",E235="",F235="",K235="",L235=""),"待补规则信息",IF(AND(C235&lt;&gt;"",OR(C235=B235,COUNTIFS($A$7:$A$306,A235,$B$7:$B$306,C235)&lt;&gt;1)),"父版本引用无效",IF(AND(OR(D235="试行",D235="采用"),OR(G235="",NOT(ISNUMBER(I235)),NOT(ISNUMBER(J235)))),"待补采用与复核","有效输入")))))</x:f>
      </x:c>
    </x:row>
    <x:row r="236" ht="25" customHeight="1">
      <x:c r="A236" s="3"/>
      <x:c r="B236" s="3"/>
      <x:c r="C236" s="3"/>
      <x:c r="D236" s="3"/>
      <x:c r="E236" s="3"/>
      <x:c r="F236" s="3"/>
      <x:c r="G236" s="3"/>
      <x:c r="H236" s="3"/>
      <x:c r="I236" s="20"/>
      <x:c r="J236" s="20"/>
      <x:c r="K236" s="3"/>
      <x:c r="L236" s="3"/>
      <x:c r="M236" s="19" t="str">
        <x:f>IF(A236="","",IF(COUNTIFS($A$7:$A$306,A236,$B$7:$B$306,B236)&lt;&gt;1,"规则版本重复",IF(OR(B236="",D236="",E236="",F236="",K236="",L236=""),"待补规则信息",IF(AND(C236&lt;&gt;"",OR(C236=B236,COUNTIFS($A$7:$A$306,A236,$B$7:$B$306,C236)&lt;&gt;1)),"父版本引用无效",IF(AND(OR(D236="试行",D236="采用"),OR(G236="",NOT(ISNUMBER(I236)),NOT(ISNUMBER(J236)))),"待补采用与复核","有效输入")))))</x:f>
      </x:c>
    </x:row>
    <x:row r="237" ht="25" customHeight="1">
      <x:c r="A237" s="3"/>
      <x:c r="B237" s="3"/>
      <x:c r="C237" s="3"/>
      <x:c r="D237" s="3"/>
      <x:c r="E237" s="3"/>
      <x:c r="F237" s="3"/>
      <x:c r="G237" s="3"/>
      <x:c r="H237" s="3"/>
      <x:c r="I237" s="20"/>
      <x:c r="J237" s="20"/>
      <x:c r="K237" s="3"/>
      <x:c r="L237" s="3"/>
      <x:c r="M237" s="19" t="str">
        <x:f>IF(A237="","",IF(COUNTIFS($A$7:$A$306,A237,$B$7:$B$306,B237)&lt;&gt;1,"规则版本重复",IF(OR(B237="",D237="",E237="",F237="",K237="",L237=""),"待补规则信息",IF(AND(C237&lt;&gt;"",OR(C237=B237,COUNTIFS($A$7:$A$306,A237,$B$7:$B$306,C237)&lt;&gt;1)),"父版本引用无效",IF(AND(OR(D237="试行",D237="采用"),OR(G237="",NOT(ISNUMBER(I237)),NOT(ISNUMBER(J237)))),"待补采用与复核","有效输入")))))</x:f>
      </x:c>
    </x:row>
    <x:row r="238" ht="25" customHeight="1">
      <x:c r="A238" s="3"/>
      <x:c r="B238" s="3"/>
      <x:c r="C238" s="3"/>
      <x:c r="D238" s="3"/>
      <x:c r="E238" s="3"/>
      <x:c r="F238" s="3"/>
      <x:c r="G238" s="3"/>
      <x:c r="H238" s="3"/>
      <x:c r="I238" s="20"/>
      <x:c r="J238" s="20"/>
      <x:c r="K238" s="3"/>
      <x:c r="L238" s="3"/>
      <x:c r="M238" s="19" t="str">
        <x:f>IF(A238="","",IF(COUNTIFS($A$7:$A$306,A238,$B$7:$B$306,B238)&lt;&gt;1,"规则版本重复",IF(OR(B238="",D238="",E238="",F238="",K238="",L238=""),"待补规则信息",IF(AND(C238&lt;&gt;"",OR(C238=B238,COUNTIFS($A$7:$A$306,A238,$B$7:$B$306,C238)&lt;&gt;1)),"父版本引用无效",IF(AND(OR(D238="试行",D238="采用"),OR(G238="",NOT(ISNUMBER(I238)),NOT(ISNUMBER(J238)))),"待补采用与复核","有效输入")))))</x:f>
      </x:c>
    </x:row>
    <x:row r="239" ht="25" customHeight="1">
      <x:c r="A239" s="3"/>
      <x:c r="B239" s="3"/>
      <x:c r="C239" s="3"/>
      <x:c r="D239" s="3"/>
      <x:c r="E239" s="3"/>
      <x:c r="F239" s="3"/>
      <x:c r="G239" s="3"/>
      <x:c r="H239" s="3"/>
      <x:c r="I239" s="20"/>
      <x:c r="J239" s="20"/>
      <x:c r="K239" s="3"/>
      <x:c r="L239" s="3"/>
      <x:c r="M239" s="19" t="str">
        <x:f>IF(A239="","",IF(COUNTIFS($A$7:$A$306,A239,$B$7:$B$306,B239)&lt;&gt;1,"规则版本重复",IF(OR(B239="",D239="",E239="",F239="",K239="",L239=""),"待补规则信息",IF(AND(C239&lt;&gt;"",OR(C239=B239,COUNTIFS($A$7:$A$306,A239,$B$7:$B$306,C239)&lt;&gt;1)),"父版本引用无效",IF(AND(OR(D239="试行",D239="采用"),OR(G239="",NOT(ISNUMBER(I239)),NOT(ISNUMBER(J239)))),"待补采用与复核","有效输入")))))</x:f>
      </x:c>
    </x:row>
    <x:row r="240" ht="25" customHeight="1">
      <x:c r="A240" s="3"/>
      <x:c r="B240" s="3"/>
      <x:c r="C240" s="3"/>
      <x:c r="D240" s="3"/>
      <x:c r="E240" s="3"/>
      <x:c r="F240" s="3"/>
      <x:c r="G240" s="3"/>
      <x:c r="H240" s="3"/>
      <x:c r="I240" s="20"/>
      <x:c r="J240" s="20"/>
      <x:c r="K240" s="3"/>
      <x:c r="L240" s="3"/>
      <x:c r="M240" s="19" t="str">
        <x:f>IF(A240="","",IF(COUNTIFS($A$7:$A$306,A240,$B$7:$B$306,B240)&lt;&gt;1,"规则版本重复",IF(OR(B240="",D240="",E240="",F240="",K240="",L240=""),"待补规则信息",IF(AND(C240&lt;&gt;"",OR(C240=B240,COUNTIFS($A$7:$A$306,A240,$B$7:$B$306,C240)&lt;&gt;1)),"父版本引用无效",IF(AND(OR(D240="试行",D240="采用"),OR(G240="",NOT(ISNUMBER(I240)),NOT(ISNUMBER(J240)))),"待补采用与复核","有效输入")))))</x:f>
      </x:c>
    </x:row>
    <x:row r="241" ht="25" customHeight="1">
      <x:c r="A241" s="3"/>
      <x:c r="B241" s="3"/>
      <x:c r="C241" s="3"/>
      <x:c r="D241" s="3"/>
      <x:c r="E241" s="3"/>
      <x:c r="F241" s="3"/>
      <x:c r="G241" s="3"/>
      <x:c r="H241" s="3"/>
      <x:c r="I241" s="20"/>
      <x:c r="J241" s="20"/>
      <x:c r="K241" s="3"/>
      <x:c r="L241" s="3"/>
      <x:c r="M241" s="19" t="str">
        <x:f>IF(A241="","",IF(COUNTIFS($A$7:$A$306,A241,$B$7:$B$306,B241)&lt;&gt;1,"规则版本重复",IF(OR(B241="",D241="",E241="",F241="",K241="",L241=""),"待补规则信息",IF(AND(C241&lt;&gt;"",OR(C241=B241,COUNTIFS($A$7:$A$306,A241,$B$7:$B$306,C241)&lt;&gt;1)),"父版本引用无效",IF(AND(OR(D241="试行",D241="采用"),OR(G241="",NOT(ISNUMBER(I241)),NOT(ISNUMBER(J241)))),"待补采用与复核","有效输入")))))</x:f>
      </x:c>
    </x:row>
    <x:row r="242" ht="25" customHeight="1">
      <x:c r="A242" s="3"/>
      <x:c r="B242" s="3"/>
      <x:c r="C242" s="3"/>
      <x:c r="D242" s="3"/>
      <x:c r="E242" s="3"/>
      <x:c r="F242" s="3"/>
      <x:c r="G242" s="3"/>
      <x:c r="H242" s="3"/>
      <x:c r="I242" s="20"/>
      <x:c r="J242" s="20"/>
      <x:c r="K242" s="3"/>
      <x:c r="L242" s="3"/>
      <x:c r="M242" s="19" t="str">
        <x:f>IF(A242="","",IF(COUNTIFS($A$7:$A$306,A242,$B$7:$B$306,B242)&lt;&gt;1,"规则版本重复",IF(OR(B242="",D242="",E242="",F242="",K242="",L242=""),"待补规则信息",IF(AND(C242&lt;&gt;"",OR(C242=B242,COUNTIFS($A$7:$A$306,A242,$B$7:$B$306,C242)&lt;&gt;1)),"父版本引用无效",IF(AND(OR(D242="试行",D242="采用"),OR(G242="",NOT(ISNUMBER(I242)),NOT(ISNUMBER(J242)))),"待补采用与复核","有效输入")))))</x:f>
      </x:c>
    </x:row>
    <x:row r="243" ht="25" customHeight="1">
      <x:c r="A243" s="3"/>
      <x:c r="B243" s="3"/>
      <x:c r="C243" s="3"/>
      <x:c r="D243" s="3"/>
      <x:c r="E243" s="3"/>
      <x:c r="F243" s="3"/>
      <x:c r="G243" s="3"/>
      <x:c r="H243" s="3"/>
      <x:c r="I243" s="20"/>
      <x:c r="J243" s="20"/>
      <x:c r="K243" s="3"/>
      <x:c r="L243" s="3"/>
      <x:c r="M243" s="19" t="str">
        <x:f>IF(A243="","",IF(COUNTIFS($A$7:$A$306,A243,$B$7:$B$306,B243)&lt;&gt;1,"规则版本重复",IF(OR(B243="",D243="",E243="",F243="",K243="",L243=""),"待补规则信息",IF(AND(C243&lt;&gt;"",OR(C243=B243,COUNTIFS($A$7:$A$306,A243,$B$7:$B$306,C243)&lt;&gt;1)),"父版本引用无效",IF(AND(OR(D243="试行",D243="采用"),OR(G243="",NOT(ISNUMBER(I243)),NOT(ISNUMBER(J243)))),"待补采用与复核","有效输入")))))</x:f>
      </x:c>
    </x:row>
    <x:row r="244" ht="25" customHeight="1">
      <x:c r="A244" s="3"/>
      <x:c r="B244" s="3"/>
      <x:c r="C244" s="3"/>
      <x:c r="D244" s="3"/>
      <x:c r="E244" s="3"/>
      <x:c r="F244" s="3"/>
      <x:c r="G244" s="3"/>
      <x:c r="H244" s="3"/>
      <x:c r="I244" s="20"/>
      <x:c r="J244" s="20"/>
      <x:c r="K244" s="3"/>
      <x:c r="L244" s="3"/>
      <x:c r="M244" s="19" t="str">
        <x:f>IF(A244="","",IF(COUNTIFS($A$7:$A$306,A244,$B$7:$B$306,B244)&lt;&gt;1,"规则版本重复",IF(OR(B244="",D244="",E244="",F244="",K244="",L244=""),"待补规则信息",IF(AND(C244&lt;&gt;"",OR(C244=B244,COUNTIFS($A$7:$A$306,A244,$B$7:$B$306,C244)&lt;&gt;1)),"父版本引用无效",IF(AND(OR(D244="试行",D244="采用"),OR(G244="",NOT(ISNUMBER(I244)),NOT(ISNUMBER(J244)))),"待补采用与复核","有效输入")))))</x:f>
      </x:c>
    </x:row>
    <x:row r="245" ht="25" customHeight="1">
      <x:c r="A245" s="3"/>
      <x:c r="B245" s="3"/>
      <x:c r="C245" s="3"/>
      <x:c r="D245" s="3"/>
      <x:c r="E245" s="3"/>
      <x:c r="F245" s="3"/>
      <x:c r="G245" s="3"/>
      <x:c r="H245" s="3"/>
      <x:c r="I245" s="20"/>
      <x:c r="J245" s="20"/>
      <x:c r="K245" s="3"/>
      <x:c r="L245" s="3"/>
      <x:c r="M245" s="19" t="str">
        <x:f>IF(A245="","",IF(COUNTIFS($A$7:$A$306,A245,$B$7:$B$306,B245)&lt;&gt;1,"规则版本重复",IF(OR(B245="",D245="",E245="",F245="",K245="",L245=""),"待补规则信息",IF(AND(C245&lt;&gt;"",OR(C245=B245,COUNTIFS($A$7:$A$306,A245,$B$7:$B$306,C245)&lt;&gt;1)),"父版本引用无效",IF(AND(OR(D245="试行",D245="采用"),OR(G245="",NOT(ISNUMBER(I245)),NOT(ISNUMBER(J245)))),"待补采用与复核","有效输入")))))</x:f>
      </x:c>
    </x:row>
    <x:row r="246" ht="25" customHeight="1">
      <x:c r="A246" s="3"/>
      <x:c r="B246" s="3"/>
      <x:c r="C246" s="3"/>
      <x:c r="D246" s="3"/>
      <x:c r="E246" s="3"/>
      <x:c r="F246" s="3"/>
      <x:c r="G246" s="3"/>
      <x:c r="H246" s="3"/>
      <x:c r="I246" s="20"/>
      <x:c r="J246" s="20"/>
      <x:c r="K246" s="3"/>
      <x:c r="L246" s="3"/>
      <x:c r="M246" s="19" t="str">
        <x:f>IF(A246="","",IF(COUNTIFS($A$7:$A$306,A246,$B$7:$B$306,B246)&lt;&gt;1,"规则版本重复",IF(OR(B246="",D246="",E246="",F246="",K246="",L246=""),"待补规则信息",IF(AND(C246&lt;&gt;"",OR(C246=B246,COUNTIFS($A$7:$A$306,A246,$B$7:$B$306,C246)&lt;&gt;1)),"父版本引用无效",IF(AND(OR(D246="试行",D246="采用"),OR(G246="",NOT(ISNUMBER(I246)),NOT(ISNUMBER(J246)))),"待补采用与复核","有效输入")))))</x:f>
      </x:c>
    </x:row>
    <x:row r="247" ht="25" customHeight="1">
      <x:c r="A247" s="3"/>
      <x:c r="B247" s="3"/>
      <x:c r="C247" s="3"/>
      <x:c r="D247" s="3"/>
      <x:c r="E247" s="3"/>
      <x:c r="F247" s="3"/>
      <x:c r="G247" s="3"/>
      <x:c r="H247" s="3"/>
      <x:c r="I247" s="20"/>
      <x:c r="J247" s="20"/>
      <x:c r="K247" s="3"/>
      <x:c r="L247" s="3"/>
      <x:c r="M247" s="19" t="str">
        <x:f>IF(A247="","",IF(COUNTIFS($A$7:$A$306,A247,$B$7:$B$306,B247)&lt;&gt;1,"规则版本重复",IF(OR(B247="",D247="",E247="",F247="",K247="",L247=""),"待补规则信息",IF(AND(C247&lt;&gt;"",OR(C247=B247,COUNTIFS($A$7:$A$306,A247,$B$7:$B$306,C247)&lt;&gt;1)),"父版本引用无效",IF(AND(OR(D247="试行",D247="采用"),OR(G247="",NOT(ISNUMBER(I247)),NOT(ISNUMBER(J247)))),"待补采用与复核","有效输入")))))</x:f>
      </x:c>
    </x:row>
    <x:row r="248" ht="25" customHeight="1">
      <x:c r="A248" s="3"/>
      <x:c r="B248" s="3"/>
      <x:c r="C248" s="3"/>
      <x:c r="D248" s="3"/>
      <x:c r="E248" s="3"/>
      <x:c r="F248" s="3"/>
      <x:c r="G248" s="3"/>
      <x:c r="H248" s="3"/>
      <x:c r="I248" s="20"/>
      <x:c r="J248" s="20"/>
      <x:c r="K248" s="3"/>
      <x:c r="L248" s="3"/>
      <x:c r="M248" s="19" t="str">
        <x:f>IF(A248="","",IF(COUNTIFS($A$7:$A$306,A248,$B$7:$B$306,B248)&lt;&gt;1,"规则版本重复",IF(OR(B248="",D248="",E248="",F248="",K248="",L248=""),"待补规则信息",IF(AND(C248&lt;&gt;"",OR(C248=B248,COUNTIFS($A$7:$A$306,A248,$B$7:$B$306,C248)&lt;&gt;1)),"父版本引用无效",IF(AND(OR(D248="试行",D248="采用"),OR(G248="",NOT(ISNUMBER(I248)),NOT(ISNUMBER(J248)))),"待补采用与复核","有效输入")))))</x:f>
      </x:c>
    </x:row>
    <x:row r="249" ht="25" customHeight="1">
      <x:c r="A249" s="3"/>
      <x:c r="B249" s="3"/>
      <x:c r="C249" s="3"/>
      <x:c r="D249" s="3"/>
      <x:c r="E249" s="3"/>
      <x:c r="F249" s="3"/>
      <x:c r="G249" s="3"/>
      <x:c r="H249" s="3"/>
      <x:c r="I249" s="20"/>
      <x:c r="J249" s="20"/>
      <x:c r="K249" s="3"/>
      <x:c r="L249" s="3"/>
      <x:c r="M249" s="19" t="str">
        <x:f>IF(A249="","",IF(COUNTIFS($A$7:$A$306,A249,$B$7:$B$306,B249)&lt;&gt;1,"规则版本重复",IF(OR(B249="",D249="",E249="",F249="",K249="",L249=""),"待补规则信息",IF(AND(C249&lt;&gt;"",OR(C249=B249,COUNTIFS($A$7:$A$306,A249,$B$7:$B$306,C249)&lt;&gt;1)),"父版本引用无效",IF(AND(OR(D249="试行",D249="采用"),OR(G249="",NOT(ISNUMBER(I249)),NOT(ISNUMBER(J249)))),"待补采用与复核","有效输入")))))</x:f>
      </x:c>
    </x:row>
    <x:row r="250" ht="25" customHeight="1">
      <x:c r="A250" s="3"/>
      <x:c r="B250" s="3"/>
      <x:c r="C250" s="3"/>
      <x:c r="D250" s="3"/>
      <x:c r="E250" s="3"/>
      <x:c r="F250" s="3"/>
      <x:c r="G250" s="3"/>
      <x:c r="H250" s="3"/>
      <x:c r="I250" s="20"/>
      <x:c r="J250" s="20"/>
      <x:c r="K250" s="3"/>
      <x:c r="L250" s="3"/>
      <x:c r="M250" s="19" t="str">
        <x:f>IF(A250="","",IF(COUNTIFS($A$7:$A$306,A250,$B$7:$B$306,B250)&lt;&gt;1,"规则版本重复",IF(OR(B250="",D250="",E250="",F250="",K250="",L250=""),"待补规则信息",IF(AND(C250&lt;&gt;"",OR(C250=B250,COUNTIFS($A$7:$A$306,A250,$B$7:$B$306,C250)&lt;&gt;1)),"父版本引用无效",IF(AND(OR(D250="试行",D250="采用"),OR(G250="",NOT(ISNUMBER(I250)),NOT(ISNUMBER(J250)))),"待补采用与复核","有效输入")))))</x:f>
      </x:c>
    </x:row>
    <x:row r="251" ht="25" customHeight="1">
      <x:c r="A251" s="3"/>
      <x:c r="B251" s="3"/>
      <x:c r="C251" s="3"/>
      <x:c r="D251" s="3"/>
      <x:c r="E251" s="3"/>
      <x:c r="F251" s="3"/>
      <x:c r="G251" s="3"/>
      <x:c r="H251" s="3"/>
      <x:c r="I251" s="20"/>
      <x:c r="J251" s="20"/>
      <x:c r="K251" s="3"/>
      <x:c r="L251" s="3"/>
      <x:c r="M251" s="19" t="str">
        <x:f>IF(A251="","",IF(COUNTIFS($A$7:$A$306,A251,$B$7:$B$306,B251)&lt;&gt;1,"规则版本重复",IF(OR(B251="",D251="",E251="",F251="",K251="",L251=""),"待补规则信息",IF(AND(C251&lt;&gt;"",OR(C251=B251,COUNTIFS($A$7:$A$306,A251,$B$7:$B$306,C251)&lt;&gt;1)),"父版本引用无效",IF(AND(OR(D251="试行",D251="采用"),OR(G251="",NOT(ISNUMBER(I251)),NOT(ISNUMBER(J251)))),"待补采用与复核","有效输入")))))</x:f>
      </x:c>
    </x:row>
    <x:row r="252" ht="25" customHeight="1">
      <x:c r="A252" s="3"/>
      <x:c r="B252" s="3"/>
      <x:c r="C252" s="3"/>
      <x:c r="D252" s="3"/>
      <x:c r="E252" s="3"/>
      <x:c r="F252" s="3"/>
      <x:c r="G252" s="3"/>
      <x:c r="H252" s="3"/>
      <x:c r="I252" s="20"/>
      <x:c r="J252" s="20"/>
      <x:c r="K252" s="3"/>
      <x:c r="L252" s="3"/>
      <x:c r="M252" s="19" t="str">
        <x:f>IF(A252="","",IF(COUNTIFS($A$7:$A$306,A252,$B$7:$B$306,B252)&lt;&gt;1,"规则版本重复",IF(OR(B252="",D252="",E252="",F252="",K252="",L252=""),"待补规则信息",IF(AND(C252&lt;&gt;"",OR(C252=B252,COUNTIFS($A$7:$A$306,A252,$B$7:$B$306,C252)&lt;&gt;1)),"父版本引用无效",IF(AND(OR(D252="试行",D252="采用"),OR(G252="",NOT(ISNUMBER(I252)),NOT(ISNUMBER(J252)))),"待补采用与复核","有效输入")))))</x:f>
      </x:c>
    </x:row>
    <x:row r="253" ht="25" customHeight="1">
      <x:c r="A253" s="3"/>
      <x:c r="B253" s="3"/>
      <x:c r="C253" s="3"/>
      <x:c r="D253" s="3"/>
      <x:c r="E253" s="3"/>
      <x:c r="F253" s="3"/>
      <x:c r="G253" s="3"/>
      <x:c r="H253" s="3"/>
      <x:c r="I253" s="20"/>
      <x:c r="J253" s="20"/>
      <x:c r="K253" s="3"/>
      <x:c r="L253" s="3"/>
      <x:c r="M253" s="19" t="str">
        <x:f>IF(A253="","",IF(COUNTIFS($A$7:$A$306,A253,$B$7:$B$306,B253)&lt;&gt;1,"规则版本重复",IF(OR(B253="",D253="",E253="",F253="",K253="",L253=""),"待补规则信息",IF(AND(C253&lt;&gt;"",OR(C253=B253,COUNTIFS($A$7:$A$306,A253,$B$7:$B$306,C253)&lt;&gt;1)),"父版本引用无效",IF(AND(OR(D253="试行",D253="采用"),OR(G253="",NOT(ISNUMBER(I253)),NOT(ISNUMBER(J253)))),"待补采用与复核","有效输入")))))</x:f>
      </x:c>
    </x:row>
    <x:row r="254" ht="25" customHeight="1">
      <x:c r="A254" s="3"/>
      <x:c r="B254" s="3"/>
      <x:c r="C254" s="3"/>
      <x:c r="D254" s="3"/>
      <x:c r="E254" s="3"/>
      <x:c r="F254" s="3"/>
      <x:c r="G254" s="3"/>
      <x:c r="H254" s="3"/>
      <x:c r="I254" s="20"/>
      <x:c r="J254" s="20"/>
      <x:c r="K254" s="3"/>
      <x:c r="L254" s="3"/>
      <x:c r="M254" s="19" t="str">
        <x:f>IF(A254="","",IF(COUNTIFS($A$7:$A$306,A254,$B$7:$B$306,B254)&lt;&gt;1,"规则版本重复",IF(OR(B254="",D254="",E254="",F254="",K254="",L254=""),"待补规则信息",IF(AND(C254&lt;&gt;"",OR(C254=B254,COUNTIFS($A$7:$A$306,A254,$B$7:$B$306,C254)&lt;&gt;1)),"父版本引用无效",IF(AND(OR(D254="试行",D254="采用"),OR(G254="",NOT(ISNUMBER(I254)),NOT(ISNUMBER(J254)))),"待补采用与复核","有效输入")))))</x:f>
      </x:c>
    </x:row>
    <x:row r="255" ht="25" customHeight="1">
      <x:c r="A255" s="3"/>
      <x:c r="B255" s="3"/>
      <x:c r="C255" s="3"/>
      <x:c r="D255" s="3"/>
      <x:c r="E255" s="3"/>
      <x:c r="F255" s="3"/>
      <x:c r="G255" s="3"/>
      <x:c r="H255" s="3"/>
      <x:c r="I255" s="20"/>
      <x:c r="J255" s="20"/>
      <x:c r="K255" s="3"/>
      <x:c r="L255" s="3"/>
      <x:c r="M255" s="19" t="str">
        <x:f>IF(A255="","",IF(COUNTIFS($A$7:$A$306,A255,$B$7:$B$306,B255)&lt;&gt;1,"规则版本重复",IF(OR(B255="",D255="",E255="",F255="",K255="",L255=""),"待补规则信息",IF(AND(C255&lt;&gt;"",OR(C255=B255,COUNTIFS($A$7:$A$306,A255,$B$7:$B$306,C255)&lt;&gt;1)),"父版本引用无效",IF(AND(OR(D255="试行",D255="采用"),OR(G255="",NOT(ISNUMBER(I255)),NOT(ISNUMBER(J255)))),"待补采用与复核","有效输入")))))</x:f>
      </x:c>
    </x:row>
    <x:row r="256" ht="25" customHeight="1">
      <x:c r="A256" s="3"/>
      <x:c r="B256" s="3"/>
      <x:c r="C256" s="3"/>
      <x:c r="D256" s="3"/>
      <x:c r="E256" s="3"/>
      <x:c r="F256" s="3"/>
      <x:c r="G256" s="3"/>
      <x:c r="H256" s="3"/>
      <x:c r="I256" s="20"/>
      <x:c r="J256" s="20"/>
      <x:c r="K256" s="3"/>
      <x:c r="L256" s="3"/>
      <x:c r="M256" s="19" t="str">
        <x:f>IF(A256="","",IF(COUNTIFS($A$7:$A$306,A256,$B$7:$B$306,B256)&lt;&gt;1,"规则版本重复",IF(OR(B256="",D256="",E256="",F256="",K256="",L256=""),"待补规则信息",IF(AND(C256&lt;&gt;"",OR(C256=B256,COUNTIFS($A$7:$A$306,A256,$B$7:$B$306,C256)&lt;&gt;1)),"父版本引用无效",IF(AND(OR(D256="试行",D256="采用"),OR(G256="",NOT(ISNUMBER(I256)),NOT(ISNUMBER(J256)))),"待补采用与复核","有效输入")))))</x:f>
      </x:c>
    </x:row>
    <x:row r="257" ht="25" customHeight="1">
      <x:c r="A257" s="3"/>
      <x:c r="B257" s="3"/>
      <x:c r="C257" s="3"/>
      <x:c r="D257" s="3"/>
      <x:c r="E257" s="3"/>
      <x:c r="F257" s="3"/>
      <x:c r="G257" s="3"/>
      <x:c r="H257" s="3"/>
      <x:c r="I257" s="20"/>
      <x:c r="J257" s="20"/>
      <x:c r="K257" s="3"/>
      <x:c r="L257" s="3"/>
      <x:c r="M257" s="19" t="str">
        <x:f>IF(A257="","",IF(COUNTIFS($A$7:$A$306,A257,$B$7:$B$306,B257)&lt;&gt;1,"规则版本重复",IF(OR(B257="",D257="",E257="",F257="",K257="",L257=""),"待补规则信息",IF(AND(C257&lt;&gt;"",OR(C257=B257,COUNTIFS($A$7:$A$306,A257,$B$7:$B$306,C257)&lt;&gt;1)),"父版本引用无效",IF(AND(OR(D257="试行",D257="采用"),OR(G257="",NOT(ISNUMBER(I257)),NOT(ISNUMBER(J257)))),"待补采用与复核","有效输入")))))</x:f>
      </x:c>
    </x:row>
    <x:row r="258" ht="25" customHeight="1">
      <x:c r="A258" s="3"/>
      <x:c r="B258" s="3"/>
      <x:c r="C258" s="3"/>
      <x:c r="D258" s="3"/>
      <x:c r="E258" s="3"/>
      <x:c r="F258" s="3"/>
      <x:c r="G258" s="3"/>
      <x:c r="H258" s="3"/>
      <x:c r="I258" s="20"/>
      <x:c r="J258" s="20"/>
      <x:c r="K258" s="3"/>
      <x:c r="L258" s="3"/>
      <x:c r="M258" s="19" t="str">
        <x:f>IF(A258="","",IF(COUNTIFS($A$7:$A$306,A258,$B$7:$B$306,B258)&lt;&gt;1,"规则版本重复",IF(OR(B258="",D258="",E258="",F258="",K258="",L258=""),"待补规则信息",IF(AND(C258&lt;&gt;"",OR(C258=B258,COUNTIFS($A$7:$A$306,A258,$B$7:$B$306,C258)&lt;&gt;1)),"父版本引用无效",IF(AND(OR(D258="试行",D258="采用"),OR(G258="",NOT(ISNUMBER(I258)),NOT(ISNUMBER(J258)))),"待补采用与复核","有效输入")))))</x:f>
      </x:c>
    </x:row>
    <x:row r="259" ht="25" customHeight="1">
      <x:c r="A259" s="3"/>
      <x:c r="B259" s="3"/>
      <x:c r="C259" s="3"/>
      <x:c r="D259" s="3"/>
      <x:c r="E259" s="3"/>
      <x:c r="F259" s="3"/>
      <x:c r="G259" s="3"/>
      <x:c r="H259" s="3"/>
      <x:c r="I259" s="20"/>
      <x:c r="J259" s="20"/>
      <x:c r="K259" s="3"/>
      <x:c r="L259" s="3"/>
      <x:c r="M259" s="19" t="str">
        <x:f>IF(A259="","",IF(COUNTIFS($A$7:$A$306,A259,$B$7:$B$306,B259)&lt;&gt;1,"规则版本重复",IF(OR(B259="",D259="",E259="",F259="",K259="",L259=""),"待补规则信息",IF(AND(C259&lt;&gt;"",OR(C259=B259,COUNTIFS($A$7:$A$306,A259,$B$7:$B$306,C259)&lt;&gt;1)),"父版本引用无效",IF(AND(OR(D259="试行",D259="采用"),OR(G259="",NOT(ISNUMBER(I259)),NOT(ISNUMBER(J259)))),"待补采用与复核","有效输入")))))</x:f>
      </x:c>
    </x:row>
    <x:row r="260" ht="25" customHeight="1">
      <x:c r="A260" s="3"/>
      <x:c r="B260" s="3"/>
      <x:c r="C260" s="3"/>
      <x:c r="D260" s="3"/>
      <x:c r="E260" s="3"/>
      <x:c r="F260" s="3"/>
      <x:c r="G260" s="3"/>
      <x:c r="H260" s="3"/>
      <x:c r="I260" s="20"/>
      <x:c r="J260" s="20"/>
      <x:c r="K260" s="3"/>
      <x:c r="L260" s="3"/>
      <x:c r="M260" s="19" t="str">
        <x:f>IF(A260="","",IF(COUNTIFS($A$7:$A$306,A260,$B$7:$B$306,B260)&lt;&gt;1,"规则版本重复",IF(OR(B260="",D260="",E260="",F260="",K260="",L260=""),"待补规则信息",IF(AND(C260&lt;&gt;"",OR(C260=B260,COUNTIFS($A$7:$A$306,A260,$B$7:$B$306,C260)&lt;&gt;1)),"父版本引用无效",IF(AND(OR(D260="试行",D260="采用"),OR(G260="",NOT(ISNUMBER(I260)),NOT(ISNUMBER(J260)))),"待补采用与复核","有效输入")))))</x:f>
      </x:c>
    </x:row>
    <x:row r="261" ht="25" customHeight="1">
      <x:c r="A261" s="3"/>
      <x:c r="B261" s="3"/>
      <x:c r="C261" s="3"/>
      <x:c r="D261" s="3"/>
      <x:c r="E261" s="3"/>
      <x:c r="F261" s="3"/>
      <x:c r="G261" s="3"/>
      <x:c r="H261" s="3"/>
      <x:c r="I261" s="20"/>
      <x:c r="J261" s="20"/>
      <x:c r="K261" s="3"/>
      <x:c r="L261" s="3"/>
      <x:c r="M261" s="19" t="str">
        <x:f>IF(A261="","",IF(COUNTIFS($A$7:$A$306,A261,$B$7:$B$306,B261)&lt;&gt;1,"规则版本重复",IF(OR(B261="",D261="",E261="",F261="",K261="",L261=""),"待补规则信息",IF(AND(C261&lt;&gt;"",OR(C261=B261,COUNTIFS($A$7:$A$306,A261,$B$7:$B$306,C261)&lt;&gt;1)),"父版本引用无效",IF(AND(OR(D261="试行",D261="采用"),OR(G261="",NOT(ISNUMBER(I261)),NOT(ISNUMBER(J261)))),"待补采用与复核","有效输入")))))</x:f>
      </x:c>
    </x:row>
    <x:row r="262" ht="25" customHeight="1">
      <x:c r="A262" s="3"/>
      <x:c r="B262" s="3"/>
      <x:c r="C262" s="3"/>
      <x:c r="D262" s="3"/>
      <x:c r="E262" s="3"/>
      <x:c r="F262" s="3"/>
      <x:c r="G262" s="3"/>
      <x:c r="H262" s="3"/>
      <x:c r="I262" s="20"/>
      <x:c r="J262" s="20"/>
      <x:c r="K262" s="3"/>
      <x:c r="L262" s="3"/>
      <x:c r="M262" s="19" t="str">
        <x:f>IF(A262="","",IF(COUNTIFS($A$7:$A$306,A262,$B$7:$B$306,B262)&lt;&gt;1,"规则版本重复",IF(OR(B262="",D262="",E262="",F262="",K262="",L262=""),"待补规则信息",IF(AND(C262&lt;&gt;"",OR(C262=B262,COUNTIFS($A$7:$A$306,A262,$B$7:$B$306,C262)&lt;&gt;1)),"父版本引用无效",IF(AND(OR(D262="试行",D262="采用"),OR(G262="",NOT(ISNUMBER(I262)),NOT(ISNUMBER(J262)))),"待补采用与复核","有效输入")))))</x:f>
      </x:c>
    </x:row>
    <x:row r="263" ht="25" customHeight="1">
      <x:c r="A263" s="3"/>
      <x:c r="B263" s="3"/>
      <x:c r="C263" s="3"/>
      <x:c r="D263" s="3"/>
      <x:c r="E263" s="3"/>
      <x:c r="F263" s="3"/>
      <x:c r="G263" s="3"/>
      <x:c r="H263" s="3"/>
      <x:c r="I263" s="20"/>
      <x:c r="J263" s="20"/>
      <x:c r="K263" s="3"/>
      <x:c r="L263" s="3"/>
      <x:c r="M263" s="19" t="str">
        <x:f>IF(A263="","",IF(COUNTIFS($A$7:$A$306,A263,$B$7:$B$306,B263)&lt;&gt;1,"规则版本重复",IF(OR(B263="",D263="",E263="",F263="",K263="",L263=""),"待补规则信息",IF(AND(C263&lt;&gt;"",OR(C263=B263,COUNTIFS($A$7:$A$306,A263,$B$7:$B$306,C263)&lt;&gt;1)),"父版本引用无效",IF(AND(OR(D263="试行",D263="采用"),OR(G263="",NOT(ISNUMBER(I263)),NOT(ISNUMBER(J263)))),"待补采用与复核","有效输入")))))</x:f>
      </x:c>
    </x:row>
    <x:row r="264" ht="25" customHeight="1">
      <x:c r="A264" s="3"/>
      <x:c r="B264" s="3"/>
      <x:c r="C264" s="3"/>
      <x:c r="D264" s="3"/>
      <x:c r="E264" s="3"/>
      <x:c r="F264" s="3"/>
      <x:c r="G264" s="3"/>
      <x:c r="H264" s="3"/>
      <x:c r="I264" s="20"/>
      <x:c r="J264" s="20"/>
      <x:c r="K264" s="3"/>
      <x:c r="L264" s="3"/>
      <x:c r="M264" s="19" t="str">
        <x:f>IF(A264="","",IF(COUNTIFS($A$7:$A$306,A264,$B$7:$B$306,B264)&lt;&gt;1,"规则版本重复",IF(OR(B264="",D264="",E264="",F264="",K264="",L264=""),"待补规则信息",IF(AND(C264&lt;&gt;"",OR(C264=B264,COUNTIFS($A$7:$A$306,A264,$B$7:$B$306,C264)&lt;&gt;1)),"父版本引用无效",IF(AND(OR(D264="试行",D264="采用"),OR(G264="",NOT(ISNUMBER(I264)),NOT(ISNUMBER(J264)))),"待补采用与复核","有效输入")))))</x:f>
      </x:c>
    </x:row>
    <x:row r="265" ht="25" customHeight="1">
      <x:c r="A265" s="3"/>
      <x:c r="B265" s="3"/>
      <x:c r="C265" s="3"/>
      <x:c r="D265" s="3"/>
      <x:c r="E265" s="3"/>
      <x:c r="F265" s="3"/>
      <x:c r="G265" s="3"/>
      <x:c r="H265" s="3"/>
      <x:c r="I265" s="20"/>
      <x:c r="J265" s="20"/>
      <x:c r="K265" s="3"/>
      <x:c r="L265" s="3"/>
      <x:c r="M265" s="19" t="str">
        <x:f>IF(A265="","",IF(COUNTIFS($A$7:$A$306,A265,$B$7:$B$306,B265)&lt;&gt;1,"规则版本重复",IF(OR(B265="",D265="",E265="",F265="",K265="",L265=""),"待补规则信息",IF(AND(C265&lt;&gt;"",OR(C265=B265,COUNTIFS($A$7:$A$306,A265,$B$7:$B$306,C265)&lt;&gt;1)),"父版本引用无效",IF(AND(OR(D265="试行",D265="采用"),OR(G265="",NOT(ISNUMBER(I265)),NOT(ISNUMBER(J265)))),"待补采用与复核","有效输入")))))</x:f>
      </x:c>
    </x:row>
    <x:row r="266" ht="25" customHeight="1">
      <x:c r="A266" s="3"/>
      <x:c r="B266" s="3"/>
      <x:c r="C266" s="3"/>
      <x:c r="D266" s="3"/>
      <x:c r="E266" s="3"/>
      <x:c r="F266" s="3"/>
      <x:c r="G266" s="3"/>
      <x:c r="H266" s="3"/>
      <x:c r="I266" s="20"/>
      <x:c r="J266" s="20"/>
      <x:c r="K266" s="3"/>
      <x:c r="L266" s="3"/>
      <x:c r="M266" s="19" t="str">
        <x:f>IF(A266="","",IF(COUNTIFS($A$7:$A$306,A266,$B$7:$B$306,B266)&lt;&gt;1,"规则版本重复",IF(OR(B266="",D266="",E266="",F266="",K266="",L266=""),"待补规则信息",IF(AND(C266&lt;&gt;"",OR(C266=B266,COUNTIFS($A$7:$A$306,A266,$B$7:$B$306,C266)&lt;&gt;1)),"父版本引用无效",IF(AND(OR(D266="试行",D266="采用"),OR(G266="",NOT(ISNUMBER(I266)),NOT(ISNUMBER(J266)))),"待补采用与复核","有效输入")))))</x:f>
      </x:c>
    </x:row>
    <x:row r="267" ht="25" customHeight="1">
      <x:c r="A267" s="3"/>
      <x:c r="B267" s="3"/>
      <x:c r="C267" s="3"/>
      <x:c r="D267" s="3"/>
      <x:c r="E267" s="3"/>
      <x:c r="F267" s="3"/>
      <x:c r="G267" s="3"/>
      <x:c r="H267" s="3"/>
      <x:c r="I267" s="20"/>
      <x:c r="J267" s="20"/>
      <x:c r="K267" s="3"/>
      <x:c r="L267" s="3"/>
      <x:c r="M267" s="19" t="str">
        <x:f>IF(A267="","",IF(COUNTIFS($A$7:$A$306,A267,$B$7:$B$306,B267)&lt;&gt;1,"规则版本重复",IF(OR(B267="",D267="",E267="",F267="",K267="",L267=""),"待补规则信息",IF(AND(C267&lt;&gt;"",OR(C267=B267,COUNTIFS($A$7:$A$306,A267,$B$7:$B$306,C267)&lt;&gt;1)),"父版本引用无效",IF(AND(OR(D267="试行",D267="采用"),OR(G267="",NOT(ISNUMBER(I267)),NOT(ISNUMBER(J267)))),"待补采用与复核","有效输入")))))</x:f>
      </x:c>
    </x:row>
    <x:row r="268" ht="25" customHeight="1">
      <x:c r="A268" s="3"/>
      <x:c r="B268" s="3"/>
      <x:c r="C268" s="3"/>
      <x:c r="D268" s="3"/>
      <x:c r="E268" s="3"/>
      <x:c r="F268" s="3"/>
      <x:c r="G268" s="3"/>
      <x:c r="H268" s="3"/>
      <x:c r="I268" s="20"/>
      <x:c r="J268" s="20"/>
      <x:c r="K268" s="3"/>
      <x:c r="L268" s="3"/>
      <x:c r="M268" s="19" t="str">
        <x:f>IF(A268="","",IF(COUNTIFS($A$7:$A$306,A268,$B$7:$B$306,B268)&lt;&gt;1,"规则版本重复",IF(OR(B268="",D268="",E268="",F268="",K268="",L268=""),"待补规则信息",IF(AND(C268&lt;&gt;"",OR(C268=B268,COUNTIFS($A$7:$A$306,A268,$B$7:$B$306,C268)&lt;&gt;1)),"父版本引用无效",IF(AND(OR(D268="试行",D268="采用"),OR(G268="",NOT(ISNUMBER(I268)),NOT(ISNUMBER(J268)))),"待补采用与复核","有效输入")))))</x:f>
      </x:c>
    </x:row>
    <x:row r="269" ht="25" customHeight="1">
      <x:c r="A269" s="3"/>
      <x:c r="B269" s="3"/>
      <x:c r="C269" s="3"/>
      <x:c r="D269" s="3"/>
      <x:c r="E269" s="3"/>
      <x:c r="F269" s="3"/>
      <x:c r="G269" s="3"/>
      <x:c r="H269" s="3"/>
      <x:c r="I269" s="20"/>
      <x:c r="J269" s="20"/>
      <x:c r="K269" s="3"/>
      <x:c r="L269" s="3"/>
      <x:c r="M269" s="19" t="str">
        <x:f>IF(A269="","",IF(COUNTIFS($A$7:$A$306,A269,$B$7:$B$306,B269)&lt;&gt;1,"规则版本重复",IF(OR(B269="",D269="",E269="",F269="",K269="",L269=""),"待补规则信息",IF(AND(C269&lt;&gt;"",OR(C269=B269,COUNTIFS($A$7:$A$306,A269,$B$7:$B$306,C269)&lt;&gt;1)),"父版本引用无效",IF(AND(OR(D269="试行",D269="采用"),OR(G269="",NOT(ISNUMBER(I269)),NOT(ISNUMBER(J269)))),"待补采用与复核","有效输入")))))</x:f>
      </x:c>
    </x:row>
    <x:row r="270" ht="25" customHeight="1">
      <x:c r="A270" s="3"/>
      <x:c r="B270" s="3"/>
      <x:c r="C270" s="3"/>
      <x:c r="D270" s="3"/>
      <x:c r="E270" s="3"/>
      <x:c r="F270" s="3"/>
      <x:c r="G270" s="3"/>
      <x:c r="H270" s="3"/>
      <x:c r="I270" s="20"/>
      <x:c r="J270" s="20"/>
      <x:c r="K270" s="3"/>
      <x:c r="L270" s="3"/>
      <x:c r="M270" s="19" t="str">
        <x:f>IF(A270="","",IF(COUNTIFS($A$7:$A$306,A270,$B$7:$B$306,B270)&lt;&gt;1,"规则版本重复",IF(OR(B270="",D270="",E270="",F270="",K270="",L270=""),"待补规则信息",IF(AND(C270&lt;&gt;"",OR(C270=B270,COUNTIFS($A$7:$A$306,A270,$B$7:$B$306,C270)&lt;&gt;1)),"父版本引用无效",IF(AND(OR(D270="试行",D270="采用"),OR(G270="",NOT(ISNUMBER(I270)),NOT(ISNUMBER(J270)))),"待补采用与复核","有效输入")))))</x:f>
      </x:c>
    </x:row>
    <x:row r="271" ht="25" customHeight="1">
      <x:c r="A271" s="3"/>
      <x:c r="B271" s="3"/>
      <x:c r="C271" s="3"/>
      <x:c r="D271" s="3"/>
      <x:c r="E271" s="3"/>
      <x:c r="F271" s="3"/>
      <x:c r="G271" s="3"/>
      <x:c r="H271" s="3"/>
      <x:c r="I271" s="20"/>
      <x:c r="J271" s="20"/>
      <x:c r="K271" s="3"/>
      <x:c r="L271" s="3"/>
      <x:c r="M271" s="19" t="str">
        <x:f>IF(A271="","",IF(COUNTIFS($A$7:$A$306,A271,$B$7:$B$306,B271)&lt;&gt;1,"规则版本重复",IF(OR(B271="",D271="",E271="",F271="",K271="",L271=""),"待补规则信息",IF(AND(C271&lt;&gt;"",OR(C271=B271,COUNTIFS($A$7:$A$306,A271,$B$7:$B$306,C271)&lt;&gt;1)),"父版本引用无效",IF(AND(OR(D271="试行",D271="采用"),OR(G271="",NOT(ISNUMBER(I271)),NOT(ISNUMBER(J271)))),"待补采用与复核","有效输入")))))</x:f>
      </x:c>
    </x:row>
    <x:row r="272" ht="25" customHeight="1">
      <x:c r="A272" s="3"/>
      <x:c r="B272" s="3"/>
      <x:c r="C272" s="3"/>
      <x:c r="D272" s="3"/>
      <x:c r="E272" s="3"/>
      <x:c r="F272" s="3"/>
      <x:c r="G272" s="3"/>
      <x:c r="H272" s="3"/>
      <x:c r="I272" s="20"/>
      <x:c r="J272" s="20"/>
      <x:c r="K272" s="3"/>
      <x:c r="L272" s="3"/>
      <x:c r="M272" s="19" t="str">
        <x:f>IF(A272="","",IF(COUNTIFS($A$7:$A$306,A272,$B$7:$B$306,B272)&lt;&gt;1,"规则版本重复",IF(OR(B272="",D272="",E272="",F272="",K272="",L272=""),"待补规则信息",IF(AND(C272&lt;&gt;"",OR(C272=B272,COUNTIFS($A$7:$A$306,A272,$B$7:$B$306,C272)&lt;&gt;1)),"父版本引用无效",IF(AND(OR(D272="试行",D272="采用"),OR(G272="",NOT(ISNUMBER(I272)),NOT(ISNUMBER(J272)))),"待补采用与复核","有效输入")))))</x:f>
      </x:c>
    </x:row>
    <x:row r="273" ht="25" customHeight="1">
      <x:c r="A273" s="3"/>
      <x:c r="B273" s="3"/>
      <x:c r="C273" s="3"/>
      <x:c r="D273" s="3"/>
      <x:c r="E273" s="3"/>
      <x:c r="F273" s="3"/>
      <x:c r="G273" s="3"/>
      <x:c r="H273" s="3"/>
      <x:c r="I273" s="20"/>
      <x:c r="J273" s="20"/>
      <x:c r="K273" s="3"/>
      <x:c r="L273" s="3"/>
      <x:c r="M273" s="19" t="str">
        <x:f>IF(A273="","",IF(COUNTIFS($A$7:$A$306,A273,$B$7:$B$306,B273)&lt;&gt;1,"规则版本重复",IF(OR(B273="",D273="",E273="",F273="",K273="",L273=""),"待补规则信息",IF(AND(C273&lt;&gt;"",OR(C273=B273,COUNTIFS($A$7:$A$306,A273,$B$7:$B$306,C273)&lt;&gt;1)),"父版本引用无效",IF(AND(OR(D273="试行",D273="采用"),OR(G273="",NOT(ISNUMBER(I273)),NOT(ISNUMBER(J273)))),"待补采用与复核","有效输入")))))</x:f>
      </x:c>
    </x:row>
    <x:row r="274" ht="25" customHeight="1">
      <x:c r="A274" s="3"/>
      <x:c r="B274" s="3"/>
      <x:c r="C274" s="3"/>
      <x:c r="D274" s="3"/>
      <x:c r="E274" s="3"/>
      <x:c r="F274" s="3"/>
      <x:c r="G274" s="3"/>
      <x:c r="H274" s="3"/>
      <x:c r="I274" s="20"/>
      <x:c r="J274" s="20"/>
      <x:c r="K274" s="3"/>
      <x:c r="L274" s="3"/>
      <x:c r="M274" s="19" t="str">
        <x:f>IF(A274="","",IF(COUNTIFS($A$7:$A$306,A274,$B$7:$B$306,B274)&lt;&gt;1,"规则版本重复",IF(OR(B274="",D274="",E274="",F274="",K274="",L274=""),"待补规则信息",IF(AND(C274&lt;&gt;"",OR(C274=B274,COUNTIFS($A$7:$A$306,A274,$B$7:$B$306,C274)&lt;&gt;1)),"父版本引用无效",IF(AND(OR(D274="试行",D274="采用"),OR(G274="",NOT(ISNUMBER(I274)),NOT(ISNUMBER(J274)))),"待补采用与复核","有效输入")))))</x:f>
      </x:c>
    </x:row>
    <x:row r="275" ht="25" customHeight="1">
      <x:c r="A275" s="3"/>
      <x:c r="B275" s="3"/>
      <x:c r="C275" s="3"/>
      <x:c r="D275" s="3"/>
      <x:c r="E275" s="3"/>
      <x:c r="F275" s="3"/>
      <x:c r="G275" s="3"/>
      <x:c r="H275" s="3"/>
      <x:c r="I275" s="20"/>
      <x:c r="J275" s="20"/>
      <x:c r="K275" s="3"/>
      <x:c r="L275" s="3"/>
      <x:c r="M275" s="19" t="str">
        <x:f>IF(A275="","",IF(COUNTIFS($A$7:$A$306,A275,$B$7:$B$306,B275)&lt;&gt;1,"规则版本重复",IF(OR(B275="",D275="",E275="",F275="",K275="",L275=""),"待补规则信息",IF(AND(C275&lt;&gt;"",OR(C275=B275,COUNTIFS($A$7:$A$306,A275,$B$7:$B$306,C275)&lt;&gt;1)),"父版本引用无效",IF(AND(OR(D275="试行",D275="采用"),OR(G275="",NOT(ISNUMBER(I275)),NOT(ISNUMBER(J275)))),"待补采用与复核","有效输入")))))</x:f>
      </x:c>
    </x:row>
    <x:row r="276" ht="25" customHeight="1">
      <x:c r="A276" s="3"/>
      <x:c r="B276" s="3"/>
      <x:c r="C276" s="3"/>
      <x:c r="D276" s="3"/>
      <x:c r="E276" s="3"/>
      <x:c r="F276" s="3"/>
      <x:c r="G276" s="3"/>
      <x:c r="H276" s="3"/>
      <x:c r="I276" s="20"/>
      <x:c r="J276" s="20"/>
      <x:c r="K276" s="3"/>
      <x:c r="L276" s="3"/>
      <x:c r="M276" s="19" t="str">
        <x:f>IF(A276="","",IF(COUNTIFS($A$7:$A$306,A276,$B$7:$B$306,B276)&lt;&gt;1,"规则版本重复",IF(OR(B276="",D276="",E276="",F276="",K276="",L276=""),"待补规则信息",IF(AND(C276&lt;&gt;"",OR(C276=B276,COUNTIFS($A$7:$A$306,A276,$B$7:$B$306,C276)&lt;&gt;1)),"父版本引用无效",IF(AND(OR(D276="试行",D276="采用"),OR(G276="",NOT(ISNUMBER(I276)),NOT(ISNUMBER(J276)))),"待补采用与复核","有效输入")))))</x:f>
      </x:c>
    </x:row>
    <x:row r="277" ht="25" customHeight="1">
      <x:c r="A277" s="3"/>
      <x:c r="B277" s="3"/>
      <x:c r="C277" s="3"/>
      <x:c r="D277" s="3"/>
      <x:c r="E277" s="3"/>
      <x:c r="F277" s="3"/>
      <x:c r="G277" s="3"/>
      <x:c r="H277" s="3"/>
      <x:c r="I277" s="20"/>
      <x:c r="J277" s="20"/>
      <x:c r="K277" s="3"/>
      <x:c r="L277" s="3"/>
      <x:c r="M277" s="19" t="str">
        <x:f>IF(A277="","",IF(COUNTIFS($A$7:$A$306,A277,$B$7:$B$306,B277)&lt;&gt;1,"规则版本重复",IF(OR(B277="",D277="",E277="",F277="",K277="",L277=""),"待补规则信息",IF(AND(C277&lt;&gt;"",OR(C277=B277,COUNTIFS($A$7:$A$306,A277,$B$7:$B$306,C277)&lt;&gt;1)),"父版本引用无效",IF(AND(OR(D277="试行",D277="采用"),OR(G277="",NOT(ISNUMBER(I277)),NOT(ISNUMBER(J277)))),"待补采用与复核","有效输入")))))</x:f>
      </x:c>
    </x:row>
    <x:row r="278" ht="25" customHeight="1">
      <x:c r="A278" s="3"/>
      <x:c r="B278" s="3"/>
      <x:c r="C278" s="3"/>
      <x:c r="D278" s="3"/>
      <x:c r="E278" s="3"/>
      <x:c r="F278" s="3"/>
      <x:c r="G278" s="3"/>
      <x:c r="H278" s="3"/>
      <x:c r="I278" s="20"/>
      <x:c r="J278" s="20"/>
      <x:c r="K278" s="3"/>
      <x:c r="L278" s="3"/>
      <x:c r="M278" s="19" t="str">
        <x:f>IF(A278="","",IF(COUNTIFS($A$7:$A$306,A278,$B$7:$B$306,B278)&lt;&gt;1,"规则版本重复",IF(OR(B278="",D278="",E278="",F278="",K278="",L278=""),"待补规则信息",IF(AND(C278&lt;&gt;"",OR(C278=B278,COUNTIFS($A$7:$A$306,A278,$B$7:$B$306,C278)&lt;&gt;1)),"父版本引用无效",IF(AND(OR(D278="试行",D278="采用"),OR(G278="",NOT(ISNUMBER(I278)),NOT(ISNUMBER(J278)))),"待补采用与复核","有效输入")))))</x:f>
      </x:c>
    </x:row>
    <x:row r="279" ht="25" customHeight="1">
      <x:c r="A279" s="3"/>
      <x:c r="B279" s="3"/>
      <x:c r="C279" s="3"/>
      <x:c r="D279" s="3"/>
      <x:c r="E279" s="3"/>
      <x:c r="F279" s="3"/>
      <x:c r="G279" s="3"/>
      <x:c r="H279" s="3"/>
      <x:c r="I279" s="20"/>
      <x:c r="J279" s="20"/>
      <x:c r="K279" s="3"/>
      <x:c r="L279" s="3"/>
      <x:c r="M279" s="19" t="str">
        <x:f>IF(A279="","",IF(COUNTIFS($A$7:$A$306,A279,$B$7:$B$306,B279)&lt;&gt;1,"规则版本重复",IF(OR(B279="",D279="",E279="",F279="",K279="",L279=""),"待补规则信息",IF(AND(C279&lt;&gt;"",OR(C279=B279,COUNTIFS($A$7:$A$306,A279,$B$7:$B$306,C279)&lt;&gt;1)),"父版本引用无效",IF(AND(OR(D279="试行",D279="采用"),OR(G279="",NOT(ISNUMBER(I279)),NOT(ISNUMBER(J279)))),"待补采用与复核","有效输入")))))</x:f>
      </x:c>
    </x:row>
    <x:row r="280" ht="25" customHeight="1">
      <x:c r="A280" s="3"/>
      <x:c r="B280" s="3"/>
      <x:c r="C280" s="3"/>
      <x:c r="D280" s="3"/>
      <x:c r="E280" s="3"/>
      <x:c r="F280" s="3"/>
      <x:c r="G280" s="3"/>
      <x:c r="H280" s="3"/>
      <x:c r="I280" s="20"/>
      <x:c r="J280" s="20"/>
      <x:c r="K280" s="3"/>
      <x:c r="L280" s="3"/>
      <x:c r="M280" s="19" t="str">
        <x:f>IF(A280="","",IF(COUNTIFS($A$7:$A$306,A280,$B$7:$B$306,B280)&lt;&gt;1,"规则版本重复",IF(OR(B280="",D280="",E280="",F280="",K280="",L280=""),"待补规则信息",IF(AND(C280&lt;&gt;"",OR(C280=B280,COUNTIFS($A$7:$A$306,A280,$B$7:$B$306,C280)&lt;&gt;1)),"父版本引用无效",IF(AND(OR(D280="试行",D280="采用"),OR(G280="",NOT(ISNUMBER(I280)),NOT(ISNUMBER(J280)))),"待补采用与复核","有效输入")))))</x:f>
      </x:c>
    </x:row>
    <x:row r="281" ht="25" customHeight="1">
      <x:c r="A281" s="3"/>
      <x:c r="B281" s="3"/>
      <x:c r="C281" s="3"/>
      <x:c r="D281" s="3"/>
      <x:c r="E281" s="3"/>
      <x:c r="F281" s="3"/>
      <x:c r="G281" s="3"/>
      <x:c r="H281" s="3"/>
      <x:c r="I281" s="20"/>
      <x:c r="J281" s="20"/>
      <x:c r="K281" s="3"/>
      <x:c r="L281" s="3"/>
      <x:c r="M281" s="19" t="str">
        <x:f>IF(A281="","",IF(COUNTIFS($A$7:$A$306,A281,$B$7:$B$306,B281)&lt;&gt;1,"规则版本重复",IF(OR(B281="",D281="",E281="",F281="",K281="",L281=""),"待补规则信息",IF(AND(C281&lt;&gt;"",OR(C281=B281,COUNTIFS($A$7:$A$306,A281,$B$7:$B$306,C281)&lt;&gt;1)),"父版本引用无效",IF(AND(OR(D281="试行",D281="采用"),OR(G281="",NOT(ISNUMBER(I281)),NOT(ISNUMBER(J281)))),"待补采用与复核","有效输入")))))</x:f>
      </x:c>
    </x:row>
    <x:row r="282" ht="25" customHeight="1">
      <x:c r="A282" s="3"/>
      <x:c r="B282" s="3"/>
      <x:c r="C282" s="3"/>
      <x:c r="D282" s="3"/>
      <x:c r="E282" s="3"/>
      <x:c r="F282" s="3"/>
      <x:c r="G282" s="3"/>
      <x:c r="H282" s="3"/>
      <x:c r="I282" s="20"/>
      <x:c r="J282" s="20"/>
      <x:c r="K282" s="3"/>
      <x:c r="L282" s="3"/>
      <x:c r="M282" s="19" t="str">
        <x:f>IF(A282="","",IF(COUNTIFS($A$7:$A$306,A282,$B$7:$B$306,B282)&lt;&gt;1,"规则版本重复",IF(OR(B282="",D282="",E282="",F282="",K282="",L282=""),"待补规则信息",IF(AND(C282&lt;&gt;"",OR(C282=B282,COUNTIFS($A$7:$A$306,A282,$B$7:$B$306,C282)&lt;&gt;1)),"父版本引用无效",IF(AND(OR(D282="试行",D282="采用"),OR(G282="",NOT(ISNUMBER(I282)),NOT(ISNUMBER(J282)))),"待补采用与复核","有效输入")))))</x:f>
      </x:c>
    </x:row>
    <x:row r="283" ht="25" customHeight="1">
      <x:c r="A283" s="3"/>
      <x:c r="B283" s="3"/>
      <x:c r="C283" s="3"/>
      <x:c r="D283" s="3"/>
      <x:c r="E283" s="3"/>
      <x:c r="F283" s="3"/>
      <x:c r="G283" s="3"/>
      <x:c r="H283" s="3"/>
      <x:c r="I283" s="20"/>
      <x:c r="J283" s="20"/>
      <x:c r="K283" s="3"/>
      <x:c r="L283" s="3"/>
      <x:c r="M283" s="19" t="str">
        <x:f>IF(A283="","",IF(COUNTIFS($A$7:$A$306,A283,$B$7:$B$306,B283)&lt;&gt;1,"规则版本重复",IF(OR(B283="",D283="",E283="",F283="",K283="",L283=""),"待补规则信息",IF(AND(C283&lt;&gt;"",OR(C283=B283,COUNTIFS($A$7:$A$306,A283,$B$7:$B$306,C283)&lt;&gt;1)),"父版本引用无效",IF(AND(OR(D283="试行",D283="采用"),OR(G283="",NOT(ISNUMBER(I283)),NOT(ISNUMBER(J283)))),"待补采用与复核","有效输入")))))</x:f>
      </x:c>
    </x:row>
    <x:row r="284" ht="25" customHeight="1">
      <x:c r="A284" s="3"/>
      <x:c r="B284" s="3"/>
      <x:c r="C284" s="3"/>
      <x:c r="D284" s="3"/>
      <x:c r="E284" s="3"/>
      <x:c r="F284" s="3"/>
      <x:c r="G284" s="3"/>
      <x:c r="H284" s="3"/>
      <x:c r="I284" s="20"/>
      <x:c r="J284" s="20"/>
      <x:c r="K284" s="3"/>
      <x:c r="L284" s="3"/>
      <x:c r="M284" s="19" t="str">
        <x:f>IF(A284="","",IF(COUNTIFS($A$7:$A$306,A284,$B$7:$B$306,B284)&lt;&gt;1,"规则版本重复",IF(OR(B284="",D284="",E284="",F284="",K284="",L284=""),"待补规则信息",IF(AND(C284&lt;&gt;"",OR(C284=B284,COUNTIFS($A$7:$A$306,A284,$B$7:$B$306,C284)&lt;&gt;1)),"父版本引用无效",IF(AND(OR(D284="试行",D284="采用"),OR(G284="",NOT(ISNUMBER(I284)),NOT(ISNUMBER(J284)))),"待补采用与复核","有效输入")))))</x:f>
      </x:c>
    </x:row>
    <x:row r="285" ht="25" customHeight="1">
      <x:c r="A285" s="3"/>
      <x:c r="B285" s="3"/>
      <x:c r="C285" s="3"/>
      <x:c r="D285" s="3"/>
      <x:c r="E285" s="3"/>
      <x:c r="F285" s="3"/>
      <x:c r="G285" s="3"/>
      <x:c r="H285" s="3"/>
      <x:c r="I285" s="20"/>
      <x:c r="J285" s="20"/>
      <x:c r="K285" s="3"/>
      <x:c r="L285" s="3"/>
      <x:c r="M285" s="19" t="str">
        <x:f>IF(A285="","",IF(COUNTIFS($A$7:$A$306,A285,$B$7:$B$306,B285)&lt;&gt;1,"规则版本重复",IF(OR(B285="",D285="",E285="",F285="",K285="",L285=""),"待补规则信息",IF(AND(C285&lt;&gt;"",OR(C285=B285,COUNTIFS($A$7:$A$306,A285,$B$7:$B$306,C285)&lt;&gt;1)),"父版本引用无效",IF(AND(OR(D285="试行",D285="采用"),OR(G285="",NOT(ISNUMBER(I285)),NOT(ISNUMBER(J285)))),"待补采用与复核","有效输入")))))</x:f>
      </x:c>
    </x:row>
    <x:row r="286" ht="25" customHeight="1">
      <x:c r="A286" s="3"/>
      <x:c r="B286" s="3"/>
      <x:c r="C286" s="3"/>
      <x:c r="D286" s="3"/>
      <x:c r="E286" s="3"/>
      <x:c r="F286" s="3"/>
      <x:c r="G286" s="3"/>
      <x:c r="H286" s="3"/>
      <x:c r="I286" s="20"/>
      <x:c r="J286" s="20"/>
      <x:c r="K286" s="3"/>
      <x:c r="L286" s="3"/>
      <x:c r="M286" s="19" t="str">
        <x:f>IF(A286="","",IF(COUNTIFS($A$7:$A$306,A286,$B$7:$B$306,B286)&lt;&gt;1,"规则版本重复",IF(OR(B286="",D286="",E286="",F286="",K286="",L286=""),"待补规则信息",IF(AND(C286&lt;&gt;"",OR(C286=B286,COUNTIFS($A$7:$A$306,A286,$B$7:$B$306,C286)&lt;&gt;1)),"父版本引用无效",IF(AND(OR(D286="试行",D286="采用"),OR(G286="",NOT(ISNUMBER(I286)),NOT(ISNUMBER(J286)))),"待补采用与复核","有效输入")))))</x:f>
      </x:c>
    </x:row>
    <x:row r="287" ht="25" customHeight="1">
      <x:c r="A287" s="3"/>
      <x:c r="B287" s="3"/>
      <x:c r="C287" s="3"/>
      <x:c r="D287" s="3"/>
      <x:c r="E287" s="3"/>
      <x:c r="F287" s="3"/>
      <x:c r="G287" s="3"/>
      <x:c r="H287" s="3"/>
      <x:c r="I287" s="20"/>
      <x:c r="J287" s="20"/>
      <x:c r="K287" s="3"/>
      <x:c r="L287" s="3"/>
      <x:c r="M287" s="19" t="str">
        <x:f>IF(A287="","",IF(COUNTIFS($A$7:$A$306,A287,$B$7:$B$306,B287)&lt;&gt;1,"规则版本重复",IF(OR(B287="",D287="",E287="",F287="",K287="",L287=""),"待补规则信息",IF(AND(C287&lt;&gt;"",OR(C287=B287,COUNTIFS($A$7:$A$306,A287,$B$7:$B$306,C287)&lt;&gt;1)),"父版本引用无效",IF(AND(OR(D287="试行",D287="采用"),OR(G287="",NOT(ISNUMBER(I287)),NOT(ISNUMBER(J287)))),"待补采用与复核","有效输入")))))</x:f>
      </x:c>
    </x:row>
    <x:row r="288" ht="25" customHeight="1">
      <x:c r="A288" s="3"/>
      <x:c r="B288" s="3"/>
      <x:c r="C288" s="3"/>
      <x:c r="D288" s="3"/>
      <x:c r="E288" s="3"/>
      <x:c r="F288" s="3"/>
      <x:c r="G288" s="3"/>
      <x:c r="H288" s="3"/>
      <x:c r="I288" s="20"/>
      <x:c r="J288" s="20"/>
      <x:c r="K288" s="3"/>
      <x:c r="L288" s="3"/>
      <x:c r="M288" s="19" t="str">
        <x:f>IF(A288="","",IF(COUNTIFS($A$7:$A$306,A288,$B$7:$B$306,B288)&lt;&gt;1,"规则版本重复",IF(OR(B288="",D288="",E288="",F288="",K288="",L288=""),"待补规则信息",IF(AND(C288&lt;&gt;"",OR(C288=B288,COUNTIFS($A$7:$A$306,A288,$B$7:$B$306,C288)&lt;&gt;1)),"父版本引用无效",IF(AND(OR(D288="试行",D288="采用"),OR(G288="",NOT(ISNUMBER(I288)),NOT(ISNUMBER(J288)))),"待补采用与复核","有效输入")))))</x:f>
      </x:c>
    </x:row>
    <x:row r="289" ht="25" customHeight="1">
      <x:c r="A289" s="3"/>
      <x:c r="B289" s="3"/>
      <x:c r="C289" s="3"/>
      <x:c r="D289" s="3"/>
      <x:c r="E289" s="3"/>
      <x:c r="F289" s="3"/>
      <x:c r="G289" s="3"/>
      <x:c r="H289" s="3"/>
      <x:c r="I289" s="20"/>
      <x:c r="J289" s="20"/>
      <x:c r="K289" s="3"/>
      <x:c r="L289" s="3"/>
      <x:c r="M289" s="19" t="str">
        <x:f>IF(A289="","",IF(COUNTIFS($A$7:$A$306,A289,$B$7:$B$306,B289)&lt;&gt;1,"规则版本重复",IF(OR(B289="",D289="",E289="",F289="",K289="",L289=""),"待补规则信息",IF(AND(C289&lt;&gt;"",OR(C289=B289,COUNTIFS($A$7:$A$306,A289,$B$7:$B$306,C289)&lt;&gt;1)),"父版本引用无效",IF(AND(OR(D289="试行",D289="采用"),OR(G289="",NOT(ISNUMBER(I289)),NOT(ISNUMBER(J289)))),"待补采用与复核","有效输入")))))</x:f>
      </x:c>
    </x:row>
    <x:row r="290" ht="25" customHeight="1">
      <x:c r="A290" s="3"/>
      <x:c r="B290" s="3"/>
      <x:c r="C290" s="3"/>
      <x:c r="D290" s="3"/>
      <x:c r="E290" s="3"/>
      <x:c r="F290" s="3"/>
      <x:c r="G290" s="3"/>
      <x:c r="H290" s="3"/>
      <x:c r="I290" s="20"/>
      <x:c r="J290" s="20"/>
      <x:c r="K290" s="3"/>
      <x:c r="L290" s="3"/>
      <x:c r="M290" s="19" t="str">
        <x:f>IF(A290="","",IF(COUNTIFS($A$7:$A$306,A290,$B$7:$B$306,B290)&lt;&gt;1,"规则版本重复",IF(OR(B290="",D290="",E290="",F290="",K290="",L290=""),"待补规则信息",IF(AND(C290&lt;&gt;"",OR(C290=B290,COUNTIFS($A$7:$A$306,A290,$B$7:$B$306,C290)&lt;&gt;1)),"父版本引用无效",IF(AND(OR(D290="试行",D290="采用"),OR(G290="",NOT(ISNUMBER(I290)),NOT(ISNUMBER(J290)))),"待补采用与复核","有效输入")))))</x:f>
      </x:c>
    </x:row>
    <x:row r="291" ht="25" customHeight="1">
      <x:c r="A291" s="3"/>
      <x:c r="B291" s="3"/>
      <x:c r="C291" s="3"/>
      <x:c r="D291" s="3"/>
      <x:c r="E291" s="3"/>
      <x:c r="F291" s="3"/>
      <x:c r="G291" s="3"/>
      <x:c r="H291" s="3"/>
      <x:c r="I291" s="20"/>
      <x:c r="J291" s="20"/>
      <x:c r="K291" s="3"/>
      <x:c r="L291" s="3"/>
      <x:c r="M291" s="19" t="str">
        <x:f>IF(A291="","",IF(COUNTIFS($A$7:$A$306,A291,$B$7:$B$306,B291)&lt;&gt;1,"规则版本重复",IF(OR(B291="",D291="",E291="",F291="",K291="",L291=""),"待补规则信息",IF(AND(C291&lt;&gt;"",OR(C291=B291,COUNTIFS($A$7:$A$306,A291,$B$7:$B$306,C291)&lt;&gt;1)),"父版本引用无效",IF(AND(OR(D291="试行",D291="采用"),OR(G291="",NOT(ISNUMBER(I291)),NOT(ISNUMBER(J291)))),"待补采用与复核","有效输入")))))</x:f>
      </x:c>
    </x:row>
    <x:row r="292" ht="25" customHeight="1">
      <x:c r="A292" s="3"/>
      <x:c r="B292" s="3"/>
      <x:c r="C292" s="3"/>
      <x:c r="D292" s="3"/>
      <x:c r="E292" s="3"/>
      <x:c r="F292" s="3"/>
      <x:c r="G292" s="3"/>
      <x:c r="H292" s="3"/>
      <x:c r="I292" s="20"/>
      <x:c r="J292" s="20"/>
      <x:c r="K292" s="3"/>
      <x:c r="L292" s="3"/>
      <x:c r="M292" s="19" t="str">
        <x:f>IF(A292="","",IF(COUNTIFS($A$7:$A$306,A292,$B$7:$B$306,B292)&lt;&gt;1,"规则版本重复",IF(OR(B292="",D292="",E292="",F292="",K292="",L292=""),"待补规则信息",IF(AND(C292&lt;&gt;"",OR(C292=B292,COUNTIFS($A$7:$A$306,A292,$B$7:$B$306,C292)&lt;&gt;1)),"父版本引用无效",IF(AND(OR(D292="试行",D292="采用"),OR(G292="",NOT(ISNUMBER(I292)),NOT(ISNUMBER(J292)))),"待补采用与复核","有效输入")))))</x:f>
      </x:c>
    </x:row>
    <x:row r="293" ht="25" customHeight="1">
      <x:c r="A293" s="3"/>
      <x:c r="B293" s="3"/>
      <x:c r="C293" s="3"/>
      <x:c r="D293" s="3"/>
      <x:c r="E293" s="3"/>
      <x:c r="F293" s="3"/>
      <x:c r="G293" s="3"/>
      <x:c r="H293" s="3"/>
      <x:c r="I293" s="20"/>
      <x:c r="J293" s="20"/>
      <x:c r="K293" s="3"/>
      <x:c r="L293" s="3"/>
      <x:c r="M293" s="19" t="str">
        <x:f>IF(A293="","",IF(COUNTIFS($A$7:$A$306,A293,$B$7:$B$306,B293)&lt;&gt;1,"规则版本重复",IF(OR(B293="",D293="",E293="",F293="",K293="",L293=""),"待补规则信息",IF(AND(C293&lt;&gt;"",OR(C293=B293,COUNTIFS($A$7:$A$306,A293,$B$7:$B$306,C293)&lt;&gt;1)),"父版本引用无效",IF(AND(OR(D293="试行",D293="采用"),OR(G293="",NOT(ISNUMBER(I293)),NOT(ISNUMBER(J293)))),"待补采用与复核","有效输入")))))</x:f>
      </x:c>
    </x:row>
    <x:row r="294" ht="25" customHeight="1">
      <x:c r="A294" s="3"/>
      <x:c r="B294" s="3"/>
      <x:c r="C294" s="3"/>
      <x:c r="D294" s="3"/>
      <x:c r="E294" s="3"/>
      <x:c r="F294" s="3"/>
      <x:c r="G294" s="3"/>
      <x:c r="H294" s="3"/>
      <x:c r="I294" s="20"/>
      <x:c r="J294" s="20"/>
      <x:c r="K294" s="3"/>
      <x:c r="L294" s="3"/>
      <x:c r="M294" s="19" t="str">
        <x:f>IF(A294="","",IF(COUNTIFS($A$7:$A$306,A294,$B$7:$B$306,B294)&lt;&gt;1,"规则版本重复",IF(OR(B294="",D294="",E294="",F294="",K294="",L294=""),"待补规则信息",IF(AND(C294&lt;&gt;"",OR(C294=B294,COUNTIFS($A$7:$A$306,A294,$B$7:$B$306,C294)&lt;&gt;1)),"父版本引用无效",IF(AND(OR(D294="试行",D294="采用"),OR(G294="",NOT(ISNUMBER(I294)),NOT(ISNUMBER(J294)))),"待补采用与复核","有效输入")))))</x:f>
      </x:c>
    </x:row>
    <x:row r="295" ht="25" customHeight="1">
      <x:c r="A295" s="3"/>
      <x:c r="B295" s="3"/>
      <x:c r="C295" s="3"/>
      <x:c r="D295" s="3"/>
      <x:c r="E295" s="3"/>
      <x:c r="F295" s="3"/>
      <x:c r="G295" s="3"/>
      <x:c r="H295" s="3"/>
      <x:c r="I295" s="20"/>
      <x:c r="J295" s="20"/>
      <x:c r="K295" s="3"/>
      <x:c r="L295" s="3"/>
      <x:c r="M295" s="19" t="str">
        <x:f>IF(A295="","",IF(COUNTIFS($A$7:$A$306,A295,$B$7:$B$306,B295)&lt;&gt;1,"规则版本重复",IF(OR(B295="",D295="",E295="",F295="",K295="",L295=""),"待补规则信息",IF(AND(C295&lt;&gt;"",OR(C295=B295,COUNTIFS($A$7:$A$306,A295,$B$7:$B$306,C295)&lt;&gt;1)),"父版本引用无效",IF(AND(OR(D295="试行",D295="采用"),OR(G295="",NOT(ISNUMBER(I295)),NOT(ISNUMBER(J295)))),"待补采用与复核","有效输入")))))</x:f>
      </x:c>
    </x:row>
    <x:row r="296" ht="25" customHeight="1">
      <x:c r="A296" s="3"/>
      <x:c r="B296" s="3"/>
      <x:c r="C296" s="3"/>
      <x:c r="D296" s="3"/>
      <x:c r="E296" s="3"/>
      <x:c r="F296" s="3"/>
      <x:c r="G296" s="3"/>
      <x:c r="H296" s="3"/>
      <x:c r="I296" s="20"/>
      <x:c r="J296" s="20"/>
      <x:c r="K296" s="3"/>
      <x:c r="L296" s="3"/>
      <x:c r="M296" s="19" t="str">
        <x:f>IF(A296="","",IF(COUNTIFS($A$7:$A$306,A296,$B$7:$B$306,B296)&lt;&gt;1,"规则版本重复",IF(OR(B296="",D296="",E296="",F296="",K296="",L296=""),"待补规则信息",IF(AND(C296&lt;&gt;"",OR(C296=B296,COUNTIFS($A$7:$A$306,A296,$B$7:$B$306,C296)&lt;&gt;1)),"父版本引用无效",IF(AND(OR(D296="试行",D296="采用"),OR(G296="",NOT(ISNUMBER(I296)),NOT(ISNUMBER(J296)))),"待补采用与复核","有效输入")))))</x:f>
      </x:c>
    </x:row>
    <x:row r="297" ht="25" customHeight="1">
      <x:c r="A297" s="3"/>
      <x:c r="B297" s="3"/>
      <x:c r="C297" s="3"/>
      <x:c r="D297" s="3"/>
      <x:c r="E297" s="3"/>
      <x:c r="F297" s="3"/>
      <x:c r="G297" s="3"/>
      <x:c r="H297" s="3"/>
      <x:c r="I297" s="20"/>
      <x:c r="J297" s="20"/>
      <x:c r="K297" s="3"/>
      <x:c r="L297" s="3"/>
      <x:c r="M297" s="19" t="str">
        <x:f>IF(A297="","",IF(COUNTIFS($A$7:$A$306,A297,$B$7:$B$306,B297)&lt;&gt;1,"规则版本重复",IF(OR(B297="",D297="",E297="",F297="",K297="",L297=""),"待补规则信息",IF(AND(C297&lt;&gt;"",OR(C297=B297,COUNTIFS($A$7:$A$306,A297,$B$7:$B$306,C297)&lt;&gt;1)),"父版本引用无效",IF(AND(OR(D297="试行",D297="采用"),OR(G297="",NOT(ISNUMBER(I297)),NOT(ISNUMBER(J297)))),"待补采用与复核","有效输入")))))</x:f>
      </x:c>
    </x:row>
    <x:row r="298" ht="25" customHeight="1">
      <x:c r="A298" s="3"/>
      <x:c r="B298" s="3"/>
      <x:c r="C298" s="3"/>
      <x:c r="D298" s="3"/>
      <x:c r="E298" s="3"/>
      <x:c r="F298" s="3"/>
      <x:c r="G298" s="3"/>
      <x:c r="H298" s="3"/>
      <x:c r="I298" s="20"/>
      <x:c r="J298" s="20"/>
      <x:c r="K298" s="3"/>
      <x:c r="L298" s="3"/>
      <x:c r="M298" s="19" t="str">
        <x:f>IF(A298="","",IF(COUNTIFS($A$7:$A$306,A298,$B$7:$B$306,B298)&lt;&gt;1,"规则版本重复",IF(OR(B298="",D298="",E298="",F298="",K298="",L298=""),"待补规则信息",IF(AND(C298&lt;&gt;"",OR(C298=B298,COUNTIFS($A$7:$A$306,A298,$B$7:$B$306,C298)&lt;&gt;1)),"父版本引用无效",IF(AND(OR(D298="试行",D298="采用"),OR(G298="",NOT(ISNUMBER(I298)),NOT(ISNUMBER(J298)))),"待补采用与复核","有效输入")))))</x:f>
      </x:c>
    </x:row>
    <x:row r="299" ht="25" customHeight="1">
      <x:c r="A299" s="3"/>
      <x:c r="B299" s="3"/>
      <x:c r="C299" s="3"/>
      <x:c r="D299" s="3"/>
      <x:c r="E299" s="3"/>
      <x:c r="F299" s="3"/>
      <x:c r="G299" s="3"/>
      <x:c r="H299" s="3"/>
      <x:c r="I299" s="20"/>
      <x:c r="J299" s="20"/>
      <x:c r="K299" s="3"/>
      <x:c r="L299" s="3"/>
      <x:c r="M299" s="19" t="str">
        <x:f>IF(A299="","",IF(COUNTIFS($A$7:$A$306,A299,$B$7:$B$306,B299)&lt;&gt;1,"规则版本重复",IF(OR(B299="",D299="",E299="",F299="",K299="",L299=""),"待补规则信息",IF(AND(C299&lt;&gt;"",OR(C299=B299,COUNTIFS($A$7:$A$306,A299,$B$7:$B$306,C299)&lt;&gt;1)),"父版本引用无效",IF(AND(OR(D299="试行",D299="采用"),OR(G299="",NOT(ISNUMBER(I299)),NOT(ISNUMBER(J299)))),"待补采用与复核","有效输入")))))</x:f>
      </x:c>
    </x:row>
    <x:row r="300" ht="25" customHeight="1">
      <x:c r="A300" s="3"/>
      <x:c r="B300" s="3"/>
      <x:c r="C300" s="3"/>
      <x:c r="D300" s="3"/>
      <x:c r="E300" s="3"/>
      <x:c r="F300" s="3"/>
      <x:c r="G300" s="3"/>
      <x:c r="H300" s="3"/>
      <x:c r="I300" s="20"/>
      <x:c r="J300" s="20"/>
      <x:c r="K300" s="3"/>
      <x:c r="L300" s="3"/>
      <x:c r="M300" s="19" t="str">
        <x:f>IF(A300="","",IF(COUNTIFS($A$7:$A$306,A300,$B$7:$B$306,B300)&lt;&gt;1,"规则版本重复",IF(OR(B300="",D300="",E300="",F300="",K300="",L300=""),"待补规则信息",IF(AND(C300&lt;&gt;"",OR(C300=B300,COUNTIFS($A$7:$A$306,A300,$B$7:$B$306,C300)&lt;&gt;1)),"父版本引用无效",IF(AND(OR(D300="试行",D300="采用"),OR(G300="",NOT(ISNUMBER(I300)),NOT(ISNUMBER(J300)))),"待补采用与复核","有效输入")))))</x:f>
      </x:c>
    </x:row>
    <x:row r="301" ht="25" customHeight="1">
      <x:c r="A301" s="3"/>
      <x:c r="B301" s="3"/>
      <x:c r="C301" s="3"/>
      <x:c r="D301" s="3"/>
      <x:c r="E301" s="3"/>
      <x:c r="F301" s="3"/>
      <x:c r="G301" s="3"/>
      <x:c r="H301" s="3"/>
      <x:c r="I301" s="20"/>
      <x:c r="J301" s="20"/>
      <x:c r="K301" s="3"/>
      <x:c r="L301" s="3"/>
      <x:c r="M301" s="19" t="str">
        <x:f>IF(A301="","",IF(COUNTIFS($A$7:$A$306,A301,$B$7:$B$306,B301)&lt;&gt;1,"规则版本重复",IF(OR(B301="",D301="",E301="",F301="",K301="",L301=""),"待补规则信息",IF(AND(C301&lt;&gt;"",OR(C301=B301,COUNTIFS($A$7:$A$306,A301,$B$7:$B$306,C301)&lt;&gt;1)),"父版本引用无效",IF(AND(OR(D301="试行",D301="采用"),OR(G301="",NOT(ISNUMBER(I301)),NOT(ISNUMBER(J301)))),"待补采用与复核","有效输入")))))</x:f>
      </x:c>
    </x:row>
    <x:row r="302" ht="25" customHeight="1">
      <x:c r="A302" s="3"/>
      <x:c r="B302" s="3"/>
      <x:c r="C302" s="3"/>
      <x:c r="D302" s="3"/>
      <x:c r="E302" s="3"/>
      <x:c r="F302" s="3"/>
      <x:c r="G302" s="3"/>
      <x:c r="H302" s="3"/>
      <x:c r="I302" s="20"/>
      <x:c r="J302" s="20"/>
      <x:c r="K302" s="3"/>
      <x:c r="L302" s="3"/>
      <x:c r="M302" s="19" t="str">
        <x:f>IF(A302="","",IF(COUNTIFS($A$7:$A$306,A302,$B$7:$B$306,B302)&lt;&gt;1,"规则版本重复",IF(OR(B302="",D302="",E302="",F302="",K302="",L302=""),"待补规则信息",IF(AND(C302&lt;&gt;"",OR(C302=B302,COUNTIFS($A$7:$A$306,A302,$B$7:$B$306,C302)&lt;&gt;1)),"父版本引用无效",IF(AND(OR(D302="试行",D302="采用"),OR(G302="",NOT(ISNUMBER(I302)),NOT(ISNUMBER(J302)))),"待补采用与复核","有效输入")))))</x:f>
      </x:c>
    </x:row>
    <x:row r="303" ht="25" customHeight="1">
      <x:c r="A303" s="3"/>
      <x:c r="B303" s="3"/>
      <x:c r="C303" s="3"/>
      <x:c r="D303" s="3"/>
      <x:c r="E303" s="3"/>
      <x:c r="F303" s="3"/>
      <x:c r="G303" s="3"/>
      <x:c r="H303" s="3"/>
      <x:c r="I303" s="20"/>
      <x:c r="J303" s="20"/>
      <x:c r="K303" s="3"/>
      <x:c r="L303" s="3"/>
      <x:c r="M303" s="19" t="str">
        <x:f>IF(A303="","",IF(COUNTIFS($A$7:$A$306,A303,$B$7:$B$306,B303)&lt;&gt;1,"规则版本重复",IF(OR(B303="",D303="",E303="",F303="",K303="",L303=""),"待补规则信息",IF(AND(C303&lt;&gt;"",OR(C303=B303,COUNTIFS($A$7:$A$306,A303,$B$7:$B$306,C303)&lt;&gt;1)),"父版本引用无效",IF(AND(OR(D303="试行",D303="采用"),OR(G303="",NOT(ISNUMBER(I303)),NOT(ISNUMBER(J303)))),"待补采用与复核","有效输入")))))</x:f>
      </x:c>
    </x:row>
    <x:row r="304" ht="25" customHeight="1">
      <x:c r="A304" s="3"/>
      <x:c r="B304" s="3"/>
      <x:c r="C304" s="3"/>
      <x:c r="D304" s="3"/>
      <x:c r="E304" s="3"/>
      <x:c r="F304" s="3"/>
      <x:c r="G304" s="3"/>
      <x:c r="H304" s="3"/>
      <x:c r="I304" s="20"/>
      <x:c r="J304" s="20"/>
      <x:c r="K304" s="3"/>
      <x:c r="L304" s="3"/>
      <x:c r="M304" s="19" t="str">
        <x:f>IF(A304="","",IF(COUNTIFS($A$7:$A$306,A304,$B$7:$B$306,B304)&lt;&gt;1,"规则版本重复",IF(OR(B304="",D304="",E304="",F304="",K304="",L304=""),"待补规则信息",IF(AND(C304&lt;&gt;"",OR(C304=B304,COUNTIFS($A$7:$A$306,A304,$B$7:$B$306,C304)&lt;&gt;1)),"父版本引用无效",IF(AND(OR(D304="试行",D304="采用"),OR(G304="",NOT(ISNUMBER(I304)),NOT(ISNUMBER(J304)))),"待补采用与复核","有效输入")))))</x:f>
      </x:c>
    </x:row>
    <x:row r="305" ht="25" customHeight="1">
      <x:c r="A305" s="3"/>
      <x:c r="B305" s="3"/>
      <x:c r="C305" s="3"/>
      <x:c r="D305" s="3"/>
      <x:c r="E305" s="3"/>
      <x:c r="F305" s="3"/>
      <x:c r="G305" s="3"/>
      <x:c r="H305" s="3"/>
      <x:c r="I305" s="20"/>
      <x:c r="J305" s="20"/>
      <x:c r="K305" s="3"/>
      <x:c r="L305" s="3"/>
      <x:c r="M305" s="19" t="str">
        <x:f>IF(A305="","",IF(COUNTIFS($A$7:$A$306,A305,$B$7:$B$306,B305)&lt;&gt;1,"规则版本重复",IF(OR(B305="",D305="",E305="",F305="",K305="",L305=""),"待补规则信息",IF(AND(C305&lt;&gt;"",OR(C305=B305,COUNTIFS($A$7:$A$306,A305,$B$7:$B$306,C305)&lt;&gt;1)),"父版本引用无效",IF(AND(OR(D305="试行",D305="采用"),OR(G305="",NOT(ISNUMBER(I305)),NOT(ISNUMBER(J305)))),"待补采用与复核","有效输入")))))</x:f>
      </x:c>
    </x:row>
    <x:row r="306" ht="25" customHeight="1">
      <x:c r="A306" s="3"/>
      <x:c r="B306" s="3"/>
      <x:c r="C306" s="3"/>
      <x:c r="D306" s="3"/>
      <x:c r="E306" s="3"/>
      <x:c r="F306" s="3"/>
      <x:c r="G306" s="3"/>
      <x:c r="H306" s="3"/>
      <x:c r="I306" s="20"/>
      <x:c r="J306" s="20"/>
      <x:c r="K306" s="3"/>
      <x:c r="L306" s="3"/>
      <x:c r="M306" s="19" t="str">
        <x:f>IF(A306="","",IF(COUNTIFS($A$7:$A$306,A306,$B$7:$B$306,B306)&lt;&gt;1,"规则版本重复",IF(OR(B306="",D306="",E306="",F306="",K306="",L306=""),"待补规则信息",IF(AND(C306&lt;&gt;"",OR(C306=B306,COUNTIFS($A$7:$A$306,A306,$B$7:$B$306,C306)&lt;&gt;1)),"父版本引用无效",IF(AND(OR(D306="试行",D306="采用"),OR(G306="",NOT(ISNUMBER(I306)),NOT(ISNUMBER(J306)))),"待补采用与复核","有效输入")))))</x:f>
      </x:c>
    </x:row>
  </x:sheetData>
  <x:conditionalFormatting sqref="M7:M306">
    <x:cfRule type="expression" dxfId="7" priority="1">
      <x:formula>AND($A7&lt;&gt;"",M7&lt;&gt;"有效输入")</x:formula>
    </x:cfRule>
  </x:conditionalFormatting>
  <x:dataValidations count="1">
    <x:dataValidation type="list" sqref="D7:D306">
      <x:formula1>"候选,试行,采用,停用"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3d1fa9ec324d45"/>
  </x:tableParts>
</x:worksheet>
</file>